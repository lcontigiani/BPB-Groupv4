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BPBSRV03\lcontigiani\Proyecto Costos\Analisis de Producto\Productos\AG-2565-CHS\"/>
    </mc:Choice>
  </mc:AlternateContent>
  <bookViews>
    <workbookView xWindow="0" yWindow="0" windowWidth="24870" windowHeight="10125"/>
  </bookViews>
  <sheets>
    <sheet name="AG-2565-CHS" sheetId="2" r:id="rId1"/>
    <sheet name="Auxiliar" sheetId="5" state="hidden" r:id="rId2"/>
  </sheets>
  <functionGroups builtInGroupCount="18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AireComprimido">OFFSET('[1]INFO-Direc'!$D$11,0,0,COUNTIF('[1]INFO-Direc'!$D$11:$D$12,"?*"),1)</definedName>
    <definedName name="AireComprimido_Ensamble">OFFSET('[2]INFO-Direc'!$D$11,0,0,COUNTIF('[2]INFO-Direc'!$D$11:$D$12,"?*"),1)</definedName>
    <definedName name="Anticorrosivo_Ensamble">OFFSET('[2]INFO-Direc'!#REF!,0,0,COUNTIF('[2]INFO-Direc'!#REF!,"?*"),1)</definedName>
    <definedName name="Areas">OFFSET('[1]INFO-Pos'!$O$9,0,0,COUNTIF('[1]INFO-Pos'!$O$9:$O$122,"?*"),1)</definedName>
    <definedName name="Areas_Ensamble">OFFSET('[2]INFO-Pos'!$O$9,0,0,COUNTIF('[2]INFO-Pos'!$O$9:$O$122,"?*"),1)</definedName>
    <definedName name="Cajas">OFFSET('[3]INFO-C'!$R$10,0,0,COUNTIF('[3]INFO-C'!$R$10:$R$225,"?*"),1)</definedName>
    <definedName name="Deposito_Auxiliar">OFFSET(Auxiliar!$A$92,0,0,1,COUNTIF(Auxiliar!$A$92:$CA$92,"?*"))</definedName>
    <definedName name="Embalaje_Auxiliar">OFFSET(Auxiliar!$A$88,0,0,1,COUNTIF(Auxiliar!$A$88:$AP$88,"?*"))</definedName>
    <definedName name="Ensamble_Auxiliar">OFFSET(Auxiliar!$A$80,0,0,1,COUNTIF(Auxiliar!$A$80:$CA$80,"?*"))</definedName>
    <definedName name="Envoltorios">OFFSET('[3]INFO-E'!$O$10,0,0,COUNTIF('[3]INFO-E'!$O$10:$O$42,"?*"),1)</definedName>
    <definedName name="Folex">OFFSET('[3]INFO-F'!$O$10,0,0,COUNTIF('[3]INFO-F'!$O$10:$O$25,"?*"),1)</definedName>
    <definedName name="Fresas">OFFSET('[4]INFO-INSUMOS'!$D$11:$E$11,0,0,COUNTIF('[4]INFO-INSUMOS'!$D$11:$AC$11,"?*"),1)</definedName>
    <definedName name="Fresas_Auxiliar">OFFSET(Auxiliar!$A$96,0,0,1,COUNTIF(Auxiliar!$A$96:$EA$96,"?*"))</definedName>
    <definedName name="Grasa_Ensamble">OFFSET('[2]INFO-Direc'!$D$17,0,0,COUNTIF('[2]INFO-Direc'!$D$17:$D$19,"?*"),1)</definedName>
    <definedName name="Herramientas">OFFSET('[1]INFO-Pos'!$N$124,0,0,COUNTIF('[1]INFO-Pos'!$N$124:$N$165,"?*"),1)</definedName>
    <definedName name="Herramientas_Ensamble">OFFSET('[2]INFO-Pos'!$N$190,0,0,COUNTIF('[2]INFO-Pos'!$N$190:$N$219,"?*"),1)</definedName>
    <definedName name="INFO_INSUMO_P_ENSAMBLE">OFFSET(Auxiliar!$B$27,0,0,COUNTIF(Auxiliar!$B$27:$B$73,"?*"),1)</definedName>
    <definedName name="INSUMOS">OFFSET('[4]INFO-INSUMOS'!$CJ$9,0,0,COUNTIF('[4]INFO-INSUMOS'!$CJ$9:$CJ$14,"?*"),1)</definedName>
    <definedName name="Insumos_Embalaje">OFFSET('[3]INFO-I'!$O$10,0,0,COUNTIF('[3]INFO-I'!$O$10:$O$50,"?*"),1)</definedName>
    <definedName name="Lista_Ensamble">OFFSET('[2]INFO-Personal'!$AW$10,0,0,COUNTIF('[2]INFO-Personal'!$AW$10:$AW$100,"?*"),1)</definedName>
    <definedName name="Lista_Produccion">OFFSET('[2]INFO-Personal'!$AV$10,0,0,COUNTIF('[2]INFO-Personal'!$AV$10:$AV$100,"?*"),1)</definedName>
    <definedName name="Lubricantes">'[4]INFO-Direc'!$D$14:$D$19</definedName>
    <definedName name="Lubricantes_Ensamble">OFFSET('[2]INFO-Direc'!$D$13,0,0,COUNTIF('[2]INFO-Direc'!$D$13:$D$16,"?*"),1)</definedName>
    <definedName name="Maquinaria">OFFSET('[1]INFO-Pos'!$N$9,0,0,COUNTIF('[1]INFO-Pos'!$N$9:$N$122,"?*"),1)</definedName>
    <definedName name="Maquinaria_Ensamble">OFFSET('[2]INFO-Pos'!$N$9,0,0,COUNTIF('[2]INFO-Pos'!$N$9:$N$188,"?*"),1)</definedName>
    <definedName name="NACIMP">Auxiliar!$CA$21:$CA$22</definedName>
    <definedName name="Pallets">OFFSET('[3]INFO-P'!$R$10,0,0,COUNTIF('[3]INFO-P'!$R$10:$R$27,"?*"),1)</definedName>
    <definedName name="Personal">'[2]INFO-Personal'!$C$26:$C$29</definedName>
    <definedName name="Produccion_Auxiliar">OFFSET(Auxiliar!$A$84,0,0,1,COUNTIF(Auxiliar!$A$84:$CA$84,"?*"))</definedName>
    <definedName name="Refrigerantes">'[4]INFO-Direc'!$D$22:$D$27</definedName>
    <definedName name="Refrigerantes_Ensamble">OFFSET('[2]INFO-Direc'!$D$20,0,0,COUNTIF('[2]INFO-Direc'!$D$20:$D$22,"?*"),1)</definedName>
    <definedName name="Repuestos">OFFSET('[1]INFO-Mant'!$D$9,0,0,COUNTIF('[1]INFO-Mant'!$D$9:$D$22,"?*"),1)</definedName>
    <definedName name="Repuestos_Ensamble">OFFSET('[2]INFO-Mant'!$D$9,0,0,COUNTIF('[2]INFO-Mant'!$D$9:$D$22,"?*"),1)</definedName>
    <definedName name="Solvente_Ensamble">OFFSET('[2]INFO-Direc'!$D$23,0,0,COUNTIF('[2]INFO-Direc'!$D$23:$D$25,"?*"),1)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7" i="2" l="1"/>
  <c r="H29" i="2"/>
  <c r="I29" i="2" s="1"/>
  <c r="D27" i="2"/>
  <c r="J27" i="2" s="1"/>
  <c r="G27" i="2" l="1"/>
  <c r="I27" i="2"/>
  <c r="M27" i="2" s="1"/>
  <c r="G14" i="2"/>
  <c r="F14" i="2"/>
  <c r="EA95" i="5"/>
  <c r="DZ95" i="5"/>
  <c r="DY95" i="5"/>
  <c r="DX95" i="5"/>
  <c r="DW95" i="5"/>
  <c r="DV95" i="5"/>
  <c r="DU95" i="5"/>
  <c r="DT95" i="5"/>
  <c r="DS95" i="5"/>
  <c r="DR95" i="5"/>
  <c r="DQ95" i="5"/>
  <c r="DP95" i="5"/>
  <c r="DO95" i="5"/>
  <c r="DN95" i="5"/>
  <c r="DM95" i="5"/>
  <c r="DL95" i="5"/>
  <c r="DK95" i="5"/>
  <c r="DJ95" i="5"/>
  <c r="DI95" i="5"/>
  <c r="DH95" i="5"/>
  <c r="DG95" i="5"/>
  <c r="DF95" i="5"/>
  <c r="DE95" i="5"/>
  <c r="DD95" i="5"/>
  <c r="DC95" i="5"/>
  <c r="DB95" i="5"/>
  <c r="DA95" i="5"/>
  <c r="CZ95" i="5"/>
  <c r="CY95" i="5"/>
  <c r="CX95" i="5"/>
  <c r="CW95" i="5"/>
  <c r="CV95" i="5"/>
  <c r="CU95" i="5"/>
  <c r="CT95" i="5"/>
  <c r="CS95" i="5"/>
  <c r="CR95" i="5"/>
  <c r="CQ95" i="5"/>
  <c r="CP95" i="5"/>
  <c r="CO95" i="5"/>
  <c r="CN95" i="5"/>
  <c r="CM95" i="5"/>
  <c r="CL95" i="5"/>
  <c r="CK95" i="5"/>
  <c r="CJ95" i="5"/>
  <c r="CI95" i="5"/>
  <c r="CH95" i="5"/>
  <c r="CG95" i="5"/>
  <c r="CF95" i="5"/>
  <c r="CE95" i="5"/>
  <c r="CD95" i="5"/>
  <c r="CC95" i="5"/>
  <c r="CB95" i="5"/>
  <c r="CA95" i="5"/>
  <c r="BZ95" i="5"/>
  <c r="BY95" i="5"/>
  <c r="BX95" i="5"/>
  <c r="BW95" i="5"/>
  <c r="BV95" i="5"/>
  <c r="BU95" i="5"/>
  <c r="BT95" i="5"/>
  <c r="BS95" i="5"/>
  <c r="BR95" i="5"/>
  <c r="BQ95" i="5"/>
  <c r="BP95" i="5"/>
  <c r="BO95" i="5"/>
  <c r="BN95" i="5"/>
  <c r="BM95" i="5"/>
  <c r="BL95" i="5"/>
  <c r="BK95" i="5"/>
  <c r="BJ95" i="5"/>
  <c r="BI95" i="5"/>
  <c r="BH95" i="5"/>
  <c r="BG95" i="5"/>
  <c r="BF95" i="5"/>
  <c r="BE95" i="5"/>
  <c r="BD95" i="5"/>
  <c r="BC95" i="5"/>
  <c r="BB95" i="5"/>
  <c r="BA95" i="5"/>
  <c r="AZ95" i="5"/>
  <c r="AY95" i="5"/>
  <c r="AX95" i="5"/>
  <c r="AW95" i="5"/>
  <c r="AV95" i="5"/>
  <c r="AU95" i="5"/>
  <c r="AT95" i="5"/>
  <c r="AS95" i="5"/>
  <c r="AR95" i="5"/>
  <c r="AQ95" i="5"/>
  <c r="AP95" i="5"/>
  <c r="AO95" i="5"/>
  <c r="AN95" i="5"/>
  <c r="AM95" i="5"/>
  <c r="AL95" i="5"/>
  <c r="AK95" i="5"/>
  <c r="AJ95" i="5"/>
  <c r="AI95" i="5"/>
  <c r="AH95" i="5"/>
  <c r="AG95" i="5"/>
  <c r="AF95" i="5"/>
  <c r="AE95" i="5"/>
  <c r="AD95" i="5"/>
  <c r="AC95" i="5"/>
  <c r="AB95" i="5"/>
  <c r="AA95" i="5"/>
  <c r="Z95" i="5"/>
  <c r="Y95" i="5"/>
  <c r="X95" i="5"/>
  <c r="W95" i="5"/>
  <c r="V95" i="5"/>
  <c r="U95" i="5"/>
  <c r="T95" i="5"/>
  <c r="S95" i="5"/>
  <c r="R95" i="5"/>
  <c r="Q95" i="5"/>
  <c r="P95" i="5"/>
  <c r="O95" i="5"/>
  <c r="N95" i="5"/>
  <c r="M95" i="5"/>
  <c r="L95" i="5"/>
  <c r="K95" i="5"/>
  <c r="J95" i="5"/>
  <c r="I95" i="5"/>
  <c r="H95" i="5"/>
  <c r="G95" i="5"/>
  <c r="F95" i="5"/>
  <c r="E95" i="5"/>
  <c r="D95" i="5"/>
  <c r="C95" i="5"/>
  <c r="B95" i="5"/>
  <c r="A95" i="5"/>
  <c r="EA96" i="5" s="1"/>
  <c r="H14" i="2"/>
  <c r="M36" i="2" l="1" a="1"/>
  <c r="M36" i="2" s="1"/>
  <c r="L36" i="2" a="1"/>
  <c r="L36" i="2" s="1"/>
  <c r="DP96" i="5"/>
  <c r="L96" i="5"/>
  <c r="X96" i="5"/>
  <c r="AJ96" i="5"/>
  <c r="AV96" i="5"/>
  <c r="BH96" i="5"/>
  <c r="BT96" i="5"/>
  <c r="CF96" i="5"/>
  <c r="CR96" i="5"/>
  <c r="DD96" i="5"/>
  <c r="DX96" i="5"/>
  <c r="A96" i="5"/>
  <c r="E96" i="5"/>
  <c r="I96" i="5"/>
  <c r="M96" i="5"/>
  <c r="Q96" i="5"/>
  <c r="U96" i="5"/>
  <c r="Y96" i="5"/>
  <c r="AC96" i="5"/>
  <c r="AG96" i="5"/>
  <c r="AK96" i="5"/>
  <c r="AO96" i="5"/>
  <c r="AS96" i="5"/>
  <c r="AW96" i="5"/>
  <c r="BA96" i="5"/>
  <c r="BE96" i="5"/>
  <c r="BI96" i="5"/>
  <c r="BM96" i="5"/>
  <c r="BQ96" i="5"/>
  <c r="BU96" i="5"/>
  <c r="BY96" i="5"/>
  <c r="CC96" i="5"/>
  <c r="CG96" i="5"/>
  <c r="CK96" i="5"/>
  <c r="CO96" i="5"/>
  <c r="CS96" i="5"/>
  <c r="CW96" i="5"/>
  <c r="DA96" i="5"/>
  <c r="DE96" i="5"/>
  <c r="DI96" i="5"/>
  <c r="DM96" i="5"/>
  <c r="DQ96" i="5"/>
  <c r="DU96" i="5"/>
  <c r="DY96" i="5"/>
  <c r="H96" i="5"/>
  <c r="T96" i="5"/>
  <c r="AF96" i="5"/>
  <c r="AR96" i="5"/>
  <c r="BD96" i="5"/>
  <c r="BP96" i="5"/>
  <c r="CB96" i="5"/>
  <c r="CN96" i="5"/>
  <c r="CZ96" i="5"/>
  <c r="DL96" i="5"/>
  <c r="DT96" i="5"/>
  <c r="B96" i="5"/>
  <c r="F96" i="5"/>
  <c r="J96" i="5"/>
  <c r="N96" i="5"/>
  <c r="R96" i="5"/>
  <c r="V96" i="5"/>
  <c r="Z96" i="5"/>
  <c r="AD96" i="5"/>
  <c r="AH96" i="5"/>
  <c r="AL96" i="5"/>
  <c r="AP96" i="5"/>
  <c r="AT96" i="5"/>
  <c r="AX96" i="5"/>
  <c r="BB96" i="5"/>
  <c r="BF96" i="5"/>
  <c r="BJ96" i="5"/>
  <c r="BN96" i="5"/>
  <c r="BR96" i="5"/>
  <c r="BV96" i="5"/>
  <c r="BZ96" i="5"/>
  <c r="CD96" i="5"/>
  <c r="CH96" i="5"/>
  <c r="CL96" i="5"/>
  <c r="CP96" i="5"/>
  <c r="CT96" i="5"/>
  <c r="CX96" i="5"/>
  <c r="DB96" i="5"/>
  <c r="DF96" i="5"/>
  <c r="DJ96" i="5"/>
  <c r="DN96" i="5"/>
  <c r="DR96" i="5"/>
  <c r="DV96" i="5"/>
  <c r="DZ96" i="5"/>
  <c r="D96" i="5"/>
  <c r="P96" i="5"/>
  <c r="AB96" i="5"/>
  <c r="AN96" i="5"/>
  <c r="AZ96" i="5"/>
  <c r="BL96" i="5"/>
  <c r="BX96" i="5"/>
  <c r="CJ96" i="5"/>
  <c r="CV96" i="5"/>
  <c r="DH96" i="5"/>
  <c r="C96" i="5"/>
  <c r="G96" i="5"/>
  <c r="K96" i="5"/>
  <c r="O96" i="5"/>
  <c r="S96" i="5"/>
  <c r="W96" i="5"/>
  <c r="AA96" i="5"/>
  <c r="AE96" i="5"/>
  <c r="AI96" i="5"/>
  <c r="AM96" i="5"/>
  <c r="AQ96" i="5"/>
  <c r="AU96" i="5"/>
  <c r="AY96" i="5"/>
  <c r="BC96" i="5"/>
  <c r="BG96" i="5"/>
  <c r="BK96" i="5"/>
  <c r="BO96" i="5"/>
  <c r="BS96" i="5"/>
  <c r="BW96" i="5"/>
  <c r="CA96" i="5"/>
  <c r="CE96" i="5"/>
  <c r="CI96" i="5"/>
  <c r="CM96" i="5"/>
  <c r="CQ96" i="5"/>
  <c r="CU96" i="5"/>
  <c r="CY96" i="5"/>
  <c r="DC96" i="5"/>
  <c r="DG96" i="5"/>
  <c r="DK96" i="5"/>
  <c r="DO96" i="5"/>
  <c r="DS96" i="5"/>
  <c r="DW96" i="5"/>
  <c r="I10" i="2"/>
  <c r="I11" i="2"/>
  <c r="I9" i="2"/>
  <c r="D10" i="2"/>
  <c r="D11" i="2"/>
  <c r="D9" i="2"/>
  <c r="H10" i="2" l="1"/>
  <c r="H11" i="2"/>
  <c r="M10" i="2" l="1"/>
  <c r="J10" i="2"/>
  <c r="G10" i="2"/>
  <c r="K10" i="2"/>
  <c r="M11" i="2"/>
  <c r="J11" i="2"/>
  <c r="G11" i="2"/>
  <c r="K11" i="2"/>
  <c r="J23" i="2"/>
  <c r="J17" i="2"/>
  <c r="J19" i="2"/>
  <c r="H3" i="2"/>
  <c r="H23" i="2" l="1"/>
  <c r="M23" i="2" s="1"/>
  <c r="H13" i="2"/>
  <c r="H16" i="2"/>
  <c r="H19" i="2"/>
  <c r="M19" i="2" l="1"/>
  <c r="G13" i="2"/>
  <c r="B2" i="5" l="1" a="1"/>
  <c r="B2" i="5" s="1"/>
  <c r="C2" i="5" l="1"/>
  <c r="D2" i="5" l="1"/>
  <c r="E2" i="5" s="1"/>
  <c r="J14" i="2"/>
  <c r="F2" i="5" l="1"/>
  <c r="G2" i="5" s="1"/>
  <c r="M16" i="2"/>
  <c r="J16" i="2"/>
  <c r="M13" i="2"/>
  <c r="J13" i="2"/>
  <c r="H2" i="5" l="1"/>
  <c r="I2" i="5" s="1"/>
  <c r="J25" i="2"/>
  <c r="J2" i="5" l="1"/>
  <c r="K2" i="5" s="1"/>
  <c r="L2" i="5" l="1"/>
  <c r="M2" i="5" s="1"/>
  <c r="N2" i="5" s="1"/>
  <c r="H17" i="2"/>
  <c r="M17" i="2" s="1"/>
  <c r="B24" i="5" l="1" a="1"/>
  <c r="B24" i="5" s="1"/>
  <c r="B17" i="5" l="1" a="1"/>
  <c r="B17" i="5" s="1"/>
  <c r="B6" i="5" a="1"/>
  <c r="B6" i="5" s="1"/>
  <c r="B12" i="5" a="1"/>
  <c r="B12" i="5" s="1"/>
  <c r="B15" i="5" a="1"/>
  <c r="B15" i="5" s="1"/>
  <c r="B11" i="5" a="1"/>
  <c r="B11" i="5" s="1"/>
  <c r="B5" i="5" a="1"/>
  <c r="B5" i="5" s="1"/>
  <c r="B21" i="5" a="1"/>
  <c r="B21" i="5" s="1"/>
  <c r="B13" i="5" a="1"/>
  <c r="B13" i="5" s="1"/>
  <c r="B3" i="5" a="1"/>
  <c r="B3" i="5" s="1"/>
  <c r="B19" i="5" a="1"/>
  <c r="B19" i="5" s="1"/>
  <c r="B18" i="5" a="1"/>
  <c r="B18" i="5" s="1"/>
  <c r="B14" i="5" a="1"/>
  <c r="B14" i="5" s="1"/>
  <c r="B10" i="5" a="1"/>
  <c r="B10" i="5" s="1"/>
  <c r="B7" i="5" a="1"/>
  <c r="B7" i="5" s="1"/>
  <c r="B4" i="5" a="1"/>
  <c r="B4" i="5" s="1"/>
  <c r="B23" i="5" a="1"/>
  <c r="B23" i="5" s="1"/>
  <c r="B20" i="5" a="1"/>
  <c r="B20" i="5" s="1"/>
  <c r="B25" i="5" a="1"/>
  <c r="B25" i="5" s="1"/>
  <c r="B22" i="5" a="1"/>
  <c r="B22" i="5" s="1"/>
  <c r="B9" i="5" a="1"/>
  <c r="B9" i="5" s="1"/>
  <c r="B16" i="5" a="1"/>
  <c r="B16" i="5" s="1"/>
  <c r="B8" i="5" a="1"/>
  <c r="B8" i="5" s="1"/>
  <c r="D4" i="5" l="1"/>
  <c r="D8" i="5"/>
  <c r="D12" i="5"/>
  <c r="D16" i="5"/>
  <c r="D20" i="5"/>
  <c r="D24" i="5"/>
  <c r="D5" i="5"/>
  <c r="D9" i="5"/>
  <c r="D13" i="5"/>
  <c r="D17" i="5"/>
  <c r="D21" i="5"/>
  <c r="D25" i="5"/>
  <c r="D3" i="5"/>
  <c r="D6" i="5"/>
  <c r="D10" i="5"/>
  <c r="D14" i="5"/>
  <c r="D18" i="5"/>
  <c r="D22" i="5"/>
  <c r="D7" i="5"/>
  <c r="D11" i="5"/>
  <c r="D15" i="5"/>
  <c r="D19" i="5"/>
  <c r="D23" i="5"/>
  <c r="C6" i="5"/>
  <c r="C10" i="5"/>
  <c r="C14" i="5"/>
  <c r="C18" i="5"/>
  <c r="C22" i="5"/>
  <c r="C3" i="5"/>
  <c r="C7" i="5"/>
  <c r="C11" i="5"/>
  <c r="C15" i="5"/>
  <c r="C19" i="5"/>
  <c r="C23" i="5"/>
  <c r="C4" i="5"/>
  <c r="C8" i="5"/>
  <c r="C12" i="5"/>
  <c r="C16" i="5"/>
  <c r="C20" i="5"/>
  <c r="C24" i="5"/>
  <c r="C5" i="5"/>
  <c r="C9" i="5"/>
  <c r="C13" i="5"/>
  <c r="C17" i="5"/>
  <c r="C21" i="5"/>
  <c r="C25" i="5"/>
  <c r="B37" i="5" l="1"/>
  <c r="B27" i="5"/>
  <c r="B64" i="5"/>
  <c r="B48" i="5"/>
  <c r="B33" i="5"/>
  <c r="B63" i="5"/>
  <c r="B47" i="5"/>
  <c r="B32" i="5"/>
  <c r="B62" i="5"/>
  <c r="B46" i="5"/>
  <c r="F3" i="5"/>
  <c r="B65" i="5"/>
  <c r="B49" i="5"/>
  <c r="B30" i="5"/>
  <c r="B60" i="5"/>
  <c r="B44" i="5"/>
  <c r="B29" i="5"/>
  <c r="B59" i="5"/>
  <c r="B43" i="5"/>
  <c r="B28" i="5"/>
  <c r="B58" i="5"/>
  <c r="B42" i="5"/>
  <c r="B31" i="5"/>
  <c r="B61" i="5"/>
  <c r="B45" i="5"/>
  <c r="B72" i="5"/>
  <c r="B56" i="5"/>
  <c r="B40" i="5"/>
  <c r="B71" i="5"/>
  <c r="B55" i="5"/>
  <c r="B39" i="5"/>
  <c r="B70" i="5"/>
  <c r="B54" i="5"/>
  <c r="B38" i="5"/>
  <c r="B73" i="5"/>
  <c r="B57" i="5"/>
  <c r="B41" i="5"/>
  <c r="B68" i="5"/>
  <c r="B52" i="5"/>
  <c r="B36" i="5"/>
  <c r="B67" i="5"/>
  <c r="B51" i="5"/>
  <c r="B35" i="5"/>
  <c r="B66" i="5"/>
  <c r="B50" i="5"/>
  <c r="B34" i="5"/>
  <c r="B69" i="5"/>
  <c r="B53" i="5"/>
  <c r="G23" i="2" l="1"/>
  <c r="M25" i="2" l="1"/>
  <c r="G25" i="2"/>
  <c r="L37" i="2" l="1" a="1"/>
  <c r="L37" i="2" s="1"/>
  <c r="M37" i="2" a="1"/>
  <c r="M37" i="2" s="1"/>
  <c r="D29" i="2"/>
  <c r="J29" i="2" s="1"/>
  <c r="J9" i="2"/>
  <c r="D21" i="2"/>
  <c r="D20" i="2"/>
  <c r="E20" i="2"/>
  <c r="J20" i="2" s="1"/>
  <c r="E21" i="2"/>
  <c r="G19" i="2"/>
  <c r="G20" i="2" l="1"/>
  <c r="G9" i="2"/>
  <c r="G21" i="2"/>
  <c r="J21" i="2"/>
  <c r="G29" i="2"/>
  <c r="G16" i="2" l="1"/>
  <c r="B79" i="5" l="1"/>
  <c r="C79" i="5"/>
  <c r="D79" i="5"/>
  <c r="E79" i="5"/>
  <c r="F79" i="5"/>
  <c r="G79" i="5"/>
  <c r="H79" i="5"/>
  <c r="I79" i="5"/>
  <c r="J79" i="5"/>
  <c r="K79" i="5"/>
  <c r="L79" i="5"/>
  <c r="M79" i="5"/>
  <c r="N79" i="5"/>
  <c r="O79" i="5"/>
  <c r="P79" i="5"/>
  <c r="Q79" i="5"/>
  <c r="R79" i="5"/>
  <c r="S79" i="5"/>
  <c r="T79" i="5"/>
  <c r="U79" i="5"/>
  <c r="V79" i="5"/>
  <c r="W79" i="5"/>
  <c r="X79" i="5"/>
  <c r="Y79" i="5"/>
  <c r="Z79" i="5"/>
  <c r="AA79" i="5"/>
  <c r="AB79" i="5"/>
  <c r="AC79" i="5"/>
  <c r="AD79" i="5"/>
  <c r="AE79" i="5"/>
  <c r="AF79" i="5"/>
  <c r="AG79" i="5"/>
  <c r="AH79" i="5"/>
  <c r="AI79" i="5"/>
  <c r="AJ79" i="5"/>
  <c r="AK79" i="5"/>
  <c r="AL79" i="5"/>
  <c r="AM79" i="5"/>
  <c r="AN79" i="5"/>
  <c r="AO79" i="5"/>
  <c r="AP79" i="5"/>
  <c r="AQ79" i="5"/>
  <c r="AR79" i="5"/>
  <c r="AS79" i="5"/>
  <c r="AT79" i="5"/>
  <c r="AU79" i="5"/>
  <c r="AV79" i="5"/>
  <c r="AW79" i="5"/>
  <c r="AX79" i="5"/>
  <c r="AY79" i="5"/>
  <c r="AZ79" i="5"/>
  <c r="BA79" i="5"/>
  <c r="BB79" i="5"/>
  <c r="BC79" i="5"/>
  <c r="BD79" i="5"/>
  <c r="BE79" i="5"/>
  <c r="BF79" i="5"/>
  <c r="BG79" i="5"/>
  <c r="BH79" i="5"/>
  <c r="BI79" i="5"/>
  <c r="BJ79" i="5"/>
  <c r="BK79" i="5"/>
  <c r="BL79" i="5"/>
  <c r="BM79" i="5"/>
  <c r="BN79" i="5"/>
  <c r="BO79" i="5"/>
  <c r="BP79" i="5"/>
  <c r="BQ79" i="5"/>
  <c r="BR79" i="5"/>
  <c r="BS79" i="5"/>
  <c r="BT79" i="5"/>
  <c r="BU79" i="5"/>
  <c r="BV79" i="5"/>
  <c r="BW79" i="5"/>
  <c r="BX79" i="5"/>
  <c r="BY79" i="5"/>
  <c r="BZ79" i="5"/>
  <c r="CA79" i="5"/>
  <c r="A79" i="5"/>
  <c r="M14" i="2" l="1"/>
  <c r="K9" i="2"/>
  <c r="M33" i="2" l="1" a="1"/>
  <c r="M33" i="2" s="1"/>
  <c r="L33" i="2" a="1"/>
  <c r="L33" i="2" s="1"/>
  <c r="M29" i="2"/>
  <c r="H9" i="2"/>
  <c r="M9" i="2" s="1"/>
  <c r="CA83" i="5"/>
  <c r="BZ83" i="5"/>
  <c r="BY83" i="5"/>
  <c r="BX83" i="5"/>
  <c r="BW83" i="5"/>
  <c r="BV83" i="5"/>
  <c r="BU83" i="5"/>
  <c r="BT83" i="5"/>
  <c r="BS83" i="5"/>
  <c r="BR83" i="5"/>
  <c r="BQ83" i="5"/>
  <c r="BP83" i="5"/>
  <c r="BO83" i="5"/>
  <c r="BN83" i="5"/>
  <c r="BM83" i="5"/>
  <c r="BL83" i="5"/>
  <c r="BK83" i="5"/>
  <c r="BJ83" i="5"/>
  <c r="BI83" i="5"/>
  <c r="BH83" i="5"/>
  <c r="BG83" i="5"/>
  <c r="BF83" i="5"/>
  <c r="BE83" i="5"/>
  <c r="BD83" i="5"/>
  <c r="BC83" i="5"/>
  <c r="BB83" i="5"/>
  <c r="BA83" i="5"/>
  <c r="AZ83" i="5"/>
  <c r="AY83" i="5"/>
  <c r="AX83" i="5"/>
  <c r="AW83" i="5"/>
  <c r="AV83" i="5"/>
  <c r="AU83" i="5"/>
  <c r="AT83" i="5"/>
  <c r="AS83" i="5"/>
  <c r="AR83" i="5"/>
  <c r="AQ83" i="5"/>
  <c r="AP83" i="5"/>
  <c r="AO83" i="5"/>
  <c r="AN83" i="5"/>
  <c r="AM83" i="5"/>
  <c r="AL83" i="5"/>
  <c r="AK83" i="5"/>
  <c r="AJ83" i="5"/>
  <c r="AI83" i="5"/>
  <c r="AH83" i="5"/>
  <c r="AG83" i="5"/>
  <c r="AF83" i="5"/>
  <c r="AE83" i="5"/>
  <c r="AD83" i="5"/>
  <c r="AC83" i="5"/>
  <c r="AB83" i="5"/>
  <c r="AA83" i="5"/>
  <c r="Z83" i="5"/>
  <c r="Y83" i="5"/>
  <c r="X83" i="5"/>
  <c r="W83" i="5"/>
  <c r="V83" i="5"/>
  <c r="U83" i="5"/>
  <c r="T83" i="5"/>
  <c r="S83" i="5"/>
  <c r="R83" i="5"/>
  <c r="Q83" i="5"/>
  <c r="P83" i="5"/>
  <c r="O83" i="5"/>
  <c r="N83" i="5"/>
  <c r="M83" i="5"/>
  <c r="L83" i="5"/>
  <c r="K83" i="5"/>
  <c r="J83" i="5"/>
  <c r="I83" i="5"/>
  <c r="H83" i="5"/>
  <c r="G83" i="5"/>
  <c r="F83" i="5"/>
  <c r="E83" i="5"/>
  <c r="D83" i="5"/>
  <c r="C83" i="5"/>
  <c r="B83" i="5"/>
  <c r="A83" i="5"/>
  <c r="CA87" i="5"/>
  <c r="BZ87" i="5"/>
  <c r="BY87" i="5"/>
  <c r="BX87" i="5"/>
  <c r="BW87" i="5"/>
  <c r="BV87" i="5"/>
  <c r="BU87" i="5"/>
  <c r="BT87" i="5"/>
  <c r="BS87" i="5"/>
  <c r="BR87" i="5"/>
  <c r="BQ87" i="5"/>
  <c r="BP87" i="5"/>
  <c r="BO87" i="5"/>
  <c r="BN87" i="5"/>
  <c r="BM87" i="5"/>
  <c r="BL87" i="5"/>
  <c r="BK87" i="5"/>
  <c r="BJ87" i="5"/>
  <c r="BI87" i="5"/>
  <c r="BH87" i="5"/>
  <c r="BG87" i="5"/>
  <c r="BF87" i="5"/>
  <c r="BE87" i="5"/>
  <c r="BD87" i="5"/>
  <c r="BC87" i="5"/>
  <c r="BB87" i="5"/>
  <c r="BA87" i="5"/>
  <c r="AZ87" i="5"/>
  <c r="AY87" i="5"/>
  <c r="AX87" i="5"/>
  <c r="AW87" i="5"/>
  <c r="AV87" i="5"/>
  <c r="AU87" i="5"/>
  <c r="AT87" i="5"/>
  <c r="AS87" i="5"/>
  <c r="AR87" i="5"/>
  <c r="AQ87" i="5"/>
  <c r="AP87" i="5"/>
  <c r="AO87" i="5"/>
  <c r="AN87" i="5"/>
  <c r="AM87" i="5"/>
  <c r="AL87" i="5"/>
  <c r="AK87" i="5"/>
  <c r="AJ87" i="5"/>
  <c r="AI87" i="5"/>
  <c r="AH87" i="5"/>
  <c r="AG87" i="5"/>
  <c r="AF87" i="5"/>
  <c r="AE87" i="5"/>
  <c r="AD87" i="5"/>
  <c r="AC87" i="5"/>
  <c r="AB87" i="5"/>
  <c r="AA87" i="5"/>
  <c r="Z87" i="5"/>
  <c r="Y87" i="5"/>
  <c r="X87" i="5"/>
  <c r="W87" i="5"/>
  <c r="V87" i="5"/>
  <c r="U87" i="5"/>
  <c r="T87" i="5"/>
  <c r="S87" i="5"/>
  <c r="R87" i="5"/>
  <c r="Q87" i="5"/>
  <c r="P87" i="5"/>
  <c r="O87" i="5"/>
  <c r="N87" i="5"/>
  <c r="M87" i="5"/>
  <c r="L87" i="5"/>
  <c r="K87" i="5"/>
  <c r="J87" i="5"/>
  <c r="I87" i="5"/>
  <c r="H87" i="5"/>
  <c r="G87" i="5"/>
  <c r="F87" i="5"/>
  <c r="E87" i="5"/>
  <c r="D87" i="5"/>
  <c r="C87" i="5"/>
  <c r="B87" i="5"/>
  <c r="A87" i="5"/>
  <c r="H21" i="2"/>
  <c r="H20" i="2"/>
  <c r="F21" i="2"/>
  <c r="F20" i="2"/>
  <c r="CA91" i="5"/>
  <c r="BZ91" i="5"/>
  <c r="BY91" i="5"/>
  <c r="BX91" i="5"/>
  <c r="BW91" i="5"/>
  <c r="BV91" i="5"/>
  <c r="BU91" i="5"/>
  <c r="BT91" i="5"/>
  <c r="BS91" i="5"/>
  <c r="BR91" i="5"/>
  <c r="BQ91" i="5"/>
  <c r="BP91" i="5"/>
  <c r="BO91" i="5"/>
  <c r="BN91" i="5"/>
  <c r="BM91" i="5"/>
  <c r="BL91" i="5"/>
  <c r="BK91" i="5"/>
  <c r="BJ91" i="5"/>
  <c r="BI91" i="5"/>
  <c r="BH91" i="5"/>
  <c r="BG91" i="5"/>
  <c r="BF91" i="5"/>
  <c r="BE91" i="5"/>
  <c r="BD91" i="5"/>
  <c r="BC91" i="5"/>
  <c r="BB91" i="5"/>
  <c r="BA91" i="5"/>
  <c r="AZ91" i="5"/>
  <c r="AY91" i="5"/>
  <c r="AX91" i="5"/>
  <c r="AW91" i="5"/>
  <c r="AV91" i="5"/>
  <c r="AU91" i="5"/>
  <c r="AT91" i="5"/>
  <c r="AS91" i="5"/>
  <c r="AR91" i="5"/>
  <c r="AQ91" i="5"/>
  <c r="AP91" i="5"/>
  <c r="AO91" i="5"/>
  <c r="AN91" i="5"/>
  <c r="AM91" i="5"/>
  <c r="AL91" i="5"/>
  <c r="AK91" i="5"/>
  <c r="AJ91" i="5"/>
  <c r="AI91" i="5"/>
  <c r="AH91" i="5"/>
  <c r="AG91" i="5"/>
  <c r="AF91" i="5"/>
  <c r="AE91" i="5"/>
  <c r="AD91" i="5"/>
  <c r="AC91" i="5"/>
  <c r="AB91" i="5"/>
  <c r="AA91" i="5"/>
  <c r="Z91" i="5"/>
  <c r="Y91" i="5"/>
  <c r="X91" i="5"/>
  <c r="W91" i="5"/>
  <c r="V91" i="5"/>
  <c r="U91" i="5"/>
  <c r="T91" i="5"/>
  <c r="S91" i="5"/>
  <c r="R91" i="5"/>
  <c r="Q91" i="5"/>
  <c r="P91" i="5"/>
  <c r="O91" i="5"/>
  <c r="N91" i="5"/>
  <c r="M91" i="5"/>
  <c r="L91" i="5"/>
  <c r="K91" i="5"/>
  <c r="J91" i="5"/>
  <c r="I91" i="5"/>
  <c r="H91" i="5"/>
  <c r="G91" i="5"/>
  <c r="F91" i="5"/>
  <c r="E91" i="5"/>
  <c r="D91" i="5"/>
  <c r="C91" i="5"/>
  <c r="B91" i="5"/>
  <c r="A91" i="5"/>
  <c r="M32" i="2" l="1" a="1"/>
  <c r="M32" i="2" s="1"/>
  <c r="M34" i="2" s="1"/>
  <c r="M38" i="2" s="1" a="1"/>
  <c r="M38" i="2" s="1"/>
  <c r="L32" i="2" a="1"/>
  <c r="L32" i="2" s="1"/>
  <c r="L34" i="2" s="1"/>
  <c r="L38" i="2" s="1" a="1"/>
  <c r="L38" i="2" s="1"/>
  <c r="I21" i="2"/>
  <c r="M21" i="2" s="1"/>
  <c r="M35" i="2" s="1" a="1"/>
  <c r="M35" i="2" s="1"/>
  <c r="I20" i="2"/>
  <c r="M20" i="2" s="1"/>
  <c r="L35" i="2" s="1" a="1"/>
  <c r="L35" i="2" s="1"/>
  <c r="L39" i="2" l="1"/>
  <c r="M39" i="2"/>
  <c r="M92" i="5" a="1"/>
  <c r="M92" i="5" s="1"/>
  <c r="K92" i="5" a="1"/>
  <c r="K92" i="5" s="1"/>
  <c r="N92" i="5" a="1"/>
  <c r="N92" i="5" s="1"/>
  <c r="I92" i="5" a="1"/>
  <c r="I92" i="5" s="1"/>
  <c r="B92" i="5" a="1"/>
  <c r="B92" i="5" s="1"/>
  <c r="BW92" i="5" a="1"/>
  <c r="BW92" i="5" s="1"/>
  <c r="BT92" i="5" a="1"/>
  <c r="BT92" i="5" s="1"/>
  <c r="BI92" i="5" a="1"/>
  <c r="BI92" i="5" s="1"/>
  <c r="BF92" i="5" a="1"/>
  <c r="BF92" i="5" s="1"/>
  <c r="BB92" i="5" a="1"/>
  <c r="BB92" i="5" s="1"/>
  <c r="AU92" i="5" a="1"/>
  <c r="AU92" i="5" s="1"/>
  <c r="AQ92" i="5" a="1"/>
  <c r="AQ92" i="5" s="1"/>
  <c r="AN92" i="5" a="1"/>
  <c r="AN92" i="5" s="1"/>
  <c r="AC92" i="5" a="1"/>
  <c r="AC92" i="5" s="1"/>
  <c r="Z92" i="5" a="1"/>
  <c r="Z92" i="5" s="1"/>
  <c r="V92" i="5" a="1"/>
  <c r="V92" i="5" s="1"/>
  <c r="O92" i="5" a="1"/>
  <c r="O92" i="5" s="1"/>
  <c r="A92" i="5" a="1"/>
  <c r="A92" i="5" s="1"/>
  <c r="BY92" i="5" a="1"/>
  <c r="BY92" i="5" s="1"/>
  <c r="BV92" i="5" a="1"/>
  <c r="BV92" i="5" s="1"/>
  <c r="BR92" i="5" a="1"/>
  <c r="BR92" i="5" s="1"/>
  <c r="BK92" i="5" a="1"/>
  <c r="BK92" i="5" s="1"/>
  <c r="BG92" i="5" a="1"/>
  <c r="BG92" i="5" s="1"/>
  <c r="BD92" i="5" a="1"/>
  <c r="BD92" i="5" s="1"/>
  <c r="AS92" i="5" a="1"/>
  <c r="AS92" i="5" s="1"/>
  <c r="AP92" i="5" a="1"/>
  <c r="AP92" i="5" s="1"/>
  <c r="AL92" i="5" a="1"/>
  <c r="AL92" i="5" s="1"/>
  <c r="AE92" i="5" a="1"/>
  <c r="AE92" i="5" s="1"/>
  <c r="AA92" i="5" a="1"/>
  <c r="AA92" i="5" s="1"/>
  <c r="X92" i="5" a="1"/>
  <c r="X92" i="5" s="1"/>
  <c r="H92" i="5" a="1"/>
  <c r="H92" i="5" s="1"/>
  <c r="E92" i="5" a="1"/>
  <c r="E92" i="5" s="1"/>
  <c r="BZ92" i="5" a="1"/>
  <c r="BZ92" i="5" s="1"/>
  <c r="BS92" i="5" a="1"/>
  <c r="BS92" i="5" s="1"/>
  <c r="BO92" i="5" a="1"/>
  <c r="BO92" i="5" s="1"/>
  <c r="BL92" i="5" a="1"/>
  <c r="BL92" i="5" s="1"/>
  <c r="BA92" i="5" a="1"/>
  <c r="BA92" i="5" s="1"/>
  <c r="AX92" i="5" a="1"/>
  <c r="AX92" i="5" s="1"/>
  <c r="AT92" i="5" a="1"/>
  <c r="AT92" i="5" s="1"/>
  <c r="AM92" i="5" a="1"/>
  <c r="AM92" i="5" s="1"/>
  <c r="AI92" i="5" a="1"/>
  <c r="AI92" i="5" s="1"/>
  <c r="AF92" i="5" a="1"/>
  <c r="AF92" i="5" s="1"/>
  <c r="U92" i="5" a="1"/>
  <c r="U92" i="5" s="1"/>
  <c r="R92" i="5" a="1"/>
  <c r="R92" i="5" s="1"/>
  <c r="L92" i="5" a="1"/>
  <c r="L92" i="5" s="1"/>
  <c r="Q92" i="5" a="1"/>
  <c r="Q92" i="5" s="1"/>
  <c r="T92" i="5" a="1"/>
  <c r="T92" i="5" s="1"/>
  <c r="Y92" i="5" a="1"/>
  <c r="Y92" i="5" s="1"/>
  <c r="AB92" i="5" a="1"/>
  <c r="AB92" i="5" s="1"/>
  <c r="AG92" i="5" a="1"/>
  <c r="AG92" i="5" s="1"/>
  <c r="AJ92" i="5" a="1"/>
  <c r="AJ92" i="5" s="1"/>
  <c r="AO92" i="5" a="1"/>
  <c r="AO92" i="5" s="1"/>
  <c r="AR92" i="5" a="1"/>
  <c r="AR92" i="5" s="1"/>
  <c r="AW92" i="5" a="1"/>
  <c r="AW92" i="5" s="1"/>
  <c r="AZ92" i="5" a="1"/>
  <c r="AZ92" i="5" s="1"/>
  <c r="BE92" i="5" a="1"/>
  <c r="BE92" i="5" s="1"/>
  <c r="BH92" i="5" a="1"/>
  <c r="BH92" i="5" s="1"/>
  <c r="BM92" i="5" a="1"/>
  <c r="BM92" i="5" s="1"/>
  <c r="BP92" i="5" a="1"/>
  <c r="BP92" i="5" s="1"/>
  <c r="BU92" i="5" a="1"/>
  <c r="BU92" i="5" s="1"/>
  <c r="BX92" i="5" a="1"/>
  <c r="BX92" i="5" s="1"/>
  <c r="CA92" i="5" a="1"/>
  <c r="CA92" i="5" s="1"/>
  <c r="D92" i="5" a="1"/>
  <c r="D92" i="5" s="1"/>
  <c r="G92" i="5" a="1"/>
  <c r="G92" i="5" s="1"/>
  <c r="J92" i="5" a="1"/>
  <c r="J92" i="5" s="1"/>
  <c r="F92" i="5" a="1"/>
  <c r="F92" i="5" s="1"/>
  <c r="C92" i="5" a="1"/>
  <c r="C92" i="5" s="1"/>
  <c r="BQ92" i="5" a="1"/>
  <c r="BQ92" i="5" s="1"/>
  <c r="BN92" i="5" a="1"/>
  <c r="BN92" i="5" s="1"/>
  <c r="BJ92" i="5" a="1"/>
  <c r="BJ92" i="5" s="1"/>
  <c r="BC92" i="5" a="1"/>
  <c r="BC92" i="5" s="1"/>
  <c r="AY92" i="5" a="1"/>
  <c r="AY92" i="5" s="1"/>
  <c r="AV92" i="5" a="1"/>
  <c r="AV92" i="5" s="1"/>
  <c r="AK92" i="5" a="1"/>
  <c r="AK92" i="5" s="1"/>
  <c r="AH92" i="5" a="1"/>
  <c r="AH92" i="5" s="1"/>
  <c r="AD92" i="5" a="1"/>
  <c r="AD92" i="5" s="1"/>
  <c r="W92" i="5" a="1"/>
  <c r="W92" i="5" s="1"/>
  <c r="S92" i="5" a="1"/>
  <c r="S92" i="5" s="1"/>
  <c r="P92" i="5" a="1"/>
  <c r="P92" i="5" s="1"/>
  <c r="AC88" i="5" l="1" a="1"/>
  <c r="AC88" i="5" s="1"/>
  <c r="X88" i="5" a="1"/>
  <c r="X88" i="5" s="1"/>
  <c r="AS88" i="5" a="1"/>
  <c r="AS88" i="5" s="1"/>
  <c r="BD88" i="5" a="1"/>
  <c r="BD88" i="5" s="1"/>
  <c r="BQ88" i="5" a="1"/>
  <c r="BQ88" i="5" s="1"/>
  <c r="B88" i="5" a="1"/>
  <c r="B88" i="5" s="1"/>
  <c r="M88" i="5" a="1"/>
  <c r="M88" i="5" s="1"/>
  <c r="U88" i="5" a="1"/>
  <c r="U88" i="5" s="1"/>
  <c r="AK88" i="5" a="1"/>
  <c r="AK88" i="5" s="1"/>
  <c r="AV88" i="5" a="1"/>
  <c r="AV88" i="5" s="1"/>
  <c r="BI88" i="5" a="1"/>
  <c r="BI88" i="5" s="1"/>
  <c r="BT88" i="5" a="1"/>
  <c r="BT88" i="5" s="1"/>
  <c r="E88" i="5" a="1"/>
  <c r="E88" i="5" s="1"/>
  <c r="A88" i="5" a="1"/>
  <c r="A88" i="5" s="1"/>
  <c r="AF88" i="5" a="1"/>
  <c r="AF88" i="5" s="1"/>
  <c r="AN88" i="5" a="1"/>
  <c r="AN88" i="5" s="1"/>
  <c r="BA88" i="5" a="1"/>
  <c r="BA88" i="5" s="1"/>
  <c r="BL88" i="5" a="1"/>
  <c r="BL88" i="5" s="1"/>
  <c r="BY88" i="5" a="1"/>
  <c r="BY88" i="5" s="1"/>
  <c r="J88" i="5" a="1"/>
  <c r="J88" i="5" s="1"/>
  <c r="S88" i="5" a="1"/>
  <c r="S88" i="5" s="1"/>
  <c r="G88" i="5" a="1"/>
  <c r="G88" i="5" s="1"/>
  <c r="BS88" i="5" a="1"/>
  <c r="BS88" i="5" s="1"/>
  <c r="BC88" i="5" a="1"/>
  <c r="BC88" i="5" s="1"/>
  <c r="AM88" i="5" a="1"/>
  <c r="AM88" i="5" s="1"/>
  <c r="W88" i="5" a="1"/>
  <c r="W88" i="5" s="1"/>
  <c r="F88" i="5" a="1"/>
  <c r="F88" i="5" s="1"/>
  <c r="BM88" i="5" a="1"/>
  <c r="BM88" i="5" s="1"/>
  <c r="AW88" i="5" a="1"/>
  <c r="AW88" i="5" s="1"/>
  <c r="AG88" i="5" a="1"/>
  <c r="AG88" i="5" s="1"/>
  <c r="P88" i="5" a="1"/>
  <c r="P88" i="5" s="1"/>
  <c r="BZ88" i="5" a="1"/>
  <c r="BZ88" i="5" s="1"/>
  <c r="BJ88" i="5" a="1"/>
  <c r="BJ88" i="5" s="1"/>
  <c r="AT88" i="5" a="1"/>
  <c r="AT88" i="5" s="1"/>
  <c r="AD88" i="5" a="1"/>
  <c r="AD88" i="5" s="1"/>
  <c r="AQ88" i="5" a="1"/>
  <c r="AQ88" i="5" s="1"/>
  <c r="AA88" i="5" a="1"/>
  <c r="AA88" i="5" s="1"/>
  <c r="BF88" i="5" a="1"/>
  <c r="BF88" i="5" s="1"/>
  <c r="I88" i="5" a="1"/>
  <c r="I88" i="5" s="1"/>
  <c r="AJ88" i="5" a="1"/>
  <c r="AJ88" i="5" s="1"/>
  <c r="BO88" i="5" a="1"/>
  <c r="BO88" i="5" s="1"/>
  <c r="R88" i="5" a="1"/>
  <c r="R88" i="5" s="1"/>
  <c r="D88" i="5" a="1"/>
  <c r="D88" i="5" s="1"/>
  <c r="BN88" i="5" a="1"/>
  <c r="BN88" i="5" s="1"/>
  <c r="AX88" i="5" a="1"/>
  <c r="AX88" i="5" s="1"/>
  <c r="AH88" i="5" a="1"/>
  <c r="AH88" i="5" s="1"/>
  <c r="Q88" i="5" a="1"/>
  <c r="Q88" i="5" s="1"/>
  <c r="BX88" i="5" a="1"/>
  <c r="BX88" i="5" s="1"/>
  <c r="BH88" i="5" a="1"/>
  <c r="BH88" i="5" s="1"/>
  <c r="AR88" i="5" a="1"/>
  <c r="AR88" i="5" s="1"/>
  <c r="AB88" i="5" a="1"/>
  <c r="AB88" i="5" s="1"/>
  <c r="K88" i="5" a="1"/>
  <c r="K88" i="5" s="1"/>
  <c r="BW88" i="5" a="1"/>
  <c r="BW88" i="5" s="1"/>
  <c r="BG88" i="5" a="1"/>
  <c r="BG88" i="5" s="1"/>
  <c r="Z88" i="5" a="1"/>
  <c r="Z88" i="5" s="1"/>
  <c r="AZ88" i="5" a="1"/>
  <c r="AZ88" i="5" s="1"/>
  <c r="C88" i="5" a="1"/>
  <c r="C88" i="5" s="1"/>
  <c r="AI88" i="5" a="1"/>
  <c r="AI88" i="5" s="1"/>
  <c r="O88" i="5" a="1"/>
  <c r="O88" i="5" s="1"/>
  <c r="CA88" i="5" a="1"/>
  <c r="CA88" i="5" s="1"/>
  <c r="BK88" i="5" a="1"/>
  <c r="BK88" i="5" s="1"/>
  <c r="AU88" i="5" a="1"/>
  <c r="AU88" i="5" s="1"/>
  <c r="AE88" i="5" a="1"/>
  <c r="AE88" i="5" s="1"/>
  <c r="N88" i="5" a="1"/>
  <c r="N88" i="5" s="1"/>
  <c r="BU88" i="5" a="1"/>
  <c r="BU88" i="5" s="1"/>
  <c r="BE88" i="5" a="1"/>
  <c r="BE88" i="5" s="1"/>
  <c r="AO88" i="5" a="1"/>
  <c r="AO88" i="5" s="1"/>
  <c r="Y88" i="5" a="1"/>
  <c r="Y88" i="5" s="1"/>
  <c r="H88" i="5" a="1"/>
  <c r="H88" i="5" s="1"/>
  <c r="BR88" i="5" a="1"/>
  <c r="BR88" i="5" s="1"/>
  <c r="BB88" i="5" a="1"/>
  <c r="BB88" i="5" s="1"/>
  <c r="AL88" i="5" a="1"/>
  <c r="AL88" i="5" s="1"/>
  <c r="V88" i="5" a="1"/>
  <c r="V88" i="5" s="1"/>
  <c r="L88" i="5" a="1"/>
  <c r="L88" i="5" s="1"/>
  <c r="BV88" i="5" a="1"/>
  <c r="BV88" i="5" s="1"/>
  <c r="AP88" i="5" a="1"/>
  <c r="AP88" i="5" s="1"/>
  <c r="BP88" i="5" a="1"/>
  <c r="BP88" i="5" s="1"/>
  <c r="T88" i="5" a="1"/>
  <c r="T88" i="5" s="1"/>
  <c r="AY88" i="5" a="1"/>
  <c r="AY88" i="5" s="1"/>
  <c r="D84" i="5" l="1" a="1"/>
  <c r="D84" i="5" s="1"/>
  <c r="G84" i="5" a="1"/>
  <c r="G84" i="5" s="1"/>
  <c r="L84" i="5" a="1"/>
  <c r="L84" i="5" s="1"/>
  <c r="O84" i="5" a="1"/>
  <c r="O84" i="5" s="1"/>
  <c r="T84" i="5" a="1"/>
  <c r="T84" i="5" s="1"/>
  <c r="W84" i="5" a="1"/>
  <c r="W84" i="5" s="1"/>
  <c r="AB84" i="5" a="1"/>
  <c r="AB84" i="5" s="1"/>
  <c r="AE84" i="5" a="1"/>
  <c r="AE84" i="5" s="1"/>
  <c r="AJ84" i="5" a="1"/>
  <c r="AJ84" i="5" s="1"/>
  <c r="AM84" i="5" a="1"/>
  <c r="AM84" i="5" s="1"/>
  <c r="AR84" i="5" a="1"/>
  <c r="AR84" i="5" s="1"/>
  <c r="AU84" i="5" a="1"/>
  <c r="AU84" i="5" s="1"/>
  <c r="AZ84" i="5" a="1"/>
  <c r="AZ84" i="5" s="1"/>
  <c r="BC84" i="5" a="1"/>
  <c r="BC84" i="5" s="1"/>
  <c r="BH84" i="5" a="1"/>
  <c r="BH84" i="5" s="1"/>
  <c r="BK84" i="5" a="1"/>
  <c r="BK84" i="5" s="1"/>
  <c r="BP84" i="5" a="1"/>
  <c r="BP84" i="5" s="1"/>
  <c r="BS84" i="5" a="1"/>
  <c r="BS84" i="5" s="1"/>
  <c r="K84" i="5" a="1"/>
  <c r="K84" i="5" s="1"/>
  <c r="N84" i="5" a="1"/>
  <c r="N84" i="5" s="1"/>
  <c r="R84" i="5" a="1"/>
  <c r="R84" i="5" s="1"/>
  <c r="Y84" i="5" a="1"/>
  <c r="Y84" i="5" s="1"/>
  <c r="AC84" i="5" a="1"/>
  <c r="AC84" i="5" s="1"/>
  <c r="AF84" i="5" a="1"/>
  <c r="AF84" i="5" s="1"/>
  <c r="AQ84" i="5" a="1"/>
  <c r="AQ84" i="5" s="1"/>
  <c r="AT84" i="5" a="1"/>
  <c r="AT84" i="5" s="1"/>
  <c r="AX84" i="5" a="1"/>
  <c r="AX84" i="5" s="1"/>
  <c r="BE84" i="5" a="1"/>
  <c r="BE84" i="5" s="1"/>
  <c r="BI84" i="5" a="1"/>
  <c r="BI84" i="5" s="1"/>
  <c r="BL84" i="5" a="1"/>
  <c r="BL84" i="5" s="1"/>
  <c r="BV84" i="5" a="1"/>
  <c r="BV84" i="5" s="1"/>
  <c r="BY84" i="5" a="1"/>
  <c r="BY84" i="5" s="1"/>
  <c r="A84" i="5" a="1"/>
  <c r="A84" i="5" s="1"/>
  <c r="B84" i="5" a="1"/>
  <c r="B84" i="5" s="1"/>
  <c r="I84" i="5" a="1"/>
  <c r="I84" i="5" s="1"/>
  <c r="M84" i="5" a="1"/>
  <c r="M84" i="5" s="1"/>
  <c r="P84" i="5" a="1"/>
  <c r="P84" i="5" s="1"/>
  <c r="AA84" i="5" a="1"/>
  <c r="AA84" i="5" s="1"/>
  <c r="AD84" i="5" a="1"/>
  <c r="AD84" i="5" s="1"/>
  <c r="AH84" i="5" a="1"/>
  <c r="AH84" i="5" s="1"/>
  <c r="AO84" i="5" a="1"/>
  <c r="AO84" i="5" s="1"/>
  <c r="AS84" i="5" a="1"/>
  <c r="AS84" i="5" s="1"/>
  <c r="AV84" i="5" a="1"/>
  <c r="AV84" i="5" s="1"/>
  <c r="BG84" i="5" a="1"/>
  <c r="BG84" i="5" s="1"/>
  <c r="BJ84" i="5" a="1"/>
  <c r="BJ84" i="5" s="1"/>
  <c r="BN84" i="5" a="1"/>
  <c r="BN84" i="5" s="1"/>
  <c r="BU84" i="5" a="1"/>
  <c r="BU84" i="5" s="1"/>
  <c r="BZ84" i="5" a="1"/>
  <c r="BZ84" i="5" s="1"/>
  <c r="E84" i="5" a="1"/>
  <c r="E84" i="5" s="1"/>
  <c r="H84" i="5" a="1"/>
  <c r="H84" i="5" s="1"/>
  <c r="S84" i="5" a="1"/>
  <c r="S84" i="5" s="1"/>
  <c r="V84" i="5" a="1"/>
  <c r="V84" i="5" s="1"/>
  <c r="Z84" i="5" a="1"/>
  <c r="Z84" i="5" s="1"/>
  <c r="AG84" i="5" a="1"/>
  <c r="AG84" i="5" s="1"/>
  <c r="AK84" i="5" a="1"/>
  <c r="AK84" i="5" s="1"/>
  <c r="AN84" i="5" a="1"/>
  <c r="AN84" i="5" s="1"/>
  <c r="AY84" i="5" a="1"/>
  <c r="AY84" i="5" s="1"/>
  <c r="BB84" i="5" a="1"/>
  <c r="BB84" i="5" s="1"/>
  <c r="BF84" i="5" a="1"/>
  <c r="BF84" i="5" s="1"/>
  <c r="BM84" i="5" a="1"/>
  <c r="BM84" i="5" s="1"/>
  <c r="BQ84" i="5" a="1"/>
  <c r="BQ84" i="5" s="1"/>
  <c r="BT84" i="5" a="1"/>
  <c r="BT84" i="5" s="1"/>
  <c r="BW84" i="5" a="1"/>
  <c r="BW84" i="5" s="1"/>
  <c r="C84" i="5" a="1"/>
  <c r="C84" i="5" s="1"/>
  <c r="F84" i="5" a="1"/>
  <c r="F84" i="5" s="1"/>
  <c r="J84" i="5" a="1"/>
  <c r="J84" i="5" s="1"/>
  <c r="Q84" i="5" a="1"/>
  <c r="Q84" i="5" s="1"/>
  <c r="U84" i="5" a="1"/>
  <c r="U84" i="5" s="1"/>
  <c r="X84" i="5" a="1"/>
  <c r="X84" i="5" s="1"/>
  <c r="AI84" i="5" a="1"/>
  <c r="AI84" i="5" s="1"/>
  <c r="AL84" i="5" a="1"/>
  <c r="AL84" i="5" s="1"/>
  <c r="AP84" i="5" a="1"/>
  <c r="AP84" i="5" s="1"/>
  <c r="AW84" i="5" a="1"/>
  <c r="AW84" i="5" s="1"/>
  <c r="BA84" i="5" a="1"/>
  <c r="BA84" i="5" s="1"/>
  <c r="BD84" i="5" a="1"/>
  <c r="BD84" i="5" s="1"/>
  <c r="BO84" i="5" a="1"/>
  <c r="BO84" i="5" s="1"/>
  <c r="BR84" i="5" a="1"/>
  <c r="BR84" i="5" s="1"/>
  <c r="BX84" i="5" a="1"/>
  <c r="BX84" i="5" s="1"/>
  <c r="CA84" i="5" a="1"/>
  <c r="CA84" i="5" s="1"/>
  <c r="C80" i="5" l="1" a="1"/>
  <c r="C80" i="5" s="1"/>
  <c r="H80" i="5" a="1"/>
  <c r="H80" i="5" s="1"/>
  <c r="K80" i="5" a="1"/>
  <c r="K80" i="5" s="1"/>
  <c r="P80" i="5" a="1"/>
  <c r="P80" i="5" s="1"/>
  <c r="S80" i="5" a="1"/>
  <c r="S80" i="5" s="1"/>
  <c r="X80" i="5" a="1"/>
  <c r="X80" i="5" s="1"/>
  <c r="AA80" i="5" a="1"/>
  <c r="AA80" i="5" s="1"/>
  <c r="AF80" i="5" a="1"/>
  <c r="AF80" i="5" s="1"/>
  <c r="AI80" i="5" a="1"/>
  <c r="AI80" i="5" s="1"/>
  <c r="AN80" i="5" a="1"/>
  <c r="AN80" i="5" s="1"/>
  <c r="AQ80" i="5" a="1"/>
  <c r="AQ80" i="5" s="1"/>
  <c r="AV80" i="5" a="1"/>
  <c r="AV80" i="5" s="1"/>
  <c r="AY80" i="5" a="1"/>
  <c r="AY80" i="5" s="1"/>
  <c r="BD80" i="5" a="1"/>
  <c r="BD80" i="5" s="1"/>
  <c r="BG80" i="5" a="1"/>
  <c r="BG80" i="5" s="1"/>
  <c r="BL80" i="5" a="1"/>
  <c r="BL80" i="5" s="1"/>
  <c r="BO80" i="5" a="1"/>
  <c r="BO80" i="5" s="1"/>
  <c r="BT80" i="5" a="1"/>
  <c r="BT80" i="5" s="1"/>
  <c r="BW80" i="5" a="1"/>
  <c r="BW80" i="5" s="1"/>
  <c r="A80" i="5" a="1"/>
  <c r="A80" i="5" s="1"/>
  <c r="D80" i="5" a="1"/>
  <c r="D80" i="5" s="1"/>
  <c r="O80" i="5" a="1"/>
  <c r="O80" i="5" s="1"/>
  <c r="R80" i="5" a="1"/>
  <c r="R80" i="5" s="1"/>
  <c r="V80" i="5" a="1"/>
  <c r="V80" i="5" s="1"/>
  <c r="AC80" i="5" a="1"/>
  <c r="AC80" i="5" s="1"/>
  <c r="AG80" i="5" a="1"/>
  <c r="AG80" i="5" s="1"/>
  <c r="AJ80" i="5" a="1"/>
  <c r="AJ80" i="5" s="1"/>
  <c r="AU80" i="5" a="1"/>
  <c r="AU80" i="5" s="1"/>
  <c r="AX80" i="5" a="1"/>
  <c r="AX80" i="5" s="1"/>
  <c r="BB80" i="5" a="1"/>
  <c r="BB80" i="5" s="1"/>
  <c r="BI80" i="5" a="1"/>
  <c r="BI80" i="5" s="1"/>
  <c r="BM80" i="5" a="1"/>
  <c r="BM80" i="5" s="1"/>
  <c r="BP80" i="5" a="1"/>
  <c r="BP80" i="5" s="1"/>
  <c r="CA80" i="5" a="1"/>
  <c r="CA80" i="5" s="1"/>
  <c r="B80" i="5" a="1"/>
  <c r="B80" i="5" s="1"/>
  <c r="F80" i="5" a="1"/>
  <c r="F80" i="5" s="1"/>
  <c r="M80" i="5" a="1"/>
  <c r="M80" i="5" s="1"/>
  <c r="Q80" i="5" a="1"/>
  <c r="Q80" i="5" s="1"/>
  <c r="T80" i="5" a="1"/>
  <c r="T80" i="5" s="1"/>
  <c r="AE80" i="5" a="1"/>
  <c r="AE80" i="5" s="1"/>
  <c r="AH80" i="5" a="1"/>
  <c r="AH80" i="5" s="1"/>
  <c r="AL80" i="5" a="1"/>
  <c r="AL80" i="5" s="1"/>
  <c r="AS80" i="5" a="1"/>
  <c r="AS80" i="5" s="1"/>
  <c r="AW80" i="5" a="1"/>
  <c r="AW80" i="5" s="1"/>
  <c r="AZ80" i="5" a="1"/>
  <c r="AZ80" i="5" s="1"/>
  <c r="BK80" i="5" a="1"/>
  <c r="BK80" i="5" s="1"/>
  <c r="BN80" i="5" a="1"/>
  <c r="BN80" i="5" s="1"/>
  <c r="BR80" i="5" a="1"/>
  <c r="BR80" i="5" s="1"/>
  <c r="BY80" i="5" a="1"/>
  <c r="BY80" i="5" s="1"/>
  <c r="E80" i="5" a="1"/>
  <c r="E80" i="5" s="1"/>
  <c r="I80" i="5" a="1"/>
  <c r="I80" i="5" s="1"/>
  <c r="L80" i="5" a="1"/>
  <c r="L80" i="5" s="1"/>
  <c r="W80" i="5" a="1"/>
  <c r="W80" i="5" s="1"/>
  <c r="Z80" i="5" a="1"/>
  <c r="Z80" i="5" s="1"/>
  <c r="AD80" i="5" a="1"/>
  <c r="AD80" i="5" s="1"/>
  <c r="AK80" i="5" a="1"/>
  <c r="AK80" i="5" s="1"/>
  <c r="AO80" i="5" a="1"/>
  <c r="AO80" i="5" s="1"/>
  <c r="AR80" i="5" a="1"/>
  <c r="AR80" i="5" s="1"/>
  <c r="BC80" i="5" a="1"/>
  <c r="BC80" i="5" s="1"/>
  <c r="BF80" i="5" a="1"/>
  <c r="BF80" i="5" s="1"/>
  <c r="BJ80" i="5" a="1"/>
  <c r="BJ80" i="5" s="1"/>
  <c r="BQ80" i="5" a="1"/>
  <c r="BQ80" i="5" s="1"/>
  <c r="BU80" i="5" a="1"/>
  <c r="BU80" i="5" s="1"/>
  <c r="BX80" i="5" a="1"/>
  <c r="BX80" i="5" s="1"/>
  <c r="G80" i="5" a="1"/>
  <c r="G80" i="5" s="1"/>
  <c r="J80" i="5" a="1"/>
  <c r="J80" i="5" s="1"/>
  <c r="N80" i="5" a="1"/>
  <c r="N80" i="5" s="1"/>
  <c r="U80" i="5" a="1"/>
  <c r="U80" i="5" s="1"/>
  <c r="Y80" i="5" a="1"/>
  <c r="Y80" i="5" s="1"/>
  <c r="AB80" i="5" a="1"/>
  <c r="AB80" i="5" s="1"/>
  <c r="AM80" i="5" a="1"/>
  <c r="AM80" i="5" s="1"/>
  <c r="AP80" i="5" a="1"/>
  <c r="AP80" i="5" s="1"/>
  <c r="AT80" i="5" a="1"/>
  <c r="AT80" i="5" s="1"/>
  <c r="BA80" i="5" a="1"/>
  <c r="BA80" i="5" s="1"/>
  <c r="BE80" i="5" a="1"/>
  <c r="BE80" i="5" s="1"/>
  <c r="BH80" i="5" a="1"/>
  <c r="BH80" i="5" s="1"/>
  <c r="BS80" i="5" a="1"/>
  <c r="BS80" i="5" s="1"/>
  <c r="BV80" i="5" a="1"/>
  <c r="BV80" i="5" s="1"/>
  <c r="BZ80" i="5" a="1"/>
  <c r="BZ80" i="5" s="1"/>
</calcChain>
</file>

<file path=xl/sharedStrings.xml><?xml version="1.0" encoding="utf-8"?>
<sst xmlns="http://schemas.openxmlformats.org/spreadsheetml/2006/main" count="69" uniqueCount="62">
  <si>
    <t>PIEZA:</t>
  </si>
  <si>
    <t>FECHA DE ANALISIS:</t>
  </si>
  <si>
    <t>VALOR DÓLAR:</t>
  </si>
  <si>
    <t>INFORMACIÓN DEL RESPONSABLE:</t>
  </si>
  <si>
    <t>NOMBRE</t>
  </si>
  <si>
    <t>PUESTO</t>
  </si>
  <si>
    <t>DEPARTAMENTO</t>
  </si>
  <si>
    <t>RESPONSABLE</t>
  </si>
  <si>
    <t>Categoria</t>
  </si>
  <si>
    <t>Subconcepto</t>
  </si>
  <si>
    <t>Descripción</t>
  </si>
  <si>
    <t>$/Un - $/h</t>
  </si>
  <si>
    <t>Indice (unidad)</t>
  </si>
  <si>
    <t>Observaciones</t>
  </si>
  <si>
    <t>Costo Unitario</t>
  </si>
  <si>
    <t>Materia Prima</t>
  </si>
  <si>
    <t>-</t>
  </si>
  <si>
    <t>Costo Materia Prima</t>
  </si>
  <si>
    <t>Costo de Transformación</t>
  </si>
  <si>
    <t xml:space="preserve">NOTAS: </t>
  </si>
  <si>
    <t xml:space="preserve">Costo de Producción </t>
  </si>
  <si>
    <t>Costo de Com y Adm</t>
  </si>
  <si>
    <t>AG-2565-CHS</t>
  </si>
  <si>
    <t>Embalaje</t>
  </si>
  <si>
    <t>Lorenzo Contigiani</t>
  </si>
  <si>
    <t>Oficina Tecnica</t>
  </si>
  <si>
    <t>Ing. en Operaciones</t>
  </si>
  <si>
    <t>Luciano Cochis</t>
  </si>
  <si>
    <t>APROBADO POR:</t>
  </si>
  <si>
    <t>Vida util (u/tool)</t>
  </si>
  <si>
    <t>Minorista</t>
  </si>
  <si>
    <t>Mayorista</t>
  </si>
  <si>
    <t>Cantidad</t>
  </si>
  <si>
    <t>Sub-Categoria</t>
  </si>
  <si>
    <t>Ensamble</t>
  </si>
  <si>
    <t>Maquina</t>
  </si>
  <si>
    <t>Insumo</t>
  </si>
  <si>
    <t>Maquina / Proceso</t>
  </si>
  <si>
    <t>Ensamble - Maquinas</t>
  </si>
  <si>
    <t>Producción - Maquinas</t>
  </si>
  <si>
    <t>Embalaje - Maquinas</t>
  </si>
  <si>
    <t>Deposito - Maquinas</t>
  </si>
  <si>
    <t>Produccion</t>
  </si>
  <si>
    <t>Externos a B&amp;P</t>
  </si>
  <si>
    <t>Costo Externo a B&amp;P</t>
  </si>
  <si>
    <t>ANALISIS DE COSTOS PRODUCTO</t>
  </si>
  <si>
    <t>Embalaje Minorista</t>
  </si>
  <si>
    <t>Embalaje Mayorista</t>
  </si>
  <si>
    <t xml:space="preserve">Deposito y Logistica </t>
  </si>
  <si>
    <t>INFO-INSUMOS-P (ENSAMBLE)</t>
  </si>
  <si>
    <t>Costo B&amp;P</t>
  </si>
  <si>
    <t>Herramienta</t>
  </si>
  <si>
    <t>IMP</t>
  </si>
  <si>
    <t>NAC</t>
  </si>
  <si>
    <t>Loctite 609</t>
  </si>
  <si>
    <t>Embalaje Manual Planta</t>
  </si>
  <si>
    <t>PRENSA QY-16 - PRENSA QY-10-3</t>
  </si>
  <si>
    <t>Fresas</t>
  </si>
  <si>
    <t>Costo de Importación</t>
  </si>
  <si>
    <t>Gastos Importación</t>
  </si>
  <si>
    <t>Costo de Venta "Estanteria"</t>
  </si>
  <si>
    <t>Costo de Venta "TOTAL"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</si>
</sst>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$&quot;\ * #,##0.00_-;\-&quot;$&quot;\ * #,##0.00_-;_-&quot;$&quot;\ * &quot;-&quot;??_-;_-@_-"/>
    <numFmt numFmtId="164" formatCode="&quot;$&quot;\ #,##0.00"/>
    <numFmt numFmtId="165" formatCode="&quot;$&quot;\ #,##0.000"/>
    <numFmt numFmtId="166" formatCode="#,##0.00\ &quot;€&quot;;\-#,##0.00\ &quot;€&quot;"/>
  </numFmts>
  <fonts count="21">
    <font>
      <sz val="11"/>
      <color theme="1" tint="0.2499465926084170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24994659260841701"/>
      <name val="Calibri"/>
      <family val="2"/>
      <scheme val="minor"/>
    </font>
    <font>
      <sz val="24"/>
      <color theme="4" tint="-0.499984740745262"/>
      <name val="Calibri Light"/>
      <family val="2"/>
      <scheme val="major"/>
    </font>
    <font>
      <sz val="24"/>
      <color rgb="FF0070C0"/>
      <name val="Manrope"/>
    </font>
    <font>
      <sz val="24"/>
      <color theme="4" tint="-0.499984740745262"/>
      <name val="Manrope"/>
    </font>
    <font>
      <sz val="11"/>
      <color theme="1" tint="0.24994659260841701"/>
      <name val="Manrope"/>
    </font>
    <font>
      <b/>
      <sz val="11"/>
      <color theme="4" tint="-0.499984740745262"/>
      <name val="Calibri Light"/>
      <family val="2"/>
      <scheme val="major"/>
    </font>
    <font>
      <b/>
      <sz val="11"/>
      <color rgb="FF0070C0"/>
      <name val="Manrope"/>
    </font>
    <font>
      <b/>
      <sz val="11"/>
      <color theme="4" tint="-0.499984740745262"/>
      <name val="Manrope"/>
    </font>
    <font>
      <b/>
      <sz val="12"/>
      <color theme="4" tint="-0.499984740745262"/>
      <name val="Calibri Light"/>
      <family val="2"/>
      <scheme val="major"/>
    </font>
    <font>
      <b/>
      <sz val="12"/>
      <color rgb="FF0070C0"/>
      <name val="Manrope"/>
    </font>
    <font>
      <b/>
      <sz val="12"/>
      <color theme="4" tint="-0.499984740745262"/>
      <name val="Manrope"/>
    </font>
    <font>
      <sz val="11"/>
      <color theme="1" tint="0.24994659260841701"/>
      <name val="Calibri Light"/>
      <family val="2"/>
      <scheme val="major"/>
    </font>
    <font>
      <sz val="12"/>
      <color theme="1" tint="0.24994659260841701"/>
      <name val="Manrope"/>
    </font>
    <font>
      <sz val="10"/>
      <name val="Tahoma"/>
      <family val="2"/>
    </font>
    <font>
      <sz val="11"/>
      <color theme="1" tint="0.249977111117893"/>
      <name val="Manrope"/>
    </font>
    <font>
      <b/>
      <sz val="11"/>
      <color rgb="FF0066CC"/>
      <name val="Manrope"/>
    </font>
    <font>
      <b/>
      <sz val="11"/>
      <color theme="1" tint="0.24994659260841701"/>
      <name val="Manrope"/>
    </font>
    <font>
      <sz val="11"/>
      <color theme="1" tint="4.9989318521683403E-2"/>
      <name val="Manrope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Dashed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0">
    <xf numFmtId="0" fontId="0" fillId="0" borderId="0"/>
    <xf numFmtId="0" fontId="4" fillId="0" borderId="0" applyProtection="0">
      <alignment vertical="top"/>
    </xf>
    <xf numFmtId="0" fontId="11" fillId="0" borderId="0" applyFill="0" applyProtection="0"/>
    <xf numFmtId="0" fontId="8" fillId="0" borderId="0" applyFill="0" applyProtection="0">
      <alignment horizontal="right" vertical="center" wrapText="1"/>
    </xf>
    <xf numFmtId="0" fontId="14" fillId="0" borderId="0" applyFill="0" applyProtection="0">
      <alignment horizontal="right" vertical="center" indent="1"/>
    </xf>
    <xf numFmtId="0" fontId="3" fillId="0" borderId="5">
      <alignment horizontal="left" vertical="center" wrapText="1"/>
    </xf>
    <xf numFmtId="14" fontId="3" fillId="0" borderId="0">
      <alignment horizontal="left" vertical="center"/>
    </xf>
    <xf numFmtId="0" fontId="1" fillId="0" borderId="0"/>
    <xf numFmtId="166" fontId="2" fillId="2" borderId="20">
      <alignment horizontal="center"/>
    </xf>
    <xf numFmtId="44" fontId="3" fillId="0" borderId="0" applyFont="0" applyFill="0" applyBorder="0" applyAlignment="0" applyProtection="0"/>
  </cellStyleXfs>
  <cellXfs count="165">
    <xf numFmtId="0" fontId="0" fillId="0" borderId="0" xfId="0"/>
    <xf numFmtId="0" fontId="9" fillId="0" borderId="0" xfId="3" applyFont="1" applyBorder="1" applyAlignment="1">
      <alignment horizontal="right" wrapText="1"/>
    </xf>
    <xf numFmtId="0" fontId="14" fillId="0" borderId="0" xfId="4" applyAlignment="1">
      <alignment horizontal="right" vertical="center" indent="1"/>
    </xf>
    <xf numFmtId="0" fontId="8" fillId="0" borderId="0" xfId="3">
      <alignment horizontal="right" vertical="center" wrapText="1"/>
    </xf>
    <xf numFmtId="0" fontId="0" fillId="0" borderId="0" xfId="0" applyProtection="1"/>
    <xf numFmtId="0" fontId="5" fillId="0" borderId="1" xfId="1" applyFont="1" applyBorder="1" applyProtection="1">
      <alignment vertical="top"/>
    </xf>
    <xf numFmtId="0" fontId="6" fillId="0" borderId="2" xfId="1" applyFont="1" applyBorder="1" applyProtection="1">
      <alignment vertical="top"/>
    </xf>
    <xf numFmtId="0" fontId="7" fillId="0" borderId="2" xfId="0" applyFont="1" applyBorder="1" applyProtection="1"/>
    <xf numFmtId="0" fontId="7" fillId="0" borderId="3" xfId="0" applyFont="1" applyBorder="1" applyProtection="1"/>
    <xf numFmtId="0" fontId="9" fillId="0" borderId="4" xfId="3" applyFont="1" applyBorder="1" applyAlignment="1" applyProtection="1">
      <alignment horizontal="right" wrapText="1"/>
    </xf>
    <xf numFmtId="0" fontId="9" fillId="0" borderId="0" xfId="3" applyFont="1" applyBorder="1" applyAlignment="1" applyProtection="1">
      <alignment horizontal="right" wrapText="1"/>
    </xf>
    <xf numFmtId="0" fontId="10" fillId="0" borderId="0" xfId="3" applyFont="1" applyBorder="1" applyProtection="1">
      <alignment horizontal="right" vertical="center" wrapText="1"/>
    </xf>
    <xf numFmtId="14" fontId="10" fillId="0" borderId="0" xfId="3" applyNumberFormat="1" applyFont="1" applyBorder="1" applyProtection="1">
      <alignment horizontal="right" vertical="center" wrapText="1"/>
    </xf>
    <xf numFmtId="14" fontId="7" fillId="0" borderId="0" xfId="6" applyNumberFormat="1" applyFont="1" applyBorder="1" applyAlignment="1" applyProtection="1">
      <alignment horizontal="center" vertical="center"/>
    </xf>
    <xf numFmtId="0" fontId="0" fillId="0" borderId="4" xfId="0" applyBorder="1" applyProtection="1"/>
    <xf numFmtId="0" fontId="12" fillId="0" borderId="4" xfId="2" applyFont="1" applyBorder="1" applyProtection="1"/>
    <xf numFmtId="0" fontId="13" fillId="0" borderId="0" xfId="2" applyFont="1" applyBorder="1" applyProtection="1"/>
    <xf numFmtId="0" fontId="7" fillId="0" borderId="0" xfId="0" applyFont="1" applyBorder="1" applyProtection="1"/>
    <xf numFmtId="0" fontId="7" fillId="0" borderId="6" xfId="0" applyFont="1" applyBorder="1" applyProtection="1"/>
    <xf numFmtId="0" fontId="7" fillId="0" borderId="4" xfId="4" applyFont="1" applyBorder="1" applyAlignment="1" applyProtection="1">
      <alignment horizontal="right"/>
    </xf>
    <xf numFmtId="0" fontId="7" fillId="0" borderId="0" xfId="4" applyFont="1" applyBorder="1" applyAlignment="1" applyProtection="1">
      <alignment horizontal="right" indent="1"/>
    </xf>
    <xf numFmtId="0" fontId="7" fillId="0" borderId="0" xfId="4" applyFont="1" applyBorder="1" applyProtection="1">
      <alignment horizontal="right" vertical="center" indent="1"/>
    </xf>
    <xf numFmtId="0" fontId="7" fillId="0" borderId="6" xfId="4" applyFont="1" applyBorder="1" applyProtection="1">
      <alignment horizontal="right" vertical="center" indent="1"/>
    </xf>
    <xf numFmtId="0" fontId="7" fillId="0" borderId="4" xfId="4" applyFont="1" applyBorder="1" applyAlignment="1" applyProtection="1">
      <alignment horizontal="right" vertical="center" indent="1"/>
    </xf>
    <xf numFmtId="0" fontId="7" fillId="0" borderId="0" xfId="4" applyFont="1" applyBorder="1" applyAlignment="1" applyProtection="1">
      <alignment horizontal="right" vertical="center" indent="1"/>
    </xf>
    <xf numFmtId="0" fontId="7" fillId="0" borderId="0" xfId="5" applyFont="1" applyBorder="1" applyProtection="1">
      <alignment horizontal="left" vertical="center" wrapText="1"/>
    </xf>
    <xf numFmtId="0" fontId="7" fillId="0" borderId="0" xfId="5" applyFont="1" applyBorder="1" applyAlignment="1" applyProtection="1">
      <alignment vertical="center" wrapText="1"/>
    </xf>
    <xf numFmtId="0" fontId="12" fillId="3" borderId="1" xfId="4" applyFont="1" applyFill="1" applyBorder="1" applyAlignment="1" applyProtection="1">
      <alignment horizontal="center" vertical="center"/>
    </xf>
    <xf numFmtId="0" fontId="12" fillId="3" borderId="3" xfId="4" applyFont="1" applyFill="1" applyBorder="1" applyAlignment="1" applyProtection="1">
      <alignment horizontal="center" vertical="center"/>
    </xf>
    <xf numFmtId="0" fontId="7" fillId="0" borderId="4" xfId="4" applyFont="1" applyBorder="1" applyAlignment="1" applyProtection="1">
      <alignment horizontal="center" vertical="center"/>
    </xf>
    <xf numFmtId="0" fontId="7" fillId="0" borderId="0" xfId="4" applyFont="1" applyBorder="1" applyAlignment="1" applyProtection="1">
      <alignment horizontal="center" vertical="center" wrapText="1"/>
    </xf>
    <xf numFmtId="164" fontId="7" fillId="0" borderId="6" xfId="4" applyNumberFormat="1" applyFont="1" applyBorder="1" applyAlignment="1" applyProtection="1">
      <alignment vertical="center"/>
    </xf>
    <xf numFmtId="0" fontId="7" fillId="0" borderId="13" xfId="4" applyFont="1" applyBorder="1" applyAlignment="1" applyProtection="1">
      <alignment horizontal="center" vertical="center" wrapText="1"/>
    </xf>
    <xf numFmtId="0" fontId="7" fillId="0" borderId="14" xfId="4" applyFont="1" applyBorder="1" applyAlignment="1" applyProtection="1">
      <alignment horizontal="center" vertical="center" wrapText="1"/>
    </xf>
    <xf numFmtId="0" fontId="10" fillId="0" borderId="4" xfId="3" applyFont="1" applyBorder="1" applyProtection="1">
      <alignment horizontal="right" vertical="center" wrapText="1"/>
    </xf>
    <xf numFmtId="0" fontId="10" fillId="0" borderId="0" xfId="3" applyFont="1" applyBorder="1" applyAlignment="1" applyProtection="1">
      <alignment horizontal="right"/>
    </xf>
    <xf numFmtId="0" fontId="7" fillId="0" borderId="25" xfId="4" applyFont="1" applyBorder="1" applyAlignment="1" applyProtection="1">
      <alignment horizontal="right" vertical="center" indent="1"/>
    </xf>
    <xf numFmtId="0" fontId="14" fillId="0" borderId="0" xfId="4" applyAlignment="1" applyProtection="1">
      <alignment horizontal="right" vertical="center" indent="1"/>
    </xf>
    <xf numFmtId="0" fontId="16" fillId="0" borderId="0" xfId="0" applyFont="1" applyAlignment="1" applyProtection="1">
      <alignment horizontal="center"/>
    </xf>
    <xf numFmtId="0" fontId="14" fillId="0" borderId="0" xfId="4" applyBorder="1" applyAlignment="1" applyProtection="1">
      <alignment horizontal="center" vertical="center"/>
    </xf>
    <xf numFmtId="0" fontId="7" fillId="0" borderId="11" xfId="4" applyFont="1" applyBorder="1" applyAlignment="1" applyProtection="1">
      <alignment horizontal="right" vertical="center" indent="1"/>
      <protection locked="0"/>
    </xf>
    <xf numFmtId="164" fontId="17" fillId="0" borderId="11" xfId="4" applyNumberFormat="1" applyFont="1" applyBorder="1" applyAlignment="1" applyProtection="1">
      <alignment horizontal="right" vertical="center" indent="1"/>
      <protection locked="0"/>
    </xf>
    <xf numFmtId="164" fontId="9" fillId="3" borderId="21" xfId="8" applyNumberFormat="1" applyFont="1" applyFill="1" applyBorder="1" applyAlignment="1" applyProtection="1">
      <alignment horizontal="center" vertical="center"/>
    </xf>
    <xf numFmtId="164" fontId="9" fillId="3" borderId="22" xfId="8" applyNumberFormat="1" applyFont="1" applyFill="1" applyBorder="1" applyAlignment="1" applyProtection="1">
      <alignment horizontal="center" vertical="center"/>
    </xf>
    <xf numFmtId="164" fontId="9" fillId="3" borderId="23" xfId="8" applyNumberFormat="1" applyFont="1" applyFill="1" applyBorder="1" applyAlignment="1" applyProtection="1">
      <alignment horizontal="center" vertical="center"/>
    </xf>
    <xf numFmtId="164" fontId="9" fillId="3" borderId="27" xfId="8" applyNumberFormat="1" applyFont="1" applyFill="1" applyBorder="1" applyAlignment="1" applyProtection="1">
      <alignment horizontal="center" vertical="center"/>
    </xf>
    <xf numFmtId="0" fontId="12" fillId="3" borderId="2" xfId="4" applyFont="1" applyFill="1" applyBorder="1" applyAlignment="1" applyProtection="1">
      <alignment horizontal="center" vertical="center" wrapText="1"/>
    </xf>
    <xf numFmtId="164" fontId="7" fillId="4" borderId="14" xfId="4" applyNumberFormat="1" applyFont="1" applyFill="1" applyBorder="1" applyAlignment="1" applyProtection="1">
      <alignment vertical="center"/>
    </xf>
    <xf numFmtId="0" fontId="7" fillId="0" borderId="11" xfId="4" applyFont="1" applyBorder="1" applyAlignment="1" applyProtection="1">
      <alignment horizontal="right" vertical="center" indent="1"/>
    </xf>
    <xf numFmtId="0" fontId="19" fillId="3" borderId="21" xfId="4" applyFont="1" applyFill="1" applyBorder="1" applyAlignment="1" applyProtection="1">
      <alignment horizontal="center" vertical="center" wrapText="1"/>
    </xf>
    <xf numFmtId="14" fontId="7" fillId="0" borderId="5" xfId="5" applyNumberFormat="1" applyFont="1" applyBorder="1" applyAlignment="1" applyProtection="1">
      <alignment horizontal="center" vertical="center" wrapText="1"/>
    </xf>
    <xf numFmtId="164" fontId="7" fillId="0" borderId="11" xfId="4" applyNumberFormat="1" applyFont="1" applyBorder="1" applyAlignment="1" applyProtection="1">
      <alignment horizontal="right" vertical="center" indent="1"/>
    </xf>
    <xf numFmtId="164" fontId="7" fillId="3" borderId="14" xfId="4" applyNumberFormat="1" applyFont="1" applyFill="1" applyBorder="1" applyAlignment="1" applyProtection="1">
      <alignment vertical="center"/>
    </xf>
    <xf numFmtId="0" fontId="7" fillId="4" borderId="11" xfId="4" applyFont="1" applyFill="1" applyBorder="1" applyAlignment="1" applyProtection="1">
      <alignment horizontal="center" vertical="center"/>
    </xf>
    <xf numFmtId="0" fontId="7" fillId="4" borderId="10" xfId="4" applyFont="1" applyFill="1" applyBorder="1" applyAlignment="1" applyProtection="1">
      <alignment horizontal="center" vertical="center"/>
    </xf>
    <xf numFmtId="0" fontId="0" fillId="5" borderId="0" xfId="0" applyFill="1"/>
    <xf numFmtId="165" fontId="7" fillId="0" borderId="30" xfId="4" applyNumberFormat="1" applyFont="1" applyBorder="1" applyAlignment="1" applyProtection="1">
      <alignment horizontal="right" vertical="center" indent="1"/>
    </xf>
    <xf numFmtId="0" fontId="7" fillId="0" borderId="30" xfId="4" applyFont="1" applyBorder="1" applyAlignment="1" applyProtection="1">
      <alignment horizontal="right" vertical="center" wrapText="1" indent="1"/>
    </xf>
    <xf numFmtId="0" fontId="7" fillId="0" borderId="11" xfId="4" applyFont="1" applyBorder="1" applyAlignment="1" applyProtection="1">
      <alignment horizontal="right" vertical="center" wrapText="1" indent="1"/>
    </xf>
    <xf numFmtId="0" fontId="7" fillId="0" borderId="19" xfId="4" applyFont="1" applyBorder="1" applyAlignment="1" applyProtection="1">
      <alignment horizontal="right" vertical="center" wrapText="1" indent="1"/>
    </xf>
    <xf numFmtId="0" fontId="7" fillId="0" borderId="11" xfId="4" applyFont="1" applyBorder="1" applyAlignment="1" applyProtection="1">
      <alignment horizontal="center" vertical="center"/>
    </xf>
    <xf numFmtId="0" fontId="7" fillId="0" borderId="26" xfId="5" applyFont="1" applyBorder="1" applyAlignment="1" applyProtection="1">
      <alignment vertical="center" wrapText="1"/>
    </xf>
    <xf numFmtId="0" fontId="7" fillId="0" borderId="11" xfId="4" applyFont="1" applyBorder="1" applyAlignment="1" applyProtection="1">
      <alignment horizontal="center" vertical="center" wrapText="1"/>
    </xf>
    <xf numFmtId="0" fontId="12" fillId="3" borderId="2" xfId="4" applyFont="1" applyFill="1" applyBorder="1" applyAlignment="1" applyProtection="1">
      <alignment horizontal="center" vertical="center"/>
    </xf>
    <xf numFmtId="0" fontId="7" fillId="0" borderId="0" xfId="4" applyFont="1" applyBorder="1" applyAlignment="1" applyProtection="1">
      <alignment horizontal="center" vertical="center"/>
    </xf>
    <xf numFmtId="164" fontId="7" fillId="3" borderId="9" xfId="4" applyNumberFormat="1" applyFont="1" applyFill="1" applyBorder="1" applyAlignment="1" applyProtection="1">
      <alignment vertical="center"/>
    </xf>
    <xf numFmtId="164" fontId="7" fillId="3" borderId="29" xfId="4" applyNumberFormat="1" applyFont="1" applyFill="1" applyBorder="1" applyAlignment="1" applyProtection="1">
      <alignment vertical="center"/>
    </xf>
    <xf numFmtId="0" fontId="7" fillId="0" borderId="24" xfId="4" applyFont="1" applyBorder="1" applyAlignment="1" applyProtection="1">
      <alignment horizontal="center" vertical="center" wrapText="1"/>
    </xf>
    <xf numFmtId="0" fontId="7" fillId="4" borderId="11" xfId="4" applyFont="1" applyFill="1" applyBorder="1" applyAlignment="1" applyProtection="1">
      <alignment horizontal="right" vertical="center" indent="1"/>
    </xf>
    <xf numFmtId="165" fontId="7" fillId="4" borderId="11" xfId="4" applyNumberFormat="1" applyFont="1" applyFill="1" applyBorder="1" applyAlignment="1" applyProtection="1">
      <alignment horizontal="right" vertical="center" indent="1"/>
    </xf>
    <xf numFmtId="0" fontId="7" fillId="4" borderId="11" xfId="4" applyFont="1" applyFill="1" applyBorder="1" applyAlignment="1" applyProtection="1">
      <alignment horizontal="right" vertical="center" wrapText="1" indent="1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4" borderId="11" xfId="4" applyFont="1" applyFill="1" applyBorder="1" applyAlignment="1" applyProtection="1">
      <alignment horizontal="center" vertical="center" wrapText="1"/>
    </xf>
    <xf numFmtId="0" fontId="20" fillId="0" borderId="11" xfId="4" applyFont="1" applyBorder="1" applyAlignment="1" applyProtection="1">
      <alignment horizontal="right" vertical="center" indent="1"/>
    </xf>
    <xf numFmtId="0" fontId="7" fillId="0" borderId="7" xfId="4" applyFont="1" applyBorder="1" applyAlignment="1" applyProtection="1">
      <alignment horizontal="center" vertical="center"/>
    </xf>
    <xf numFmtId="0" fontId="7" fillId="0" borderId="8" xfId="4" applyFont="1" applyBorder="1" applyAlignment="1" applyProtection="1">
      <alignment horizontal="center" vertical="center"/>
    </xf>
    <xf numFmtId="0" fontId="7" fillId="0" borderId="19" xfId="4" applyFont="1" applyFill="1" applyBorder="1" applyAlignment="1" applyProtection="1">
      <alignment horizontal="right" vertical="center" indent="1"/>
    </xf>
    <xf numFmtId="0" fontId="7" fillId="4" borderId="13" xfId="4" applyFont="1" applyFill="1" applyBorder="1" applyAlignment="1" applyProtection="1">
      <alignment horizontal="right" vertical="center" wrapText="1" indent="1"/>
    </xf>
    <xf numFmtId="164" fontId="17" fillId="0" borderId="11" xfId="7" applyNumberFormat="1" applyFont="1" applyBorder="1" applyAlignment="1" applyProtection="1">
      <alignment vertical="center"/>
    </xf>
    <xf numFmtId="164" fontId="17" fillId="0" borderId="0" xfId="7" applyNumberFormat="1" applyFont="1" applyBorder="1" applyAlignment="1" applyProtection="1">
      <alignment vertical="center"/>
    </xf>
    <xf numFmtId="0" fontId="7" fillId="0" borderId="30" xfId="4" applyFont="1" applyFill="1" applyBorder="1" applyAlignment="1" applyProtection="1">
      <alignment horizontal="right" vertical="center" indent="1"/>
    </xf>
    <xf numFmtId="0" fontId="20" fillId="0" borderId="30" xfId="4" applyFont="1" applyBorder="1" applyAlignment="1" applyProtection="1">
      <alignment horizontal="right" vertical="center" indent="1"/>
    </xf>
    <xf numFmtId="0" fontId="7" fillId="0" borderId="10" xfId="4" applyFont="1" applyBorder="1" applyAlignment="1" applyProtection="1">
      <alignment horizontal="center" vertical="center"/>
    </xf>
    <xf numFmtId="0" fontId="7" fillId="0" borderId="11" xfId="4" applyFont="1" applyBorder="1" applyAlignment="1" applyProtection="1">
      <alignment horizontal="center" vertical="center" wrapText="1"/>
    </xf>
    <xf numFmtId="0" fontId="7" fillId="0" borderId="13" xfId="4" applyFont="1" applyBorder="1" applyAlignment="1" applyProtection="1">
      <alignment horizontal="center" vertical="center" wrapText="1"/>
      <protection locked="0"/>
    </xf>
    <xf numFmtId="0" fontId="7" fillId="0" borderId="12" xfId="4" applyFont="1" applyBorder="1" applyAlignment="1" applyProtection="1">
      <alignment horizontal="center" vertical="center" wrapText="1"/>
    </xf>
    <xf numFmtId="0" fontId="7" fillId="0" borderId="15" xfId="4" applyFont="1" applyBorder="1" applyAlignment="1" applyProtection="1">
      <alignment horizontal="center" vertical="center" wrapText="1"/>
      <protection locked="0"/>
    </xf>
    <xf numFmtId="0" fontId="7" fillId="0" borderId="24" xfId="4" applyFont="1" applyBorder="1" applyAlignment="1" applyProtection="1">
      <alignment horizontal="center" vertical="center" wrapText="1"/>
    </xf>
    <xf numFmtId="0" fontId="0" fillId="0" borderId="34" xfId="0" applyBorder="1" applyProtection="1"/>
    <xf numFmtId="164" fontId="7" fillId="4" borderId="14" xfId="4" applyNumberFormat="1" applyFont="1" applyFill="1" applyBorder="1" applyAlignment="1" applyProtection="1">
      <alignment horizontal="center" vertical="center"/>
    </xf>
    <xf numFmtId="164" fontId="7" fillId="0" borderId="12" xfId="4" applyNumberFormat="1" applyFont="1" applyBorder="1" applyAlignment="1" applyProtection="1">
      <alignment horizontal="right" vertical="center" indent="1"/>
    </xf>
    <xf numFmtId="0" fontId="7" fillId="0" borderId="12" xfId="4" applyFont="1" applyBorder="1" applyAlignment="1" applyProtection="1">
      <alignment horizontal="right" vertical="center" indent="1"/>
    </xf>
    <xf numFmtId="0" fontId="7" fillId="4" borderId="10" xfId="4" applyFont="1" applyFill="1" applyBorder="1" applyAlignment="1" applyProtection="1">
      <alignment vertical="center"/>
    </xf>
    <xf numFmtId="0" fontId="7" fillId="0" borderId="0" xfId="4" applyFont="1" applyFill="1" applyBorder="1" applyAlignment="1" applyProtection="1">
      <alignment vertical="center"/>
      <protection locked="0"/>
    </xf>
    <xf numFmtId="0" fontId="7" fillId="0" borderId="0" xfId="4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/>
    <xf numFmtId="0" fontId="7" fillId="2" borderId="0" xfId="4" applyFont="1" applyFill="1" applyBorder="1" applyAlignment="1" applyProtection="1">
      <alignment horizontal="center" vertical="center"/>
      <protection locked="0"/>
    </xf>
    <xf numFmtId="165" fontId="7" fillId="0" borderId="11" xfId="4" applyNumberFormat="1" applyFont="1" applyBorder="1" applyAlignment="1" applyProtection="1">
      <alignment horizontal="right" vertical="center" indent="1"/>
    </xf>
    <xf numFmtId="0" fontId="7" fillId="0" borderId="11" xfId="4" applyFont="1" applyFill="1" applyBorder="1" applyAlignment="1" applyProtection="1">
      <alignment horizontal="right" vertical="center" indent="1"/>
    </xf>
    <xf numFmtId="0" fontId="7" fillId="0" borderId="11" xfId="4" applyFont="1" applyBorder="1" applyAlignment="1" applyProtection="1">
      <alignment horizontal="center" vertical="center" wrapText="1"/>
    </xf>
    <xf numFmtId="0" fontId="0" fillId="6" borderId="0" xfId="0" applyFill="1"/>
    <xf numFmtId="0" fontId="0" fillId="7" borderId="0" xfId="0" applyFill="1"/>
    <xf numFmtId="0" fontId="7" fillId="0" borderId="16" xfId="4" applyFont="1" applyBorder="1" applyAlignment="1" applyProtection="1">
      <alignment horizontal="center" vertical="center"/>
    </xf>
    <xf numFmtId="165" fontId="7" fillId="0" borderId="19" xfId="4" applyNumberFormat="1" applyFont="1" applyBorder="1" applyAlignment="1" applyProtection="1">
      <alignment horizontal="right" vertical="center" indent="1"/>
    </xf>
    <xf numFmtId="0" fontId="7" fillId="0" borderId="11" xfId="4" applyFont="1" applyBorder="1" applyAlignment="1" applyProtection="1">
      <alignment horizontal="center" vertical="center" wrapText="1"/>
      <protection locked="0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0" borderId="15" xfId="4" applyFont="1" applyBorder="1" applyAlignment="1" applyProtection="1">
      <alignment horizontal="center" vertical="center" wrapText="1"/>
    </xf>
    <xf numFmtId="165" fontId="7" fillId="0" borderId="11" xfId="4" applyNumberFormat="1" applyFont="1" applyBorder="1" applyAlignment="1" applyProtection="1">
      <alignment horizontal="right" vertical="center" wrapText="1" indent="1"/>
    </xf>
    <xf numFmtId="0" fontId="7" fillId="2" borderId="11" xfId="4" applyFont="1" applyFill="1" applyBorder="1" applyAlignment="1" applyProtection="1">
      <alignment horizontal="center" vertical="center" wrapText="1"/>
    </xf>
    <xf numFmtId="0" fontId="7" fillId="0" borderId="30" xfId="4" applyFont="1" applyBorder="1" applyAlignment="1" applyProtection="1">
      <alignment horizontal="center" vertical="center" wrapText="1"/>
    </xf>
    <xf numFmtId="0" fontId="7" fillId="0" borderId="11" xfId="4" applyFont="1" applyBorder="1" applyAlignment="1" applyProtection="1">
      <alignment horizontal="center" vertical="center" wrapText="1"/>
    </xf>
    <xf numFmtId="0" fontId="7" fillId="4" borderId="13" xfId="4" applyFont="1" applyFill="1" applyBorder="1" applyAlignment="1" applyProtection="1">
      <alignment horizontal="center" vertical="center"/>
    </xf>
    <xf numFmtId="0" fontId="7" fillId="4" borderId="15" xfId="4" applyFont="1" applyFill="1" applyBorder="1" applyAlignment="1" applyProtection="1">
      <alignment horizontal="center" vertical="center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0" borderId="11" xfId="4" applyFont="1" applyFill="1" applyBorder="1" applyAlignment="1" applyProtection="1">
      <alignment horizontal="center" vertical="center" wrapText="1"/>
    </xf>
    <xf numFmtId="0" fontId="7" fillId="0" borderId="13" xfId="4" applyFont="1" applyFill="1" applyBorder="1" applyAlignment="1" applyProtection="1">
      <alignment horizontal="center" vertical="center"/>
    </xf>
    <xf numFmtId="0" fontId="7" fillId="0" borderId="15" xfId="4" applyFont="1" applyFill="1" applyBorder="1" applyAlignment="1" applyProtection="1">
      <alignment horizontal="center" vertical="center"/>
    </xf>
    <xf numFmtId="0" fontId="7" fillId="0" borderId="10" xfId="4" applyFont="1" applyFill="1" applyBorder="1" applyAlignment="1" applyProtection="1">
      <alignment horizontal="center" vertical="center"/>
    </xf>
    <xf numFmtId="44" fontId="7" fillId="0" borderId="11" xfId="9" applyFont="1" applyFill="1" applyBorder="1" applyAlignment="1" applyProtection="1">
      <alignment horizontal="right" vertical="center" indent="1"/>
    </xf>
    <xf numFmtId="0" fontId="7" fillId="0" borderId="0" xfId="5" applyFont="1" applyBorder="1" applyAlignment="1" applyProtection="1">
      <alignment horizontal="center" vertical="center" wrapText="1"/>
    </xf>
    <xf numFmtId="0" fontId="7" fillId="0" borderId="0" xfId="5" applyFont="1" applyBorder="1" applyAlignment="1" applyProtection="1">
      <alignment horizontal="center" vertical="center" wrapText="1"/>
      <protection locked="0"/>
    </xf>
    <xf numFmtId="0" fontId="7" fillId="0" borderId="37" xfId="4" applyFont="1" applyBorder="1" applyAlignment="1" applyProtection="1">
      <alignment horizontal="center" vertical="center" wrapText="1"/>
    </xf>
    <xf numFmtId="0" fontId="7" fillId="0" borderId="16" xfId="4" applyFont="1" applyBorder="1" applyAlignment="1" applyProtection="1">
      <alignment horizontal="center" vertical="center"/>
    </xf>
    <xf numFmtId="0" fontId="7" fillId="0" borderId="18" xfId="4" applyFont="1" applyBorder="1" applyAlignment="1" applyProtection="1">
      <alignment horizontal="center" vertical="center"/>
    </xf>
    <xf numFmtId="0" fontId="7" fillId="0" borderId="31" xfId="4" applyFont="1" applyBorder="1" applyAlignment="1" applyProtection="1">
      <alignment horizontal="center" vertical="center"/>
    </xf>
    <xf numFmtId="0" fontId="7" fillId="2" borderId="11" xfId="4" applyFont="1" applyFill="1" applyBorder="1" applyAlignment="1" applyProtection="1">
      <alignment horizontal="center" vertical="center" wrapText="1"/>
      <protection locked="0"/>
    </xf>
    <xf numFmtId="0" fontId="7" fillId="2" borderId="13" xfId="4" applyFont="1" applyFill="1" applyBorder="1" applyAlignment="1" applyProtection="1">
      <alignment horizontal="center" vertical="center" wrapText="1"/>
      <protection locked="0"/>
    </xf>
    <xf numFmtId="0" fontId="7" fillId="2" borderId="15" xfId="4" applyFont="1" applyFill="1" applyBorder="1" applyAlignment="1" applyProtection="1">
      <alignment horizontal="center" vertical="center" wrapText="1"/>
      <protection locked="0"/>
    </xf>
    <xf numFmtId="0" fontId="7" fillId="0" borderId="12" xfId="4" applyFont="1" applyBorder="1" applyAlignment="1" applyProtection="1">
      <alignment horizontal="center" vertical="center" wrapText="1"/>
      <protection locked="0"/>
    </xf>
    <xf numFmtId="0" fontId="7" fillId="0" borderId="11" xfId="4" applyFont="1" applyBorder="1" applyAlignment="1" applyProtection="1">
      <alignment horizontal="center" vertical="center" wrapText="1"/>
      <protection locked="0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0" borderId="17" xfId="4" applyFont="1" applyBorder="1" applyAlignment="1" applyProtection="1">
      <alignment horizontal="center" vertical="center"/>
    </xf>
    <xf numFmtId="0" fontId="7" fillId="2" borderId="13" xfId="4" applyFont="1" applyFill="1" applyBorder="1" applyAlignment="1" applyProtection="1">
      <alignment horizontal="center" vertical="center" wrapText="1"/>
    </xf>
    <xf numFmtId="0" fontId="7" fillId="2" borderId="15" xfId="4" applyFont="1" applyFill="1" applyBorder="1" applyAlignment="1" applyProtection="1">
      <alignment horizontal="center" vertical="center" wrapText="1"/>
    </xf>
    <xf numFmtId="14" fontId="7" fillId="0" borderId="0" xfId="5" applyNumberFormat="1" applyFont="1" applyBorder="1" applyAlignment="1">
      <alignment horizontal="center" vertical="center" wrapText="1"/>
    </xf>
    <xf numFmtId="0" fontId="7" fillId="0" borderId="8" xfId="4" applyFont="1" applyBorder="1" applyAlignment="1" applyProtection="1">
      <alignment horizontal="center" vertical="center"/>
    </xf>
    <xf numFmtId="0" fontId="12" fillId="3" borderId="2" xfId="4" applyFont="1" applyFill="1" applyBorder="1" applyAlignment="1" applyProtection="1">
      <alignment horizontal="center" vertical="center"/>
    </xf>
    <xf numFmtId="0" fontId="7" fillId="0" borderId="30" xfId="4" applyFont="1" applyBorder="1" applyAlignment="1" applyProtection="1">
      <alignment horizontal="center" vertical="center" wrapText="1"/>
    </xf>
    <xf numFmtId="0" fontId="7" fillId="0" borderId="19" xfId="4" applyFont="1" applyBorder="1" applyAlignment="1" applyProtection="1">
      <alignment horizontal="center" vertical="center" wrapText="1"/>
    </xf>
    <xf numFmtId="0" fontId="7" fillId="0" borderId="32" xfId="4" applyFont="1" applyBorder="1" applyAlignment="1" applyProtection="1">
      <alignment horizontal="center" vertical="center" wrapText="1"/>
    </xf>
    <xf numFmtId="0" fontId="7" fillId="0" borderId="33" xfId="4" applyFont="1" applyBorder="1" applyAlignment="1" applyProtection="1">
      <alignment horizontal="center" vertical="center" wrapText="1"/>
    </xf>
    <xf numFmtId="0" fontId="10" fillId="0" borderId="7" xfId="3" applyFont="1" applyBorder="1" applyAlignment="1" applyProtection="1">
      <alignment horizontal="center" vertical="center" wrapText="1"/>
    </xf>
    <xf numFmtId="164" fontId="15" fillId="0" borderId="5" xfId="5" applyNumberFormat="1" applyFont="1" applyBorder="1" applyAlignment="1" applyProtection="1">
      <alignment horizontal="center" vertical="center" wrapText="1"/>
    </xf>
    <xf numFmtId="0" fontId="7" fillId="0" borderId="7" xfId="4" applyFont="1" applyBorder="1" applyAlignment="1" applyProtection="1">
      <alignment horizontal="center" vertical="center"/>
    </xf>
    <xf numFmtId="0" fontId="7" fillId="0" borderId="35" xfId="4" applyFont="1" applyBorder="1" applyAlignment="1" applyProtection="1">
      <alignment horizontal="center" vertical="center" wrapText="1"/>
    </xf>
    <xf numFmtId="0" fontId="7" fillId="0" borderId="36" xfId="4" applyFont="1" applyBorder="1" applyAlignment="1" applyProtection="1">
      <alignment horizontal="center" vertical="center" wrapText="1"/>
    </xf>
    <xf numFmtId="0" fontId="7" fillId="0" borderId="13" xfId="4" applyFont="1" applyBorder="1" applyAlignment="1" applyProtection="1">
      <alignment horizontal="center" vertical="center" wrapText="1"/>
    </xf>
    <xf numFmtId="0" fontId="7" fillId="0" borderId="15" xfId="4" applyFont="1" applyBorder="1" applyAlignment="1" applyProtection="1">
      <alignment horizontal="center" vertical="center" wrapText="1"/>
    </xf>
    <xf numFmtId="0" fontId="7" fillId="0" borderId="11" xfId="4" applyFont="1" applyBorder="1" applyAlignment="1" applyProtection="1">
      <alignment horizontal="center" vertical="center" wrapText="1"/>
    </xf>
    <xf numFmtId="0" fontId="7" fillId="0" borderId="5" xfId="5" applyFont="1" applyBorder="1" applyAlignment="1" applyProtection="1">
      <alignment horizontal="center" vertical="center" wrapText="1"/>
    </xf>
    <xf numFmtId="0" fontId="7" fillId="0" borderId="7" xfId="5" applyFont="1" applyBorder="1" applyAlignment="1" applyProtection="1">
      <alignment horizontal="center" vertical="center" wrapText="1"/>
      <protection locked="0"/>
    </xf>
    <xf numFmtId="0" fontId="7" fillId="0" borderId="26" xfId="5" applyFont="1" applyBorder="1" applyAlignment="1" applyProtection="1">
      <alignment vertical="center" wrapText="1"/>
    </xf>
    <xf numFmtId="0" fontId="7" fillId="2" borderId="24" xfId="4" applyFont="1" applyFill="1" applyBorder="1" applyAlignment="1" applyProtection="1">
      <alignment horizontal="center" vertical="center" wrapText="1"/>
    </xf>
    <xf numFmtId="0" fontId="7" fillId="2" borderId="28" xfId="4" applyFont="1" applyFill="1" applyBorder="1" applyAlignment="1" applyProtection="1">
      <alignment horizontal="center" vertical="center" wrapText="1"/>
    </xf>
    <xf numFmtId="0" fontId="7" fillId="4" borderId="13" xfId="4" applyFont="1" applyFill="1" applyBorder="1" applyAlignment="1" applyProtection="1">
      <alignment horizontal="center" vertical="center"/>
    </xf>
    <xf numFmtId="0" fontId="7" fillId="4" borderId="15" xfId="4" applyFont="1" applyFill="1" applyBorder="1" applyAlignment="1" applyProtection="1">
      <alignment horizontal="center" vertical="center"/>
    </xf>
    <xf numFmtId="0" fontId="7" fillId="0" borderId="0" xfId="4" applyFont="1" applyBorder="1" applyAlignment="1" applyProtection="1">
      <alignment horizontal="center" vertical="center"/>
    </xf>
    <xf numFmtId="0" fontId="7" fillId="0" borderId="13" xfId="4" applyFont="1" applyFill="1" applyBorder="1" applyAlignment="1" applyProtection="1">
      <alignment horizontal="center" vertical="center" wrapText="1"/>
    </xf>
    <xf numFmtId="0" fontId="7" fillId="0" borderId="15" xfId="4" applyFont="1" applyFill="1" applyBorder="1" applyAlignment="1" applyProtection="1">
      <alignment horizontal="center" vertical="center" wrapText="1"/>
    </xf>
    <xf numFmtId="0" fontId="19" fillId="5" borderId="0" xfId="0" applyFont="1" applyFill="1" applyAlignment="1">
      <alignment horizontal="center"/>
    </xf>
    <xf numFmtId="0" fontId="19" fillId="3" borderId="0" xfId="0" applyFont="1" applyFill="1" applyBorder="1" applyAlignment="1">
      <alignment horizontal="center"/>
    </xf>
  </cellXfs>
  <cellStyles count="10">
    <cellStyle name="Encabezado 1" xfId="2" builtinId="16"/>
    <cellStyle name="Fecha" xfId="6"/>
    <cellStyle name="Moneda" xfId="9" builtinId="4"/>
    <cellStyle name="Normal" xfId="0" builtinId="0"/>
    <cellStyle name="Normal 2" xfId="7"/>
    <cellStyle name="Subtotal" xfId="8"/>
    <cellStyle name="Texto de etiqueta" xfId="5"/>
    <cellStyle name="Título" xfId="1" builtinId="15"/>
    <cellStyle name="Título 2" xfId="3" builtinId="17"/>
    <cellStyle name="Título 3" xfId="4" builtinId="18"/>
  </cellStyles>
  <dxfs count="5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5" Type="http://schemas.microsoft.com/office/2006/relationships/vbaProject" Target="vbaProject.bin"/><Relationship Id="rId10" Type="http://schemas.openxmlformats.org/officeDocument/2006/relationships/externalLink" Target="externalLinks/externalLink8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466724</xdr:colOff>
      <xdr:row>2</xdr:row>
      <xdr:rowOff>161926</xdr:rowOff>
    </xdr:from>
    <xdr:to>
      <xdr:col>12</xdr:col>
      <xdr:colOff>1007932</xdr:colOff>
      <xdr:row>5</xdr:row>
      <xdr:rowOff>257176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3554074" y="695326"/>
          <a:ext cx="3532057" cy="12382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33</xdr:row>
          <xdr:rowOff>333375</xdr:rowOff>
        </xdr:from>
        <xdr:to>
          <xdr:col>1</xdr:col>
          <xdr:colOff>1762125</xdr:colOff>
          <xdr:row>35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29</xdr:row>
          <xdr:rowOff>95250</xdr:rowOff>
        </xdr:from>
        <xdr:to>
          <xdr:col>1</xdr:col>
          <xdr:colOff>1609725</xdr:colOff>
          <xdr:row>30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Insertar Modulo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Produccion/Analisis%20de%20Costos%20Producc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Ensamble/Analisis%20de%20Costos%20Ensambl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Embalaje/Analisis%20de%20Costos%20Embalaj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WSERVER01\Lcontigiani\Analisis%20de%20Procesos\Analisis%20de%20Costos%20Maquinarias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ducto/Auxiliares/TC%20Formulas%20de%20Produccion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ducto/Auxiliares/Costos%20Materia%20Prima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Deposito%20y%20Logistica/Analisis%20de%20Costos%20Deposito%20y%20Logistic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ducto/Auxiliares/TC%20Ventas%20en%20U$S%20-%20produc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 a Pedir"/>
      <sheetName val="INFO-INSUMOS"/>
      <sheetName val="INFO-OEE"/>
      <sheetName val="INFO-Personal"/>
      <sheetName val="INFO-Direc"/>
      <sheetName val="INFO-Mant"/>
      <sheetName val="INFO-Pos"/>
      <sheetName val="Generador de Hojas"/>
      <sheetName val="TMP_VBA"/>
      <sheetName val="Corte por Laser"/>
      <sheetName val="Corte por Agua"/>
      <sheetName val="Torno RIFA RFCZ12"/>
      <sheetName val="Torno Microcut LT65"/>
      <sheetName val="Torno HWACHEON CUTEX 240B"/>
      <sheetName val="CM RIFA RFVM60"/>
      <sheetName val="CM HWACHEON SIRIUS 550"/>
      <sheetName val="CM Mitsubishi"/>
      <sheetName val="CM RIFA 4 Ejes"/>
      <sheetName val="Agujereadora"/>
      <sheetName val="Roscadora"/>
      <sheetName val="Torno Paralelo Chico"/>
      <sheetName val="Torno Paralelo Grande"/>
      <sheetName val="Piedra de Banco"/>
      <sheetName val="Maquina Corta Cadenas"/>
      <sheetName val="Serrucho"/>
      <sheetName val="Sierra Sensitiva"/>
      <sheetName val="Soldadora"/>
      <sheetName val="Agujereadora (Taller)"/>
      <sheetName val="_TMP_VBA_"/>
      <sheetName val="Analisis de Costos Produccion"/>
    </sheetNames>
    <sheetDataSet>
      <sheetData sheetId="0">
        <row r="6">
          <cell r="C6" t="str">
            <v>INFO a Pedir</v>
          </cell>
          <cell r="D6" t="str">
            <v xml:space="preserve"> - </v>
          </cell>
        </row>
        <row r="7">
          <cell r="C7" t="str">
            <v>INFO-INSUMOS</v>
          </cell>
          <cell r="D7" t="str">
            <v xml:space="preserve"> - </v>
          </cell>
        </row>
        <row r="8">
          <cell r="C8" t="str">
            <v>INFO-OEE</v>
          </cell>
          <cell r="D8" t="str">
            <v xml:space="preserve"> - </v>
          </cell>
        </row>
        <row r="9">
          <cell r="C9" t="str">
            <v>INFO-Personal</v>
          </cell>
          <cell r="D9" t="str">
            <v xml:space="preserve"> - </v>
          </cell>
        </row>
        <row r="10">
          <cell r="C10" t="str">
            <v>INFO-Direc</v>
          </cell>
          <cell r="D10" t="str">
            <v xml:space="preserve"> - </v>
          </cell>
        </row>
        <row r="11">
          <cell r="C11" t="str">
            <v>INFO-Mant</v>
          </cell>
          <cell r="D11" t="str">
            <v xml:space="preserve"> - </v>
          </cell>
        </row>
        <row r="12">
          <cell r="C12" t="str">
            <v>INFO-Pos</v>
          </cell>
          <cell r="D12" t="str">
            <v xml:space="preserve"> - </v>
          </cell>
        </row>
        <row r="13">
          <cell r="C13" t="str">
            <v>Corte por Laser</v>
          </cell>
          <cell r="D13">
            <v>10.360231731291393</v>
          </cell>
        </row>
        <row r="14">
          <cell r="C14" t="str">
            <v>Corte por Agua</v>
          </cell>
          <cell r="D14">
            <v>12.546074303045801</v>
          </cell>
        </row>
        <row r="15">
          <cell r="C15" t="str">
            <v>Torno RIFA RFCZ12</v>
          </cell>
          <cell r="D15">
            <v>13.936543091306243</v>
          </cell>
        </row>
        <row r="16">
          <cell r="C16" t="str">
            <v>Torno Microcut LT65</v>
          </cell>
          <cell r="D16">
            <v>0</v>
          </cell>
        </row>
        <row r="17">
          <cell r="C17" t="str">
            <v>Torno HWACHEON CUTEX 240B</v>
          </cell>
          <cell r="D17">
            <v>14.193367656862181</v>
          </cell>
        </row>
        <row r="18">
          <cell r="C18" t="str">
            <v>CM RIFA RFVM60</v>
          </cell>
          <cell r="D18">
            <v>23.904227674621708</v>
          </cell>
        </row>
        <row r="19">
          <cell r="C19" t="str">
            <v>CM HWACHEON SIRIUS 550</v>
          </cell>
          <cell r="D19">
            <v>22.183673469411172</v>
          </cell>
        </row>
        <row r="20">
          <cell r="C20" t="str">
            <v>CM Mitsubishi</v>
          </cell>
          <cell r="D20">
            <v>18.145518903855233</v>
          </cell>
        </row>
        <row r="21">
          <cell r="C21" t="str">
            <v>CM RIFA 4 Ejes</v>
          </cell>
          <cell r="D21">
            <v>21.663726495058608</v>
          </cell>
        </row>
        <row r="22">
          <cell r="C22" t="str">
            <v>Agujereadora</v>
          </cell>
          <cell r="D22">
            <v>8.5482331915668652</v>
          </cell>
        </row>
        <row r="23">
          <cell r="C23" t="str">
            <v>Roscadora</v>
          </cell>
          <cell r="D23">
            <v>9.2071381527739238</v>
          </cell>
        </row>
        <row r="24">
          <cell r="C24" t="str">
            <v>Torno Paralelo Chico</v>
          </cell>
          <cell r="D24">
            <v>9.2282922149954949</v>
          </cell>
        </row>
        <row r="25">
          <cell r="C25" t="str">
            <v>Torno Paralelo Grande</v>
          </cell>
          <cell r="D25">
            <v>9.9709346657992644</v>
          </cell>
        </row>
        <row r="26">
          <cell r="C26" t="str">
            <v>Piedra de Banco</v>
          </cell>
          <cell r="D26">
            <v>8.5202971737350115</v>
          </cell>
        </row>
        <row r="27">
          <cell r="C27" t="str">
            <v>Maquina Corta Cadenas</v>
          </cell>
          <cell r="D27">
            <v>10.715872792173631</v>
          </cell>
        </row>
        <row r="28">
          <cell r="C28" t="str">
            <v>Serrucho</v>
          </cell>
          <cell r="D28">
            <v>9.2308173547191732</v>
          </cell>
        </row>
        <row r="29">
          <cell r="C29" t="str">
            <v>Sierra Sensitiva</v>
          </cell>
          <cell r="D29">
            <v>9.3559720130917761</v>
          </cell>
        </row>
        <row r="30">
          <cell r="C30" t="str">
            <v>Soldadora</v>
          </cell>
          <cell r="D30">
            <v>13.757451155177215</v>
          </cell>
        </row>
        <row r="31">
          <cell r="C31" t="str">
            <v>Agujereadora (Taller)</v>
          </cell>
          <cell r="D31">
            <v>8.3390157278305725</v>
          </cell>
        </row>
        <row r="32">
          <cell r="C32"/>
          <cell r="D32"/>
        </row>
        <row r="33">
          <cell r="C33"/>
          <cell r="D33"/>
        </row>
        <row r="34">
          <cell r="C34"/>
          <cell r="D34"/>
        </row>
        <row r="35">
          <cell r="C35"/>
          <cell r="D35"/>
        </row>
        <row r="36">
          <cell r="C36"/>
          <cell r="D36"/>
        </row>
        <row r="37">
          <cell r="C37"/>
          <cell r="D37"/>
        </row>
        <row r="38">
          <cell r="C38"/>
          <cell r="D38"/>
        </row>
        <row r="39">
          <cell r="C39"/>
          <cell r="D39"/>
        </row>
        <row r="40">
          <cell r="C40"/>
          <cell r="D40"/>
        </row>
        <row r="41">
          <cell r="C41"/>
          <cell r="D41"/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  <row r="69">
          <cell r="C69"/>
          <cell r="D69"/>
        </row>
        <row r="70">
          <cell r="C70"/>
          <cell r="D70"/>
        </row>
        <row r="71">
          <cell r="C71"/>
          <cell r="D71"/>
        </row>
      </sheetData>
      <sheetData sheetId="1"/>
      <sheetData sheetId="2">
        <row r="11">
          <cell r="D11" t="str">
            <v xml:space="preserve">Esferica </v>
          </cell>
          <cell r="E11"/>
          <cell r="F11" t="str">
            <v>Plana</v>
          </cell>
          <cell r="G11"/>
          <cell r="H11" t="str">
            <v xml:space="preserve">12 mm </v>
          </cell>
          <cell r="I11"/>
          <cell r="J11" t="str">
            <v xml:space="preserve">16 mm </v>
          </cell>
          <cell r="K11"/>
          <cell r="L11" t="str">
            <v xml:space="preserve">20 mm </v>
          </cell>
          <cell r="M11"/>
          <cell r="N11" t="str">
            <v>25 mm</v>
          </cell>
          <cell r="O11"/>
          <cell r="P11" t="str">
            <v>32 mm</v>
          </cell>
          <cell r="Q11"/>
          <cell r="R11" t="str">
            <v>40 mm</v>
          </cell>
          <cell r="S11"/>
          <cell r="T11" t="str">
            <v>63 mm</v>
          </cell>
          <cell r="U11"/>
          <cell r="V11"/>
          <cell r="W11"/>
          <cell r="X11"/>
          <cell r="Y11"/>
          <cell r="Z11" t="str">
            <v>Para Ranurar</v>
          </cell>
          <cell r="AA11"/>
          <cell r="AB11" t="str">
            <v>Para Roscar</v>
          </cell>
          <cell r="AC11"/>
          <cell r="AD11" t="str">
            <v>Inserto 1</v>
          </cell>
          <cell r="AE11"/>
          <cell r="AF11" t="str">
            <v>Inserto 2</v>
          </cell>
          <cell r="AG11"/>
          <cell r="AH11" t="str">
            <v>Inserto 3</v>
          </cell>
          <cell r="AI11"/>
          <cell r="AJ11" t="str">
            <v>Inserto 4</v>
          </cell>
          <cell r="AK11"/>
          <cell r="AL11" t="str">
            <v>Inserto 5</v>
          </cell>
          <cell r="AM11"/>
          <cell r="AN11" t="str">
            <v>Inserto 6</v>
          </cell>
          <cell r="AO11"/>
          <cell r="AP11" t="str">
            <v>Inserto 7</v>
          </cell>
          <cell r="AQ11"/>
          <cell r="AR11" t="str">
            <v>Inserto 8</v>
          </cell>
          <cell r="AS11"/>
          <cell r="AT11" t="str">
            <v>Inserto 9</v>
          </cell>
          <cell r="AU11"/>
          <cell r="AV11" t="str">
            <v>Inserto 10</v>
          </cell>
          <cell r="AW11"/>
          <cell r="AX11" t="str">
            <v>Inserto 11</v>
          </cell>
          <cell r="AY11"/>
          <cell r="AZ11" t="str">
            <v>Inserto 12</v>
          </cell>
          <cell r="BA11"/>
          <cell r="BB11" t="str">
            <v>Inserto 13</v>
          </cell>
          <cell r="BC11"/>
          <cell r="BD11" t="str">
            <v>Mecha 1</v>
          </cell>
          <cell r="BE11"/>
          <cell r="BF11" t="str">
            <v>Mecha 2</v>
          </cell>
          <cell r="BG11"/>
          <cell r="BH11" t="str">
            <v>Mecha 3</v>
          </cell>
          <cell r="BI11"/>
          <cell r="BJ11" t="str">
            <v>Mecha 4</v>
          </cell>
          <cell r="BK11"/>
          <cell r="BL11" t="str">
            <v>Mecha 5</v>
          </cell>
          <cell r="BM11"/>
          <cell r="BN11" t="str">
            <v>Mecha 6</v>
          </cell>
          <cell r="BO11"/>
          <cell r="BP11" t="str">
            <v>Mecha 7</v>
          </cell>
          <cell r="BQ11"/>
          <cell r="BR11" t="str">
            <v>Mecha 8</v>
          </cell>
          <cell r="BS11"/>
          <cell r="BT11" t="str">
            <v>Mecha 9</v>
          </cell>
          <cell r="BU11"/>
          <cell r="BV11" t="str">
            <v>Mecha 10</v>
          </cell>
          <cell r="BW11"/>
          <cell r="BX11" t="str">
            <v>Mecha 11</v>
          </cell>
          <cell r="BY11"/>
          <cell r="CJ11" t="str">
            <v>Mechas</v>
          </cell>
        </row>
        <row r="12">
          <cell r="D12"/>
          <cell r="E12"/>
          <cell r="F12" t="str">
            <v>F-V-A08060-8.0</v>
          </cell>
          <cell r="G12"/>
          <cell r="H12"/>
          <cell r="I12"/>
          <cell r="J12" t="str">
            <v>R390-11-16-160-C16-2T</v>
          </cell>
          <cell r="K12"/>
          <cell r="L12"/>
          <cell r="M12"/>
          <cell r="N12"/>
          <cell r="O12"/>
          <cell r="P12"/>
          <cell r="Q12"/>
          <cell r="R12"/>
          <cell r="S12"/>
          <cell r="T12"/>
          <cell r="U12"/>
          <cell r="V12"/>
          <cell r="W12"/>
          <cell r="X12"/>
          <cell r="Y12"/>
          <cell r="Z12"/>
          <cell r="AA12"/>
          <cell r="AB12"/>
          <cell r="AC12"/>
          <cell r="AD12" t="str">
            <v>R390-11T308M-PM 4340</v>
          </cell>
          <cell r="AE12"/>
          <cell r="AF12"/>
          <cell r="AG12"/>
          <cell r="AH12"/>
          <cell r="AI12"/>
          <cell r="AJ12"/>
          <cell r="AK12"/>
          <cell r="AL12"/>
          <cell r="AM12"/>
          <cell r="AN12"/>
          <cell r="AO12"/>
          <cell r="AP12"/>
          <cell r="AQ12"/>
          <cell r="AR12"/>
          <cell r="AS12"/>
          <cell r="AT12"/>
          <cell r="AU12"/>
          <cell r="AV12"/>
          <cell r="AW12"/>
          <cell r="AX12"/>
          <cell r="AY12"/>
          <cell r="AZ12"/>
          <cell r="BA12"/>
          <cell r="BB12"/>
          <cell r="BC12"/>
          <cell r="BD12" t="str">
            <v>Mecha 1</v>
          </cell>
          <cell r="BE12"/>
          <cell r="BF12" t="str">
            <v>Mecha 2</v>
          </cell>
          <cell r="BG12"/>
          <cell r="BH12"/>
          <cell r="BI12"/>
          <cell r="BJ12"/>
          <cell r="BK12"/>
          <cell r="BL12"/>
          <cell r="BM12"/>
          <cell r="BN12"/>
          <cell r="BO12"/>
          <cell r="BP12"/>
          <cell r="BQ12"/>
          <cell r="BR12"/>
          <cell r="BS12"/>
          <cell r="BT12"/>
          <cell r="BU12"/>
          <cell r="BV12"/>
          <cell r="BW12"/>
          <cell r="BX12"/>
          <cell r="BY12"/>
        </row>
        <row r="13">
          <cell r="B13" t="str">
            <v>Costo Costo ($/u)</v>
          </cell>
          <cell r="D13"/>
          <cell r="E13"/>
          <cell r="F13">
            <v>26.9</v>
          </cell>
          <cell r="G13"/>
          <cell r="H13"/>
          <cell r="I13"/>
          <cell r="J13">
            <v>135</v>
          </cell>
          <cell r="K13"/>
          <cell r="L13"/>
          <cell r="M13"/>
          <cell r="N13"/>
          <cell r="O13"/>
          <cell r="P13"/>
          <cell r="Q13"/>
          <cell r="R13"/>
          <cell r="S13"/>
          <cell r="T13"/>
          <cell r="U13"/>
          <cell r="V13"/>
          <cell r="W13"/>
          <cell r="X13"/>
          <cell r="Y13"/>
          <cell r="Z13"/>
          <cell r="AA13"/>
          <cell r="AB13"/>
          <cell r="AC13"/>
          <cell r="AD13">
            <v>26.55</v>
          </cell>
          <cell r="AE13"/>
          <cell r="AF13"/>
          <cell r="AG13"/>
          <cell r="AH13"/>
          <cell r="AI13"/>
          <cell r="AJ13"/>
          <cell r="AK13"/>
          <cell r="AL13"/>
          <cell r="AM13"/>
          <cell r="AN13"/>
          <cell r="AO13"/>
          <cell r="AP13"/>
          <cell r="AQ13"/>
          <cell r="AR13"/>
          <cell r="AS13"/>
          <cell r="AT13"/>
          <cell r="AU13"/>
          <cell r="AV13"/>
          <cell r="AW13"/>
          <cell r="AX13"/>
          <cell r="AY13"/>
          <cell r="AZ13"/>
          <cell r="BA13"/>
          <cell r="BB13"/>
          <cell r="BC13"/>
          <cell r="BD13"/>
          <cell r="BE13"/>
          <cell r="BF13"/>
          <cell r="BG13"/>
          <cell r="BH13"/>
          <cell r="BI13"/>
          <cell r="BJ13"/>
          <cell r="BK13"/>
          <cell r="BL13"/>
          <cell r="BM13"/>
          <cell r="BN13"/>
          <cell r="BO13"/>
          <cell r="BP13"/>
          <cell r="BQ13"/>
          <cell r="BR13"/>
          <cell r="BS13"/>
          <cell r="BT13"/>
          <cell r="BU13"/>
          <cell r="BV13"/>
          <cell r="BW13"/>
          <cell r="BX13"/>
          <cell r="BY13"/>
        </row>
        <row r="14">
          <cell r="B14" t="str">
            <v>Vida Util (h/tool)</v>
          </cell>
          <cell r="D14" t="str">
            <v/>
          </cell>
          <cell r="E14"/>
          <cell r="F14">
            <v>2500</v>
          </cell>
          <cell r="G14"/>
          <cell r="H14" t="str">
            <v/>
          </cell>
          <cell r="I14"/>
          <cell r="J14">
            <v>5000</v>
          </cell>
          <cell r="K14"/>
          <cell r="L14" t="str">
            <v/>
          </cell>
          <cell r="M14"/>
          <cell r="N14" t="str">
            <v/>
          </cell>
          <cell r="O14"/>
          <cell r="P14" t="str">
            <v/>
          </cell>
          <cell r="Q14"/>
          <cell r="R14" t="str">
            <v/>
          </cell>
          <cell r="S14"/>
          <cell r="T14" t="str">
            <v/>
          </cell>
          <cell r="U14"/>
          <cell r="V14" t="str">
            <v/>
          </cell>
          <cell r="W14"/>
          <cell r="X14" t="str">
            <v/>
          </cell>
          <cell r="Y14"/>
          <cell r="Z14" t="str">
            <v/>
          </cell>
          <cell r="AA14"/>
          <cell r="AB14" t="str">
            <v/>
          </cell>
          <cell r="AC14"/>
          <cell r="AD14">
            <v>500</v>
          </cell>
          <cell r="AE14"/>
          <cell r="AF14" t="str">
            <v/>
          </cell>
          <cell r="AG14"/>
          <cell r="AH14" t="str">
            <v/>
          </cell>
          <cell r="AI14"/>
          <cell r="AJ14" t="str">
            <v/>
          </cell>
          <cell r="AK14"/>
          <cell r="AL14" t="str">
            <v/>
          </cell>
          <cell r="AM14"/>
          <cell r="AN14" t="str">
            <v/>
          </cell>
          <cell r="AO14"/>
          <cell r="AP14" t="str">
            <v/>
          </cell>
          <cell r="AQ14"/>
          <cell r="AR14" t="str">
            <v/>
          </cell>
          <cell r="AS14"/>
          <cell r="AT14" t="str">
            <v/>
          </cell>
          <cell r="AU14"/>
          <cell r="AV14" t="str">
            <v/>
          </cell>
          <cell r="AW14"/>
          <cell r="AX14" t="str">
            <v/>
          </cell>
          <cell r="AY14"/>
          <cell r="AZ14" t="str">
            <v/>
          </cell>
          <cell r="BA14"/>
          <cell r="BB14" t="str">
            <v/>
          </cell>
          <cell r="BC14"/>
          <cell r="BD14" t="str">
            <v/>
          </cell>
          <cell r="BE14"/>
          <cell r="BF14" t="str">
            <v/>
          </cell>
          <cell r="BG14"/>
          <cell r="BH14" t="str">
            <v/>
          </cell>
          <cell r="BI14"/>
          <cell r="BJ14" t="str">
            <v/>
          </cell>
          <cell r="BK14"/>
          <cell r="BL14" t="str">
            <v/>
          </cell>
          <cell r="BM14"/>
          <cell r="BN14" t="str">
            <v/>
          </cell>
          <cell r="BO14"/>
          <cell r="BP14" t="str">
            <v/>
          </cell>
          <cell r="BQ14"/>
          <cell r="BR14" t="str">
            <v/>
          </cell>
          <cell r="BS14"/>
          <cell r="BT14" t="str">
            <v/>
          </cell>
          <cell r="BU14"/>
          <cell r="BV14" t="str">
            <v/>
          </cell>
          <cell r="BW14"/>
          <cell r="BX14" t="str">
            <v/>
          </cell>
          <cell r="BY14"/>
        </row>
        <row r="15">
          <cell r="B15" t="str">
            <v>Codigo_Pieza</v>
          </cell>
          <cell r="D15" t="str">
            <v>Piezas Trabajadas  (N)</v>
          </cell>
          <cell r="E15" t="str">
            <v>Tiempo de Trabajo por Pieza (min)</v>
          </cell>
          <cell r="F15" t="str">
            <v>Piezas Trabajadas (N)</v>
          </cell>
          <cell r="G15" t="str">
            <v>Tiempo de Trabajo por Pieza (min)</v>
          </cell>
          <cell r="H15" t="str">
            <v>Piezas Trabajadas (N)</v>
          </cell>
          <cell r="I15" t="str">
            <v>Tiempo de Trabajo por Pieza (min)</v>
          </cell>
          <cell r="J15" t="str">
            <v>Piezas Trabajadas (N)</v>
          </cell>
          <cell r="K15" t="str">
            <v>Tiempo de Trabajo por Pieza (min)</v>
          </cell>
          <cell r="L15" t="str">
            <v>Piezas Trabajadas (N)</v>
          </cell>
          <cell r="M15" t="str">
            <v>Tiempo de Trabajo por Pieza (min)</v>
          </cell>
          <cell r="N15" t="str">
            <v>Piezas Trabajadas (N)</v>
          </cell>
          <cell r="O15" t="str">
            <v>Tiempo de Trabajo por Pieza (min)</v>
          </cell>
          <cell r="P15" t="str">
            <v>Piezas Trabajadas (N)</v>
          </cell>
          <cell r="Q15" t="str">
            <v>Tiempo de Trabajo por Pieza (min)</v>
          </cell>
          <cell r="R15" t="str">
            <v>Piezas Trabajadas (N)</v>
          </cell>
          <cell r="S15" t="str">
            <v>Tiempo de Trabajo por Pieza (min)</v>
          </cell>
          <cell r="T15" t="str">
            <v>Piezas Trabajadas (N)</v>
          </cell>
          <cell r="U15" t="str">
            <v>Tiempo de Trabajo por Pieza (min)</v>
          </cell>
          <cell r="V15" t="str">
            <v>Piezas Trabajadas (N)</v>
          </cell>
          <cell r="W15" t="str">
            <v>Tiempo de Trabajo por Pieza (min)</v>
          </cell>
          <cell r="X15" t="str">
            <v>Piezas Trabajadas (N)</v>
          </cell>
          <cell r="Y15" t="str">
            <v>Tiempo de Trabajo por Pieza (min)</v>
          </cell>
          <cell r="Z15" t="str">
            <v>Piezas Trabajadas (N)</v>
          </cell>
          <cell r="AA15" t="str">
            <v>Tiempo de Trabajo por Pieza (min)</v>
          </cell>
          <cell r="AB15" t="str">
            <v>Piezas Trabajadas (N)</v>
          </cell>
          <cell r="AC15" t="str">
            <v>Tiempo de Trabajo por Pieza (min)</v>
          </cell>
          <cell r="AD15" t="str">
            <v>Piezas Trabajadas (N)</v>
          </cell>
          <cell r="AE15" t="str">
            <v>Tiempo de Trabajo por Pieza (min)</v>
          </cell>
          <cell r="AF15" t="str">
            <v>Piezas Trabajadas (N)</v>
          </cell>
          <cell r="AG15" t="str">
            <v>Tiempo de Trabajo por Pieza (min)</v>
          </cell>
          <cell r="AH15" t="str">
            <v>Piezas Trabajadas (N)</v>
          </cell>
          <cell r="AI15" t="str">
            <v>Tiempo de Trabajo por Pieza (min)</v>
          </cell>
          <cell r="AJ15" t="str">
            <v>Piezas Trabajadas (N)</v>
          </cell>
          <cell r="AK15" t="str">
            <v>Tiempo de Trabajo por Pieza (min)</v>
          </cell>
          <cell r="AL15" t="str">
            <v>Piezas Trabajadas (N)</v>
          </cell>
          <cell r="AM15" t="str">
            <v>Tiempo de Trabajo por Pieza (min)</v>
          </cell>
          <cell r="AN15" t="str">
            <v>Piezas Trabajadas (N)</v>
          </cell>
          <cell r="AO15" t="str">
            <v>Tiempo de Trabajo por Pieza (min)</v>
          </cell>
          <cell r="AP15" t="str">
            <v>Piezas Trabajadas (N)</v>
          </cell>
          <cell r="AQ15" t="str">
            <v>Tiempo de Trabajo por Pieza (min)</v>
          </cell>
          <cell r="AR15" t="str">
            <v>Piezas Trabajadas (N)</v>
          </cell>
          <cell r="AS15" t="str">
            <v>Tiempo de Trabajo por Pieza (min)</v>
          </cell>
          <cell r="AT15" t="str">
            <v>Piezas Trabajadas (N)</v>
          </cell>
          <cell r="AU15" t="str">
            <v>Tiempo de Trabajo por Pieza (min)</v>
          </cell>
          <cell r="AV15" t="str">
            <v>Piezas Trabajadas (N)</v>
          </cell>
          <cell r="AW15" t="str">
            <v>Tiempo de Trabajo por Pieza (min)</v>
          </cell>
          <cell r="AX15" t="str">
            <v>Piezas Trabajadas (N)</v>
          </cell>
          <cell r="AY15" t="str">
            <v>Tiempo de Trabajo por Pieza (min)</v>
          </cell>
          <cell r="AZ15" t="str">
            <v>Piezas Trabajadas (N)</v>
          </cell>
          <cell r="BA15" t="str">
            <v>Tiempo de Trabajo por Pieza (min)</v>
          </cell>
          <cell r="BB15" t="str">
            <v>Piezas Trabajadas (N)</v>
          </cell>
          <cell r="BC15" t="str">
            <v>Tiempo de Trabajo por Pieza (min)</v>
          </cell>
          <cell r="BD15" t="str">
            <v>Piezas Trabajadas (N)</v>
          </cell>
          <cell r="BE15" t="str">
            <v>Tiempo de Trabajo por Pieza (min)</v>
          </cell>
          <cell r="BF15" t="str">
            <v>Piezas Trabajadas (N)</v>
          </cell>
          <cell r="BG15" t="str">
            <v>Tiempo de Trabajo por Pieza (min)</v>
          </cell>
          <cell r="BH15" t="str">
            <v>Piezas Trabajadas (N)</v>
          </cell>
          <cell r="BI15" t="str">
            <v>Tiempo de Trabajo por Pieza (min)</v>
          </cell>
          <cell r="BJ15" t="str">
            <v>Piezas Trabajadas (N)</v>
          </cell>
          <cell r="BK15" t="str">
            <v>Tiempo de Trabajo por Pieza (min)</v>
          </cell>
          <cell r="BL15" t="str">
            <v>Piezas Trabajadas (N)</v>
          </cell>
          <cell r="BM15" t="str">
            <v>Tiempo de Trabajo por Pieza (min)</v>
          </cell>
          <cell r="BN15" t="str">
            <v>Piezas Trabajadas (N)</v>
          </cell>
          <cell r="BO15" t="str">
            <v>Tiempo de Trabajo por Pieza (min)</v>
          </cell>
          <cell r="BP15" t="str">
            <v>Piezas Trabajadas (N)</v>
          </cell>
          <cell r="BQ15" t="str">
            <v>Tiempo de Trabajo por Pieza (min)</v>
          </cell>
          <cell r="BR15" t="str">
            <v>Piezas Trabajadas (N)</v>
          </cell>
          <cell r="BS15" t="str">
            <v>Tiempo de Trabajo por Pieza (min)</v>
          </cell>
          <cell r="BT15" t="str">
            <v>Piezas Trabajadas (N)</v>
          </cell>
          <cell r="BU15" t="str">
            <v>Tiempo de Trabajo por Pieza (min)</v>
          </cell>
          <cell r="BV15" t="str">
            <v>Piezas Trabajadas (N)</v>
          </cell>
          <cell r="BW15" t="str">
            <v>Tiempo de Trabajo por Pieza (min)</v>
          </cell>
          <cell r="BX15" t="str">
            <v>Piezas Trabajadas (N)</v>
          </cell>
          <cell r="BY15" t="str">
            <v>Tiempo de Trabajo por Pieza (min)</v>
          </cell>
          <cell r="CJ15" t="str">
            <v/>
          </cell>
        </row>
        <row r="16">
          <cell r="B16" t="str">
            <v>AG-353040CHS</v>
          </cell>
          <cell r="D16"/>
          <cell r="E16"/>
          <cell r="F16"/>
          <cell r="G16"/>
          <cell r="H16"/>
          <cell r="I16"/>
          <cell r="J16"/>
          <cell r="K16"/>
          <cell r="L16"/>
          <cell r="M16"/>
          <cell r="N16"/>
          <cell r="O16"/>
          <cell r="P16"/>
          <cell r="Q16"/>
          <cell r="R16"/>
          <cell r="S16"/>
          <cell r="T16"/>
          <cell r="U16"/>
          <cell r="V16"/>
          <cell r="W16"/>
          <cell r="X16"/>
          <cell r="Y16"/>
          <cell r="Z16"/>
          <cell r="AA16"/>
          <cell r="AB16"/>
          <cell r="AC16"/>
          <cell r="AD16"/>
          <cell r="AE16"/>
          <cell r="AF16"/>
          <cell r="AG16"/>
          <cell r="AH16"/>
          <cell r="AI16"/>
          <cell r="AJ16"/>
          <cell r="AK16"/>
          <cell r="AL16"/>
          <cell r="AM16"/>
          <cell r="AN16"/>
          <cell r="AO16"/>
          <cell r="AP16"/>
          <cell r="AQ16"/>
          <cell r="AR16"/>
          <cell r="AS16"/>
          <cell r="AT16"/>
          <cell r="AU16"/>
          <cell r="AV16"/>
          <cell r="AW16"/>
          <cell r="AX16"/>
          <cell r="AY16"/>
          <cell r="AZ16"/>
          <cell r="BA16"/>
          <cell r="BB16"/>
          <cell r="BC16"/>
          <cell r="BD16"/>
          <cell r="BE16"/>
          <cell r="BF16"/>
          <cell r="BG16"/>
          <cell r="BH16"/>
          <cell r="BI16"/>
          <cell r="BJ16"/>
          <cell r="BK16"/>
          <cell r="BL16"/>
          <cell r="BM16"/>
          <cell r="BN16"/>
          <cell r="BO16"/>
          <cell r="BP16"/>
          <cell r="BQ16"/>
          <cell r="BR16"/>
          <cell r="BS16"/>
          <cell r="BT16"/>
          <cell r="BU16"/>
          <cell r="BV16"/>
          <cell r="BW16"/>
          <cell r="BX16"/>
          <cell r="BY16"/>
          <cell r="CJ16" t="str">
            <v/>
          </cell>
        </row>
        <row r="17">
          <cell r="B17" t="str">
            <v>AG-2565-CHS</v>
          </cell>
          <cell r="D17"/>
          <cell r="E17"/>
          <cell r="F17"/>
          <cell r="G17"/>
          <cell r="H17"/>
          <cell r="I17"/>
          <cell r="J17"/>
          <cell r="K17"/>
          <cell r="L17"/>
          <cell r="M17"/>
          <cell r="N17"/>
          <cell r="O17"/>
          <cell r="P17"/>
          <cell r="Q17"/>
          <cell r="R17"/>
          <cell r="S17"/>
          <cell r="T17"/>
          <cell r="U17"/>
          <cell r="V17"/>
          <cell r="W17"/>
          <cell r="X17"/>
          <cell r="Y17"/>
          <cell r="Z17"/>
          <cell r="AA17"/>
          <cell r="AB17"/>
          <cell r="AC17"/>
          <cell r="AD17"/>
          <cell r="AE17"/>
          <cell r="AF17"/>
          <cell r="AG17"/>
          <cell r="AH17"/>
          <cell r="AI17"/>
          <cell r="AJ17"/>
          <cell r="AK17"/>
          <cell r="AL17"/>
          <cell r="AM17"/>
          <cell r="AN17"/>
          <cell r="AO17"/>
          <cell r="AP17"/>
          <cell r="AQ17"/>
          <cell r="AR17"/>
          <cell r="AS17"/>
          <cell r="AT17"/>
          <cell r="AU17"/>
          <cell r="AV17"/>
          <cell r="AW17"/>
          <cell r="AX17"/>
          <cell r="AY17"/>
          <cell r="AZ17"/>
          <cell r="BA17"/>
          <cell r="BB17"/>
          <cell r="BC17"/>
          <cell r="BD17"/>
          <cell r="BE17"/>
          <cell r="BF17"/>
          <cell r="BG17"/>
          <cell r="BH17"/>
          <cell r="BI17"/>
          <cell r="BJ17"/>
          <cell r="BK17"/>
          <cell r="BL17"/>
          <cell r="BM17"/>
          <cell r="BN17"/>
          <cell r="BO17"/>
          <cell r="BP17"/>
          <cell r="BQ17"/>
          <cell r="BR17"/>
          <cell r="BS17"/>
          <cell r="BT17"/>
          <cell r="BU17"/>
          <cell r="BV17"/>
          <cell r="BW17"/>
          <cell r="BX17"/>
          <cell r="BY17"/>
          <cell r="CJ17" t="str">
            <v/>
          </cell>
        </row>
        <row r="18">
          <cell r="B18" t="str">
            <v>HM-518445-41</v>
          </cell>
          <cell r="D18"/>
          <cell r="E18"/>
          <cell r="F18"/>
          <cell r="G18"/>
          <cell r="H18"/>
          <cell r="I18"/>
          <cell r="J18"/>
          <cell r="K18"/>
          <cell r="L18"/>
          <cell r="M18"/>
          <cell r="N18"/>
          <cell r="O18"/>
          <cell r="P18"/>
          <cell r="Q18"/>
          <cell r="R18"/>
          <cell r="S18"/>
          <cell r="T18"/>
          <cell r="U18"/>
          <cell r="V18"/>
          <cell r="W18"/>
          <cell r="X18"/>
          <cell r="Y18"/>
          <cell r="Z18"/>
          <cell r="AA18"/>
          <cell r="AB18"/>
          <cell r="AC18"/>
          <cell r="AD18"/>
          <cell r="AE18"/>
          <cell r="AF18"/>
          <cell r="AG18"/>
          <cell r="AH18"/>
          <cell r="AI18"/>
          <cell r="AJ18"/>
          <cell r="AK18"/>
          <cell r="AL18"/>
          <cell r="AM18"/>
          <cell r="AN18"/>
          <cell r="AO18"/>
          <cell r="AP18"/>
          <cell r="AQ18"/>
          <cell r="AR18"/>
          <cell r="AS18"/>
          <cell r="AT18"/>
          <cell r="AU18"/>
          <cell r="AV18"/>
          <cell r="AW18"/>
          <cell r="AX18"/>
          <cell r="AY18"/>
          <cell r="AZ18"/>
          <cell r="BA18"/>
          <cell r="BB18"/>
          <cell r="BC18"/>
          <cell r="BD18"/>
          <cell r="BE18"/>
          <cell r="BF18"/>
          <cell r="BG18"/>
          <cell r="BH18"/>
          <cell r="BI18"/>
          <cell r="BJ18"/>
          <cell r="BK18"/>
          <cell r="BL18"/>
          <cell r="BM18"/>
          <cell r="BN18"/>
          <cell r="BO18"/>
          <cell r="BP18"/>
          <cell r="BQ18"/>
          <cell r="BR18"/>
          <cell r="BS18"/>
          <cell r="BT18"/>
          <cell r="BU18"/>
          <cell r="BV18"/>
          <cell r="BW18"/>
          <cell r="BX18"/>
          <cell r="BY18"/>
          <cell r="CJ18" t="str">
            <v/>
          </cell>
        </row>
        <row r="19">
          <cell r="B19" t="str">
            <v>M040000075</v>
          </cell>
          <cell r="D19"/>
          <cell r="E19"/>
          <cell r="F19">
            <v>5000</v>
          </cell>
          <cell r="G19">
            <v>30</v>
          </cell>
          <cell r="H19"/>
          <cell r="I19"/>
          <cell r="J19">
            <v>10000</v>
          </cell>
          <cell r="K19">
            <v>30</v>
          </cell>
          <cell r="L19"/>
          <cell r="M19"/>
          <cell r="N19"/>
          <cell r="O19"/>
          <cell r="P19"/>
          <cell r="Q19"/>
          <cell r="R19"/>
          <cell r="S19"/>
          <cell r="T19"/>
          <cell r="U19"/>
          <cell r="V19"/>
          <cell r="W19"/>
          <cell r="X19"/>
          <cell r="Y19"/>
          <cell r="Z19"/>
          <cell r="AA19"/>
          <cell r="AB19"/>
          <cell r="AC19"/>
          <cell r="AD19">
            <v>1000</v>
          </cell>
          <cell r="AE19">
            <v>30</v>
          </cell>
          <cell r="AF19"/>
          <cell r="AG19"/>
          <cell r="AH19"/>
          <cell r="AI19"/>
          <cell r="AJ19"/>
          <cell r="AK19"/>
          <cell r="AL19"/>
          <cell r="AM19"/>
          <cell r="AN19"/>
          <cell r="AO19"/>
          <cell r="AP19"/>
          <cell r="AQ19"/>
          <cell r="AR19"/>
          <cell r="AS19"/>
          <cell r="AT19"/>
          <cell r="AU19"/>
          <cell r="AV19"/>
          <cell r="AW19"/>
          <cell r="AX19"/>
          <cell r="AY19"/>
          <cell r="AZ19"/>
          <cell r="BA19"/>
          <cell r="BB19"/>
          <cell r="BC19"/>
          <cell r="BD19"/>
          <cell r="BE19"/>
          <cell r="BF19"/>
          <cell r="BG19"/>
          <cell r="BH19"/>
          <cell r="BI19"/>
          <cell r="BJ19"/>
          <cell r="BK19"/>
          <cell r="BL19"/>
          <cell r="BM19"/>
          <cell r="BN19"/>
          <cell r="BO19"/>
          <cell r="BP19"/>
          <cell r="BQ19"/>
          <cell r="BR19"/>
          <cell r="BS19"/>
          <cell r="BT19"/>
          <cell r="BU19"/>
          <cell r="BV19"/>
          <cell r="BW19"/>
          <cell r="BX19"/>
          <cell r="BY19"/>
          <cell r="CJ19" t="str">
            <v/>
          </cell>
        </row>
        <row r="20">
          <cell r="B20" t="str">
            <v>30207-MX</v>
          </cell>
          <cell r="D20"/>
          <cell r="E20"/>
          <cell r="F20"/>
          <cell r="G20"/>
          <cell r="H20"/>
          <cell r="I20"/>
          <cell r="J20"/>
          <cell r="K20"/>
          <cell r="L20"/>
          <cell r="M20"/>
          <cell r="N20"/>
          <cell r="O20"/>
          <cell r="P20"/>
          <cell r="Q20"/>
          <cell r="R20"/>
          <cell r="S20"/>
          <cell r="T20"/>
          <cell r="U20"/>
          <cell r="V20"/>
          <cell r="W20"/>
          <cell r="X20"/>
          <cell r="Y20"/>
          <cell r="Z20"/>
          <cell r="AA20"/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/>
          <cell r="AM20"/>
          <cell r="AN20"/>
          <cell r="AO20"/>
          <cell r="AP20"/>
          <cell r="AQ20"/>
          <cell r="AR20"/>
          <cell r="AS20"/>
          <cell r="AT20"/>
          <cell r="AU20"/>
          <cell r="AV20"/>
          <cell r="AW20"/>
          <cell r="AX20"/>
          <cell r="AY20"/>
          <cell r="AZ20"/>
          <cell r="BA20"/>
          <cell r="BB20"/>
          <cell r="BC20"/>
          <cell r="BD20"/>
          <cell r="BE20"/>
          <cell r="BF20"/>
          <cell r="BG20"/>
          <cell r="BH20"/>
          <cell r="BI20"/>
          <cell r="BJ20"/>
          <cell r="BK20"/>
          <cell r="BL20"/>
          <cell r="BM20"/>
          <cell r="BN20"/>
          <cell r="BO20"/>
          <cell r="BP20"/>
          <cell r="BQ20"/>
          <cell r="BR20"/>
          <cell r="BS20"/>
          <cell r="BT20"/>
          <cell r="BU20"/>
          <cell r="BV20"/>
          <cell r="BW20"/>
          <cell r="BX20"/>
          <cell r="BY20"/>
          <cell r="CJ20" t="str">
            <v/>
          </cell>
        </row>
        <row r="21">
          <cell r="B21" t="str">
            <v>AG-3565-CH9</v>
          </cell>
          <cell r="D21"/>
          <cell r="E21"/>
          <cell r="F21"/>
          <cell r="G21"/>
          <cell r="H21"/>
          <cell r="I21"/>
          <cell r="J21"/>
          <cell r="K21"/>
          <cell r="L21"/>
          <cell r="M21"/>
          <cell r="N21"/>
          <cell r="O21"/>
          <cell r="P21"/>
          <cell r="Q21"/>
          <cell r="R21"/>
          <cell r="S21"/>
          <cell r="T21"/>
          <cell r="U21"/>
          <cell r="V21"/>
          <cell r="W21"/>
          <cell r="X21"/>
          <cell r="Y21"/>
          <cell r="Z21"/>
          <cell r="AA21"/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  <cell r="AL21"/>
          <cell r="AM21"/>
          <cell r="AN21"/>
          <cell r="AO21"/>
          <cell r="AP21"/>
          <cell r="AQ21"/>
          <cell r="AR21"/>
          <cell r="AS21"/>
          <cell r="AT21"/>
          <cell r="AU21"/>
          <cell r="AV21"/>
          <cell r="AW21"/>
          <cell r="AX21"/>
          <cell r="AY21"/>
          <cell r="AZ21"/>
          <cell r="BA21"/>
          <cell r="BB21"/>
          <cell r="BC21"/>
          <cell r="BD21"/>
          <cell r="BE21"/>
          <cell r="BF21"/>
          <cell r="BG21"/>
          <cell r="BH21"/>
          <cell r="BI21"/>
          <cell r="BJ21"/>
          <cell r="BK21"/>
          <cell r="BL21"/>
          <cell r="BM21"/>
          <cell r="BN21"/>
          <cell r="BO21"/>
          <cell r="BP21"/>
          <cell r="BQ21"/>
          <cell r="BR21"/>
          <cell r="BS21"/>
          <cell r="BT21"/>
          <cell r="BU21"/>
          <cell r="BV21"/>
          <cell r="BW21"/>
          <cell r="BX21"/>
          <cell r="BY21"/>
          <cell r="CJ21" t="str">
            <v/>
          </cell>
        </row>
        <row r="22">
          <cell r="B22" t="str">
            <v>30206-MX</v>
          </cell>
          <cell r="D22"/>
          <cell r="E22"/>
          <cell r="F22"/>
          <cell r="G22"/>
          <cell r="H22"/>
          <cell r="I22"/>
          <cell r="J22"/>
          <cell r="K22"/>
          <cell r="L22"/>
          <cell r="M22"/>
          <cell r="N22"/>
          <cell r="O22"/>
          <cell r="P22"/>
          <cell r="Q22"/>
          <cell r="R22"/>
          <cell r="S22"/>
          <cell r="T22"/>
          <cell r="U22"/>
          <cell r="V22"/>
          <cell r="W22"/>
          <cell r="X22"/>
          <cell r="Y22"/>
          <cell r="Z22"/>
          <cell r="AA22"/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/>
          <cell r="AM22"/>
          <cell r="AN22"/>
          <cell r="AO22"/>
          <cell r="AP22"/>
          <cell r="AQ22"/>
          <cell r="AR22"/>
          <cell r="AS22"/>
          <cell r="AT22"/>
          <cell r="AU22"/>
          <cell r="AV22"/>
          <cell r="AW22"/>
          <cell r="AX22"/>
          <cell r="AY22"/>
          <cell r="AZ22"/>
          <cell r="BA22"/>
          <cell r="BB22"/>
          <cell r="BC22"/>
          <cell r="BD22"/>
          <cell r="BE22"/>
          <cell r="BF22"/>
          <cell r="BG22"/>
          <cell r="BH22"/>
          <cell r="BI22"/>
          <cell r="BJ22"/>
          <cell r="BK22"/>
          <cell r="BL22"/>
          <cell r="BM22"/>
          <cell r="BN22"/>
          <cell r="BO22"/>
          <cell r="BP22"/>
          <cell r="BQ22"/>
          <cell r="BR22"/>
          <cell r="BS22"/>
          <cell r="BT22"/>
          <cell r="BU22"/>
          <cell r="BV22"/>
          <cell r="BW22"/>
          <cell r="BX22"/>
          <cell r="BY22"/>
          <cell r="CJ22" t="str">
            <v/>
          </cell>
        </row>
        <row r="23">
          <cell r="B23" t="str">
            <v>FT-205-KYYB5</v>
          </cell>
          <cell r="D23"/>
          <cell r="E23"/>
          <cell r="F23"/>
          <cell r="G23"/>
          <cell r="H23"/>
          <cell r="I23"/>
          <cell r="J23"/>
          <cell r="K23"/>
          <cell r="L23"/>
          <cell r="M23"/>
          <cell r="N23"/>
          <cell r="O23"/>
          <cell r="P23"/>
          <cell r="Q23"/>
          <cell r="R23"/>
          <cell r="S23"/>
          <cell r="T23"/>
          <cell r="U23"/>
          <cell r="V23"/>
          <cell r="W23"/>
          <cell r="X23"/>
          <cell r="Y23"/>
          <cell r="Z23"/>
          <cell r="AA23"/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/>
          <cell r="AM23"/>
          <cell r="AN23"/>
          <cell r="AO23"/>
          <cell r="AP23"/>
          <cell r="AQ23"/>
          <cell r="AR23"/>
          <cell r="AS23"/>
          <cell r="AT23"/>
          <cell r="AU23"/>
          <cell r="AV23"/>
          <cell r="AW23"/>
          <cell r="AX23"/>
          <cell r="AY23"/>
          <cell r="AZ23"/>
          <cell r="BA23"/>
          <cell r="BB23"/>
          <cell r="BC23"/>
          <cell r="BD23"/>
          <cell r="BE23"/>
          <cell r="BF23"/>
          <cell r="BG23"/>
          <cell r="BH23"/>
          <cell r="BI23"/>
          <cell r="BJ23"/>
          <cell r="BK23"/>
          <cell r="BL23"/>
          <cell r="BM23"/>
          <cell r="BN23"/>
          <cell r="BO23"/>
          <cell r="BP23"/>
          <cell r="BQ23"/>
          <cell r="BR23"/>
          <cell r="BS23"/>
          <cell r="BT23"/>
          <cell r="BU23"/>
          <cell r="BV23"/>
          <cell r="BW23"/>
          <cell r="BX23"/>
          <cell r="BY23"/>
        </row>
        <row r="24">
          <cell r="B24" t="str">
            <v>30208-MX</v>
          </cell>
          <cell r="D24"/>
          <cell r="E24"/>
          <cell r="F24"/>
          <cell r="G24"/>
          <cell r="H24"/>
          <cell r="I24"/>
          <cell r="J24"/>
          <cell r="K24"/>
          <cell r="L24"/>
          <cell r="M24"/>
          <cell r="N24"/>
          <cell r="O24"/>
          <cell r="P24"/>
          <cell r="Q24"/>
          <cell r="R24"/>
          <cell r="S24"/>
          <cell r="T24"/>
          <cell r="U24"/>
          <cell r="V24"/>
          <cell r="W24"/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/>
          <cell r="AM24"/>
          <cell r="AN24"/>
          <cell r="AO24"/>
          <cell r="AP24"/>
          <cell r="AQ24"/>
          <cell r="AR24"/>
          <cell r="AS24"/>
          <cell r="AT24"/>
          <cell r="AU24"/>
          <cell r="AV24"/>
          <cell r="AW24"/>
          <cell r="AX24"/>
          <cell r="AY24"/>
          <cell r="AZ24"/>
          <cell r="BA24"/>
          <cell r="BB24"/>
          <cell r="BC24"/>
          <cell r="BD24"/>
          <cell r="BE24"/>
          <cell r="BF24"/>
          <cell r="BG24"/>
          <cell r="BH24"/>
          <cell r="BI24"/>
          <cell r="BJ24"/>
          <cell r="BK24"/>
          <cell r="BL24"/>
          <cell r="BM24"/>
          <cell r="BN24"/>
          <cell r="BO24"/>
          <cell r="BP24"/>
          <cell r="BQ24"/>
          <cell r="BR24"/>
          <cell r="BS24"/>
          <cell r="BT24"/>
          <cell r="BU24"/>
          <cell r="BV24"/>
          <cell r="BW24"/>
          <cell r="BX24"/>
          <cell r="BY24"/>
        </row>
        <row r="25">
          <cell r="B25" t="str">
            <v>9010</v>
          </cell>
          <cell r="D25"/>
          <cell r="E25"/>
          <cell r="F25"/>
          <cell r="G25"/>
          <cell r="H25"/>
          <cell r="I25"/>
          <cell r="J25"/>
          <cell r="K25"/>
          <cell r="L25"/>
          <cell r="M25"/>
          <cell r="N25"/>
          <cell r="O25"/>
          <cell r="P25"/>
          <cell r="Q25"/>
          <cell r="R25"/>
          <cell r="S25"/>
          <cell r="T25"/>
          <cell r="U25"/>
          <cell r="V25"/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/>
          <cell r="AX25"/>
          <cell r="AY25"/>
          <cell r="AZ25"/>
          <cell r="BA25"/>
          <cell r="BB25"/>
          <cell r="BC25"/>
          <cell r="BD25"/>
          <cell r="BE25"/>
          <cell r="BF25"/>
          <cell r="BG25"/>
          <cell r="BH25"/>
          <cell r="BI25"/>
          <cell r="BJ25"/>
          <cell r="BK25"/>
          <cell r="BL25"/>
          <cell r="BM25"/>
          <cell r="BN25"/>
          <cell r="BO25"/>
          <cell r="BP25"/>
          <cell r="BQ25"/>
          <cell r="BR25"/>
          <cell r="BS25"/>
          <cell r="BT25"/>
          <cell r="BU25"/>
          <cell r="BV25"/>
          <cell r="BW25"/>
          <cell r="BX25"/>
          <cell r="BY25"/>
        </row>
        <row r="26">
          <cell r="B26" t="str">
            <v>AGHUB39FM20</v>
          </cell>
          <cell r="D26"/>
          <cell r="E26"/>
          <cell r="F26"/>
          <cell r="G26"/>
          <cell r="H26"/>
          <cell r="I26"/>
          <cell r="J26"/>
          <cell r="K26"/>
          <cell r="L26"/>
          <cell r="M26"/>
          <cell r="N26"/>
          <cell r="O26"/>
          <cell r="P26"/>
          <cell r="Q26"/>
          <cell r="R26"/>
          <cell r="S26"/>
          <cell r="T26"/>
          <cell r="U26"/>
          <cell r="V26"/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/>
          <cell r="AX26"/>
          <cell r="AY26"/>
          <cell r="AZ26"/>
          <cell r="BA26"/>
          <cell r="BB26"/>
          <cell r="BC26"/>
          <cell r="BD26"/>
          <cell r="BE26"/>
          <cell r="BF26"/>
          <cell r="BG26"/>
          <cell r="BH26"/>
          <cell r="BI26"/>
          <cell r="BJ26"/>
          <cell r="BK26"/>
          <cell r="BL26"/>
          <cell r="BM26"/>
          <cell r="BN26"/>
          <cell r="BO26"/>
          <cell r="BP26"/>
          <cell r="BQ26"/>
          <cell r="BR26"/>
          <cell r="BS26"/>
          <cell r="BT26"/>
          <cell r="BU26"/>
          <cell r="BV26"/>
          <cell r="BW26"/>
          <cell r="BX26"/>
          <cell r="BY26"/>
        </row>
        <row r="27">
          <cell r="B27" t="str">
            <v>30209-MX</v>
          </cell>
          <cell r="D27"/>
          <cell r="E27"/>
          <cell r="F27"/>
          <cell r="G27"/>
          <cell r="H27"/>
          <cell r="I27"/>
          <cell r="J27"/>
          <cell r="K27"/>
          <cell r="L27"/>
          <cell r="M27"/>
          <cell r="N27"/>
          <cell r="O27"/>
          <cell r="P27"/>
          <cell r="Q27"/>
          <cell r="R27"/>
          <cell r="S27"/>
          <cell r="T27"/>
          <cell r="U27"/>
          <cell r="V27"/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/>
          <cell r="AI27"/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/>
          <cell r="BC27"/>
          <cell r="BD27"/>
          <cell r="BE27"/>
          <cell r="BF27"/>
          <cell r="BG27"/>
          <cell r="BH27"/>
          <cell r="BI27"/>
          <cell r="BJ27"/>
          <cell r="BK27"/>
          <cell r="BL27"/>
          <cell r="BM27"/>
          <cell r="BN27"/>
          <cell r="BO27"/>
          <cell r="BP27"/>
          <cell r="BQ27"/>
          <cell r="BR27"/>
          <cell r="BS27"/>
          <cell r="BT27"/>
          <cell r="BU27"/>
          <cell r="BV27"/>
          <cell r="BW27"/>
          <cell r="BX27"/>
          <cell r="BY27"/>
        </row>
        <row r="28">
          <cell r="B28" t="str">
            <v>30210-MX</v>
          </cell>
          <cell r="D28"/>
          <cell r="E28"/>
          <cell r="F28"/>
          <cell r="G28"/>
          <cell r="H28"/>
          <cell r="I28"/>
          <cell r="J28"/>
          <cell r="K28"/>
          <cell r="L28"/>
          <cell r="M28"/>
          <cell r="N28"/>
          <cell r="O28"/>
          <cell r="P28"/>
          <cell r="Q28"/>
          <cell r="R28"/>
          <cell r="S28"/>
          <cell r="T28"/>
          <cell r="U28"/>
          <cell r="V28"/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  <cell r="AH28"/>
          <cell r="AI28"/>
          <cell r="AJ28"/>
          <cell r="AK28"/>
          <cell r="AL28"/>
          <cell r="AM28"/>
          <cell r="AN28"/>
          <cell r="AO28"/>
          <cell r="AP28"/>
          <cell r="AQ28"/>
          <cell r="AR28"/>
          <cell r="AS28"/>
          <cell r="AT28"/>
          <cell r="AU28"/>
          <cell r="AV28"/>
          <cell r="AW28"/>
          <cell r="AX28"/>
          <cell r="AY28"/>
          <cell r="AZ28"/>
          <cell r="BA28"/>
          <cell r="BB28"/>
          <cell r="BC28"/>
          <cell r="BD28"/>
          <cell r="BE28"/>
          <cell r="BF28"/>
          <cell r="BG28"/>
          <cell r="BH28"/>
          <cell r="BI28"/>
          <cell r="BJ28"/>
          <cell r="BK28"/>
          <cell r="BL28"/>
          <cell r="BM28"/>
          <cell r="BN28"/>
          <cell r="BO28"/>
          <cell r="BP28"/>
          <cell r="BQ28"/>
          <cell r="BR28"/>
          <cell r="BS28"/>
          <cell r="BT28"/>
          <cell r="BU28"/>
          <cell r="BV28"/>
          <cell r="BW28"/>
          <cell r="BX28"/>
          <cell r="BY28"/>
        </row>
        <row r="29">
          <cell r="B29" t="str">
            <v>30205-MX</v>
          </cell>
          <cell r="D29"/>
          <cell r="E29"/>
          <cell r="F29"/>
          <cell r="G29"/>
          <cell r="H29"/>
          <cell r="I29"/>
          <cell r="J29"/>
          <cell r="K29"/>
          <cell r="L29"/>
          <cell r="M29"/>
          <cell r="N29"/>
          <cell r="O29"/>
          <cell r="P29"/>
          <cell r="Q29"/>
          <cell r="R29"/>
          <cell r="S29"/>
          <cell r="T29"/>
          <cell r="U29"/>
          <cell r="V29"/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/>
          <cell r="AS29"/>
          <cell r="AT29"/>
          <cell r="AU29"/>
          <cell r="AV29"/>
          <cell r="AW29"/>
          <cell r="AX29"/>
          <cell r="AY29"/>
          <cell r="AZ29"/>
          <cell r="BA29"/>
          <cell r="BB29"/>
          <cell r="BC29"/>
          <cell r="BD29"/>
          <cell r="BE29"/>
          <cell r="BF29"/>
          <cell r="BG29"/>
          <cell r="BH29"/>
          <cell r="BI29"/>
          <cell r="BJ29"/>
          <cell r="BK29"/>
          <cell r="BL29"/>
          <cell r="BM29"/>
          <cell r="BN29"/>
          <cell r="BO29"/>
          <cell r="BP29"/>
          <cell r="BQ29"/>
          <cell r="BR29"/>
          <cell r="BS29"/>
          <cell r="BT29"/>
          <cell r="BU29"/>
          <cell r="BV29"/>
          <cell r="BW29"/>
          <cell r="BX29"/>
          <cell r="BY29"/>
        </row>
        <row r="30">
          <cell r="B30" t="str">
            <v>9011</v>
          </cell>
          <cell r="D30"/>
          <cell r="E30"/>
          <cell r="F30"/>
          <cell r="G30"/>
          <cell r="H30"/>
          <cell r="I30"/>
          <cell r="J30"/>
          <cell r="K30"/>
          <cell r="L30"/>
          <cell r="M30"/>
          <cell r="N30"/>
          <cell r="O30"/>
          <cell r="P30"/>
          <cell r="Q30"/>
          <cell r="R30"/>
          <cell r="S30"/>
          <cell r="T30"/>
          <cell r="U30"/>
          <cell r="V30"/>
          <cell r="W30"/>
          <cell r="X30"/>
          <cell r="Y30"/>
          <cell r="Z30"/>
          <cell r="AA30"/>
          <cell r="AB30"/>
          <cell r="AC30"/>
          <cell r="AD30"/>
          <cell r="AE30"/>
          <cell r="AF30"/>
          <cell r="AG30"/>
          <cell r="AH30"/>
          <cell r="AI30"/>
          <cell r="AJ30"/>
          <cell r="AK30"/>
          <cell r="AL30"/>
          <cell r="AM30"/>
          <cell r="AN30"/>
          <cell r="AO30"/>
          <cell r="AP30"/>
          <cell r="AQ30"/>
          <cell r="AR30"/>
          <cell r="AS30"/>
          <cell r="AT30"/>
          <cell r="AU30"/>
          <cell r="AV30"/>
          <cell r="AW30"/>
          <cell r="AX30"/>
          <cell r="AY30"/>
          <cell r="AZ30"/>
          <cell r="BA30"/>
          <cell r="BB30"/>
          <cell r="BC30"/>
          <cell r="BD30"/>
          <cell r="BE30"/>
          <cell r="BF30"/>
          <cell r="BG30"/>
          <cell r="BH30"/>
          <cell r="BI30"/>
          <cell r="BJ30"/>
          <cell r="BK30"/>
          <cell r="BL30"/>
          <cell r="BM30"/>
          <cell r="BN30"/>
          <cell r="BO30"/>
          <cell r="BP30"/>
          <cell r="BQ30"/>
          <cell r="BR30"/>
          <cell r="BS30"/>
          <cell r="BT30"/>
          <cell r="BU30"/>
          <cell r="BV30"/>
          <cell r="BW30"/>
          <cell r="BX30"/>
          <cell r="BY30"/>
        </row>
        <row r="31">
          <cell r="B31" t="str">
            <v>AG-353016CHS</v>
          </cell>
          <cell r="D31"/>
          <cell r="E31"/>
          <cell r="F31"/>
          <cell r="G31"/>
          <cell r="H31"/>
          <cell r="I31"/>
          <cell r="J31"/>
          <cell r="K31"/>
          <cell r="L31"/>
          <cell r="M31"/>
          <cell r="N31"/>
          <cell r="O31"/>
          <cell r="P31"/>
          <cell r="Q31"/>
          <cell r="R31"/>
          <cell r="S31"/>
          <cell r="T31"/>
          <cell r="U31"/>
          <cell r="V31"/>
          <cell r="W31"/>
          <cell r="X31"/>
          <cell r="Y31"/>
          <cell r="Z31"/>
          <cell r="AA31"/>
          <cell r="AB31"/>
          <cell r="AC31"/>
          <cell r="AD31"/>
          <cell r="AE31"/>
          <cell r="AF31"/>
          <cell r="AG31"/>
          <cell r="AH31"/>
          <cell r="AI31"/>
          <cell r="AJ31"/>
          <cell r="AK31"/>
          <cell r="AL31"/>
          <cell r="AM31"/>
          <cell r="AN31"/>
          <cell r="AO31"/>
          <cell r="AP31"/>
          <cell r="AQ31"/>
          <cell r="AR31"/>
          <cell r="AS31"/>
          <cell r="AT31"/>
          <cell r="AU31"/>
          <cell r="AV31"/>
          <cell r="AW31"/>
          <cell r="AX31"/>
          <cell r="AY31"/>
          <cell r="AZ31"/>
          <cell r="BA31"/>
          <cell r="BB31"/>
          <cell r="BC31"/>
          <cell r="BD31"/>
          <cell r="BE31"/>
          <cell r="BF31"/>
          <cell r="BG31"/>
          <cell r="BH31"/>
          <cell r="BI31"/>
          <cell r="BJ31"/>
          <cell r="BK31"/>
          <cell r="BL31"/>
          <cell r="BM31"/>
          <cell r="BN31"/>
          <cell r="BO31"/>
          <cell r="BP31"/>
          <cell r="BQ31"/>
          <cell r="BR31"/>
          <cell r="BS31"/>
          <cell r="BT31"/>
          <cell r="BU31"/>
          <cell r="BV31"/>
          <cell r="BW31"/>
          <cell r="BX31"/>
          <cell r="BY31"/>
        </row>
        <row r="32">
          <cell r="B32" t="str">
            <v>30204-MX</v>
          </cell>
          <cell r="D32"/>
          <cell r="E32"/>
          <cell r="F32"/>
          <cell r="G32"/>
          <cell r="H32"/>
          <cell r="I32"/>
          <cell r="J32"/>
          <cell r="K32"/>
          <cell r="L32"/>
          <cell r="M32"/>
          <cell r="N32"/>
          <cell r="O32"/>
          <cell r="P32"/>
          <cell r="Q32"/>
          <cell r="R32"/>
          <cell r="S32"/>
          <cell r="T32"/>
          <cell r="U32"/>
          <cell r="V32"/>
          <cell r="W32"/>
          <cell r="X32"/>
          <cell r="Y32"/>
          <cell r="Z32"/>
          <cell r="AA32"/>
          <cell r="AB32"/>
          <cell r="AC32"/>
          <cell r="AD32"/>
          <cell r="AE32"/>
          <cell r="AF32"/>
          <cell r="AG32"/>
          <cell r="AH32"/>
          <cell r="AI32"/>
          <cell r="AJ32"/>
          <cell r="AK32"/>
          <cell r="AL32"/>
          <cell r="AM32"/>
          <cell r="AN32"/>
          <cell r="AO32"/>
          <cell r="AP32"/>
          <cell r="AQ32"/>
          <cell r="AR32"/>
          <cell r="AS32"/>
          <cell r="AT32"/>
          <cell r="AU32"/>
          <cell r="AV32"/>
          <cell r="AW32"/>
          <cell r="AX32"/>
          <cell r="AY32"/>
          <cell r="AZ32"/>
          <cell r="BA32"/>
          <cell r="BB32"/>
          <cell r="BC32"/>
          <cell r="BD32"/>
          <cell r="BE32"/>
          <cell r="BF32"/>
          <cell r="BG32"/>
          <cell r="BH32"/>
          <cell r="BI32"/>
          <cell r="BJ32"/>
          <cell r="BK32"/>
          <cell r="BL32"/>
          <cell r="BM32"/>
          <cell r="BN32"/>
          <cell r="BO32"/>
          <cell r="BP32"/>
          <cell r="BQ32"/>
          <cell r="BR32"/>
          <cell r="BS32"/>
          <cell r="BT32"/>
          <cell r="BU32"/>
          <cell r="BV32"/>
          <cell r="BW32"/>
          <cell r="BX32"/>
          <cell r="BY32"/>
        </row>
        <row r="33">
          <cell r="B33" t="str">
            <v>DTR3062-FM</v>
          </cell>
          <cell r="D33"/>
          <cell r="E33"/>
          <cell r="F33"/>
          <cell r="G33"/>
          <cell r="H33"/>
          <cell r="I33"/>
          <cell r="J33"/>
          <cell r="K33"/>
          <cell r="L33"/>
          <cell r="M33"/>
          <cell r="N33"/>
          <cell r="O33"/>
          <cell r="P33"/>
          <cell r="Q33"/>
          <cell r="R33"/>
          <cell r="S33"/>
          <cell r="T33"/>
          <cell r="U33"/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/>
          <cell r="AN33"/>
          <cell r="AO33"/>
          <cell r="AP33"/>
          <cell r="AQ33"/>
          <cell r="AR33"/>
          <cell r="AS33"/>
          <cell r="AT33"/>
          <cell r="AU33"/>
          <cell r="AV33"/>
          <cell r="AW33"/>
          <cell r="AX33"/>
          <cell r="AY33"/>
          <cell r="AZ33"/>
          <cell r="BA33"/>
          <cell r="BB33"/>
          <cell r="BC33"/>
          <cell r="BD33"/>
          <cell r="BE33"/>
          <cell r="BF33"/>
          <cell r="BG33"/>
          <cell r="BH33"/>
          <cell r="BI33"/>
          <cell r="BJ33"/>
          <cell r="BK33"/>
          <cell r="BL33"/>
          <cell r="BM33"/>
          <cell r="BN33"/>
          <cell r="BO33"/>
          <cell r="BP33"/>
          <cell r="BQ33"/>
          <cell r="BR33"/>
          <cell r="BS33"/>
          <cell r="BT33"/>
          <cell r="BU33"/>
          <cell r="BV33"/>
          <cell r="BW33"/>
          <cell r="BX33"/>
          <cell r="BY33"/>
        </row>
        <row r="34">
          <cell r="B34" t="str">
            <v>30212-MX</v>
          </cell>
          <cell r="D34"/>
          <cell r="E34"/>
          <cell r="F34"/>
          <cell r="G34"/>
          <cell r="H34"/>
          <cell r="I34"/>
          <cell r="J34"/>
          <cell r="K34"/>
          <cell r="L34"/>
          <cell r="M34"/>
          <cell r="N34"/>
          <cell r="O34"/>
          <cell r="P34"/>
          <cell r="Q34"/>
          <cell r="R34"/>
          <cell r="S34"/>
          <cell r="T34"/>
          <cell r="U34"/>
          <cell r="V34"/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/>
          <cell r="AW34"/>
          <cell r="AX34"/>
          <cell r="AY34"/>
          <cell r="AZ34"/>
          <cell r="BA34"/>
          <cell r="BB34"/>
          <cell r="BC34"/>
          <cell r="BD34"/>
          <cell r="BE34"/>
          <cell r="BF34"/>
          <cell r="BG34"/>
          <cell r="BH34"/>
          <cell r="BI34"/>
          <cell r="BJ34"/>
          <cell r="BK34"/>
          <cell r="BL34"/>
          <cell r="BM34"/>
          <cell r="BN34"/>
          <cell r="BO34"/>
          <cell r="BP34"/>
          <cell r="BQ34"/>
          <cell r="BR34"/>
          <cell r="BS34"/>
          <cell r="BT34"/>
          <cell r="BU34"/>
          <cell r="BV34"/>
          <cell r="BW34"/>
          <cell r="BX34"/>
          <cell r="BY34"/>
        </row>
        <row r="35">
          <cell r="B35" t="str">
            <v>DTR2549-FM</v>
          </cell>
          <cell r="D35"/>
          <cell r="E35"/>
          <cell r="F35"/>
          <cell r="G35"/>
          <cell r="H35"/>
          <cell r="I35"/>
          <cell r="J35"/>
          <cell r="K35"/>
          <cell r="L35"/>
          <cell r="M35"/>
          <cell r="N35"/>
          <cell r="O35"/>
          <cell r="P35"/>
          <cell r="Q35"/>
          <cell r="R35"/>
          <cell r="S35"/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/>
          <cell r="AO35"/>
          <cell r="AP35"/>
          <cell r="AQ35"/>
          <cell r="AR35"/>
          <cell r="AS35"/>
          <cell r="AT35"/>
          <cell r="AU35"/>
          <cell r="AV35"/>
          <cell r="AW35"/>
          <cell r="AX35"/>
          <cell r="AY35"/>
          <cell r="AZ35"/>
          <cell r="BA35"/>
          <cell r="BB35"/>
          <cell r="BC35"/>
          <cell r="BD35"/>
          <cell r="BE35"/>
          <cell r="BF35"/>
          <cell r="BG35"/>
          <cell r="BH35"/>
          <cell r="BI35"/>
          <cell r="BJ35"/>
          <cell r="BK35"/>
          <cell r="BL35"/>
          <cell r="BM35"/>
          <cell r="BN35"/>
          <cell r="BO35"/>
          <cell r="BP35"/>
          <cell r="BQ35"/>
          <cell r="BR35"/>
          <cell r="BS35"/>
          <cell r="BT35"/>
          <cell r="BU35"/>
          <cell r="BV35"/>
          <cell r="BW35"/>
          <cell r="BX35"/>
          <cell r="BY35"/>
        </row>
        <row r="36">
          <cell r="B36" t="str">
            <v>30211-MX</v>
          </cell>
          <cell r="D36"/>
          <cell r="E36"/>
          <cell r="F36"/>
          <cell r="G36"/>
          <cell r="H36"/>
          <cell r="I36"/>
          <cell r="J36"/>
          <cell r="K36"/>
          <cell r="L36"/>
          <cell r="M36"/>
          <cell r="N36"/>
          <cell r="O36"/>
          <cell r="P36"/>
          <cell r="Q36"/>
          <cell r="R36"/>
          <cell r="S36"/>
          <cell r="T36"/>
          <cell r="U36"/>
          <cell r="V36"/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/>
          <cell r="AW36"/>
          <cell r="AX36"/>
          <cell r="AY36"/>
          <cell r="AZ36"/>
          <cell r="BA36"/>
          <cell r="BB36"/>
          <cell r="BC36"/>
          <cell r="BD36"/>
          <cell r="BE36"/>
          <cell r="BF36"/>
          <cell r="BG36"/>
          <cell r="BH36"/>
          <cell r="BI36"/>
          <cell r="BJ36"/>
          <cell r="BK36"/>
          <cell r="BL36"/>
          <cell r="BM36"/>
          <cell r="BN36"/>
          <cell r="BO36"/>
          <cell r="BP36"/>
          <cell r="BQ36"/>
          <cell r="BR36"/>
          <cell r="BS36"/>
          <cell r="BT36"/>
          <cell r="BU36"/>
          <cell r="BV36"/>
          <cell r="BW36"/>
          <cell r="BX36"/>
          <cell r="BY36"/>
        </row>
        <row r="37">
          <cell r="B37" t="str">
            <v>32218-MX</v>
          </cell>
          <cell r="D37"/>
          <cell r="E37"/>
          <cell r="F37"/>
          <cell r="G37"/>
          <cell r="H37"/>
          <cell r="I37"/>
          <cell r="J37"/>
          <cell r="K37"/>
          <cell r="L37"/>
          <cell r="M37"/>
          <cell r="N37"/>
          <cell r="O37"/>
          <cell r="P37"/>
          <cell r="Q37"/>
          <cell r="R37"/>
          <cell r="S37"/>
          <cell r="T37"/>
          <cell r="U37"/>
          <cell r="V37"/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/>
          <cell r="AO37"/>
          <cell r="AP37"/>
          <cell r="AQ37"/>
          <cell r="AR37"/>
          <cell r="AS37"/>
          <cell r="AT37"/>
          <cell r="AU37"/>
          <cell r="AV37"/>
          <cell r="AW37"/>
          <cell r="AX37"/>
          <cell r="AY37"/>
          <cell r="AZ37"/>
          <cell r="BA37"/>
          <cell r="BB37"/>
          <cell r="BC37"/>
          <cell r="BD37"/>
          <cell r="BE37"/>
          <cell r="BF37"/>
          <cell r="BG37"/>
          <cell r="BH37"/>
          <cell r="BI37"/>
          <cell r="BJ37"/>
          <cell r="BK37"/>
          <cell r="BL37"/>
          <cell r="BM37"/>
          <cell r="BN37"/>
          <cell r="BO37"/>
          <cell r="BP37"/>
          <cell r="BQ37"/>
          <cell r="BR37"/>
          <cell r="BS37"/>
          <cell r="BT37"/>
          <cell r="BU37"/>
          <cell r="BV37"/>
          <cell r="BW37"/>
          <cell r="BX37"/>
          <cell r="BY37"/>
        </row>
        <row r="38">
          <cell r="B38" t="str">
            <v>S410000034</v>
          </cell>
          <cell r="D38"/>
          <cell r="E38"/>
          <cell r="F38"/>
          <cell r="G38"/>
          <cell r="H38"/>
          <cell r="I38"/>
          <cell r="J38"/>
          <cell r="K38"/>
          <cell r="L38"/>
          <cell r="M38"/>
          <cell r="N38"/>
          <cell r="O38"/>
          <cell r="P38"/>
          <cell r="Q38"/>
          <cell r="R38"/>
          <cell r="S38"/>
          <cell r="T38"/>
          <cell r="U38"/>
          <cell r="V38"/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/>
          <cell r="AW38"/>
          <cell r="AX38"/>
          <cell r="AY38"/>
          <cell r="AZ38"/>
          <cell r="BA38"/>
          <cell r="BB38"/>
          <cell r="BC38"/>
          <cell r="BD38"/>
          <cell r="BE38"/>
          <cell r="BF38"/>
          <cell r="BG38"/>
          <cell r="BH38"/>
          <cell r="BI38"/>
          <cell r="BJ38"/>
          <cell r="BK38"/>
          <cell r="BL38"/>
          <cell r="BM38"/>
          <cell r="BN38"/>
          <cell r="BO38"/>
          <cell r="BP38"/>
          <cell r="BQ38"/>
          <cell r="BR38"/>
          <cell r="BS38"/>
          <cell r="BT38"/>
          <cell r="BU38"/>
          <cell r="BV38"/>
          <cell r="BW38"/>
          <cell r="BX38"/>
          <cell r="BY38"/>
        </row>
        <row r="39">
          <cell r="B39" t="str">
            <v>12025-P</v>
          </cell>
          <cell r="D39"/>
          <cell r="E39"/>
          <cell r="F39"/>
          <cell r="G39"/>
          <cell r="H39"/>
          <cell r="I39"/>
          <cell r="J39"/>
          <cell r="K39"/>
          <cell r="L39"/>
          <cell r="M39"/>
          <cell r="N39"/>
          <cell r="O39"/>
          <cell r="P39"/>
          <cell r="Q39"/>
          <cell r="R39"/>
          <cell r="S39"/>
          <cell r="T39"/>
          <cell r="U39"/>
          <cell r="V39"/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  <cell r="AL39"/>
          <cell r="AM39"/>
          <cell r="AN39"/>
          <cell r="AO39"/>
          <cell r="AP39"/>
          <cell r="AQ39"/>
          <cell r="AR39"/>
          <cell r="AS39"/>
          <cell r="AT39"/>
          <cell r="AU39"/>
          <cell r="AV39"/>
          <cell r="AW39"/>
          <cell r="AX39"/>
          <cell r="AY39"/>
          <cell r="AZ39"/>
          <cell r="BA39"/>
          <cell r="BB39"/>
          <cell r="BC39"/>
          <cell r="BD39"/>
          <cell r="BE39"/>
          <cell r="BF39"/>
          <cell r="BG39"/>
          <cell r="BH39"/>
          <cell r="BI39"/>
          <cell r="BJ39"/>
          <cell r="BK39"/>
          <cell r="BL39"/>
          <cell r="BM39"/>
          <cell r="BN39"/>
          <cell r="BO39"/>
          <cell r="BP39"/>
          <cell r="BQ39"/>
          <cell r="BR39"/>
          <cell r="BS39"/>
          <cell r="BT39"/>
          <cell r="BU39"/>
          <cell r="BV39"/>
          <cell r="BW39"/>
          <cell r="BX39"/>
          <cell r="BY39"/>
        </row>
        <row r="40">
          <cell r="B40" t="str">
            <v>AG-04.038.1</v>
          </cell>
          <cell r="D40"/>
          <cell r="E40"/>
          <cell r="F40"/>
          <cell r="G40"/>
          <cell r="H40"/>
          <cell r="I40"/>
          <cell r="J40"/>
          <cell r="K40"/>
          <cell r="L40"/>
          <cell r="M40"/>
          <cell r="N40"/>
          <cell r="O40"/>
          <cell r="P40"/>
          <cell r="Q40"/>
          <cell r="R40"/>
          <cell r="S40"/>
          <cell r="T40"/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/>
          <cell r="AW40"/>
          <cell r="AX40"/>
          <cell r="AY40"/>
          <cell r="AZ40"/>
          <cell r="BA40"/>
          <cell r="BB40"/>
          <cell r="BC40"/>
          <cell r="BD40"/>
          <cell r="BE40"/>
          <cell r="BF40"/>
          <cell r="BG40"/>
          <cell r="BH40"/>
          <cell r="BI40"/>
          <cell r="BJ40"/>
          <cell r="BK40"/>
          <cell r="BL40"/>
          <cell r="BM40"/>
          <cell r="BN40"/>
          <cell r="BO40"/>
          <cell r="BP40"/>
          <cell r="BQ40"/>
          <cell r="BR40"/>
          <cell r="BS40"/>
          <cell r="BT40"/>
          <cell r="BU40"/>
          <cell r="BV40"/>
          <cell r="BW40"/>
          <cell r="BX40"/>
          <cell r="BY40"/>
        </row>
        <row r="41">
          <cell r="B41" t="str">
            <v>LS06-2RST</v>
          </cell>
          <cell r="D41"/>
          <cell r="E41"/>
          <cell r="F41"/>
          <cell r="G41"/>
          <cell r="H41"/>
          <cell r="I41"/>
          <cell r="J41"/>
          <cell r="K41"/>
          <cell r="L41"/>
          <cell r="M41"/>
          <cell r="N41"/>
          <cell r="O41"/>
          <cell r="P41"/>
          <cell r="Q41"/>
          <cell r="R41"/>
          <cell r="S41"/>
          <cell r="T41"/>
          <cell r="U41"/>
          <cell r="V41"/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/>
          <cell r="AO41"/>
          <cell r="AP41"/>
          <cell r="AQ41"/>
          <cell r="AR41"/>
          <cell r="AS41"/>
          <cell r="AT41"/>
          <cell r="AU41"/>
          <cell r="AV41"/>
          <cell r="AW41"/>
          <cell r="AX41"/>
          <cell r="AY41"/>
          <cell r="AZ41"/>
          <cell r="BA41"/>
          <cell r="BB41"/>
          <cell r="BC41"/>
          <cell r="BD41"/>
          <cell r="BE41"/>
          <cell r="BF41"/>
          <cell r="BG41"/>
          <cell r="BH41"/>
          <cell r="BI41"/>
          <cell r="BJ41"/>
          <cell r="BK41"/>
          <cell r="BL41"/>
          <cell r="BM41"/>
          <cell r="BN41"/>
          <cell r="BO41"/>
          <cell r="BP41"/>
          <cell r="BQ41"/>
          <cell r="BR41"/>
          <cell r="BS41"/>
          <cell r="BT41"/>
          <cell r="BU41"/>
          <cell r="BV41"/>
          <cell r="BW41"/>
          <cell r="BX41"/>
          <cell r="BY41"/>
        </row>
        <row r="42">
          <cell r="B42" t="str">
            <v>320-32X</v>
          </cell>
          <cell r="D42"/>
          <cell r="E42"/>
          <cell r="F42"/>
          <cell r="G42"/>
          <cell r="H42"/>
          <cell r="I42"/>
          <cell r="J42"/>
          <cell r="K42"/>
          <cell r="L42"/>
          <cell r="M42"/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/>
          <cell r="AN42"/>
          <cell r="AO42"/>
          <cell r="AP42"/>
          <cell r="AQ42"/>
          <cell r="AR42"/>
          <cell r="AS42"/>
          <cell r="AT42"/>
          <cell r="AU42"/>
          <cell r="AV42"/>
          <cell r="AW42"/>
          <cell r="AX42"/>
          <cell r="AY42"/>
          <cell r="AZ42"/>
          <cell r="BA42"/>
          <cell r="BB42"/>
          <cell r="BC42"/>
          <cell r="BD42"/>
          <cell r="BE42"/>
          <cell r="BF42"/>
          <cell r="BG42"/>
          <cell r="BH42"/>
          <cell r="BI42"/>
          <cell r="BJ42"/>
          <cell r="BK42"/>
          <cell r="BL42"/>
          <cell r="BM42"/>
          <cell r="BN42"/>
          <cell r="BO42"/>
          <cell r="BP42"/>
          <cell r="BQ42"/>
          <cell r="BR42"/>
          <cell r="BS42"/>
          <cell r="BT42"/>
          <cell r="BU42"/>
          <cell r="BV42"/>
          <cell r="BW42"/>
          <cell r="BX42"/>
          <cell r="BY42"/>
        </row>
        <row r="43">
          <cell r="B43" t="str">
            <v>32213-MX</v>
          </cell>
          <cell r="D43"/>
          <cell r="E43"/>
          <cell r="F43"/>
          <cell r="G43"/>
          <cell r="H43"/>
          <cell r="I43"/>
          <cell r="J43"/>
          <cell r="K43"/>
          <cell r="L43"/>
          <cell r="M43"/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/>
          <cell r="AO43"/>
          <cell r="AP43"/>
          <cell r="AQ43"/>
          <cell r="AR43"/>
          <cell r="AS43"/>
          <cell r="AT43"/>
          <cell r="AU43"/>
          <cell r="AV43"/>
          <cell r="AW43"/>
          <cell r="AX43"/>
          <cell r="AY43"/>
          <cell r="AZ43"/>
          <cell r="BA43"/>
          <cell r="BB43"/>
          <cell r="BC43"/>
          <cell r="BD43"/>
          <cell r="BE43"/>
          <cell r="BF43"/>
          <cell r="BG43"/>
          <cell r="BH43"/>
          <cell r="BI43"/>
          <cell r="BJ43"/>
          <cell r="BK43"/>
          <cell r="BL43"/>
          <cell r="BM43"/>
          <cell r="BN43"/>
          <cell r="BO43"/>
          <cell r="BP43"/>
          <cell r="BQ43"/>
          <cell r="BR43"/>
          <cell r="BS43"/>
          <cell r="BT43"/>
          <cell r="BU43"/>
          <cell r="BV43"/>
          <cell r="BW43"/>
          <cell r="BX43"/>
          <cell r="BY43"/>
        </row>
        <row r="44">
          <cell r="B44" t="str">
            <v>32209-MX</v>
          </cell>
          <cell r="D44"/>
          <cell r="E44"/>
          <cell r="F44"/>
          <cell r="G44"/>
          <cell r="H44"/>
          <cell r="I44"/>
          <cell r="J44"/>
          <cell r="K44"/>
          <cell r="L44"/>
          <cell r="M44"/>
          <cell r="N44"/>
          <cell r="O44"/>
          <cell r="P44"/>
          <cell r="Q44"/>
          <cell r="R44"/>
          <cell r="S44"/>
          <cell r="T44"/>
          <cell r="U44"/>
          <cell r="V44"/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/>
          <cell r="AN44"/>
          <cell r="AO44"/>
          <cell r="AP44"/>
          <cell r="AQ44"/>
          <cell r="AR44"/>
          <cell r="AS44"/>
          <cell r="AT44"/>
          <cell r="AU44"/>
          <cell r="AV44"/>
          <cell r="AW44"/>
          <cell r="AX44"/>
          <cell r="AY44"/>
          <cell r="AZ44"/>
          <cell r="BA44"/>
          <cell r="BB44"/>
          <cell r="BC44"/>
          <cell r="BD44"/>
          <cell r="BE44"/>
          <cell r="BF44"/>
          <cell r="BG44"/>
          <cell r="BH44"/>
          <cell r="BI44"/>
          <cell r="BJ44"/>
          <cell r="BK44"/>
          <cell r="BL44"/>
          <cell r="BM44"/>
          <cell r="BN44"/>
          <cell r="BO44"/>
          <cell r="BP44"/>
          <cell r="BQ44"/>
          <cell r="BR44"/>
          <cell r="BS44"/>
          <cell r="BT44"/>
          <cell r="BU44"/>
          <cell r="BV44"/>
          <cell r="BW44"/>
          <cell r="BX44"/>
          <cell r="BY44"/>
        </row>
        <row r="45">
          <cell r="B45" t="str">
            <v>SAB207-P</v>
          </cell>
          <cell r="D45"/>
          <cell r="E45"/>
          <cell r="F45"/>
          <cell r="G45"/>
          <cell r="H45"/>
          <cell r="I45"/>
          <cell r="J45"/>
          <cell r="K45"/>
          <cell r="L45"/>
          <cell r="M45"/>
          <cell r="N45"/>
          <cell r="O45"/>
          <cell r="P45"/>
          <cell r="Q45"/>
          <cell r="R45"/>
          <cell r="S45"/>
          <cell r="T45"/>
          <cell r="U45"/>
          <cell r="V45"/>
          <cell r="W45"/>
          <cell r="X45"/>
          <cell r="Y45"/>
          <cell r="Z45"/>
          <cell r="AA45"/>
          <cell r="AB45"/>
          <cell r="AC45"/>
          <cell r="AD45"/>
          <cell r="AE45"/>
          <cell r="AF45"/>
          <cell r="AG45"/>
          <cell r="AH45"/>
          <cell r="AI45"/>
          <cell r="AJ45"/>
          <cell r="AK45"/>
          <cell r="AL45"/>
          <cell r="AM45"/>
          <cell r="AN45"/>
          <cell r="AO45"/>
          <cell r="AP45"/>
          <cell r="AQ45"/>
          <cell r="AR45"/>
          <cell r="AS45"/>
          <cell r="AT45"/>
          <cell r="AU45"/>
          <cell r="AV45"/>
          <cell r="AW45"/>
          <cell r="AX45"/>
          <cell r="AY45"/>
          <cell r="AZ45"/>
          <cell r="BA45"/>
          <cell r="BB45"/>
          <cell r="BC45"/>
          <cell r="BD45"/>
          <cell r="BE45"/>
          <cell r="BF45"/>
          <cell r="BG45"/>
          <cell r="BH45"/>
          <cell r="BI45"/>
          <cell r="BJ45"/>
          <cell r="BK45"/>
          <cell r="BL45"/>
          <cell r="BM45"/>
          <cell r="BN45"/>
          <cell r="BO45"/>
          <cell r="BP45"/>
          <cell r="BQ45"/>
          <cell r="BR45"/>
          <cell r="BS45"/>
          <cell r="BT45"/>
          <cell r="BU45"/>
          <cell r="BV45"/>
          <cell r="BW45"/>
          <cell r="BX45"/>
          <cell r="BY45"/>
        </row>
        <row r="46">
          <cell r="B46" t="str">
            <v>HCFTS206-20</v>
          </cell>
          <cell r="D46"/>
          <cell r="E46"/>
          <cell r="F46"/>
          <cell r="G46"/>
          <cell r="H46"/>
          <cell r="I46"/>
          <cell r="J46"/>
          <cell r="K46"/>
          <cell r="L46"/>
          <cell r="M46"/>
          <cell r="N46"/>
          <cell r="O46"/>
          <cell r="P46"/>
          <cell r="Q46"/>
          <cell r="R46"/>
          <cell r="S46"/>
          <cell r="T46"/>
          <cell r="U46"/>
          <cell r="V46"/>
          <cell r="W46"/>
          <cell r="X46"/>
          <cell r="Y46"/>
          <cell r="Z46"/>
          <cell r="AA46"/>
          <cell r="AB46"/>
          <cell r="AC46"/>
          <cell r="AD46"/>
          <cell r="AE46"/>
          <cell r="AF46"/>
          <cell r="AG46"/>
          <cell r="AH46"/>
          <cell r="AI46"/>
          <cell r="AJ46"/>
          <cell r="AK46"/>
          <cell r="AL46"/>
          <cell r="AM46"/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/>
          <cell r="BB46"/>
          <cell r="BC46"/>
          <cell r="BD46"/>
          <cell r="BE46"/>
          <cell r="BF46"/>
          <cell r="BG46"/>
          <cell r="BH46"/>
          <cell r="BI46"/>
          <cell r="BJ46"/>
          <cell r="BK46"/>
          <cell r="BL46"/>
          <cell r="BM46"/>
          <cell r="BN46"/>
          <cell r="BO46"/>
          <cell r="BP46"/>
          <cell r="BQ46"/>
          <cell r="BR46"/>
          <cell r="BS46"/>
          <cell r="BT46"/>
          <cell r="BU46"/>
          <cell r="BV46"/>
          <cell r="BW46"/>
          <cell r="BX46"/>
          <cell r="BY46"/>
        </row>
        <row r="47">
          <cell r="B47" t="str">
            <v>HCP210-31-HA</v>
          </cell>
          <cell r="D47"/>
          <cell r="E47"/>
          <cell r="F47"/>
          <cell r="G47"/>
          <cell r="H47"/>
          <cell r="I47"/>
          <cell r="J47"/>
          <cell r="K47"/>
          <cell r="L47"/>
          <cell r="M47"/>
          <cell r="N47"/>
          <cell r="O47"/>
          <cell r="P47"/>
          <cell r="Q47"/>
          <cell r="R47"/>
          <cell r="S47"/>
          <cell r="T47"/>
          <cell r="U47"/>
          <cell r="V47"/>
          <cell r="W47"/>
          <cell r="X47"/>
          <cell r="Y47"/>
          <cell r="Z47"/>
          <cell r="AA47"/>
          <cell r="AB47"/>
          <cell r="AC47"/>
          <cell r="AD47"/>
          <cell r="AE47"/>
          <cell r="AF47"/>
          <cell r="AG47"/>
          <cell r="AH47"/>
          <cell r="AI47"/>
          <cell r="AJ47"/>
          <cell r="AK47"/>
          <cell r="AL47"/>
          <cell r="AM47"/>
          <cell r="AN47"/>
          <cell r="AO47"/>
          <cell r="AP47"/>
          <cell r="AQ47"/>
          <cell r="AR47"/>
          <cell r="AS47"/>
          <cell r="AT47"/>
          <cell r="AU47"/>
          <cell r="AV47"/>
          <cell r="AW47"/>
          <cell r="AX47"/>
          <cell r="AY47"/>
          <cell r="AZ47"/>
          <cell r="BA47"/>
          <cell r="BB47"/>
          <cell r="BC47"/>
          <cell r="BD47"/>
          <cell r="BE47"/>
          <cell r="BF47"/>
          <cell r="BG47"/>
          <cell r="BH47"/>
          <cell r="BI47"/>
          <cell r="BJ47"/>
          <cell r="BK47"/>
          <cell r="BL47"/>
          <cell r="BM47"/>
          <cell r="BN47"/>
          <cell r="BO47"/>
          <cell r="BP47"/>
          <cell r="BQ47"/>
          <cell r="BR47"/>
          <cell r="BS47"/>
          <cell r="BT47"/>
          <cell r="BU47"/>
          <cell r="BV47"/>
          <cell r="BW47"/>
          <cell r="BX47"/>
          <cell r="BY47"/>
        </row>
        <row r="48">
          <cell r="B48" t="str">
            <v>32216-MX</v>
          </cell>
          <cell r="D48"/>
          <cell r="E48"/>
          <cell r="F48"/>
          <cell r="G48"/>
          <cell r="H48"/>
          <cell r="I48"/>
          <cell r="J48"/>
          <cell r="K48"/>
          <cell r="L48"/>
          <cell r="M48"/>
          <cell r="N48"/>
          <cell r="O48"/>
          <cell r="P48"/>
          <cell r="Q48"/>
          <cell r="R48"/>
          <cell r="S48"/>
          <cell r="T48"/>
          <cell r="U48"/>
          <cell r="V48"/>
          <cell r="W48"/>
          <cell r="X48"/>
          <cell r="Y48"/>
          <cell r="Z48"/>
          <cell r="AA48"/>
          <cell r="AB48"/>
          <cell r="AC48"/>
          <cell r="AD48"/>
          <cell r="AE48"/>
          <cell r="AF48"/>
          <cell r="AG48"/>
          <cell r="AH48"/>
          <cell r="AI48"/>
          <cell r="AJ48"/>
          <cell r="AK48"/>
          <cell r="AL48"/>
          <cell r="AM48"/>
          <cell r="AN48"/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/>
          <cell r="BB48"/>
          <cell r="BC48"/>
          <cell r="BD48"/>
          <cell r="BE48"/>
          <cell r="BF48"/>
          <cell r="BG48"/>
          <cell r="BH48"/>
          <cell r="BI48"/>
          <cell r="BJ48"/>
          <cell r="BK48"/>
          <cell r="BL48"/>
          <cell r="BM48"/>
          <cell r="BN48"/>
          <cell r="BO48"/>
          <cell r="BP48"/>
          <cell r="BQ48"/>
          <cell r="BR48"/>
          <cell r="BS48"/>
          <cell r="BT48"/>
          <cell r="BU48"/>
          <cell r="BV48"/>
          <cell r="BW48"/>
          <cell r="BX48"/>
          <cell r="BY48"/>
        </row>
        <row r="49">
          <cell r="B49" t="str">
            <v>32211-MX</v>
          </cell>
          <cell r="D49"/>
          <cell r="E49"/>
          <cell r="F49"/>
          <cell r="G49"/>
          <cell r="H49"/>
          <cell r="I49"/>
          <cell r="J49"/>
          <cell r="K49"/>
          <cell r="L49"/>
          <cell r="M49"/>
          <cell r="N49"/>
          <cell r="O49"/>
          <cell r="P49"/>
          <cell r="Q49"/>
          <cell r="R49"/>
          <cell r="S49"/>
          <cell r="T49"/>
          <cell r="U49"/>
          <cell r="V49"/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/>
          <cell r="AN49"/>
          <cell r="AO49"/>
          <cell r="AP49"/>
          <cell r="AQ49"/>
          <cell r="AR49"/>
          <cell r="AS49"/>
          <cell r="AT49"/>
          <cell r="AU49"/>
          <cell r="AV49"/>
          <cell r="AW49"/>
          <cell r="AX49"/>
          <cell r="AY49"/>
          <cell r="AZ49"/>
          <cell r="BA49"/>
          <cell r="BB49"/>
          <cell r="BC49"/>
          <cell r="BD49"/>
          <cell r="BE49"/>
          <cell r="BF49"/>
          <cell r="BG49"/>
          <cell r="BH49"/>
          <cell r="BI49"/>
          <cell r="BJ49"/>
          <cell r="BK49"/>
          <cell r="BL49"/>
          <cell r="BM49"/>
          <cell r="BN49"/>
          <cell r="BO49"/>
          <cell r="BP49"/>
          <cell r="BQ49"/>
          <cell r="BR49"/>
          <cell r="BS49"/>
          <cell r="BT49"/>
          <cell r="BU49"/>
          <cell r="BV49"/>
          <cell r="BW49"/>
          <cell r="BX49"/>
          <cell r="BY49"/>
        </row>
        <row r="50">
          <cell r="B50" t="str">
            <v>AG307516-CHS</v>
          </cell>
          <cell r="D50"/>
          <cell r="E50"/>
          <cell r="F50"/>
          <cell r="G50"/>
          <cell r="H50"/>
          <cell r="I50"/>
          <cell r="J50"/>
          <cell r="K50"/>
          <cell r="L50"/>
          <cell r="M50"/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/>
          <cell r="BI50"/>
          <cell r="BJ50"/>
          <cell r="BK50"/>
          <cell r="BL50"/>
          <cell r="BM50"/>
          <cell r="BN50"/>
          <cell r="BO50"/>
          <cell r="BP50"/>
          <cell r="BQ50"/>
          <cell r="BR50"/>
          <cell r="BS50"/>
          <cell r="BT50"/>
          <cell r="BU50"/>
          <cell r="BV50"/>
          <cell r="BW50"/>
          <cell r="BX50"/>
          <cell r="BY50"/>
        </row>
        <row r="51">
          <cell r="B51" t="str">
            <v>MG-206-RR3</v>
          </cell>
          <cell r="D51"/>
          <cell r="E51"/>
          <cell r="F51"/>
          <cell r="G51"/>
          <cell r="H51"/>
          <cell r="I51"/>
          <cell r="J51"/>
          <cell r="K51"/>
          <cell r="L51"/>
          <cell r="M51"/>
          <cell r="N51"/>
          <cell r="O51"/>
          <cell r="P51"/>
          <cell r="Q51"/>
          <cell r="R51"/>
          <cell r="S51"/>
          <cell r="T51"/>
          <cell r="U51"/>
          <cell r="V51"/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/>
          <cell r="AN51"/>
          <cell r="AO51"/>
          <cell r="AP51"/>
          <cell r="AQ51"/>
          <cell r="AR51"/>
          <cell r="AS51"/>
          <cell r="AT51"/>
          <cell r="AU51"/>
          <cell r="AV51"/>
          <cell r="AW51"/>
          <cell r="AX51"/>
          <cell r="AY51"/>
          <cell r="AZ51"/>
          <cell r="BA51"/>
          <cell r="BB51"/>
          <cell r="BC51"/>
          <cell r="BD51"/>
          <cell r="BE51"/>
          <cell r="BF51"/>
          <cell r="BG51"/>
          <cell r="BH51"/>
          <cell r="BI51"/>
          <cell r="BJ51"/>
          <cell r="BK51"/>
          <cell r="BL51"/>
          <cell r="BM51"/>
          <cell r="BN51"/>
          <cell r="BO51"/>
          <cell r="BP51"/>
          <cell r="BQ51"/>
          <cell r="BR51"/>
          <cell r="BS51"/>
          <cell r="BT51"/>
          <cell r="BU51"/>
          <cell r="BV51"/>
          <cell r="BW51"/>
          <cell r="BX51"/>
          <cell r="BY51"/>
        </row>
        <row r="52">
          <cell r="B52" t="str">
            <v>BP-22002</v>
          </cell>
          <cell r="D52"/>
          <cell r="E52"/>
          <cell r="F52"/>
          <cell r="G52"/>
          <cell r="H52"/>
          <cell r="I52"/>
          <cell r="J52"/>
          <cell r="K52"/>
          <cell r="L52"/>
          <cell r="M52"/>
          <cell r="N52"/>
          <cell r="O52"/>
          <cell r="P52"/>
          <cell r="Q52"/>
          <cell r="R52"/>
          <cell r="S52"/>
          <cell r="T52"/>
          <cell r="U52"/>
          <cell r="V52"/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/>
          <cell r="AW52"/>
          <cell r="AX52"/>
          <cell r="AY52"/>
          <cell r="AZ52"/>
          <cell r="BA52"/>
          <cell r="BB52"/>
          <cell r="BC52"/>
          <cell r="BD52"/>
          <cell r="BE52"/>
          <cell r="BF52"/>
          <cell r="BG52"/>
          <cell r="BH52"/>
          <cell r="BI52"/>
          <cell r="BJ52"/>
          <cell r="BK52"/>
          <cell r="BL52"/>
          <cell r="BM52"/>
          <cell r="BN52"/>
          <cell r="BO52"/>
          <cell r="BP52"/>
          <cell r="BQ52"/>
          <cell r="BR52"/>
          <cell r="BS52"/>
          <cell r="BT52"/>
          <cell r="BU52"/>
          <cell r="BV52"/>
          <cell r="BW52"/>
          <cell r="BX52"/>
          <cell r="BY52"/>
        </row>
        <row r="53">
          <cell r="B53" t="str">
            <v>30203-MX</v>
          </cell>
          <cell r="D53"/>
          <cell r="E53"/>
          <cell r="F53"/>
          <cell r="G53"/>
          <cell r="H53"/>
          <cell r="I53"/>
          <cell r="J53"/>
          <cell r="K53"/>
          <cell r="L53"/>
          <cell r="M53"/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/>
          <cell r="AJ53"/>
          <cell r="AK53"/>
          <cell r="AL53"/>
          <cell r="AM53"/>
          <cell r="AN53"/>
          <cell r="AO53"/>
          <cell r="AP53"/>
          <cell r="AQ53"/>
          <cell r="AR53"/>
          <cell r="AS53"/>
          <cell r="AT53"/>
          <cell r="AU53"/>
          <cell r="AV53"/>
          <cell r="AW53"/>
          <cell r="AX53"/>
          <cell r="AY53"/>
          <cell r="AZ53"/>
          <cell r="BA53"/>
          <cell r="BB53"/>
          <cell r="BC53"/>
          <cell r="BD53"/>
          <cell r="BE53"/>
          <cell r="BF53"/>
          <cell r="BG53"/>
          <cell r="BH53"/>
          <cell r="BI53"/>
          <cell r="BJ53"/>
          <cell r="BK53"/>
          <cell r="BL53"/>
          <cell r="BM53"/>
          <cell r="BN53"/>
          <cell r="BO53"/>
          <cell r="BP53"/>
          <cell r="BQ53"/>
          <cell r="BR53"/>
          <cell r="BS53"/>
          <cell r="BT53"/>
          <cell r="BU53"/>
          <cell r="BV53"/>
          <cell r="BW53"/>
          <cell r="BX53"/>
          <cell r="BY53"/>
        </row>
        <row r="54">
          <cell r="B54" t="str">
            <v>MS04-2RST</v>
          </cell>
          <cell r="D54"/>
          <cell r="E54"/>
          <cell r="F54"/>
          <cell r="G54"/>
          <cell r="H54"/>
          <cell r="I54"/>
          <cell r="J54"/>
          <cell r="K54"/>
          <cell r="L54"/>
          <cell r="M54"/>
          <cell r="N54"/>
          <cell r="O54"/>
          <cell r="P54"/>
          <cell r="Q54"/>
          <cell r="R54"/>
          <cell r="S54"/>
          <cell r="T54"/>
          <cell r="U54"/>
          <cell r="V54"/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/>
          <cell r="AJ54"/>
          <cell r="AK54"/>
          <cell r="AL54"/>
          <cell r="AM54"/>
          <cell r="AN54"/>
          <cell r="AO54"/>
          <cell r="AP54"/>
          <cell r="AQ54"/>
          <cell r="AR54"/>
          <cell r="AS54"/>
          <cell r="AT54"/>
          <cell r="AU54"/>
          <cell r="AV54"/>
          <cell r="AW54"/>
          <cell r="AX54"/>
          <cell r="AY54"/>
          <cell r="AZ54"/>
          <cell r="BA54"/>
          <cell r="BB54"/>
          <cell r="BC54"/>
          <cell r="BD54"/>
          <cell r="BE54"/>
          <cell r="BF54"/>
          <cell r="BG54"/>
          <cell r="BH54"/>
          <cell r="BI54"/>
          <cell r="BJ54"/>
          <cell r="BK54"/>
          <cell r="BL54"/>
          <cell r="BM54"/>
          <cell r="BN54"/>
          <cell r="BO54"/>
          <cell r="BP54"/>
          <cell r="BQ54"/>
          <cell r="BR54"/>
          <cell r="BS54"/>
          <cell r="BT54"/>
          <cell r="BU54"/>
          <cell r="BV54"/>
          <cell r="BW54"/>
          <cell r="BX54"/>
          <cell r="BY54"/>
        </row>
        <row r="55">
          <cell r="B55" t="str">
            <v>32212-MX</v>
          </cell>
          <cell r="D55"/>
          <cell r="E55"/>
          <cell r="F55"/>
          <cell r="G55"/>
          <cell r="H55"/>
          <cell r="I55"/>
          <cell r="J55"/>
          <cell r="K55"/>
          <cell r="L55"/>
          <cell r="M55"/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/>
          <cell r="AO55"/>
          <cell r="AP55"/>
          <cell r="AQ55"/>
          <cell r="AR55"/>
          <cell r="AS55"/>
          <cell r="AT55"/>
          <cell r="AU55"/>
          <cell r="AV55"/>
          <cell r="AW55"/>
          <cell r="AX55"/>
          <cell r="AY55"/>
          <cell r="AZ55"/>
          <cell r="BA55"/>
          <cell r="BB55"/>
          <cell r="BC55"/>
          <cell r="BD55"/>
          <cell r="BE55"/>
          <cell r="BF55"/>
          <cell r="BG55"/>
          <cell r="BH55"/>
          <cell r="BI55"/>
          <cell r="BJ55"/>
          <cell r="BK55"/>
          <cell r="BL55"/>
          <cell r="BM55"/>
          <cell r="BN55"/>
          <cell r="BO55"/>
          <cell r="BP55"/>
          <cell r="BQ55"/>
          <cell r="BR55"/>
          <cell r="BS55"/>
          <cell r="BT55"/>
          <cell r="BU55"/>
          <cell r="BV55"/>
          <cell r="BW55"/>
          <cell r="BX55"/>
          <cell r="BY55"/>
        </row>
        <row r="56">
          <cell r="B56" t="str">
            <v>04330121-01</v>
          </cell>
          <cell r="D56"/>
          <cell r="E56"/>
          <cell r="F56"/>
          <cell r="G56"/>
          <cell r="H56"/>
          <cell r="I56"/>
          <cell r="J56"/>
          <cell r="K56"/>
          <cell r="L56"/>
          <cell r="M56"/>
          <cell r="N56"/>
          <cell r="O56"/>
          <cell r="P56"/>
          <cell r="Q56"/>
          <cell r="R56"/>
          <cell r="S56"/>
          <cell r="T56"/>
          <cell r="U56"/>
          <cell r="V56"/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/>
          <cell r="AJ56"/>
          <cell r="AK56"/>
          <cell r="AL56"/>
          <cell r="AM56"/>
          <cell r="AN56"/>
          <cell r="AO56"/>
          <cell r="AP56"/>
          <cell r="AQ56"/>
          <cell r="AR56"/>
          <cell r="AS56"/>
          <cell r="AT56"/>
          <cell r="AU56"/>
          <cell r="AV56"/>
          <cell r="AW56"/>
          <cell r="AX56"/>
          <cell r="AY56"/>
          <cell r="AZ56"/>
          <cell r="BA56"/>
          <cell r="BB56"/>
          <cell r="BC56"/>
          <cell r="BD56"/>
          <cell r="BE56"/>
          <cell r="BF56"/>
          <cell r="BG56"/>
          <cell r="BH56"/>
          <cell r="BI56"/>
          <cell r="BJ56"/>
          <cell r="BK56"/>
          <cell r="BL56"/>
          <cell r="BM56"/>
          <cell r="BN56"/>
          <cell r="BO56"/>
          <cell r="BP56"/>
          <cell r="BQ56"/>
          <cell r="BR56"/>
          <cell r="BS56"/>
          <cell r="BT56"/>
          <cell r="BU56"/>
          <cell r="BV56"/>
          <cell r="BW56"/>
          <cell r="BX56"/>
          <cell r="BY56"/>
        </row>
        <row r="57">
          <cell r="B57" t="str">
            <v>S41211-DTR</v>
          </cell>
          <cell r="D57"/>
          <cell r="E57"/>
          <cell r="F57"/>
          <cell r="G57"/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/>
          <cell r="S57"/>
          <cell r="T57"/>
          <cell r="U57"/>
          <cell r="V57"/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/>
          <cell r="AV57"/>
          <cell r="AW57"/>
          <cell r="AX57"/>
          <cell r="AY57"/>
          <cell r="AZ57"/>
          <cell r="BA57"/>
          <cell r="BB57"/>
          <cell r="BC57"/>
          <cell r="BD57"/>
          <cell r="BE57"/>
          <cell r="BF57"/>
          <cell r="BG57"/>
          <cell r="BH57"/>
          <cell r="BI57"/>
          <cell r="BJ57"/>
          <cell r="BK57"/>
          <cell r="BL57"/>
          <cell r="BM57"/>
          <cell r="BN57"/>
          <cell r="BO57"/>
          <cell r="BP57"/>
          <cell r="BQ57"/>
          <cell r="BR57"/>
          <cell r="BS57"/>
          <cell r="BT57"/>
          <cell r="BU57"/>
          <cell r="BV57"/>
          <cell r="BW57"/>
          <cell r="BX57"/>
          <cell r="BY57"/>
        </row>
        <row r="58">
          <cell r="B58" t="str">
            <v>AG-3565-CH</v>
          </cell>
          <cell r="D58"/>
          <cell r="E58"/>
          <cell r="F58"/>
          <cell r="G58"/>
          <cell r="H58"/>
          <cell r="I58"/>
          <cell r="J58"/>
          <cell r="K58"/>
          <cell r="L58"/>
          <cell r="M58"/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/>
          <cell r="AW58"/>
          <cell r="AX58"/>
          <cell r="AY58"/>
          <cell r="AZ58"/>
          <cell r="BA58"/>
          <cell r="BB58"/>
          <cell r="BC58"/>
          <cell r="BD58"/>
          <cell r="BE58"/>
          <cell r="BF58"/>
          <cell r="BG58"/>
          <cell r="BH58"/>
          <cell r="BI58"/>
          <cell r="BJ58"/>
          <cell r="BK58"/>
          <cell r="BL58"/>
          <cell r="BM58"/>
          <cell r="BN58"/>
          <cell r="BO58"/>
          <cell r="BP58"/>
          <cell r="BQ58"/>
          <cell r="BR58"/>
          <cell r="BS58"/>
          <cell r="BT58"/>
          <cell r="BU58"/>
          <cell r="BV58"/>
          <cell r="BW58"/>
          <cell r="BX58"/>
          <cell r="BY58"/>
        </row>
        <row r="59">
          <cell r="B59" t="str">
            <v>32010-MX</v>
          </cell>
          <cell r="D59"/>
          <cell r="E59"/>
          <cell r="F59"/>
          <cell r="G59"/>
          <cell r="H59"/>
          <cell r="I59"/>
          <cell r="J59"/>
          <cell r="K59"/>
          <cell r="L59"/>
          <cell r="M59"/>
          <cell r="N59"/>
          <cell r="O59"/>
          <cell r="P59"/>
          <cell r="Q59"/>
          <cell r="R59"/>
          <cell r="S59"/>
          <cell r="T59"/>
          <cell r="U59"/>
          <cell r="V59"/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/>
          <cell r="AO59"/>
          <cell r="AP59"/>
          <cell r="AQ59"/>
          <cell r="AR59"/>
          <cell r="AS59"/>
          <cell r="AT59"/>
          <cell r="AU59"/>
          <cell r="AV59"/>
          <cell r="AW59"/>
          <cell r="AX59"/>
          <cell r="AY59"/>
          <cell r="AZ59"/>
          <cell r="BA59"/>
          <cell r="BB59"/>
          <cell r="BC59"/>
          <cell r="BD59"/>
          <cell r="BE59"/>
          <cell r="BF59"/>
          <cell r="BG59"/>
          <cell r="BH59"/>
          <cell r="BI59"/>
          <cell r="BJ59"/>
          <cell r="BK59"/>
          <cell r="BL59"/>
          <cell r="BM59"/>
          <cell r="BN59"/>
          <cell r="BO59"/>
          <cell r="BP59"/>
          <cell r="BQ59"/>
          <cell r="BR59"/>
          <cell r="BS59"/>
          <cell r="BT59"/>
          <cell r="BU59"/>
          <cell r="BV59"/>
          <cell r="BW59"/>
          <cell r="BX59"/>
          <cell r="BY59"/>
        </row>
        <row r="60">
          <cell r="B60" t="str">
            <v>MS06-2RST</v>
          </cell>
          <cell r="D60"/>
          <cell r="E60"/>
          <cell r="F60"/>
          <cell r="G60"/>
          <cell r="H60"/>
          <cell r="I60"/>
          <cell r="J60"/>
          <cell r="K60"/>
          <cell r="L60"/>
          <cell r="M60"/>
          <cell r="N60"/>
          <cell r="O60"/>
          <cell r="P60"/>
          <cell r="Q60"/>
          <cell r="R60"/>
          <cell r="S60"/>
          <cell r="T60"/>
          <cell r="U60"/>
          <cell r="V60"/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/>
          <cell r="AR60"/>
          <cell r="AS60"/>
          <cell r="AT60"/>
          <cell r="AU60"/>
          <cell r="AV60"/>
          <cell r="AW60"/>
          <cell r="AX60"/>
          <cell r="AY60"/>
          <cell r="AZ60"/>
          <cell r="BA60"/>
          <cell r="BB60"/>
          <cell r="BC60"/>
          <cell r="BD60"/>
          <cell r="BE60"/>
          <cell r="BF60"/>
          <cell r="BG60"/>
          <cell r="BH60"/>
          <cell r="BI60"/>
          <cell r="BJ60"/>
          <cell r="BK60"/>
          <cell r="BL60"/>
          <cell r="BM60"/>
          <cell r="BN60"/>
          <cell r="BO60"/>
          <cell r="BP60"/>
          <cell r="BQ60"/>
          <cell r="BR60"/>
          <cell r="BS60"/>
          <cell r="BT60"/>
          <cell r="BU60"/>
          <cell r="BV60"/>
          <cell r="BW60"/>
          <cell r="BX60"/>
          <cell r="BY60"/>
        </row>
        <row r="61">
          <cell r="B61" t="str">
            <v>SAB207-35DG</v>
          </cell>
          <cell r="D61"/>
          <cell r="E61"/>
          <cell r="F61"/>
          <cell r="G61"/>
          <cell r="H61"/>
          <cell r="I61"/>
          <cell r="J61"/>
          <cell r="K61"/>
          <cell r="L61"/>
          <cell r="M61"/>
          <cell r="N61"/>
          <cell r="O61"/>
          <cell r="P61"/>
          <cell r="Q61"/>
          <cell r="R61"/>
          <cell r="S61"/>
          <cell r="T61"/>
          <cell r="U61"/>
          <cell r="V61"/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/>
          <cell r="AN61"/>
          <cell r="AO61"/>
          <cell r="AP61"/>
          <cell r="AQ61"/>
          <cell r="AR61"/>
          <cell r="AS61"/>
          <cell r="AT61"/>
          <cell r="AU61"/>
          <cell r="AV61"/>
          <cell r="AW61"/>
          <cell r="AX61"/>
          <cell r="AY61"/>
          <cell r="AZ61"/>
          <cell r="BA61"/>
          <cell r="BB61"/>
          <cell r="BC61"/>
          <cell r="BD61"/>
          <cell r="BE61"/>
          <cell r="BF61"/>
          <cell r="BG61"/>
          <cell r="BH61"/>
          <cell r="BI61"/>
          <cell r="BJ61"/>
          <cell r="BK61"/>
          <cell r="BL61"/>
          <cell r="BM61"/>
          <cell r="BN61"/>
          <cell r="BO61"/>
          <cell r="BP61"/>
          <cell r="BQ61"/>
          <cell r="BR61"/>
          <cell r="BS61"/>
          <cell r="BT61"/>
          <cell r="BU61"/>
          <cell r="BV61"/>
          <cell r="BW61"/>
          <cell r="BX61"/>
          <cell r="BY61"/>
        </row>
        <row r="62">
          <cell r="B62" t="str">
            <v>BP-18030</v>
          </cell>
          <cell r="D62"/>
          <cell r="E62"/>
          <cell r="F62"/>
          <cell r="G62"/>
          <cell r="H62"/>
          <cell r="I62"/>
          <cell r="J62"/>
          <cell r="K62"/>
          <cell r="L62"/>
          <cell r="M62"/>
          <cell r="N62"/>
          <cell r="O62"/>
          <cell r="P62"/>
          <cell r="Q62"/>
          <cell r="R62"/>
          <cell r="S62"/>
          <cell r="T62"/>
          <cell r="U62"/>
          <cell r="V62"/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  <cell r="AH62"/>
          <cell r="AI62"/>
          <cell r="AJ62"/>
          <cell r="AK62"/>
          <cell r="AL62"/>
          <cell r="AM62"/>
          <cell r="AN62"/>
          <cell r="AO62"/>
          <cell r="AP62"/>
          <cell r="AQ62"/>
          <cell r="AR62"/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/>
          <cell r="BF62"/>
          <cell r="BG62"/>
          <cell r="BH62"/>
          <cell r="BI62"/>
          <cell r="BJ62"/>
          <cell r="BK62"/>
          <cell r="BL62"/>
          <cell r="BM62"/>
          <cell r="BN62"/>
          <cell r="BO62"/>
          <cell r="BP62"/>
          <cell r="BQ62"/>
          <cell r="BR62"/>
          <cell r="BS62"/>
          <cell r="BT62"/>
          <cell r="BU62"/>
          <cell r="BV62"/>
          <cell r="BW62"/>
          <cell r="BX62"/>
          <cell r="BY62"/>
        </row>
        <row r="63">
          <cell r="B63" t="str">
            <v>BP-20001</v>
          </cell>
          <cell r="D63"/>
          <cell r="E63"/>
          <cell r="F63"/>
          <cell r="G63"/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/>
          <cell r="AH63"/>
          <cell r="AI63"/>
          <cell r="AJ63"/>
          <cell r="AK63"/>
          <cell r="AL63"/>
          <cell r="AM63"/>
          <cell r="AN63"/>
          <cell r="AO63"/>
          <cell r="AP63"/>
          <cell r="AQ63"/>
          <cell r="AR63"/>
          <cell r="AS63"/>
          <cell r="AT63"/>
          <cell r="AU63"/>
          <cell r="AV63"/>
          <cell r="AW63"/>
          <cell r="AX63"/>
          <cell r="AY63"/>
          <cell r="AZ63"/>
          <cell r="BA63"/>
          <cell r="BB63"/>
          <cell r="BC63"/>
          <cell r="BD63"/>
          <cell r="BE63"/>
          <cell r="BF63"/>
          <cell r="BG63"/>
          <cell r="BH63"/>
          <cell r="BI63"/>
          <cell r="BJ63"/>
          <cell r="BK63"/>
          <cell r="BL63"/>
          <cell r="BM63"/>
          <cell r="BN63"/>
          <cell r="BO63"/>
          <cell r="BP63"/>
          <cell r="BQ63"/>
          <cell r="BR63"/>
          <cell r="BS63"/>
          <cell r="BT63"/>
          <cell r="BU63"/>
          <cell r="BV63"/>
          <cell r="BW63"/>
          <cell r="BX63"/>
          <cell r="BY63"/>
        </row>
        <row r="64">
          <cell r="B64" t="str">
            <v>BP-16003</v>
          </cell>
          <cell r="D64"/>
          <cell r="E64"/>
          <cell r="F64"/>
          <cell r="G64"/>
          <cell r="H64"/>
          <cell r="I64"/>
          <cell r="J64"/>
          <cell r="K64"/>
          <cell r="L64"/>
          <cell r="M64"/>
          <cell r="N64"/>
          <cell r="O64"/>
          <cell r="P64"/>
          <cell r="Q64"/>
          <cell r="R64"/>
          <cell r="S64"/>
          <cell r="T64"/>
          <cell r="U64"/>
          <cell r="V64"/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/>
          <cell r="AH64"/>
          <cell r="AI64"/>
          <cell r="AJ64"/>
          <cell r="AK64"/>
          <cell r="AL64"/>
          <cell r="AM64"/>
          <cell r="AN64"/>
          <cell r="AO64"/>
          <cell r="AP64"/>
          <cell r="AQ64"/>
          <cell r="AR64"/>
          <cell r="AS64"/>
          <cell r="AT64"/>
          <cell r="AU64"/>
          <cell r="AV64"/>
          <cell r="AW64"/>
          <cell r="AX64"/>
          <cell r="AY64"/>
          <cell r="AZ64"/>
          <cell r="BA64"/>
          <cell r="BB64"/>
          <cell r="BC64"/>
          <cell r="BD64"/>
          <cell r="BE64"/>
          <cell r="BF64"/>
          <cell r="BG64"/>
          <cell r="BH64"/>
          <cell r="BI64"/>
          <cell r="BJ64"/>
          <cell r="BK64"/>
          <cell r="BL64"/>
          <cell r="BM64"/>
          <cell r="BN64"/>
          <cell r="BO64"/>
          <cell r="BP64"/>
          <cell r="BQ64"/>
          <cell r="BR64"/>
          <cell r="BS64"/>
          <cell r="BT64"/>
          <cell r="BU64"/>
          <cell r="BV64"/>
          <cell r="BW64"/>
          <cell r="BX64"/>
          <cell r="BY64"/>
        </row>
        <row r="65">
          <cell r="B65" t="str">
            <v>ECL210-50D-3</v>
          </cell>
          <cell r="D65"/>
          <cell r="E65"/>
          <cell r="F65"/>
          <cell r="G65"/>
          <cell r="H65"/>
          <cell r="I65"/>
          <cell r="J65"/>
          <cell r="K65"/>
          <cell r="L65"/>
          <cell r="M65"/>
          <cell r="N65"/>
          <cell r="O65"/>
          <cell r="P65"/>
          <cell r="Q65"/>
          <cell r="R65"/>
          <cell r="S65"/>
          <cell r="T65"/>
          <cell r="U65"/>
          <cell r="V65"/>
          <cell r="W65"/>
          <cell r="X65"/>
          <cell r="Y65"/>
          <cell r="Z65"/>
          <cell r="AA65"/>
          <cell r="AB65"/>
          <cell r="AC65"/>
          <cell r="AD65"/>
          <cell r="AE65"/>
          <cell r="AF65"/>
          <cell r="AG65"/>
          <cell r="AH65"/>
          <cell r="AI65"/>
          <cell r="AJ65"/>
          <cell r="AK65"/>
          <cell r="AL65"/>
          <cell r="AM65"/>
          <cell r="AN65"/>
          <cell r="AO65"/>
          <cell r="AP65"/>
          <cell r="AQ65"/>
          <cell r="AR65"/>
          <cell r="AS65"/>
          <cell r="AT65"/>
          <cell r="AU65"/>
          <cell r="AV65"/>
          <cell r="AW65"/>
          <cell r="AX65"/>
          <cell r="AY65"/>
          <cell r="AZ65"/>
          <cell r="BA65"/>
          <cell r="BB65"/>
          <cell r="BC65"/>
          <cell r="BD65"/>
          <cell r="BE65"/>
          <cell r="BF65"/>
          <cell r="BG65"/>
          <cell r="BH65"/>
          <cell r="BI65"/>
          <cell r="BJ65"/>
          <cell r="BK65"/>
          <cell r="BL65"/>
          <cell r="BM65"/>
          <cell r="BN65"/>
          <cell r="BO65"/>
          <cell r="BP65"/>
          <cell r="BQ65"/>
          <cell r="BR65"/>
          <cell r="BS65"/>
          <cell r="BT65"/>
          <cell r="BU65"/>
          <cell r="BV65"/>
          <cell r="BW65"/>
          <cell r="BX65"/>
          <cell r="BY65"/>
        </row>
        <row r="66">
          <cell r="B66" t="str">
            <v>LS05-2RLD</v>
          </cell>
          <cell r="D66"/>
          <cell r="E66"/>
          <cell r="F66"/>
          <cell r="G66"/>
          <cell r="H66"/>
          <cell r="I66"/>
          <cell r="J66"/>
          <cell r="K66"/>
          <cell r="L66"/>
          <cell r="M66"/>
          <cell r="N66"/>
          <cell r="O66"/>
          <cell r="P66"/>
          <cell r="Q66"/>
          <cell r="R66"/>
          <cell r="S66"/>
          <cell r="T66"/>
          <cell r="U66"/>
          <cell r="V66"/>
          <cell r="W66"/>
          <cell r="X66"/>
          <cell r="Y66"/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/>
          <cell r="AK66"/>
          <cell r="AL66"/>
          <cell r="AM66"/>
          <cell r="AN66"/>
          <cell r="AO66"/>
          <cell r="AP66"/>
          <cell r="AQ66"/>
          <cell r="AR66"/>
          <cell r="AS66"/>
          <cell r="AT66"/>
          <cell r="AU66"/>
          <cell r="AV66"/>
          <cell r="AW66"/>
          <cell r="AX66"/>
          <cell r="AY66"/>
          <cell r="AZ66"/>
          <cell r="BA66"/>
          <cell r="BB66"/>
          <cell r="BC66"/>
          <cell r="BD66"/>
          <cell r="BE66"/>
          <cell r="BF66"/>
          <cell r="BG66"/>
          <cell r="BH66"/>
          <cell r="BI66"/>
          <cell r="BJ66"/>
          <cell r="BK66"/>
          <cell r="BL66"/>
          <cell r="BM66"/>
          <cell r="BN66"/>
          <cell r="BO66"/>
          <cell r="BP66"/>
          <cell r="BQ66"/>
          <cell r="BR66"/>
          <cell r="BS66"/>
          <cell r="BT66"/>
          <cell r="BU66"/>
          <cell r="BV66"/>
          <cell r="BW66"/>
          <cell r="BX66"/>
          <cell r="BY66"/>
        </row>
        <row r="67">
          <cell r="B67" t="str">
            <v>ASA-80-2-10</v>
          </cell>
          <cell r="D67"/>
          <cell r="E67"/>
          <cell r="F67"/>
          <cell r="G67"/>
          <cell r="H67"/>
          <cell r="I67"/>
          <cell r="J67"/>
          <cell r="K67"/>
          <cell r="L67"/>
          <cell r="M67"/>
          <cell r="N67"/>
          <cell r="O67"/>
          <cell r="P67"/>
          <cell r="Q67"/>
          <cell r="R67"/>
          <cell r="S67"/>
          <cell r="T67"/>
          <cell r="U67"/>
          <cell r="V67"/>
          <cell r="W67"/>
          <cell r="X67"/>
          <cell r="Y67"/>
          <cell r="Z67"/>
          <cell r="AA67"/>
          <cell r="AB67"/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/>
          <cell r="AO67"/>
          <cell r="AP67"/>
          <cell r="AQ67"/>
          <cell r="AR67"/>
          <cell r="AS67"/>
          <cell r="AT67"/>
          <cell r="AU67"/>
          <cell r="AV67"/>
          <cell r="AW67"/>
          <cell r="AX67"/>
          <cell r="AY67"/>
          <cell r="AZ67"/>
          <cell r="BA67"/>
          <cell r="BB67"/>
          <cell r="BC67"/>
          <cell r="BD67"/>
          <cell r="BE67"/>
          <cell r="BF67"/>
          <cell r="BG67"/>
          <cell r="BH67"/>
          <cell r="BI67"/>
          <cell r="BJ67"/>
          <cell r="BK67"/>
          <cell r="BL67"/>
          <cell r="BM67"/>
          <cell r="BN67"/>
          <cell r="BO67"/>
          <cell r="BP67"/>
          <cell r="BQ67"/>
          <cell r="BR67"/>
          <cell r="BS67"/>
          <cell r="BT67"/>
          <cell r="BU67"/>
          <cell r="BV67"/>
          <cell r="BW67"/>
          <cell r="BX67"/>
          <cell r="BY67"/>
        </row>
        <row r="68">
          <cell r="B68" t="str">
            <v>PB000155</v>
          </cell>
          <cell r="D68"/>
          <cell r="E68"/>
          <cell r="F68"/>
          <cell r="G68"/>
          <cell r="H68"/>
          <cell r="I68"/>
          <cell r="J68"/>
          <cell r="K68"/>
          <cell r="L68"/>
          <cell r="M68"/>
          <cell r="N68"/>
          <cell r="O68"/>
          <cell r="P68"/>
          <cell r="Q68"/>
          <cell r="R68"/>
          <cell r="S68"/>
          <cell r="T68"/>
          <cell r="U68"/>
          <cell r="V68"/>
          <cell r="W68"/>
          <cell r="X68"/>
          <cell r="Y68"/>
          <cell r="Z68"/>
          <cell r="AA68"/>
          <cell r="AB68"/>
          <cell r="AC68"/>
          <cell r="AD68"/>
          <cell r="AE68"/>
          <cell r="AF68"/>
          <cell r="AG68"/>
          <cell r="AH68"/>
          <cell r="AI68"/>
          <cell r="AJ68"/>
          <cell r="AK68"/>
          <cell r="AL68"/>
          <cell r="AM68"/>
          <cell r="AN68"/>
          <cell r="AO68"/>
          <cell r="AP68"/>
          <cell r="AQ68"/>
          <cell r="AR68"/>
          <cell r="AS68"/>
          <cell r="AT68"/>
          <cell r="AU68"/>
          <cell r="AV68"/>
          <cell r="AW68"/>
          <cell r="AX68"/>
          <cell r="AY68"/>
          <cell r="AZ68"/>
          <cell r="BA68"/>
          <cell r="BB68"/>
          <cell r="BC68"/>
          <cell r="BD68"/>
          <cell r="BE68"/>
          <cell r="BF68"/>
          <cell r="BG68"/>
          <cell r="BH68"/>
          <cell r="BI68"/>
          <cell r="BJ68"/>
          <cell r="BK68"/>
          <cell r="BL68"/>
          <cell r="BM68"/>
          <cell r="BN68"/>
          <cell r="BO68"/>
          <cell r="BP68"/>
          <cell r="BQ68"/>
          <cell r="BR68"/>
          <cell r="BS68"/>
          <cell r="BT68"/>
          <cell r="BU68"/>
          <cell r="BV68"/>
          <cell r="BW68"/>
          <cell r="BX68"/>
          <cell r="BY68"/>
        </row>
        <row r="69">
          <cell r="B69" t="str">
            <v>PB006004</v>
          </cell>
          <cell r="D69"/>
          <cell r="E69"/>
          <cell r="F69"/>
          <cell r="G69"/>
          <cell r="H69"/>
          <cell r="I69"/>
          <cell r="J69"/>
          <cell r="K69"/>
          <cell r="L69"/>
          <cell r="M69"/>
          <cell r="N69"/>
          <cell r="O69"/>
          <cell r="P69"/>
          <cell r="Q69"/>
          <cell r="R69"/>
          <cell r="S69"/>
          <cell r="T69"/>
          <cell r="U69"/>
          <cell r="V69"/>
          <cell r="W69"/>
          <cell r="X69"/>
          <cell r="Y69"/>
          <cell r="Z69"/>
          <cell r="AA69"/>
          <cell r="AB69"/>
          <cell r="AC69"/>
          <cell r="AD69"/>
          <cell r="AE69"/>
          <cell r="AF69"/>
          <cell r="AG69"/>
          <cell r="AH69"/>
          <cell r="AI69"/>
          <cell r="AJ69"/>
          <cell r="AK69"/>
          <cell r="AL69"/>
          <cell r="AM69"/>
          <cell r="AN69"/>
          <cell r="AO69"/>
          <cell r="AP69"/>
          <cell r="AQ69"/>
          <cell r="AR69"/>
          <cell r="AS69"/>
          <cell r="AT69"/>
          <cell r="AU69"/>
          <cell r="AV69"/>
          <cell r="AW69"/>
          <cell r="AX69"/>
          <cell r="AY69"/>
          <cell r="AZ69"/>
          <cell r="BA69"/>
          <cell r="BB69"/>
          <cell r="BC69"/>
          <cell r="BD69"/>
          <cell r="BE69"/>
          <cell r="BF69"/>
          <cell r="BG69"/>
          <cell r="BH69"/>
          <cell r="BI69"/>
          <cell r="BJ69"/>
          <cell r="BK69"/>
          <cell r="BL69"/>
          <cell r="BM69"/>
          <cell r="BN69"/>
          <cell r="BO69"/>
          <cell r="BP69"/>
          <cell r="BQ69"/>
          <cell r="BR69"/>
          <cell r="BS69"/>
          <cell r="BT69"/>
          <cell r="BU69"/>
          <cell r="BV69"/>
          <cell r="BW69"/>
          <cell r="BX69"/>
          <cell r="BY69"/>
        </row>
        <row r="70">
          <cell r="B70" t="str">
            <v>BP-12011-BI2</v>
          </cell>
          <cell r="D70"/>
          <cell r="E70"/>
          <cell r="F70"/>
          <cell r="G70"/>
          <cell r="H70"/>
          <cell r="I70"/>
          <cell r="J70"/>
          <cell r="K70"/>
          <cell r="L70"/>
          <cell r="M70"/>
          <cell r="N70"/>
          <cell r="O70"/>
          <cell r="P70"/>
          <cell r="Q70"/>
          <cell r="R70"/>
          <cell r="S70"/>
          <cell r="T70"/>
          <cell r="U70"/>
          <cell r="V70"/>
          <cell r="W70"/>
          <cell r="X70"/>
          <cell r="Y70"/>
          <cell r="Z70"/>
          <cell r="AA70"/>
          <cell r="AB70"/>
          <cell r="AC70"/>
          <cell r="AD70"/>
          <cell r="AE70"/>
          <cell r="AF70"/>
          <cell r="AG70"/>
          <cell r="AH70"/>
          <cell r="AI70"/>
          <cell r="AJ70"/>
          <cell r="AK70"/>
          <cell r="AL70"/>
          <cell r="AM70"/>
          <cell r="AN70"/>
          <cell r="AO70"/>
          <cell r="AP70"/>
          <cell r="AQ70"/>
          <cell r="AR70"/>
          <cell r="AS70"/>
          <cell r="AT70"/>
          <cell r="AU70"/>
          <cell r="AV70"/>
          <cell r="AW70"/>
          <cell r="AX70"/>
          <cell r="AY70"/>
          <cell r="AZ70"/>
          <cell r="BA70"/>
          <cell r="BB70"/>
          <cell r="BC70"/>
          <cell r="BD70"/>
          <cell r="BE70"/>
          <cell r="BF70"/>
          <cell r="BG70"/>
          <cell r="BH70"/>
          <cell r="BI70"/>
          <cell r="BJ70"/>
          <cell r="BK70"/>
          <cell r="BL70"/>
          <cell r="BM70"/>
          <cell r="BN70"/>
          <cell r="BO70"/>
          <cell r="BP70"/>
          <cell r="BQ70"/>
          <cell r="BR70"/>
          <cell r="BS70"/>
          <cell r="BT70"/>
          <cell r="BU70"/>
          <cell r="BV70"/>
          <cell r="BW70"/>
          <cell r="BX70"/>
          <cell r="BY70"/>
        </row>
        <row r="71">
          <cell r="B71" t="str">
            <v>BP-12011-BD2</v>
          </cell>
          <cell r="D71"/>
          <cell r="E71"/>
          <cell r="F71"/>
          <cell r="G71"/>
          <cell r="H71"/>
          <cell r="I71"/>
          <cell r="J71"/>
          <cell r="K71"/>
          <cell r="L71"/>
          <cell r="M71"/>
          <cell r="N71"/>
          <cell r="O71"/>
          <cell r="P71"/>
          <cell r="Q71"/>
          <cell r="R71"/>
          <cell r="S71"/>
          <cell r="T71"/>
          <cell r="U71"/>
          <cell r="V71"/>
          <cell r="W71"/>
          <cell r="X71"/>
          <cell r="Y71"/>
          <cell r="Z71"/>
          <cell r="AA71"/>
          <cell r="AB71"/>
          <cell r="AC71"/>
          <cell r="AD71"/>
          <cell r="AE71"/>
          <cell r="AF71"/>
          <cell r="AG71"/>
          <cell r="AH71"/>
          <cell r="AI71"/>
          <cell r="AJ71"/>
          <cell r="AK71"/>
          <cell r="AL71"/>
          <cell r="AM71"/>
          <cell r="AN71"/>
          <cell r="AO71"/>
          <cell r="AP71"/>
          <cell r="AQ71"/>
          <cell r="AR71"/>
          <cell r="AS71"/>
          <cell r="AT71"/>
          <cell r="AU71"/>
          <cell r="AV71"/>
          <cell r="AW71"/>
          <cell r="AX71"/>
          <cell r="AY71"/>
          <cell r="AZ71"/>
          <cell r="BA71"/>
          <cell r="BB71"/>
          <cell r="BC71"/>
          <cell r="BD71"/>
          <cell r="BE71"/>
          <cell r="BF71"/>
          <cell r="BG71"/>
          <cell r="BH71"/>
          <cell r="BI71"/>
          <cell r="BJ71"/>
          <cell r="BK71"/>
          <cell r="BL71"/>
          <cell r="BM71"/>
          <cell r="BN71"/>
          <cell r="BO71"/>
          <cell r="BP71"/>
          <cell r="BQ71"/>
          <cell r="BR71"/>
          <cell r="BS71"/>
          <cell r="BT71"/>
          <cell r="BU71"/>
          <cell r="BV71"/>
          <cell r="BW71"/>
          <cell r="BX71"/>
          <cell r="BY71"/>
        </row>
        <row r="72">
          <cell r="B72" t="str">
            <v>32217-MX</v>
          </cell>
          <cell r="D72"/>
          <cell r="E72"/>
          <cell r="F72"/>
          <cell r="G72"/>
          <cell r="H72"/>
          <cell r="I72"/>
          <cell r="J72"/>
          <cell r="K72"/>
          <cell r="L72"/>
          <cell r="M72"/>
          <cell r="N72"/>
          <cell r="O72"/>
          <cell r="P72"/>
          <cell r="Q72"/>
          <cell r="R72"/>
          <cell r="S72"/>
          <cell r="T72"/>
          <cell r="U72"/>
          <cell r="V72"/>
          <cell r="W72"/>
          <cell r="X72"/>
          <cell r="Y72"/>
          <cell r="Z72"/>
          <cell r="AA72"/>
          <cell r="AB72"/>
          <cell r="AC72"/>
          <cell r="AD72"/>
          <cell r="AE72"/>
          <cell r="AF72"/>
          <cell r="AG72"/>
          <cell r="AH72"/>
          <cell r="AI72"/>
          <cell r="AJ72"/>
          <cell r="AK72"/>
          <cell r="AL72"/>
          <cell r="AM72"/>
          <cell r="AN72"/>
          <cell r="AO72"/>
          <cell r="AP72"/>
          <cell r="AQ72"/>
          <cell r="AR72"/>
          <cell r="AS72"/>
          <cell r="AT72"/>
          <cell r="AU72"/>
          <cell r="AV72"/>
          <cell r="AW72"/>
          <cell r="AX72"/>
          <cell r="AY72"/>
          <cell r="AZ72"/>
          <cell r="BA72"/>
          <cell r="BB72"/>
          <cell r="BC72"/>
          <cell r="BD72"/>
          <cell r="BE72"/>
          <cell r="BF72"/>
          <cell r="BG72"/>
          <cell r="BH72"/>
          <cell r="BI72"/>
          <cell r="BJ72"/>
          <cell r="BK72"/>
          <cell r="BL72"/>
          <cell r="BM72"/>
          <cell r="BN72"/>
          <cell r="BO72"/>
          <cell r="BP72"/>
          <cell r="BQ72"/>
          <cell r="BR72"/>
          <cell r="BS72"/>
          <cell r="BT72"/>
          <cell r="BU72"/>
          <cell r="BV72"/>
          <cell r="BW72"/>
          <cell r="BX72"/>
          <cell r="BY72"/>
        </row>
        <row r="73">
          <cell r="B73" t="str">
            <v>32013-MX</v>
          </cell>
          <cell r="D73"/>
          <cell r="E73"/>
          <cell r="F73"/>
          <cell r="G73"/>
          <cell r="H73"/>
          <cell r="I73"/>
          <cell r="J73"/>
          <cell r="K73"/>
          <cell r="L73"/>
          <cell r="M73"/>
          <cell r="N73"/>
          <cell r="O73"/>
          <cell r="P73"/>
          <cell r="Q73"/>
          <cell r="R73"/>
          <cell r="S73"/>
          <cell r="T73"/>
          <cell r="U73"/>
          <cell r="V73"/>
          <cell r="W73"/>
          <cell r="X73"/>
          <cell r="Y73"/>
          <cell r="Z73"/>
          <cell r="AA73"/>
          <cell r="AB73"/>
          <cell r="AC73"/>
          <cell r="AD73"/>
          <cell r="AE73"/>
          <cell r="AF73"/>
          <cell r="AG73"/>
          <cell r="AH73"/>
          <cell r="AI73"/>
          <cell r="AJ73"/>
          <cell r="AK73"/>
          <cell r="AL73"/>
          <cell r="AM73"/>
          <cell r="AN73"/>
          <cell r="AO73"/>
          <cell r="AP73"/>
          <cell r="AQ73"/>
          <cell r="AR73"/>
          <cell r="AS73"/>
          <cell r="AT73"/>
          <cell r="AU73"/>
          <cell r="AV73"/>
          <cell r="AW73"/>
          <cell r="AX73"/>
          <cell r="AY73"/>
          <cell r="AZ73"/>
          <cell r="BA73"/>
          <cell r="BB73"/>
          <cell r="BC73"/>
          <cell r="BD73"/>
          <cell r="BE73"/>
          <cell r="BF73"/>
          <cell r="BG73"/>
          <cell r="BH73"/>
          <cell r="BI73"/>
          <cell r="BJ73"/>
          <cell r="BK73"/>
          <cell r="BL73"/>
          <cell r="BM73"/>
          <cell r="BN73"/>
          <cell r="BO73"/>
          <cell r="BP73"/>
          <cell r="BQ73"/>
          <cell r="BR73"/>
          <cell r="BS73"/>
          <cell r="BT73"/>
          <cell r="BU73"/>
          <cell r="BV73"/>
          <cell r="BW73"/>
          <cell r="BX73"/>
          <cell r="BY73"/>
        </row>
        <row r="74">
          <cell r="B74" t="str">
            <v>MS05-D</v>
          </cell>
          <cell r="D74"/>
          <cell r="E74"/>
          <cell r="F74"/>
          <cell r="G74"/>
          <cell r="H74"/>
          <cell r="I74"/>
          <cell r="J74"/>
          <cell r="K74"/>
          <cell r="L74"/>
          <cell r="M74"/>
          <cell r="N74"/>
          <cell r="O74"/>
          <cell r="P74"/>
          <cell r="Q74"/>
          <cell r="R74"/>
          <cell r="S74"/>
          <cell r="T74"/>
          <cell r="U74"/>
          <cell r="V74"/>
          <cell r="W74"/>
          <cell r="X74"/>
          <cell r="Y74"/>
          <cell r="Z74"/>
          <cell r="AA74"/>
          <cell r="AB74"/>
          <cell r="AC74"/>
          <cell r="AD74"/>
          <cell r="AE74"/>
          <cell r="AF74"/>
          <cell r="AG74"/>
          <cell r="AH74"/>
          <cell r="AI74"/>
          <cell r="AJ74"/>
          <cell r="AK74"/>
          <cell r="AL74"/>
          <cell r="AM74"/>
          <cell r="AN74"/>
          <cell r="AO74"/>
          <cell r="AP74"/>
          <cell r="AQ74"/>
          <cell r="AR74"/>
          <cell r="AS74"/>
          <cell r="AT74"/>
          <cell r="AU74"/>
          <cell r="AV74"/>
          <cell r="AW74"/>
          <cell r="AX74"/>
          <cell r="AY74"/>
          <cell r="AZ74"/>
          <cell r="BA74"/>
          <cell r="BB74"/>
          <cell r="BC74"/>
          <cell r="BD74"/>
          <cell r="BE74"/>
          <cell r="BF74"/>
          <cell r="BG74"/>
          <cell r="BH74"/>
          <cell r="BI74"/>
          <cell r="BJ74"/>
          <cell r="BK74"/>
          <cell r="BL74"/>
          <cell r="BM74"/>
          <cell r="BN74"/>
          <cell r="BO74"/>
          <cell r="BP74"/>
          <cell r="BQ74"/>
          <cell r="BR74"/>
          <cell r="BS74"/>
          <cell r="BT74"/>
          <cell r="BU74"/>
          <cell r="BV74"/>
          <cell r="BW74"/>
          <cell r="BX74"/>
          <cell r="BY74"/>
        </row>
        <row r="75">
          <cell r="B75" t="str">
            <v>32011-MX</v>
          </cell>
          <cell r="D75"/>
          <cell r="E75"/>
          <cell r="F75"/>
          <cell r="G75"/>
          <cell r="H75"/>
          <cell r="I75"/>
          <cell r="J75"/>
          <cell r="K75"/>
          <cell r="L75"/>
          <cell r="M75"/>
          <cell r="N75"/>
          <cell r="O75"/>
          <cell r="P75"/>
          <cell r="Q75"/>
          <cell r="R75"/>
          <cell r="S75"/>
          <cell r="T75"/>
          <cell r="U75"/>
          <cell r="V75"/>
          <cell r="W75"/>
          <cell r="X75"/>
          <cell r="Y75"/>
          <cell r="Z75"/>
          <cell r="AA75"/>
          <cell r="AB75"/>
          <cell r="AC75"/>
          <cell r="AD75"/>
          <cell r="AE75"/>
          <cell r="AF75"/>
          <cell r="AG75"/>
          <cell r="AH75"/>
          <cell r="AI75"/>
          <cell r="AJ75"/>
          <cell r="AK75"/>
          <cell r="AL75"/>
          <cell r="AM75"/>
          <cell r="AN75"/>
          <cell r="AO75"/>
          <cell r="AP75"/>
          <cell r="AQ75"/>
          <cell r="AR75"/>
          <cell r="AS75"/>
          <cell r="AT75"/>
          <cell r="AU75"/>
          <cell r="AV75"/>
          <cell r="AW75"/>
          <cell r="AX75"/>
          <cell r="AY75"/>
          <cell r="AZ75"/>
          <cell r="BA75"/>
          <cell r="BB75"/>
          <cell r="BC75"/>
          <cell r="BD75"/>
          <cell r="BE75"/>
          <cell r="BF75"/>
          <cell r="BG75"/>
          <cell r="BH75"/>
          <cell r="BI75"/>
          <cell r="BJ75"/>
          <cell r="BK75"/>
          <cell r="BL75"/>
          <cell r="BM75"/>
          <cell r="BN75"/>
          <cell r="BO75"/>
          <cell r="BP75"/>
          <cell r="BQ75"/>
          <cell r="BR75"/>
          <cell r="BS75"/>
          <cell r="BT75"/>
          <cell r="BU75"/>
          <cell r="BV75"/>
          <cell r="BW75"/>
          <cell r="BX75"/>
          <cell r="BY75"/>
        </row>
        <row r="76">
          <cell r="B76" t="str">
            <v>PB002860</v>
          </cell>
          <cell r="D76"/>
          <cell r="E76"/>
          <cell r="F76"/>
          <cell r="G76"/>
          <cell r="H76"/>
          <cell r="I76"/>
          <cell r="J76"/>
          <cell r="K76"/>
          <cell r="L76"/>
          <cell r="M76"/>
          <cell r="N76"/>
          <cell r="O76"/>
          <cell r="P76"/>
          <cell r="Q76"/>
          <cell r="R76"/>
          <cell r="S76"/>
          <cell r="T76"/>
          <cell r="U76"/>
          <cell r="V76"/>
          <cell r="W76"/>
          <cell r="X76"/>
          <cell r="Y76"/>
          <cell r="Z76"/>
          <cell r="AA76"/>
          <cell r="AB76"/>
          <cell r="AC76"/>
          <cell r="AD76"/>
          <cell r="AE76"/>
          <cell r="AF76"/>
          <cell r="AG76"/>
          <cell r="AH76"/>
          <cell r="AI76"/>
          <cell r="AJ76"/>
          <cell r="AK76"/>
          <cell r="AL76"/>
          <cell r="AM76"/>
          <cell r="AN76"/>
          <cell r="AO76"/>
          <cell r="AP76"/>
          <cell r="AQ76"/>
          <cell r="AR76"/>
          <cell r="AS76"/>
          <cell r="AT76"/>
          <cell r="AU76"/>
          <cell r="AV76"/>
          <cell r="AW76"/>
          <cell r="AX76"/>
          <cell r="AY76"/>
          <cell r="AZ76"/>
          <cell r="BA76"/>
          <cell r="BB76"/>
          <cell r="BC76"/>
          <cell r="BD76"/>
          <cell r="BE76"/>
          <cell r="BF76"/>
          <cell r="BG76"/>
          <cell r="BH76"/>
          <cell r="BI76"/>
          <cell r="BJ76"/>
          <cell r="BK76"/>
          <cell r="BL76"/>
          <cell r="BM76"/>
          <cell r="BN76"/>
          <cell r="BO76"/>
          <cell r="BP76"/>
          <cell r="BQ76"/>
          <cell r="BR76"/>
          <cell r="BS76"/>
          <cell r="BT76"/>
          <cell r="BU76"/>
          <cell r="BV76"/>
          <cell r="BW76"/>
          <cell r="BX76"/>
          <cell r="BY76"/>
        </row>
        <row r="77">
          <cell r="B77" t="str">
            <v>112-CB</v>
          </cell>
          <cell r="D77"/>
          <cell r="E77"/>
          <cell r="F77"/>
          <cell r="G77"/>
          <cell r="H77"/>
          <cell r="I77"/>
          <cell r="J77"/>
          <cell r="K77"/>
          <cell r="L77"/>
          <cell r="M77"/>
          <cell r="N77"/>
          <cell r="O77"/>
          <cell r="P77"/>
          <cell r="Q77"/>
          <cell r="R77"/>
          <cell r="S77"/>
          <cell r="T77"/>
          <cell r="U77"/>
          <cell r="V77"/>
          <cell r="W77"/>
          <cell r="X77"/>
          <cell r="Y77"/>
          <cell r="Z77"/>
          <cell r="AA77"/>
          <cell r="AB77"/>
          <cell r="AC77"/>
          <cell r="AD77"/>
          <cell r="AE77"/>
          <cell r="AF77"/>
          <cell r="AG77"/>
          <cell r="AH77"/>
          <cell r="AI77"/>
          <cell r="AJ77"/>
          <cell r="AK77"/>
          <cell r="AL77"/>
          <cell r="AM77"/>
          <cell r="AN77"/>
          <cell r="AO77"/>
          <cell r="AP77"/>
          <cell r="AQ77"/>
          <cell r="AR77"/>
          <cell r="AS77"/>
          <cell r="AT77"/>
          <cell r="AU77"/>
          <cell r="AV77"/>
          <cell r="AW77"/>
          <cell r="AX77"/>
          <cell r="AY77"/>
          <cell r="AZ77"/>
          <cell r="BA77"/>
          <cell r="BB77"/>
          <cell r="BC77"/>
          <cell r="BD77"/>
          <cell r="BE77"/>
          <cell r="BF77"/>
          <cell r="BG77"/>
          <cell r="BH77"/>
          <cell r="BI77"/>
          <cell r="BJ77"/>
          <cell r="BK77"/>
          <cell r="BL77"/>
          <cell r="BM77"/>
          <cell r="BN77"/>
          <cell r="BO77"/>
          <cell r="BP77"/>
          <cell r="BQ77"/>
          <cell r="BR77"/>
          <cell r="BS77"/>
          <cell r="BT77"/>
          <cell r="BU77"/>
          <cell r="BV77"/>
          <cell r="BW77"/>
          <cell r="BX77"/>
          <cell r="BY77"/>
        </row>
        <row r="78">
          <cell r="B78" t="str">
            <v>6204-2RS-RC</v>
          </cell>
          <cell r="D78"/>
          <cell r="E78"/>
          <cell r="F78"/>
          <cell r="G78"/>
          <cell r="H78"/>
          <cell r="I78"/>
          <cell r="J78"/>
          <cell r="K78"/>
          <cell r="L78"/>
          <cell r="M78"/>
          <cell r="N78"/>
          <cell r="O78"/>
          <cell r="P78"/>
          <cell r="Q78"/>
          <cell r="R78"/>
          <cell r="S78"/>
          <cell r="T78"/>
          <cell r="U78"/>
          <cell r="V78"/>
          <cell r="W78"/>
          <cell r="X78"/>
          <cell r="Y78"/>
          <cell r="Z78"/>
          <cell r="AA78"/>
          <cell r="AB78"/>
          <cell r="AC78"/>
          <cell r="AD78"/>
          <cell r="AE78"/>
          <cell r="AF78"/>
          <cell r="AG78"/>
          <cell r="AH78"/>
          <cell r="AI78"/>
          <cell r="AJ78"/>
          <cell r="AK78"/>
          <cell r="AL78"/>
          <cell r="AM78"/>
          <cell r="AN78"/>
          <cell r="AO78"/>
          <cell r="AP78"/>
          <cell r="AQ78"/>
          <cell r="AR78"/>
          <cell r="AS78"/>
          <cell r="AT78"/>
          <cell r="AU78"/>
          <cell r="AV78"/>
          <cell r="AW78"/>
          <cell r="AX78"/>
          <cell r="AY78"/>
          <cell r="AZ78"/>
          <cell r="BA78"/>
          <cell r="BB78"/>
          <cell r="BC78"/>
          <cell r="BD78"/>
          <cell r="BE78"/>
          <cell r="BF78"/>
          <cell r="BG78"/>
          <cell r="BH78"/>
          <cell r="BI78"/>
          <cell r="BJ78"/>
          <cell r="BK78"/>
          <cell r="BL78"/>
          <cell r="BM78"/>
          <cell r="BN78"/>
          <cell r="BO78"/>
          <cell r="BP78"/>
          <cell r="BQ78"/>
          <cell r="BR78"/>
          <cell r="BS78"/>
          <cell r="BT78"/>
          <cell r="BU78"/>
          <cell r="BV78"/>
          <cell r="BW78"/>
          <cell r="BX78"/>
          <cell r="BY78"/>
        </row>
        <row r="79">
          <cell r="B79" t="str">
            <v>32214-MX</v>
          </cell>
          <cell r="D79"/>
          <cell r="E79"/>
          <cell r="F79"/>
          <cell r="G79"/>
          <cell r="H79"/>
          <cell r="I79"/>
          <cell r="J79"/>
          <cell r="K79"/>
          <cell r="L79"/>
          <cell r="M79"/>
          <cell r="N79"/>
          <cell r="O79"/>
          <cell r="P79"/>
          <cell r="Q79"/>
          <cell r="R79"/>
          <cell r="S79"/>
          <cell r="T79"/>
          <cell r="U79"/>
          <cell r="V79"/>
          <cell r="W79"/>
          <cell r="X79"/>
          <cell r="Y79"/>
          <cell r="Z79"/>
          <cell r="AA79"/>
          <cell r="AB79"/>
          <cell r="AC79"/>
          <cell r="AD79"/>
          <cell r="AE79"/>
          <cell r="AF79"/>
          <cell r="AG79"/>
          <cell r="AH79"/>
          <cell r="AI79"/>
          <cell r="AJ79"/>
          <cell r="AK79"/>
          <cell r="AL79"/>
          <cell r="AM79"/>
          <cell r="AN79"/>
          <cell r="AO79"/>
          <cell r="AP79"/>
          <cell r="AQ79"/>
          <cell r="AR79"/>
          <cell r="AS79"/>
          <cell r="AT79"/>
          <cell r="AU79"/>
          <cell r="AV79"/>
          <cell r="AW79"/>
          <cell r="AX79"/>
          <cell r="AY79"/>
          <cell r="AZ79"/>
          <cell r="BA79"/>
          <cell r="BB79"/>
          <cell r="BC79"/>
          <cell r="BD79"/>
          <cell r="BE79"/>
          <cell r="BF79"/>
          <cell r="BG79"/>
          <cell r="BH79"/>
          <cell r="BI79"/>
          <cell r="BJ79"/>
          <cell r="BK79"/>
          <cell r="BL79"/>
          <cell r="BM79"/>
          <cell r="BN79"/>
          <cell r="BO79"/>
          <cell r="BP79"/>
          <cell r="BQ79"/>
          <cell r="BR79"/>
          <cell r="BS79"/>
          <cell r="BT79"/>
          <cell r="BU79"/>
          <cell r="BV79"/>
          <cell r="BW79"/>
          <cell r="BX79"/>
          <cell r="BY79"/>
        </row>
        <row r="80">
          <cell r="B80" t="str">
            <v>PFF-9-M</v>
          </cell>
          <cell r="D80"/>
          <cell r="E80"/>
          <cell r="F80"/>
          <cell r="G80"/>
          <cell r="H80"/>
          <cell r="I80"/>
          <cell r="J80"/>
          <cell r="K80"/>
          <cell r="L80"/>
          <cell r="M80"/>
          <cell r="N80"/>
          <cell r="O80"/>
          <cell r="P80"/>
          <cell r="Q80"/>
          <cell r="R80"/>
          <cell r="S80"/>
          <cell r="T80"/>
          <cell r="U80"/>
          <cell r="V80"/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  <cell r="AH80"/>
          <cell r="AI80"/>
          <cell r="AJ80"/>
          <cell r="AK80"/>
          <cell r="AL80"/>
          <cell r="AM80"/>
          <cell r="AN80"/>
          <cell r="AO80"/>
          <cell r="AP80"/>
          <cell r="AQ80"/>
          <cell r="AR80"/>
          <cell r="AS80"/>
          <cell r="AT80"/>
          <cell r="AU80"/>
          <cell r="AV80"/>
          <cell r="AW80"/>
          <cell r="AX80"/>
          <cell r="AY80"/>
          <cell r="AZ80"/>
          <cell r="BA80"/>
          <cell r="BB80"/>
          <cell r="BC80"/>
          <cell r="BD80"/>
          <cell r="BE80"/>
          <cell r="BF80"/>
          <cell r="BG80"/>
          <cell r="BH80"/>
          <cell r="BI80"/>
          <cell r="BJ80"/>
          <cell r="BK80"/>
          <cell r="BL80"/>
          <cell r="BM80"/>
          <cell r="BN80"/>
          <cell r="BO80"/>
          <cell r="BP80"/>
          <cell r="BQ80"/>
          <cell r="BR80"/>
          <cell r="BS80"/>
          <cell r="BT80"/>
          <cell r="BU80"/>
          <cell r="BV80"/>
          <cell r="BW80"/>
          <cell r="BX80"/>
          <cell r="BY80"/>
        </row>
        <row r="81">
          <cell r="B81" t="str">
            <v>MS07-2RST1</v>
          </cell>
          <cell r="D81"/>
          <cell r="E81"/>
          <cell r="F81"/>
          <cell r="G81"/>
          <cell r="H81"/>
          <cell r="I81"/>
          <cell r="J81"/>
          <cell r="K81"/>
          <cell r="L81"/>
          <cell r="M81"/>
          <cell r="N81"/>
          <cell r="O81"/>
          <cell r="P81"/>
          <cell r="Q81"/>
          <cell r="R81"/>
          <cell r="S81"/>
          <cell r="T81"/>
          <cell r="U81"/>
          <cell r="V81"/>
          <cell r="W81"/>
          <cell r="X81"/>
          <cell r="Y81"/>
          <cell r="Z81"/>
          <cell r="AA81"/>
          <cell r="AB81"/>
          <cell r="AC81"/>
          <cell r="AD81"/>
          <cell r="AE81"/>
          <cell r="AF81"/>
          <cell r="AG81"/>
          <cell r="AH81"/>
          <cell r="AI81"/>
          <cell r="AJ81"/>
          <cell r="AK81"/>
          <cell r="AL81"/>
          <cell r="AM81"/>
          <cell r="AN81"/>
          <cell r="AO81"/>
          <cell r="AP81"/>
          <cell r="AQ81"/>
          <cell r="AR81"/>
          <cell r="AS81"/>
          <cell r="AT81"/>
          <cell r="AU81"/>
          <cell r="AV81"/>
          <cell r="AW81"/>
          <cell r="AX81"/>
          <cell r="AY81"/>
          <cell r="AZ81"/>
          <cell r="BA81"/>
          <cell r="BB81"/>
          <cell r="BC81"/>
          <cell r="BD81"/>
          <cell r="BE81"/>
          <cell r="BF81"/>
          <cell r="BG81"/>
          <cell r="BH81"/>
          <cell r="BI81"/>
          <cell r="BJ81"/>
          <cell r="BK81"/>
          <cell r="BL81"/>
          <cell r="BM81"/>
          <cell r="BN81"/>
          <cell r="BO81"/>
          <cell r="BP81"/>
          <cell r="BQ81"/>
          <cell r="BR81"/>
          <cell r="BS81"/>
          <cell r="BT81"/>
          <cell r="BU81"/>
          <cell r="BV81"/>
          <cell r="BW81"/>
          <cell r="BX81"/>
          <cell r="BY81"/>
        </row>
        <row r="82">
          <cell r="B82" t="str">
            <v>ASA-80-2-12</v>
          </cell>
          <cell r="D82"/>
          <cell r="E82"/>
          <cell r="F82"/>
          <cell r="G82"/>
          <cell r="H82"/>
          <cell r="I82"/>
          <cell r="J82"/>
          <cell r="K82"/>
          <cell r="L82"/>
          <cell r="M82"/>
          <cell r="N82"/>
          <cell r="O82"/>
          <cell r="P82"/>
          <cell r="Q82"/>
          <cell r="R82"/>
          <cell r="S82"/>
          <cell r="T82"/>
          <cell r="U82"/>
          <cell r="V82"/>
          <cell r="W82"/>
          <cell r="X82"/>
          <cell r="Y82"/>
          <cell r="Z82"/>
          <cell r="AA82"/>
          <cell r="AB82"/>
          <cell r="AC82"/>
          <cell r="AD82"/>
          <cell r="AE82"/>
          <cell r="AF82"/>
          <cell r="AG82"/>
          <cell r="AH82"/>
          <cell r="AI82"/>
          <cell r="AJ82"/>
          <cell r="AK82"/>
          <cell r="AL82"/>
          <cell r="AM82"/>
          <cell r="AN82"/>
          <cell r="AO82"/>
          <cell r="AP82"/>
          <cell r="AQ82"/>
          <cell r="AR82"/>
          <cell r="AS82"/>
          <cell r="AT82"/>
          <cell r="AU82"/>
          <cell r="AV82"/>
          <cell r="AW82"/>
          <cell r="AX82"/>
          <cell r="AY82"/>
          <cell r="AZ82"/>
          <cell r="BA82"/>
          <cell r="BB82"/>
          <cell r="BC82"/>
          <cell r="BD82"/>
          <cell r="BE82"/>
          <cell r="BF82"/>
          <cell r="BG82"/>
          <cell r="BH82"/>
          <cell r="BI82"/>
          <cell r="BJ82"/>
          <cell r="BK82"/>
          <cell r="BL82"/>
          <cell r="BM82"/>
          <cell r="BN82"/>
          <cell r="BO82"/>
          <cell r="BP82"/>
          <cell r="BQ82"/>
          <cell r="BR82"/>
          <cell r="BS82"/>
          <cell r="BT82"/>
          <cell r="BU82"/>
          <cell r="BV82"/>
          <cell r="BW82"/>
          <cell r="BX82"/>
          <cell r="BY82"/>
        </row>
        <row r="83">
          <cell r="B83" t="str">
            <v>LM104949-911</v>
          </cell>
          <cell r="D83"/>
          <cell r="E83"/>
          <cell r="F83"/>
          <cell r="G83"/>
          <cell r="H83"/>
          <cell r="I83"/>
          <cell r="J83"/>
          <cell r="K83"/>
          <cell r="L83"/>
          <cell r="M83"/>
          <cell r="N83"/>
          <cell r="O83"/>
          <cell r="P83"/>
          <cell r="Q83"/>
          <cell r="R83"/>
          <cell r="S83"/>
          <cell r="T83"/>
          <cell r="U83"/>
          <cell r="V83"/>
          <cell r="W83"/>
          <cell r="X83"/>
          <cell r="Y83"/>
          <cell r="Z83"/>
          <cell r="AA83"/>
          <cell r="AB83"/>
          <cell r="AC83"/>
          <cell r="AD83"/>
          <cell r="AE83"/>
          <cell r="AF83"/>
          <cell r="AG83"/>
          <cell r="AH83"/>
          <cell r="AI83"/>
          <cell r="AJ83"/>
          <cell r="AK83"/>
          <cell r="AL83"/>
          <cell r="AM83"/>
          <cell r="AN83"/>
          <cell r="AO83"/>
          <cell r="AP83"/>
          <cell r="AQ83"/>
          <cell r="AR83"/>
          <cell r="AS83"/>
          <cell r="AT83"/>
          <cell r="AU83"/>
          <cell r="AV83"/>
          <cell r="AW83"/>
          <cell r="AX83"/>
          <cell r="AY83"/>
          <cell r="AZ83"/>
          <cell r="BA83"/>
          <cell r="BB83"/>
          <cell r="BC83"/>
          <cell r="BD83"/>
          <cell r="BE83"/>
          <cell r="BF83"/>
          <cell r="BG83"/>
          <cell r="BH83"/>
          <cell r="BI83"/>
          <cell r="BJ83"/>
          <cell r="BK83"/>
          <cell r="BL83"/>
          <cell r="BM83"/>
          <cell r="BN83"/>
          <cell r="BO83"/>
          <cell r="BP83"/>
          <cell r="BQ83"/>
          <cell r="BR83"/>
          <cell r="BS83"/>
          <cell r="BT83"/>
          <cell r="BU83"/>
          <cell r="BV83"/>
          <cell r="BW83"/>
          <cell r="BX83"/>
          <cell r="BY83"/>
        </row>
        <row r="84">
          <cell r="B84" t="str">
            <v>33117-MX</v>
          </cell>
          <cell r="D84"/>
          <cell r="E84"/>
          <cell r="F84"/>
          <cell r="G84"/>
          <cell r="H84"/>
          <cell r="I84"/>
          <cell r="J84"/>
          <cell r="K84"/>
          <cell r="L84"/>
          <cell r="M84"/>
          <cell r="N84"/>
          <cell r="O84"/>
          <cell r="P84"/>
          <cell r="Q84"/>
          <cell r="R84"/>
          <cell r="S84"/>
          <cell r="T84"/>
          <cell r="U84"/>
          <cell r="V84"/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  <cell r="AH84"/>
          <cell r="AI84"/>
          <cell r="AJ84"/>
          <cell r="AK84"/>
          <cell r="AL84"/>
          <cell r="AM84"/>
          <cell r="AN84"/>
          <cell r="AO84"/>
          <cell r="AP84"/>
          <cell r="AQ84"/>
          <cell r="AR84"/>
          <cell r="AS84"/>
          <cell r="AT84"/>
          <cell r="AU84"/>
          <cell r="AV84"/>
          <cell r="AW84"/>
          <cell r="AX84"/>
          <cell r="AY84"/>
          <cell r="AZ84"/>
          <cell r="BA84"/>
          <cell r="BB84"/>
          <cell r="BC84"/>
          <cell r="BD84"/>
          <cell r="BE84"/>
          <cell r="BF84"/>
          <cell r="BG84"/>
          <cell r="BH84"/>
          <cell r="BI84"/>
          <cell r="BJ84"/>
          <cell r="BK84"/>
          <cell r="BL84"/>
          <cell r="BM84"/>
          <cell r="BN84"/>
          <cell r="BO84"/>
          <cell r="BP84"/>
          <cell r="BQ84"/>
          <cell r="BR84"/>
          <cell r="BS84"/>
          <cell r="BT84"/>
          <cell r="BU84"/>
          <cell r="BV84"/>
          <cell r="BW84"/>
          <cell r="BX84"/>
          <cell r="BY84"/>
        </row>
        <row r="85">
          <cell r="B85" t="str">
            <v>PB004772</v>
          </cell>
          <cell r="D85"/>
          <cell r="E85"/>
          <cell r="F85"/>
          <cell r="G85"/>
          <cell r="H85"/>
          <cell r="I85"/>
          <cell r="J85"/>
          <cell r="K85"/>
          <cell r="L85"/>
          <cell r="M85"/>
          <cell r="N85"/>
          <cell r="O85"/>
          <cell r="P85"/>
          <cell r="Q85"/>
          <cell r="R85"/>
          <cell r="S85"/>
          <cell r="T85"/>
          <cell r="U85"/>
          <cell r="V85"/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  <cell r="AH85"/>
          <cell r="AI85"/>
          <cell r="AJ85"/>
          <cell r="AK85"/>
          <cell r="AL85"/>
          <cell r="AM85"/>
          <cell r="AN85"/>
          <cell r="AO85"/>
          <cell r="AP85"/>
          <cell r="AQ85"/>
          <cell r="AR85"/>
          <cell r="AS85"/>
          <cell r="AT85"/>
          <cell r="AU85"/>
          <cell r="AV85"/>
          <cell r="AW85"/>
          <cell r="AX85"/>
          <cell r="AY85"/>
          <cell r="AZ85"/>
          <cell r="BA85"/>
          <cell r="BB85"/>
          <cell r="BC85"/>
          <cell r="BD85"/>
          <cell r="BE85"/>
          <cell r="BF85"/>
          <cell r="BG85"/>
          <cell r="BH85"/>
          <cell r="BI85"/>
          <cell r="BJ85"/>
          <cell r="BK85"/>
          <cell r="BL85"/>
          <cell r="BM85"/>
          <cell r="BN85"/>
          <cell r="BO85"/>
          <cell r="BP85"/>
          <cell r="BQ85"/>
          <cell r="BR85"/>
          <cell r="BS85"/>
          <cell r="BT85"/>
          <cell r="BU85"/>
          <cell r="BV85"/>
          <cell r="BW85"/>
          <cell r="BX85"/>
          <cell r="BY85"/>
        </row>
        <row r="86">
          <cell r="B86" t="str">
            <v>33207-MX</v>
          </cell>
          <cell r="D86"/>
          <cell r="E86"/>
          <cell r="F86"/>
          <cell r="G86"/>
          <cell r="H86"/>
          <cell r="I86"/>
          <cell r="J86"/>
          <cell r="K86"/>
          <cell r="L86"/>
          <cell r="M86"/>
          <cell r="N86"/>
          <cell r="O86"/>
          <cell r="P86"/>
          <cell r="Q86"/>
          <cell r="R86"/>
          <cell r="S86"/>
          <cell r="T86"/>
          <cell r="U86"/>
          <cell r="V86"/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  <cell r="AH86"/>
          <cell r="AI86"/>
          <cell r="AJ86"/>
          <cell r="AK86"/>
          <cell r="AL86"/>
          <cell r="AM86"/>
          <cell r="AN86"/>
          <cell r="AO86"/>
          <cell r="AP86"/>
          <cell r="AQ86"/>
          <cell r="AR86"/>
          <cell r="AS86"/>
          <cell r="AT86"/>
          <cell r="AU86"/>
          <cell r="AV86"/>
          <cell r="AW86"/>
          <cell r="AX86"/>
          <cell r="AY86"/>
          <cell r="AZ86"/>
          <cell r="BA86"/>
          <cell r="BB86"/>
          <cell r="BC86"/>
          <cell r="BD86"/>
          <cell r="BE86"/>
          <cell r="BF86"/>
          <cell r="BG86"/>
          <cell r="BH86"/>
          <cell r="BI86"/>
          <cell r="BJ86"/>
          <cell r="BK86"/>
          <cell r="BL86"/>
          <cell r="BM86"/>
          <cell r="BN86"/>
          <cell r="BO86"/>
          <cell r="BP86"/>
          <cell r="BQ86"/>
          <cell r="BR86"/>
          <cell r="BS86"/>
          <cell r="BT86"/>
          <cell r="BU86"/>
          <cell r="BV86"/>
          <cell r="BW86"/>
          <cell r="BX86"/>
          <cell r="BY86"/>
        </row>
        <row r="87">
          <cell r="B87" t="str">
            <v>BP-18020</v>
          </cell>
          <cell r="D87"/>
          <cell r="E87"/>
          <cell r="F87"/>
          <cell r="G87"/>
          <cell r="H87"/>
          <cell r="I87"/>
          <cell r="J87"/>
          <cell r="K87"/>
          <cell r="L87"/>
          <cell r="M87"/>
          <cell r="N87"/>
          <cell r="O87"/>
          <cell r="P87"/>
          <cell r="Q87"/>
          <cell r="R87"/>
          <cell r="S87"/>
          <cell r="T87"/>
          <cell r="U87"/>
          <cell r="V87"/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  <cell r="AH87"/>
          <cell r="AI87"/>
          <cell r="AJ87"/>
          <cell r="AK87"/>
          <cell r="AL87"/>
          <cell r="AM87"/>
          <cell r="AN87"/>
          <cell r="AO87"/>
          <cell r="AP87"/>
          <cell r="AQ87"/>
          <cell r="AR87"/>
          <cell r="AS87"/>
          <cell r="AT87"/>
          <cell r="AU87"/>
          <cell r="AV87"/>
          <cell r="AW87"/>
          <cell r="AX87"/>
          <cell r="AY87"/>
          <cell r="AZ87"/>
          <cell r="BA87"/>
          <cell r="BB87"/>
          <cell r="BC87"/>
          <cell r="BD87"/>
          <cell r="BE87"/>
          <cell r="BF87"/>
          <cell r="BG87"/>
          <cell r="BH87"/>
          <cell r="BI87"/>
          <cell r="BJ87"/>
          <cell r="BK87"/>
          <cell r="BL87"/>
          <cell r="BM87"/>
          <cell r="BN87"/>
          <cell r="BO87"/>
          <cell r="BP87"/>
          <cell r="BQ87"/>
          <cell r="BR87"/>
          <cell r="BS87"/>
          <cell r="BT87"/>
          <cell r="BU87"/>
          <cell r="BV87"/>
          <cell r="BW87"/>
          <cell r="BX87"/>
          <cell r="BY87"/>
        </row>
        <row r="88">
          <cell r="B88" t="str">
            <v>PB001184</v>
          </cell>
          <cell r="D88"/>
          <cell r="E88"/>
          <cell r="F88"/>
          <cell r="G88"/>
          <cell r="H88"/>
          <cell r="I88"/>
          <cell r="J88"/>
          <cell r="K88"/>
          <cell r="L88"/>
          <cell r="M88"/>
          <cell r="N88"/>
          <cell r="O88"/>
          <cell r="P88"/>
          <cell r="Q88"/>
          <cell r="R88"/>
          <cell r="S88"/>
          <cell r="T88"/>
          <cell r="U88"/>
          <cell r="V88"/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  <cell r="AH88"/>
          <cell r="AI88"/>
          <cell r="AJ88"/>
          <cell r="AK88"/>
          <cell r="AL88"/>
          <cell r="AM88"/>
          <cell r="AN88"/>
          <cell r="AO88"/>
          <cell r="AP88"/>
          <cell r="AQ88"/>
          <cell r="AR88"/>
          <cell r="AS88"/>
          <cell r="AT88"/>
          <cell r="AU88"/>
          <cell r="AV88"/>
          <cell r="AW88"/>
          <cell r="AX88"/>
          <cell r="AY88"/>
          <cell r="AZ88"/>
          <cell r="BA88"/>
          <cell r="BB88"/>
          <cell r="BC88"/>
          <cell r="BD88"/>
          <cell r="BE88"/>
          <cell r="BF88"/>
          <cell r="BG88"/>
          <cell r="BH88"/>
          <cell r="BI88"/>
          <cell r="BJ88"/>
          <cell r="BK88"/>
          <cell r="BL88"/>
          <cell r="BM88"/>
          <cell r="BN88"/>
          <cell r="BO88"/>
          <cell r="BP88"/>
          <cell r="BQ88"/>
          <cell r="BR88"/>
          <cell r="BS88"/>
          <cell r="BT88"/>
          <cell r="BU88"/>
          <cell r="BV88"/>
          <cell r="BW88"/>
          <cell r="BX88"/>
          <cell r="BY88"/>
        </row>
        <row r="89">
          <cell r="B89" t="str">
            <v>PB003367A</v>
          </cell>
          <cell r="D89"/>
          <cell r="E89"/>
          <cell r="F89"/>
          <cell r="G89"/>
          <cell r="H89"/>
          <cell r="I89"/>
          <cell r="J89"/>
          <cell r="K89"/>
          <cell r="L89"/>
          <cell r="M89"/>
          <cell r="N89"/>
          <cell r="O89"/>
          <cell r="P89"/>
          <cell r="Q89"/>
          <cell r="R89"/>
          <cell r="S89"/>
          <cell r="T89"/>
          <cell r="U89"/>
          <cell r="V89"/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  <cell r="AH89"/>
          <cell r="AI89"/>
          <cell r="AJ89"/>
          <cell r="AK89"/>
          <cell r="AL89"/>
          <cell r="AM89"/>
          <cell r="AN89"/>
          <cell r="AO89"/>
          <cell r="AP89"/>
          <cell r="AQ89"/>
          <cell r="AR89"/>
          <cell r="AS89"/>
          <cell r="AT89"/>
          <cell r="AU89"/>
          <cell r="AV89"/>
          <cell r="AW89"/>
          <cell r="AX89"/>
          <cell r="AY89"/>
          <cell r="AZ89"/>
          <cell r="BA89"/>
          <cell r="BB89"/>
          <cell r="BC89"/>
          <cell r="BD89"/>
          <cell r="BE89"/>
          <cell r="BF89"/>
          <cell r="BG89"/>
          <cell r="BH89"/>
          <cell r="BI89"/>
          <cell r="BJ89"/>
          <cell r="BK89"/>
          <cell r="BL89"/>
          <cell r="BM89"/>
          <cell r="BN89"/>
          <cell r="BO89"/>
          <cell r="BP89"/>
          <cell r="BQ89"/>
          <cell r="BR89"/>
          <cell r="BS89"/>
          <cell r="BT89"/>
          <cell r="BU89"/>
          <cell r="BV89"/>
          <cell r="BW89"/>
          <cell r="BX89"/>
          <cell r="BY89"/>
        </row>
        <row r="90">
          <cell r="B90" t="str">
            <v>32007-MX</v>
          </cell>
          <cell r="D90"/>
          <cell r="E90"/>
          <cell r="F90"/>
          <cell r="G90"/>
          <cell r="H90"/>
          <cell r="I90"/>
          <cell r="J90"/>
          <cell r="K90"/>
          <cell r="L90"/>
          <cell r="M90"/>
          <cell r="N90"/>
          <cell r="O90"/>
          <cell r="P90"/>
          <cell r="Q90"/>
          <cell r="R90"/>
          <cell r="S90"/>
          <cell r="T90"/>
          <cell r="U90"/>
          <cell r="V90"/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  <cell r="AH90"/>
          <cell r="AI90"/>
          <cell r="AJ90"/>
          <cell r="AK90"/>
          <cell r="AL90"/>
          <cell r="AM90"/>
          <cell r="AN90"/>
          <cell r="AO90"/>
          <cell r="AP90"/>
          <cell r="AQ90"/>
          <cell r="AR90"/>
          <cell r="AS90"/>
          <cell r="AT90"/>
          <cell r="AU90"/>
          <cell r="AV90"/>
          <cell r="AW90"/>
          <cell r="AX90"/>
          <cell r="AY90"/>
          <cell r="AZ90"/>
          <cell r="BA90"/>
          <cell r="BB90"/>
          <cell r="BC90"/>
          <cell r="BD90"/>
          <cell r="BE90"/>
          <cell r="BF90"/>
          <cell r="BG90"/>
          <cell r="BH90"/>
          <cell r="BI90"/>
          <cell r="BJ90"/>
          <cell r="BK90"/>
          <cell r="BL90"/>
          <cell r="BM90"/>
          <cell r="BN90"/>
          <cell r="BO90"/>
          <cell r="BP90"/>
          <cell r="BQ90"/>
          <cell r="BR90"/>
          <cell r="BS90"/>
          <cell r="BT90"/>
          <cell r="BU90"/>
          <cell r="BV90"/>
          <cell r="BW90"/>
          <cell r="BX90"/>
          <cell r="BY90"/>
        </row>
        <row r="91">
          <cell r="B91" t="str">
            <v>SAB-207-35DG</v>
          </cell>
          <cell r="D91"/>
          <cell r="E91"/>
          <cell r="F91"/>
          <cell r="G91"/>
          <cell r="H91"/>
          <cell r="I91"/>
          <cell r="J91"/>
          <cell r="K91"/>
          <cell r="L91"/>
          <cell r="M91"/>
          <cell r="N91"/>
          <cell r="O91"/>
          <cell r="P91"/>
          <cell r="Q91"/>
          <cell r="R91"/>
          <cell r="S91"/>
          <cell r="T91"/>
          <cell r="U91"/>
          <cell r="V91"/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  <cell r="AH91"/>
          <cell r="AI91"/>
          <cell r="AJ91"/>
          <cell r="AK91"/>
          <cell r="AL91"/>
          <cell r="AM91"/>
          <cell r="AN91"/>
          <cell r="AO91"/>
          <cell r="AP91"/>
          <cell r="AQ91"/>
          <cell r="AR91"/>
          <cell r="AS91"/>
          <cell r="AT91"/>
          <cell r="AU91"/>
          <cell r="AV91"/>
          <cell r="AW91"/>
          <cell r="AX91"/>
          <cell r="AY91"/>
          <cell r="AZ91"/>
          <cell r="BA91"/>
          <cell r="BB91"/>
          <cell r="BC91"/>
          <cell r="BD91"/>
          <cell r="BE91"/>
          <cell r="BF91"/>
          <cell r="BG91"/>
          <cell r="BH91"/>
          <cell r="BI91"/>
          <cell r="BJ91"/>
          <cell r="BK91"/>
          <cell r="BL91"/>
          <cell r="BM91"/>
          <cell r="BN91"/>
          <cell r="BO91"/>
          <cell r="BP91"/>
          <cell r="BQ91"/>
          <cell r="BR91"/>
          <cell r="BS91"/>
          <cell r="BT91"/>
          <cell r="BU91"/>
          <cell r="BV91"/>
          <cell r="BW91"/>
          <cell r="BX91"/>
          <cell r="BY91"/>
        </row>
        <row r="92">
          <cell r="B92" t="str">
            <v>LM68149-110</v>
          </cell>
          <cell r="D92"/>
          <cell r="E92"/>
          <cell r="F92"/>
          <cell r="G92"/>
          <cell r="H92"/>
          <cell r="I92"/>
          <cell r="J92"/>
          <cell r="K92"/>
          <cell r="L92"/>
          <cell r="M92"/>
          <cell r="N92"/>
          <cell r="O92"/>
          <cell r="P92"/>
          <cell r="Q92"/>
          <cell r="R92"/>
          <cell r="S92"/>
          <cell r="T92"/>
          <cell r="U92"/>
          <cell r="V92"/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  <cell r="AH92"/>
          <cell r="AI92"/>
          <cell r="AJ92"/>
          <cell r="AK92"/>
          <cell r="AL92"/>
          <cell r="AM92"/>
          <cell r="AN92"/>
          <cell r="AO92"/>
          <cell r="AP92"/>
          <cell r="AQ92"/>
          <cell r="AR92"/>
          <cell r="AS92"/>
          <cell r="AT92"/>
          <cell r="AU92"/>
          <cell r="AV92"/>
          <cell r="AW92"/>
          <cell r="AX92"/>
          <cell r="AY92"/>
          <cell r="AZ92"/>
          <cell r="BA92"/>
          <cell r="BB92"/>
          <cell r="BC92"/>
          <cell r="BD92"/>
          <cell r="BE92"/>
          <cell r="BF92"/>
          <cell r="BG92"/>
          <cell r="BH92"/>
          <cell r="BI92"/>
          <cell r="BJ92"/>
          <cell r="BK92"/>
          <cell r="BL92"/>
          <cell r="BM92"/>
          <cell r="BN92"/>
          <cell r="BO92"/>
          <cell r="BP92"/>
          <cell r="BQ92"/>
          <cell r="BR92"/>
          <cell r="BS92"/>
          <cell r="BT92"/>
          <cell r="BU92"/>
          <cell r="BV92"/>
          <cell r="BW92"/>
          <cell r="BX92"/>
          <cell r="BY92"/>
        </row>
        <row r="93">
          <cell r="B93" t="str">
            <v>PB004848</v>
          </cell>
          <cell r="D93"/>
          <cell r="E93"/>
          <cell r="F93"/>
          <cell r="G93"/>
          <cell r="H93"/>
          <cell r="I93"/>
          <cell r="J93"/>
          <cell r="K93"/>
          <cell r="L93"/>
          <cell r="M93"/>
          <cell r="N93"/>
          <cell r="O93"/>
          <cell r="P93"/>
          <cell r="Q93"/>
          <cell r="R93"/>
          <cell r="S93"/>
          <cell r="T93"/>
          <cell r="U93"/>
          <cell r="V93"/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  <cell r="AH93"/>
          <cell r="AI93"/>
          <cell r="AJ93"/>
          <cell r="AK93"/>
          <cell r="AL93"/>
          <cell r="AM93"/>
          <cell r="AN93"/>
          <cell r="AO93"/>
          <cell r="AP93"/>
          <cell r="AQ93"/>
          <cell r="AR93"/>
          <cell r="AS93"/>
          <cell r="AT93"/>
          <cell r="AU93"/>
          <cell r="AV93"/>
          <cell r="AW93"/>
          <cell r="AX93"/>
          <cell r="AY93"/>
          <cell r="AZ93"/>
          <cell r="BA93"/>
          <cell r="BB93"/>
          <cell r="BC93"/>
          <cell r="BD93"/>
          <cell r="BE93"/>
          <cell r="BF93"/>
          <cell r="BG93"/>
          <cell r="BH93"/>
          <cell r="BI93"/>
          <cell r="BJ93"/>
          <cell r="BK93"/>
          <cell r="BL93"/>
          <cell r="BM93"/>
          <cell r="BN93"/>
          <cell r="BO93"/>
          <cell r="BP93"/>
          <cell r="BQ93"/>
          <cell r="BR93"/>
          <cell r="BS93"/>
          <cell r="BT93"/>
          <cell r="BU93"/>
          <cell r="BV93"/>
          <cell r="BW93"/>
          <cell r="BX93"/>
          <cell r="BY93"/>
        </row>
        <row r="94">
          <cell r="B94" t="str">
            <v>32208-MX</v>
          </cell>
          <cell r="D94"/>
          <cell r="E94"/>
          <cell r="F94"/>
          <cell r="G94"/>
          <cell r="H94"/>
          <cell r="I94"/>
          <cell r="J94"/>
          <cell r="K94"/>
          <cell r="L94"/>
          <cell r="M94"/>
          <cell r="N94"/>
          <cell r="O94"/>
          <cell r="P94"/>
          <cell r="Q94"/>
          <cell r="R94"/>
          <cell r="S94"/>
          <cell r="T94"/>
          <cell r="U94"/>
          <cell r="V94"/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  <cell r="AH94"/>
          <cell r="AI94"/>
          <cell r="AJ94"/>
          <cell r="AK94"/>
          <cell r="AL94"/>
          <cell r="AM94"/>
          <cell r="AN94"/>
          <cell r="AO94"/>
          <cell r="AP94"/>
          <cell r="AQ94"/>
          <cell r="AR94"/>
          <cell r="AS94"/>
          <cell r="AT94"/>
          <cell r="AU94"/>
          <cell r="AV94"/>
          <cell r="AW94"/>
          <cell r="AX94"/>
          <cell r="AY94"/>
          <cell r="AZ94"/>
          <cell r="BA94"/>
          <cell r="BB94"/>
          <cell r="BC94"/>
          <cell r="BD94"/>
          <cell r="BE94"/>
          <cell r="BF94"/>
          <cell r="BG94"/>
          <cell r="BH94"/>
          <cell r="BI94"/>
          <cell r="BJ94"/>
          <cell r="BK94"/>
          <cell r="BL94"/>
          <cell r="BM94"/>
          <cell r="BN94"/>
          <cell r="BO94"/>
          <cell r="BP94"/>
          <cell r="BQ94"/>
          <cell r="BR94"/>
          <cell r="BS94"/>
          <cell r="BT94"/>
          <cell r="BU94"/>
          <cell r="BV94"/>
          <cell r="BW94"/>
          <cell r="BX94"/>
          <cell r="BY94"/>
        </row>
        <row r="95">
          <cell r="B95" t="str">
            <v>DS2565C25CHS</v>
          </cell>
          <cell r="D95"/>
          <cell r="E95"/>
          <cell r="F95"/>
          <cell r="G95"/>
          <cell r="H95"/>
          <cell r="I95"/>
          <cell r="J95"/>
          <cell r="K95"/>
          <cell r="L95"/>
          <cell r="M95"/>
          <cell r="N95"/>
          <cell r="O95"/>
          <cell r="P95"/>
          <cell r="Q95"/>
          <cell r="R95"/>
          <cell r="S95"/>
          <cell r="T95"/>
          <cell r="U95"/>
          <cell r="V95"/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/>
          <cell r="AO95"/>
          <cell r="AP95"/>
          <cell r="AQ95"/>
          <cell r="AR95"/>
          <cell r="AS95"/>
          <cell r="AT95"/>
          <cell r="AU95"/>
          <cell r="AV95"/>
          <cell r="AW95"/>
          <cell r="AX95"/>
          <cell r="AY95"/>
          <cell r="AZ95"/>
          <cell r="BA95"/>
          <cell r="BB95"/>
          <cell r="BC95"/>
          <cell r="BD95"/>
          <cell r="BE95"/>
          <cell r="BF95"/>
          <cell r="BG95"/>
          <cell r="BH95"/>
          <cell r="BI95"/>
          <cell r="BJ95"/>
          <cell r="BK95"/>
          <cell r="BL95"/>
          <cell r="BM95"/>
          <cell r="BN95"/>
          <cell r="BO95"/>
          <cell r="BP95"/>
          <cell r="BQ95"/>
          <cell r="BR95"/>
          <cell r="BS95"/>
          <cell r="BT95"/>
          <cell r="BU95"/>
          <cell r="BV95"/>
          <cell r="BW95"/>
          <cell r="BX95"/>
          <cell r="BY95"/>
        </row>
        <row r="96">
          <cell r="B96" t="str">
            <v>32210-MX</v>
          </cell>
          <cell r="D96"/>
          <cell r="E96"/>
          <cell r="F96"/>
          <cell r="G96"/>
          <cell r="H96"/>
          <cell r="I96"/>
          <cell r="J96"/>
          <cell r="K96"/>
          <cell r="L96"/>
          <cell r="M96"/>
          <cell r="N96"/>
          <cell r="O96"/>
          <cell r="P96"/>
          <cell r="Q96"/>
          <cell r="R96"/>
          <cell r="S96"/>
          <cell r="T96"/>
          <cell r="U96"/>
          <cell r="V96"/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  <cell r="AH96"/>
          <cell r="AI96"/>
          <cell r="AJ96"/>
          <cell r="AK96"/>
          <cell r="AL96"/>
          <cell r="AM96"/>
          <cell r="AN96"/>
          <cell r="AO96"/>
          <cell r="AP96"/>
          <cell r="AQ96"/>
          <cell r="AR96"/>
          <cell r="AS96"/>
          <cell r="AT96"/>
          <cell r="AU96"/>
          <cell r="AV96"/>
          <cell r="AW96"/>
          <cell r="AX96"/>
          <cell r="AY96"/>
          <cell r="AZ96"/>
          <cell r="BA96"/>
          <cell r="BB96"/>
          <cell r="BC96"/>
          <cell r="BD96"/>
          <cell r="BE96"/>
          <cell r="BF96"/>
          <cell r="BG96"/>
          <cell r="BH96"/>
          <cell r="BI96"/>
          <cell r="BJ96"/>
          <cell r="BK96"/>
          <cell r="BL96"/>
          <cell r="BM96"/>
          <cell r="BN96"/>
          <cell r="BO96"/>
          <cell r="BP96"/>
          <cell r="BQ96"/>
          <cell r="BR96"/>
          <cell r="BS96"/>
          <cell r="BT96"/>
          <cell r="BU96"/>
          <cell r="BV96"/>
          <cell r="BW96"/>
          <cell r="BX96"/>
          <cell r="BY96"/>
        </row>
        <row r="97">
          <cell r="B97" t="str">
            <v>SAB206-30DG</v>
          </cell>
          <cell r="D97"/>
          <cell r="E97"/>
          <cell r="F97"/>
          <cell r="G97"/>
          <cell r="H97"/>
          <cell r="I97"/>
          <cell r="J97"/>
          <cell r="K97"/>
          <cell r="L97"/>
          <cell r="M97"/>
          <cell r="N97"/>
          <cell r="O97"/>
          <cell r="P97"/>
          <cell r="Q97"/>
          <cell r="R97"/>
          <cell r="S97"/>
          <cell r="T97"/>
          <cell r="U97"/>
          <cell r="V97"/>
          <cell r="W97"/>
          <cell r="X97"/>
          <cell r="Y97"/>
          <cell r="Z97"/>
          <cell r="AA97"/>
          <cell r="AB97"/>
          <cell r="AC97"/>
          <cell r="AD97"/>
          <cell r="AE97"/>
          <cell r="AF97"/>
          <cell r="AG97"/>
          <cell r="AH97"/>
          <cell r="AI97"/>
          <cell r="AJ97"/>
          <cell r="AK97"/>
          <cell r="AL97"/>
          <cell r="AM97"/>
          <cell r="AN97"/>
          <cell r="AO97"/>
          <cell r="AP97"/>
          <cell r="AQ97"/>
          <cell r="AR97"/>
          <cell r="AS97"/>
          <cell r="AT97"/>
          <cell r="AU97"/>
          <cell r="AV97"/>
          <cell r="AW97"/>
          <cell r="AX97"/>
          <cell r="AY97"/>
          <cell r="AZ97"/>
          <cell r="BA97"/>
          <cell r="BB97"/>
          <cell r="BC97"/>
          <cell r="BD97"/>
          <cell r="BE97"/>
          <cell r="BF97"/>
          <cell r="BG97"/>
          <cell r="BH97"/>
          <cell r="BI97"/>
          <cell r="BJ97"/>
          <cell r="BK97"/>
          <cell r="BL97"/>
          <cell r="BM97"/>
          <cell r="BN97"/>
          <cell r="BO97"/>
          <cell r="BP97"/>
          <cell r="BQ97"/>
          <cell r="BR97"/>
          <cell r="BS97"/>
          <cell r="BT97"/>
          <cell r="BU97"/>
          <cell r="BV97"/>
          <cell r="BW97"/>
          <cell r="BX97"/>
          <cell r="BY97"/>
        </row>
        <row r="98">
          <cell r="B98" t="str">
            <v>PB000864</v>
          </cell>
          <cell r="D98"/>
          <cell r="E98"/>
          <cell r="F98"/>
          <cell r="G98"/>
          <cell r="H98"/>
          <cell r="I98"/>
          <cell r="J98"/>
          <cell r="K98"/>
          <cell r="L98"/>
          <cell r="M98"/>
          <cell r="N98"/>
          <cell r="O98"/>
          <cell r="P98"/>
          <cell r="Q98"/>
          <cell r="R98"/>
          <cell r="S98"/>
          <cell r="T98"/>
          <cell r="U98"/>
          <cell r="V98"/>
          <cell r="W98"/>
          <cell r="X98"/>
          <cell r="Y98"/>
          <cell r="Z98"/>
          <cell r="AA98"/>
          <cell r="AB98"/>
          <cell r="AC98"/>
          <cell r="AD98"/>
          <cell r="AE98"/>
          <cell r="AF98"/>
          <cell r="AG98"/>
          <cell r="AH98"/>
          <cell r="AI98"/>
          <cell r="AJ98"/>
          <cell r="AK98"/>
          <cell r="AL98"/>
          <cell r="AM98"/>
          <cell r="AN98"/>
          <cell r="AO98"/>
          <cell r="AP98"/>
          <cell r="AQ98"/>
          <cell r="AR98"/>
          <cell r="AS98"/>
          <cell r="AT98"/>
          <cell r="AU98"/>
          <cell r="AV98"/>
          <cell r="AW98"/>
          <cell r="AX98"/>
          <cell r="AY98"/>
          <cell r="AZ98"/>
          <cell r="BA98"/>
          <cell r="BB98"/>
          <cell r="BC98"/>
          <cell r="BD98"/>
          <cell r="BE98"/>
          <cell r="BF98"/>
          <cell r="BG98"/>
          <cell r="BH98"/>
          <cell r="BI98"/>
          <cell r="BJ98"/>
          <cell r="BK98"/>
          <cell r="BL98"/>
          <cell r="BM98"/>
          <cell r="BN98"/>
          <cell r="BO98"/>
          <cell r="BP98"/>
          <cell r="BQ98"/>
          <cell r="BR98"/>
          <cell r="BS98"/>
          <cell r="BT98"/>
          <cell r="BU98"/>
          <cell r="BV98"/>
          <cell r="BW98"/>
          <cell r="BX98"/>
          <cell r="BY98"/>
        </row>
        <row r="99">
          <cell r="B99" t="str">
            <v>AG-5575CHS</v>
          </cell>
          <cell r="D99"/>
          <cell r="E99"/>
          <cell r="F99"/>
          <cell r="G99"/>
          <cell r="H99"/>
          <cell r="I99"/>
          <cell r="J99"/>
          <cell r="K99"/>
          <cell r="L99"/>
          <cell r="M99"/>
          <cell r="N99"/>
          <cell r="O99"/>
          <cell r="P99"/>
          <cell r="Q99"/>
          <cell r="R99"/>
          <cell r="S99"/>
          <cell r="T99"/>
          <cell r="U99"/>
          <cell r="V99"/>
          <cell r="W99"/>
          <cell r="X99"/>
          <cell r="Y99"/>
          <cell r="Z99"/>
          <cell r="AA99"/>
          <cell r="AB99"/>
          <cell r="AC99"/>
          <cell r="AD99"/>
          <cell r="AE99"/>
          <cell r="AF99"/>
          <cell r="AG99"/>
          <cell r="AH99"/>
          <cell r="AI99"/>
          <cell r="AJ99"/>
          <cell r="AK99"/>
          <cell r="AL99"/>
          <cell r="AM99"/>
          <cell r="AN99"/>
          <cell r="AO99"/>
          <cell r="AP99"/>
          <cell r="AQ99"/>
          <cell r="AR99"/>
          <cell r="AS99"/>
          <cell r="AT99"/>
          <cell r="AU99"/>
          <cell r="AV99"/>
          <cell r="AW99"/>
          <cell r="AX99"/>
          <cell r="AY99"/>
          <cell r="AZ99"/>
          <cell r="BA99"/>
          <cell r="BB99"/>
          <cell r="BC99"/>
          <cell r="BD99"/>
          <cell r="BE99"/>
          <cell r="BF99"/>
          <cell r="BG99"/>
          <cell r="BH99"/>
          <cell r="BI99"/>
          <cell r="BJ99"/>
          <cell r="BK99"/>
          <cell r="BL99"/>
          <cell r="BM99"/>
          <cell r="BN99"/>
          <cell r="BO99"/>
          <cell r="BP99"/>
          <cell r="BQ99"/>
          <cell r="BR99"/>
          <cell r="BS99"/>
          <cell r="BT99"/>
          <cell r="BU99"/>
          <cell r="BV99"/>
          <cell r="BW99"/>
          <cell r="BX99"/>
          <cell r="BY99"/>
        </row>
        <row r="100">
          <cell r="B100" t="str">
            <v>32207-MX</v>
          </cell>
          <cell r="D100"/>
          <cell r="E100"/>
          <cell r="F100"/>
          <cell r="G100"/>
          <cell r="H100"/>
          <cell r="I100"/>
          <cell r="J100"/>
          <cell r="K100"/>
          <cell r="L100"/>
          <cell r="M100"/>
          <cell r="N100"/>
          <cell r="O100"/>
          <cell r="P100"/>
          <cell r="Q100"/>
          <cell r="R100"/>
          <cell r="S100"/>
          <cell r="T100"/>
          <cell r="U100"/>
          <cell r="V100"/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  <cell r="AH100"/>
          <cell r="AI100"/>
          <cell r="AJ100"/>
          <cell r="AK100"/>
          <cell r="AL100"/>
          <cell r="AM100"/>
          <cell r="AN100"/>
          <cell r="AO100"/>
          <cell r="AP100"/>
          <cell r="AQ100"/>
          <cell r="AR100"/>
          <cell r="AS100"/>
          <cell r="AT100"/>
          <cell r="AU100"/>
          <cell r="AV100"/>
          <cell r="AW100"/>
          <cell r="AX100"/>
          <cell r="AY100"/>
          <cell r="AZ100"/>
          <cell r="BA100"/>
          <cell r="BB100"/>
          <cell r="BC100"/>
          <cell r="BD100"/>
          <cell r="BE100"/>
          <cell r="BF100"/>
          <cell r="BG100"/>
          <cell r="BH100"/>
          <cell r="BI100"/>
          <cell r="BJ100"/>
          <cell r="BK100"/>
          <cell r="BL100"/>
          <cell r="BM100"/>
          <cell r="BN100"/>
          <cell r="BO100"/>
          <cell r="BP100"/>
          <cell r="BQ100"/>
          <cell r="BR100"/>
          <cell r="BS100"/>
          <cell r="BT100"/>
          <cell r="BU100"/>
          <cell r="BV100"/>
          <cell r="BW100"/>
          <cell r="BX100"/>
          <cell r="BY100"/>
        </row>
        <row r="101">
          <cell r="B101" t="str">
            <v>32219-MX</v>
          </cell>
          <cell r="D101"/>
          <cell r="E101"/>
          <cell r="F101"/>
          <cell r="G101"/>
          <cell r="H101"/>
          <cell r="I101"/>
          <cell r="J101"/>
          <cell r="K101"/>
          <cell r="L101"/>
          <cell r="M101"/>
          <cell r="N101"/>
          <cell r="O101"/>
          <cell r="P101"/>
          <cell r="Q101"/>
          <cell r="R101"/>
          <cell r="S101"/>
          <cell r="T101"/>
          <cell r="U101"/>
          <cell r="V101"/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/>
          <cell r="AH101"/>
          <cell r="AI101"/>
          <cell r="AJ101"/>
          <cell r="AK101"/>
          <cell r="AL101"/>
          <cell r="AM101"/>
          <cell r="AN101"/>
          <cell r="AO101"/>
          <cell r="AP101"/>
          <cell r="AQ101"/>
          <cell r="AR101"/>
          <cell r="AS101"/>
          <cell r="AT101"/>
          <cell r="AU101"/>
          <cell r="AV101"/>
          <cell r="AW101"/>
          <cell r="AX101"/>
          <cell r="AY101"/>
          <cell r="AZ101"/>
          <cell r="BA101"/>
          <cell r="BB101"/>
          <cell r="BC101"/>
          <cell r="BD101"/>
          <cell r="BE101"/>
          <cell r="BF101"/>
          <cell r="BG101"/>
          <cell r="BH101"/>
          <cell r="BI101"/>
          <cell r="BJ101"/>
          <cell r="BK101"/>
          <cell r="BL101"/>
          <cell r="BM101"/>
          <cell r="BN101"/>
          <cell r="BO101"/>
          <cell r="BP101"/>
          <cell r="BQ101"/>
          <cell r="BR101"/>
          <cell r="BS101"/>
          <cell r="BT101"/>
          <cell r="BU101"/>
          <cell r="BV101"/>
          <cell r="BW101"/>
          <cell r="BX101"/>
          <cell r="BY101"/>
        </row>
        <row r="102">
          <cell r="B102" t="str">
            <v>F-210-C</v>
          </cell>
          <cell r="D102"/>
          <cell r="E102"/>
          <cell r="F102"/>
          <cell r="G102"/>
          <cell r="H102"/>
          <cell r="I102"/>
          <cell r="J102"/>
          <cell r="K102"/>
          <cell r="L102"/>
          <cell r="M102"/>
          <cell r="N102"/>
          <cell r="O102"/>
          <cell r="P102"/>
          <cell r="Q102"/>
          <cell r="R102"/>
          <cell r="S102"/>
          <cell r="T102"/>
          <cell r="U102"/>
          <cell r="V102"/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/>
          <cell r="AO102"/>
          <cell r="AP102"/>
          <cell r="AQ102"/>
          <cell r="AR102"/>
          <cell r="AS102"/>
          <cell r="AT102"/>
          <cell r="AU102"/>
          <cell r="AV102"/>
          <cell r="AW102"/>
          <cell r="AX102"/>
          <cell r="AY102"/>
          <cell r="AZ102"/>
          <cell r="BA102"/>
          <cell r="BB102"/>
          <cell r="BC102"/>
          <cell r="BD102"/>
          <cell r="BE102"/>
          <cell r="BF102"/>
          <cell r="BG102"/>
          <cell r="BH102"/>
          <cell r="BI102"/>
          <cell r="BJ102"/>
          <cell r="BK102"/>
          <cell r="BL102"/>
          <cell r="BM102"/>
          <cell r="BN102"/>
          <cell r="BO102"/>
          <cell r="BP102"/>
          <cell r="BQ102"/>
          <cell r="BR102"/>
          <cell r="BS102"/>
          <cell r="BT102"/>
          <cell r="BU102"/>
          <cell r="BV102"/>
          <cell r="BW102"/>
          <cell r="BX102"/>
          <cell r="BY102"/>
        </row>
        <row r="103">
          <cell r="B103" t="str">
            <v>ECL212-60D-3</v>
          </cell>
          <cell r="D103"/>
          <cell r="E103"/>
          <cell r="F103"/>
          <cell r="G103"/>
          <cell r="H103"/>
          <cell r="I103"/>
          <cell r="J103"/>
          <cell r="K103"/>
          <cell r="L103"/>
          <cell r="M103"/>
          <cell r="N103"/>
          <cell r="O103"/>
          <cell r="P103"/>
          <cell r="Q103"/>
          <cell r="R103"/>
          <cell r="S103"/>
          <cell r="T103"/>
          <cell r="U103"/>
          <cell r="V103"/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/>
          <cell r="AO103"/>
          <cell r="AP103"/>
          <cell r="AQ103"/>
          <cell r="AR103"/>
          <cell r="AS103"/>
          <cell r="AT103"/>
          <cell r="AU103"/>
          <cell r="AV103"/>
          <cell r="AW103"/>
          <cell r="AX103"/>
          <cell r="AY103"/>
          <cell r="AZ103"/>
          <cell r="BA103"/>
          <cell r="BB103"/>
          <cell r="BC103"/>
          <cell r="BD103"/>
          <cell r="BE103"/>
          <cell r="BF103"/>
          <cell r="BG103"/>
          <cell r="BH103"/>
          <cell r="BI103"/>
          <cell r="BJ103"/>
          <cell r="BK103"/>
          <cell r="BL103"/>
          <cell r="BM103"/>
          <cell r="BN103"/>
          <cell r="BO103"/>
          <cell r="BP103"/>
          <cell r="BQ103"/>
          <cell r="BR103"/>
          <cell r="BS103"/>
          <cell r="BT103"/>
          <cell r="BU103"/>
          <cell r="BV103"/>
          <cell r="BW103"/>
          <cell r="BX103"/>
          <cell r="BY103"/>
        </row>
        <row r="104">
          <cell r="B104" t="str">
            <v>30213-MX</v>
          </cell>
          <cell r="D104"/>
          <cell r="E104"/>
          <cell r="F104"/>
          <cell r="G104"/>
          <cell r="H104"/>
          <cell r="I104"/>
          <cell r="J104"/>
          <cell r="K104"/>
          <cell r="L104"/>
          <cell r="M104"/>
          <cell r="N104"/>
          <cell r="O104"/>
          <cell r="P104"/>
          <cell r="Q104"/>
          <cell r="R104"/>
          <cell r="S104"/>
          <cell r="T104"/>
          <cell r="U104"/>
          <cell r="V104"/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/>
          <cell r="AO104"/>
          <cell r="AP104"/>
          <cell r="AQ104"/>
          <cell r="AR104"/>
          <cell r="AS104"/>
          <cell r="AT104"/>
          <cell r="AU104"/>
          <cell r="AV104"/>
          <cell r="AW104"/>
          <cell r="AX104"/>
          <cell r="AY104"/>
          <cell r="AZ104"/>
          <cell r="BA104"/>
          <cell r="BB104"/>
          <cell r="BC104"/>
          <cell r="BD104"/>
          <cell r="BE104"/>
          <cell r="BF104"/>
          <cell r="BG104"/>
          <cell r="BH104"/>
          <cell r="BI104"/>
          <cell r="BJ104"/>
          <cell r="BK104"/>
          <cell r="BL104"/>
          <cell r="BM104"/>
          <cell r="BN104"/>
          <cell r="BO104"/>
          <cell r="BP104"/>
          <cell r="BQ104"/>
          <cell r="BR104"/>
          <cell r="BS104"/>
          <cell r="BT104"/>
          <cell r="BU104"/>
          <cell r="BV104"/>
          <cell r="BW104"/>
          <cell r="BX104"/>
          <cell r="BY104"/>
        </row>
        <row r="105">
          <cell r="B105" t="str">
            <v>LS05-ZZ</v>
          </cell>
          <cell r="D105"/>
          <cell r="E105"/>
          <cell r="F105"/>
          <cell r="G105"/>
          <cell r="H105"/>
          <cell r="I105"/>
          <cell r="J105"/>
          <cell r="K105"/>
          <cell r="L105"/>
          <cell r="M105"/>
          <cell r="N105"/>
          <cell r="O105"/>
          <cell r="P105"/>
          <cell r="Q105"/>
          <cell r="R105"/>
          <cell r="S105"/>
          <cell r="T105"/>
          <cell r="U105"/>
          <cell r="V105"/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/>
          <cell r="AK105"/>
          <cell r="AL105"/>
          <cell r="AM105"/>
          <cell r="AN105"/>
          <cell r="AO105"/>
          <cell r="AP105"/>
          <cell r="AQ105"/>
          <cell r="AR105"/>
          <cell r="AS105"/>
          <cell r="AT105"/>
          <cell r="AU105"/>
          <cell r="AV105"/>
          <cell r="AW105"/>
          <cell r="AX105"/>
          <cell r="AY105"/>
          <cell r="AZ105"/>
          <cell r="BA105"/>
          <cell r="BB105"/>
          <cell r="BC105"/>
          <cell r="BD105"/>
          <cell r="BE105"/>
          <cell r="BF105"/>
          <cell r="BG105"/>
          <cell r="BH105"/>
          <cell r="BI105"/>
          <cell r="BJ105"/>
          <cell r="BK105"/>
          <cell r="BL105"/>
          <cell r="BM105"/>
          <cell r="BN105"/>
          <cell r="BO105"/>
          <cell r="BP105"/>
          <cell r="BQ105"/>
          <cell r="BR105"/>
          <cell r="BS105"/>
          <cell r="BT105"/>
          <cell r="BU105"/>
          <cell r="BV105"/>
          <cell r="BW105"/>
          <cell r="BX105"/>
          <cell r="BY105"/>
        </row>
        <row r="106">
          <cell r="B106" t="str">
            <v>HCFS210-31</v>
          </cell>
          <cell r="D106"/>
          <cell r="E106"/>
          <cell r="F106"/>
          <cell r="G106"/>
          <cell r="H106"/>
          <cell r="I106"/>
          <cell r="J106"/>
          <cell r="K106"/>
          <cell r="L106"/>
          <cell r="M106"/>
          <cell r="N106"/>
          <cell r="O106"/>
          <cell r="P106"/>
          <cell r="Q106"/>
          <cell r="R106"/>
          <cell r="S106"/>
          <cell r="T106"/>
          <cell r="U106"/>
          <cell r="V106"/>
          <cell r="W106"/>
          <cell r="X106"/>
          <cell r="Y106"/>
          <cell r="Z106"/>
          <cell r="AA106"/>
          <cell r="AB106"/>
          <cell r="AC106"/>
          <cell r="AD106"/>
          <cell r="AE106"/>
          <cell r="AF106"/>
          <cell r="AG106"/>
          <cell r="AH106"/>
          <cell r="AI106"/>
          <cell r="AJ106"/>
          <cell r="AK106"/>
          <cell r="AL106"/>
          <cell r="AM106"/>
          <cell r="AN106"/>
          <cell r="AO106"/>
          <cell r="AP106"/>
          <cell r="AQ106"/>
          <cell r="AR106"/>
          <cell r="AS106"/>
          <cell r="AT106"/>
          <cell r="AU106"/>
          <cell r="AV106"/>
          <cell r="AW106"/>
          <cell r="AX106"/>
          <cell r="AY106"/>
          <cell r="AZ106"/>
          <cell r="BA106"/>
          <cell r="BB106"/>
          <cell r="BC106"/>
          <cell r="BD106"/>
          <cell r="BE106"/>
          <cell r="BF106"/>
          <cell r="BG106"/>
          <cell r="BH106"/>
          <cell r="BI106"/>
          <cell r="BJ106"/>
          <cell r="BK106"/>
          <cell r="BL106"/>
          <cell r="BM106"/>
          <cell r="BN106"/>
          <cell r="BO106"/>
          <cell r="BP106"/>
          <cell r="BQ106"/>
          <cell r="BR106"/>
          <cell r="BS106"/>
          <cell r="BT106"/>
          <cell r="BU106"/>
          <cell r="BV106"/>
          <cell r="BW106"/>
          <cell r="BX106"/>
          <cell r="BY106"/>
        </row>
        <row r="107">
          <cell r="B107" t="str">
            <v>FB-210-C</v>
          </cell>
          <cell r="D107"/>
          <cell r="E107"/>
          <cell r="F107"/>
          <cell r="G107"/>
          <cell r="H107"/>
          <cell r="I107"/>
          <cell r="J107"/>
          <cell r="K107"/>
          <cell r="L107"/>
          <cell r="M107"/>
          <cell r="N107"/>
          <cell r="O107"/>
          <cell r="P107"/>
          <cell r="Q107"/>
          <cell r="R107"/>
          <cell r="S107"/>
          <cell r="T107"/>
          <cell r="U107"/>
          <cell r="V107"/>
          <cell r="W107"/>
          <cell r="X107"/>
          <cell r="Y107"/>
          <cell r="Z107"/>
          <cell r="AA107"/>
          <cell r="AB107"/>
          <cell r="AC107"/>
          <cell r="AD107"/>
          <cell r="AE107"/>
          <cell r="AF107"/>
          <cell r="AG107"/>
          <cell r="AH107"/>
          <cell r="AI107"/>
          <cell r="AJ107"/>
          <cell r="AK107"/>
          <cell r="AL107"/>
          <cell r="AM107"/>
          <cell r="AN107"/>
          <cell r="AO107"/>
          <cell r="AP107"/>
          <cell r="AQ107"/>
          <cell r="AR107"/>
          <cell r="AS107"/>
          <cell r="AT107"/>
          <cell r="AU107"/>
          <cell r="AV107"/>
          <cell r="AW107"/>
          <cell r="AX107"/>
          <cell r="AY107"/>
          <cell r="AZ107"/>
          <cell r="BA107"/>
          <cell r="BB107"/>
          <cell r="BC107"/>
          <cell r="BD107"/>
          <cell r="BE107"/>
          <cell r="BF107"/>
          <cell r="BG107"/>
          <cell r="BH107"/>
          <cell r="BI107"/>
          <cell r="BJ107"/>
          <cell r="BK107"/>
          <cell r="BL107"/>
          <cell r="BM107"/>
          <cell r="BN107"/>
          <cell r="BO107"/>
          <cell r="BP107"/>
          <cell r="BQ107"/>
          <cell r="BR107"/>
          <cell r="BS107"/>
          <cell r="BT107"/>
          <cell r="BU107"/>
          <cell r="BV107"/>
          <cell r="BW107"/>
          <cell r="BX107"/>
          <cell r="BY107"/>
        </row>
        <row r="108">
          <cell r="B108" t="str">
            <v>207-KRRB12</v>
          </cell>
          <cell r="D108"/>
          <cell r="E108"/>
          <cell r="F108"/>
          <cell r="G108"/>
          <cell r="H108"/>
          <cell r="I108"/>
          <cell r="J108"/>
          <cell r="K108"/>
          <cell r="L108"/>
          <cell r="M108"/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  <cell r="X108"/>
          <cell r="Y108"/>
          <cell r="Z108"/>
          <cell r="AA108"/>
          <cell r="AB108"/>
          <cell r="AC108"/>
          <cell r="AD108"/>
          <cell r="AE108"/>
          <cell r="AF108"/>
          <cell r="AG108"/>
          <cell r="AH108"/>
          <cell r="AI108"/>
          <cell r="AJ108"/>
          <cell r="AK108"/>
          <cell r="AL108"/>
          <cell r="AM108"/>
          <cell r="AN108"/>
          <cell r="AO108"/>
          <cell r="AP108"/>
          <cell r="AQ108"/>
          <cell r="AR108"/>
          <cell r="AS108"/>
          <cell r="AT108"/>
          <cell r="AU108"/>
          <cell r="AV108"/>
          <cell r="AW108"/>
          <cell r="AX108"/>
          <cell r="AY108"/>
          <cell r="AZ108"/>
          <cell r="BA108"/>
          <cell r="BB108"/>
          <cell r="BC108"/>
          <cell r="BD108"/>
          <cell r="BE108"/>
          <cell r="BF108"/>
          <cell r="BG108"/>
          <cell r="BH108"/>
          <cell r="BI108"/>
          <cell r="BJ108"/>
          <cell r="BK108"/>
          <cell r="BL108"/>
          <cell r="BM108"/>
          <cell r="BN108"/>
          <cell r="BO108"/>
          <cell r="BP108"/>
          <cell r="BQ108"/>
          <cell r="BR108"/>
          <cell r="BS108"/>
          <cell r="BT108"/>
          <cell r="BU108"/>
          <cell r="BV108"/>
          <cell r="BW108"/>
          <cell r="BX108"/>
          <cell r="BY108"/>
        </row>
        <row r="109">
          <cell r="B109" t="str">
            <v>32008-MX</v>
          </cell>
          <cell r="D109"/>
          <cell r="E109"/>
          <cell r="F109"/>
          <cell r="G109"/>
          <cell r="H109"/>
          <cell r="I109"/>
          <cell r="J109"/>
          <cell r="K109"/>
          <cell r="L109"/>
          <cell r="M109"/>
          <cell r="N109"/>
          <cell r="O109"/>
          <cell r="P109"/>
          <cell r="Q109"/>
          <cell r="R109"/>
          <cell r="S109"/>
          <cell r="T109"/>
          <cell r="U109"/>
          <cell r="V109"/>
          <cell r="W109"/>
          <cell r="X109"/>
          <cell r="Y109"/>
          <cell r="Z109"/>
          <cell r="AA109"/>
          <cell r="AB109"/>
          <cell r="AC109"/>
          <cell r="AD109"/>
          <cell r="AE109"/>
          <cell r="AF109"/>
          <cell r="AG109"/>
          <cell r="AH109"/>
          <cell r="AI109"/>
          <cell r="AJ109"/>
          <cell r="AK109"/>
          <cell r="AL109"/>
          <cell r="AM109"/>
          <cell r="AN109"/>
          <cell r="AO109"/>
          <cell r="AP109"/>
          <cell r="AQ109"/>
          <cell r="AR109"/>
          <cell r="AS109"/>
          <cell r="AT109"/>
          <cell r="AU109"/>
          <cell r="AV109"/>
          <cell r="AW109"/>
          <cell r="AX109"/>
          <cell r="AY109"/>
          <cell r="AZ109"/>
          <cell r="BA109"/>
          <cell r="BB109"/>
          <cell r="BC109"/>
          <cell r="BD109"/>
          <cell r="BE109"/>
          <cell r="BF109"/>
          <cell r="BG109"/>
          <cell r="BH109"/>
          <cell r="BI109"/>
          <cell r="BJ109"/>
          <cell r="BK109"/>
          <cell r="BL109"/>
          <cell r="BM109"/>
          <cell r="BN109"/>
          <cell r="BO109"/>
          <cell r="BP109"/>
          <cell r="BQ109"/>
          <cell r="BR109"/>
          <cell r="BS109"/>
          <cell r="BT109"/>
          <cell r="BU109"/>
          <cell r="BV109"/>
          <cell r="BW109"/>
          <cell r="BX109"/>
          <cell r="BY109"/>
        </row>
        <row r="110">
          <cell r="B110" t="str">
            <v>M040000059</v>
          </cell>
          <cell r="D110"/>
          <cell r="E110"/>
          <cell r="F110"/>
          <cell r="G110"/>
          <cell r="H110"/>
          <cell r="I110"/>
          <cell r="J110"/>
          <cell r="K110"/>
          <cell r="L110"/>
          <cell r="M110"/>
          <cell r="N110"/>
          <cell r="O110"/>
          <cell r="P110"/>
          <cell r="Q110"/>
          <cell r="R110"/>
          <cell r="S110"/>
          <cell r="T110"/>
          <cell r="U110"/>
          <cell r="V110"/>
          <cell r="W110"/>
          <cell r="X110"/>
          <cell r="Y110"/>
          <cell r="Z110"/>
          <cell r="AA110"/>
          <cell r="AB110"/>
          <cell r="AC110"/>
          <cell r="AD110"/>
          <cell r="AE110"/>
          <cell r="AF110"/>
          <cell r="AG110"/>
          <cell r="AH110"/>
          <cell r="AI110"/>
          <cell r="AJ110"/>
          <cell r="AK110"/>
          <cell r="AL110"/>
          <cell r="AM110"/>
          <cell r="AN110"/>
          <cell r="AO110"/>
          <cell r="AP110"/>
          <cell r="AQ110"/>
          <cell r="AR110"/>
          <cell r="AS110"/>
          <cell r="AT110"/>
          <cell r="AU110"/>
          <cell r="AV110"/>
          <cell r="AW110"/>
          <cell r="AX110"/>
          <cell r="AY110"/>
          <cell r="AZ110"/>
          <cell r="BA110"/>
          <cell r="BB110"/>
          <cell r="BC110"/>
          <cell r="BD110"/>
          <cell r="BE110"/>
          <cell r="BF110"/>
          <cell r="BG110"/>
          <cell r="BH110"/>
          <cell r="BI110"/>
          <cell r="BJ110"/>
          <cell r="BK110"/>
          <cell r="BL110"/>
          <cell r="BM110"/>
          <cell r="BN110"/>
          <cell r="BO110"/>
          <cell r="BP110"/>
          <cell r="BQ110"/>
          <cell r="BR110"/>
          <cell r="BS110"/>
          <cell r="BT110"/>
          <cell r="BU110"/>
          <cell r="BV110"/>
          <cell r="BW110"/>
          <cell r="BX110"/>
          <cell r="BY110"/>
        </row>
        <row r="111">
          <cell r="B111" t="str">
            <v>LS05-2RST</v>
          </cell>
          <cell r="D111"/>
          <cell r="E111"/>
          <cell r="F111"/>
          <cell r="G111"/>
          <cell r="H111"/>
          <cell r="I111"/>
          <cell r="J111"/>
          <cell r="K111"/>
          <cell r="L111"/>
          <cell r="M111"/>
          <cell r="N111"/>
          <cell r="O111"/>
          <cell r="P111"/>
          <cell r="Q111"/>
          <cell r="R111"/>
          <cell r="S111"/>
          <cell r="T111"/>
          <cell r="U111"/>
          <cell r="V111"/>
          <cell r="W111"/>
          <cell r="X111"/>
          <cell r="Y111"/>
          <cell r="Z111"/>
          <cell r="AA111"/>
          <cell r="AB111"/>
          <cell r="AC111"/>
          <cell r="AD111"/>
          <cell r="AE111"/>
          <cell r="AF111"/>
          <cell r="AG111"/>
          <cell r="AH111"/>
          <cell r="AI111"/>
          <cell r="AJ111"/>
          <cell r="AK111"/>
          <cell r="AL111"/>
          <cell r="AM111"/>
          <cell r="AN111"/>
          <cell r="AO111"/>
          <cell r="AP111"/>
          <cell r="AQ111"/>
          <cell r="AR111"/>
          <cell r="AS111"/>
          <cell r="AT111"/>
          <cell r="AU111"/>
          <cell r="AV111"/>
          <cell r="AW111"/>
          <cell r="AX111"/>
          <cell r="AY111"/>
          <cell r="AZ111"/>
          <cell r="BA111"/>
          <cell r="BB111"/>
          <cell r="BC111"/>
          <cell r="BD111"/>
          <cell r="BE111"/>
          <cell r="BF111"/>
          <cell r="BG111"/>
          <cell r="BH111"/>
          <cell r="BI111"/>
          <cell r="BJ111"/>
          <cell r="BK111"/>
          <cell r="BL111"/>
          <cell r="BM111"/>
          <cell r="BN111"/>
          <cell r="BO111"/>
          <cell r="BP111"/>
          <cell r="BQ111"/>
          <cell r="BR111"/>
          <cell r="BS111"/>
          <cell r="BT111"/>
          <cell r="BU111"/>
          <cell r="BV111"/>
          <cell r="BW111"/>
          <cell r="BX111"/>
          <cell r="BY111"/>
        </row>
        <row r="112">
          <cell r="B112" t="str">
            <v>PB000721</v>
          </cell>
          <cell r="D112"/>
          <cell r="E112"/>
          <cell r="F112"/>
          <cell r="G112"/>
          <cell r="H112"/>
          <cell r="I112"/>
          <cell r="J112"/>
          <cell r="K112"/>
          <cell r="L112"/>
          <cell r="M112"/>
          <cell r="N112"/>
          <cell r="O112"/>
          <cell r="P112"/>
          <cell r="Q112"/>
          <cell r="R112"/>
          <cell r="S112"/>
          <cell r="T112"/>
          <cell r="U112"/>
          <cell r="V112"/>
          <cell r="W112"/>
          <cell r="X112"/>
          <cell r="Y112"/>
          <cell r="Z112"/>
          <cell r="AA112"/>
          <cell r="AB112"/>
          <cell r="AC112"/>
          <cell r="AD112"/>
          <cell r="AE112"/>
          <cell r="AF112"/>
          <cell r="AG112"/>
          <cell r="AH112"/>
          <cell r="AI112"/>
          <cell r="AJ112"/>
          <cell r="AK112"/>
          <cell r="AL112"/>
          <cell r="AM112"/>
          <cell r="AN112"/>
          <cell r="AO112"/>
          <cell r="AP112"/>
          <cell r="AQ112"/>
          <cell r="AR112"/>
          <cell r="AS112"/>
          <cell r="AT112"/>
          <cell r="AU112"/>
          <cell r="AV112"/>
          <cell r="AW112"/>
          <cell r="AX112"/>
          <cell r="AY112"/>
          <cell r="AZ112"/>
          <cell r="BA112"/>
          <cell r="BB112"/>
          <cell r="BC112"/>
          <cell r="BD112"/>
          <cell r="BE112"/>
          <cell r="BF112"/>
          <cell r="BG112"/>
          <cell r="BH112"/>
          <cell r="BI112"/>
          <cell r="BJ112"/>
          <cell r="BK112"/>
          <cell r="BL112"/>
          <cell r="BM112"/>
          <cell r="BN112"/>
          <cell r="BO112"/>
          <cell r="BP112"/>
          <cell r="BQ112"/>
          <cell r="BR112"/>
          <cell r="BS112"/>
          <cell r="BT112"/>
          <cell r="BU112"/>
          <cell r="BV112"/>
          <cell r="BW112"/>
          <cell r="BX112"/>
          <cell r="BY112"/>
        </row>
        <row r="113">
          <cell r="B113" t="str">
            <v>SAB208-40DG</v>
          </cell>
          <cell r="D113"/>
          <cell r="E113"/>
          <cell r="F113"/>
          <cell r="G113"/>
          <cell r="H113"/>
          <cell r="I113"/>
          <cell r="J113"/>
          <cell r="K113"/>
          <cell r="L113"/>
          <cell r="M113"/>
          <cell r="N113"/>
          <cell r="O113"/>
          <cell r="P113"/>
          <cell r="Q113"/>
          <cell r="R113"/>
          <cell r="S113"/>
          <cell r="T113"/>
          <cell r="U113"/>
          <cell r="V113"/>
          <cell r="W113"/>
          <cell r="X113"/>
          <cell r="Y113"/>
          <cell r="Z113"/>
          <cell r="AA113"/>
          <cell r="AB113"/>
          <cell r="AC113"/>
          <cell r="AD113"/>
          <cell r="AE113"/>
          <cell r="AF113"/>
          <cell r="AG113"/>
          <cell r="AH113"/>
          <cell r="AI113"/>
          <cell r="AJ113"/>
          <cell r="AK113"/>
          <cell r="AL113"/>
          <cell r="AM113"/>
          <cell r="AN113"/>
          <cell r="AO113"/>
          <cell r="AP113"/>
          <cell r="AQ113"/>
          <cell r="AR113"/>
          <cell r="AS113"/>
          <cell r="AT113"/>
          <cell r="AU113"/>
          <cell r="AV113"/>
          <cell r="AW113"/>
          <cell r="AX113"/>
          <cell r="AY113"/>
          <cell r="AZ113"/>
          <cell r="BA113"/>
          <cell r="BB113"/>
          <cell r="BC113"/>
          <cell r="BD113"/>
          <cell r="BE113"/>
          <cell r="BF113"/>
          <cell r="BG113"/>
          <cell r="BH113"/>
          <cell r="BI113"/>
          <cell r="BJ113"/>
          <cell r="BK113"/>
          <cell r="BL113"/>
          <cell r="BM113"/>
          <cell r="BN113"/>
          <cell r="BO113"/>
          <cell r="BP113"/>
          <cell r="BQ113"/>
          <cell r="BR113"/>
          <cell r="BS113"/>
          <cell r="BT113"/>
          <cell r="BU113"/>
          <cell r="BV113"/>
          <cell r="BW113"/>
          <cell r="BX113"/>
          <cell r="BY113"/>
        </row>
        <row r="114">
          <cell r="B114" t="str">
            <v>MS06-D-C3</v>
          </cell>
          <cell r="D114"/>
          <cell r="E114"/>
          <cell r="F114"/>
          <cell r="G114"/>
          <cell r="H114"/>
          <cell r="I114"/>
          <cell r="J114"/>
          <cell r="K114"/>
          <cell r="L114"/>
          <cell r="M114"/>
          <cell r="N114"/>
          <cell r="O114"/>
          <cell r="P114"/>
          <cell r="Q114"/>
          <cell r="R114"/>
          <cell r="S114"/>
          <cell r="T114"/>
          <cell r="U114"/>
          <cell r="V114"/>
          <cell r="W114"/>
          <cell r="X114"/>
          <cell r="Y114"/>
          <cell r="Z114"/>
          <cell r="AA114"/>
          <cell r="AB114"/>
          <cell r="AC114"/>
          <cell r="AD114"/>
          <cell r="AE114"/>
          <cell r="AF114"/>
          <cell r="AG114"/>
          <cell r="AH114"/>
          <cell r="AI114"/>
          <cell r="AJ114"/>
          <cell r="AK114"/>
          <cell r="AL114"/>
          <cell r="AM114"/>
          <cell r="AN114"/>
          <cell r="AO114"/>
          <cell r="AP114"/>
          <cell r="AQ114"/>
          <cell r="AR114"/>
          <cell r="AS114"/>
          <cell r="AT114"/>
          <cell r="AU114"/>
          <cell r="AV114"/>
          <cell r="AW114"/>
          <cell r="AX114"/>
          <cell r="AY114"/>
          <cell r="AZ114"/>
          <cell r="BA114"/>
          <cell r="BB114"/>
          <cell r="BC114"/>
          <cell r="BD114"/>
          <cell r="BE114"/>
          <cell r="BF114"/>
          <cell r="BG114"/>
          <cell r="BH114"/>
          <cell r="BI114"/>
          <cell r="BJ114"/>
          <cell r="BK114"/>
          <cell r="BL114"/>
          <cell r="BM114"/>
          <cell r="BN114"/>
          <cell r="BO114"/>
          <cell r="BP114"/>
          <cell r="BQ114"/>
          <cell r="BR114"/>
          <cell r="BS114"/>
          <cell r="BT114"/>
          <cell r="BU114"/>
          <cell r="BV114"/>
          <cell r="BW114"/>
          <cell r="BX114"/>
          <cell r="BY114"/>
        </row>
        <row r="115">
          <cell r="B115" t="str">
            <v>PB000852</v>
          </cell>
          <cell r="D115"/>
          <cell r="E115"/>
          <cell r="F115"/>
          <cell r="G115"/>
          <cell r="H115"/>
          <cell r="I115"/>
          <cell r="J115"/>
          <cell r="K115"/>
          <cell r="L115"/>
          <cell r="M115"/>
          <cell r="N115"/>
          <cell r="O115"/>
          <cell r="P115"/>
          <cell r="Q115"/>
          <cell r="R115"/>
          <cell r="S115"/>
          <cell r="T115"/>
          <cell r="U115"/>
          <cell r="V115"/>
          <cell r="W115"/>
          <cell r="X115"/>
          <cell r="Y115"/>
          <cell r="Z115"/>
          <cell r="AA115"/>
          <cell r="AB115"/>
          <cell r="AC115"/>
          <cell r="AD115"/>
          <cell r="AE115"/>
          <cell r="AF115"/>
          <cell r="AG115"/>
          <cell r="AH115"/>
          <cell r="AI115"/>
          <cell r="AJ115"/>
          <cell r="AK115"/>
          <cell r="AL115"/>
          <cell r="AM115"/>
          <cell r="AN115"/>
          <cell r="AO115"/>
          <cell r="AP115"/>
          <cell r="AQ115"/>
          <cell r="AR115"/>
          <cell r="AS115"/>
          <cell r="AT115"/>
          <cell r="AU115"/>
          <cell r="AV115"/>
          <cell r="AW115"/>
          <cell r="AX115"/>
          <cell r="AY115"/>
          <cell r="AZ115"/>
          <cell r="BA115"/>
          <cell r="BB115"/>
          <cell r="BC115"/>
          <cell r="BD115"/>
          <cell r="BE115"/>
          <cell r="BF115"/>
          <cell r="BG115"/>
          <cell r="BH115"/>
          <cell r="BI115"/>
          <cell r="BJ115"/>
          <cell r="BK115"/>
          <cell r="BL115"/>
          <cell r="BM115"/>
          <cell r="BN115"/>
          <cell r="BO115"/>
          <cell r="BP115"/>
          <cell r="BQ115"/>
          <cell r="BR115"/>
          <cell r="BS115"/>
          <cell r="BT115"/>
          <cell r="BU115"/>
          <cell r="BV115"/>
          <cell r="BW115"/>
          <cell r="BX115"/>
          <cell r="BY115"/>
        </row>
        <row r="116">
          <cell r="B116" t="str">
            <v>HD04-2RST</v>
          </cell>
          <cell r="D116"/>
          <cell r="E116"/>
          <cell r="F116"/>
          <cell r="G116"/>
          <cell r="H116"/>
          <cell r="I116"/>
          <cell r="J116"/>
          <cell r="K116"/>
          <cell r="L116"/>
          <cell r="M116"/>
          <cell r="N116"/>
          <cell r="O116"/>
          <cell r="P116"/>
          <cell r="Q116"/>
          <cell r="R116"/>
          <cell r="S116"/>
          <cell r="T116"/>
          <cell r="U116"/>
          <cell r="V116"/>
          <cell r="W116"/>
          <cell r="X116"/>
          <cell r="Y116"/>
          <cell r="Z116"/>
          <cell r="AA116"/>
          <cell r="AB116"/>
          <cell r="AC116"/>
          <cell r="AD116"/>
          <cell r="AE116"/>
          <cell r="AF116"/>
          <cell r="AG116"/>
          <cell r="AH116"/>
          <cell r="AI116"/>
          <cell r="AJ116"/>
          <cell r="AK116"/>
          <cell r="AL116"/>
          <cell r="AM116"/>
          <cell r="AN116"/>
          <cell r="AO116"/>
          <cell r="AP116"/>
          <cell r="AQ116"/>
          <cell r="AR116"/>
          <cell r="AS116"/>
          <cell r="AT116"/>
          <cell r="AU116"/>
          <cell r="AV116"/>
          <cell r="AW116"/>
          <cell r="AX116"/>
          <cell r="AY116"/>
          <cell r="AZ116"/>
          <cell r="BA116"/>
          <cell r="BB116"/>
          <cell r="BC116"/>
          <cell r="BD116"/>
          <cell r="BE116"/>
          <cell r="BF116"/>
          <cell r="BG116"/>
          <cell r="BH116"/>
          <cell r="BI116"/>
          <cell r="BJ116"/>
          <cell r="BK116"/>
          <cell r="BL116"/>
          <cell r="BM116"/>
          <cell r="BN116"/>
          <cell r="BO116"/>
          <cell r="BP116"/>
          <cell r="BQ116"/>
          <cell r="BR116"/>
          <cell r="BS116"/>
          <cell r="BT116"/>
          <cell r="BU116"/>
          <cell r="BV116"/>
          <cell r="BW116"/>
          <cell r="BX116"/>
          <cell r="BY116"/>
        </row>
        <row r="117">
          <cell r="B117" t="str">
            <v>207-KRRB9</v>
          </cell>
          <cell r="D117"/>
          <cell r="E117"/>
          <cell r="F117"/>
          <cell r="G117"/>
          <cell r="H117"/>
          <cell r="I117"/>
          <cell r="J117"/>
          <cell r="K117"/>
          <cell r="L117"/>
          <cell r="M117"/>
          <cell r="N117"/>
          <cell r="O117"/>
          <cell r="P117"/>
          <cell r="Q117"/>
          <cell r="R117"/>
          <cell r="S117"/>
          <cell r="T117"/>
          <cell r="U117"/>
          <cell r="V117"/>
          <cell r="W117"/>
          <cell r="X117"/>
          <cell r="Y117"/>
          <cell r="Z117"/>
          <cell r="AA117"/>
          <cell r="AB117"/>
          <cell r="AC117"/>
          <cell r="AD117"/>
          <cell r="AE117"/>
          <cell r="AF117"/>
          <cell r="AG117"/>
          <cell r="AH117"/>
          <cell r="AI117"/>
          <cell r="AJ117"/>
          <cell r="AK117"/>
          <cell r="AL117"/>
          <cell r="AM117"/>
          <cell r="AN117"/>
          <cell r="AO117"/>
          <cell r="AP117"/>
          <cell r="AQ117"/>
          <cell r="AR117"/>
          <cell r="AS117"/>
          <cell r="AT117"/>
          <cell r="AU117"/>
          <cell r="AV117"/>
          <cell r="AW117"/>
          <cell r="AX117"/>
          <cell r="AY117"/>
          <cell r="AZ117"/>
          <cell r="BA117"/>
          <cell r="BB117"/>
          <cell r="BC117"/>
          <cell r="BD117"/>
          <cell r="BE117"/>
          <cell r="BF117"/>
          <cell r="BG117"/>
          <cell r="BH117"/>
          <cell r="BI117"/>
          <cell r="BJ117"/>
          <cell r="BK117"/>
          <cell r="BL117"/>
          <cell r="BM117"/>
          <cell r="BN117"/>
          <cell r="BO117"/>
          <cell r="BP117"/>
          <cell r="BQ117"/>
          <cell r="BR117"/>
          <cell r="BS117"/>
          <cell r="BT117"/>
          <cell r="BU117"/>
          <cell r="BV117"/>
          <cell r="BW117"/>
          <cell r="BX117"/>
          <cell r="BY117"/>
        </row>
        <row r="118">
          <cell r="B118" t="str">
            <v>PB003292</v>
          </cell>
          <cell r="D118"/>
          <cell r="E118"/>
          <cell r="F118"/>
          <cell r="G118"/>
          <cell r="H118"/>
          <cell r="I118"/>
          <cell r="J118"/>
          <cell r="K118"/>
          <cell r="L118"/>
          <cell r="M118"/>
          <cell r="N118"/>
          <cell r="O118"/>
          <cell r="P118"/>
          <cell r="Q118"/>
          <cell r="R118"/>
          <cell r="S118"/>
          <cell r="T118"/>
          <cell r="U118"/>
          <cell r="V118"/>
          <cell r="W118"/>
          <cell r="X118"/>
          <cell r="Y118"/>
          <cell r="Z118"/>
          <cell r="AA118"/>
          <cell r="AB118"/>
          <cell r="AC118"/>
          <cell r="AD118"/>
          <cell r="AE118"/>
          <cell r="AF118"/>
          <cell r="AG118"/>
          <cell r="AH118"/>
          <cell r="AI118"/>
          <cell r="AJ118"/>
          <cell r="AK118"/>
          <cell r="AL118"/>
          <cell r="AM118"/>
          <cell r="AN118"/>
          <cell r="AO118"/>
          <cell r="AP118"/>
          <cell r="AQ118"/>
          <cell r="AR118"/>
          <cell r="AS118"/>
          <cell r="AT118"/>
          <cell r="AU118"/>
          <cell r="AV118"/>
          <cell r="AW118"/>
          <cell r="AX118"/>
          <cell r="AY118"/>
          <cell r="AZ118"/>
          <cell r="BA118"/>
          <cell r="BB118"/>
          <cell r="BC118"/>
          <cell r="BD118"/>
          <cell r="BE118"/>
          <cell r="BF118"/>
          <cell r="BG118"/>
          <cell r="BH118"/>
          <cell r="BI118"/>
          <cell r="BJ118"/>
          <cell r="BK118"/>
          <cell r="BL118"/>
          <cell r="BM118"/>
          <cell r="BN118"/>
          <cell r="BO118"/>
          <cell r="BP118"/>
          <cell r="BQ118"/>
          <cell r="BR118"/>
          <cell r="BS118"/>
          <cell r="BT118"/>
          <cell r="BU118"/>
          <cell r="BV118"/>
          <cell r="BW118"/>
          <cell r="BX118"/>
          <cell r="BY118"/>
        </row>
        <row r="119">
          <cell r="B119" t="str">
            <v>BP-17010</v>
          </cell>
          <cell r="D119"/>
          <cell r="E119"/>
          <cell r="F119"/>
          <cell r="G119"/>
          <cell r="H119"/>
          <cell r="I119"/>
          <cell r="J119"/>
          <cell r="K119"/>
          <cell r="L119"/>
          <cell r="M119"/>
          <cell r="N119"/>
          <cell r="O119"/>
          <cell r="P119"/>
          <cell r="Q119"/>
          <cell r="R119"/>
          <cell r="S119"/>
          <cell r="T119"/>
          <cell r="U119"/>
          <cell r="V119"/>
          <cell r="W119"/>
          <cell r="X119"/>
          <cell r="Y119"/>
          <cell r="Z119"/>
          <cell r="AA119"/>
          <cell r="AB119"/>
          <cell r="AC119"/>
          <cell r="AD119"/>
          <cell r="AE119"/>
          <cell r="AF119"/>
          <cell r="AG119"/>
          <cell r="AH119"/>
          <cell r="AI119"/>
          <cell r="AJ119"/>
          <cell r="AK119"/>
          <cell r="AL119"/>
          <cell r="AM119"/>
          <cell r="AN119"/>
          <cell r="AO119"/>
          <cell r="AP119"/>
          <cell r="AQ119"/>
          <cell r="AR119"/>
          <cell r="AS119"/>
          <cell r="AT119"/>
          <cell r="AU119"/>
          <cell r="AV119"/>
          <cell r="AW119"/>
          <cell r="AX119"/>
          <cell r="AY119"/>
          <cell r="AZ119"/>
          <cell r="BA119"/>
          <cell r="BB119"/>
          <cell r="BC119"/>
          <cell r="BD119"/>
          <cell r="BE119"/>
          <cell r="BF119"/>
          <cell r="BG119"/>
          <cell r="BH119"/>
          <cell r="BI119"/>
          <cell r="BJ119"/>
          <cell r="BK119"/>
          <cell r="BL119"/>
          <cell r="BM119"/>
          <cell r="BN119"/>
          <cell r="BO119"/>
          <cell r="BP119"/>
          <cell r="BQ119"/>
          <cell r="BR119"/>
          <cell r="BS119"/>
          <cell r="BT119"/>
          <cell r="BU119"/>
          <cell r="BV119"/>
          <cell r="BW119"/>
          <cell r="BX119"/>
          <cell r="BY119"/>
        </row>
        <row r="120">
          <cell r="B120" t="str">
            <v>AG59520-62</v>
          </cell>
          <cell r="D120"/>
          <cell r="E120"/>
          <cell r="F120"/>
          <cell r="G120"/>
          <cell r="H120"/>
          <cell r="I120"/>
          <cell r="J120"/>
          <cell r="K120"/>
          <cell r="L120"/>
          <cell r="M120"/>
          <cell r="N120"/>
          <cell r="O120"/>
          <cell r="P120"/>
          <cell r="Q120"/>
          <cell r="R120"/>
          <cell r="S120"/>
          <cell r="T120"/>
          <cell r="U120"/>
          <cell r="V120"/>
          <cell r="W120"/>
          <cell r="X120"/>
          <cell r="Y120"/>
          <cell r="Z120"/>
          <cell r="AA120"/>
          <cell r="AB120"/>
          <cell r="AC120"/>
          <cell r="AD120"/>
          <cell r="AE120"/>
          <cell r="AF120"/>
          <cell r="AG120"/>
          <cell r="AH120"/>
          <cell r="AI120"/>
          <cell r="AJ120"/>
          <cell r="AK120"/>
          <cell r="AL120"/>
          <cell r="AM120"/>
          <cell r="AN120"/>
          <cell r="AO120"/>
          <cell r="AP120"/>
          <cell r="AQ120"/>
          <cell r="AR120"/>
          <cell r="AS120"/>
          <cell r="AT120"/>
          <cell r="AU120"/>
          <cell r="AV120"/>
          <cell r="AW120"/>
          <cell r="AX120"/>
          <cell r="AY120"/>
          <cell r="AZ120"/>
          <cell r="BA120"/>
          <cell r="BB120"/>
          <cell r="BC120"/>
          <cell r="BD120"/>
          <cell r="BE120"/>
          <cell r="BF120"/>
          <cell r="BG120"/>
          <cell r="BH120"/>
          <cell r="BI120"/>
          <cell r="BJ120"/>
          <cell r="BK120"/>
          <cell r="BL120"/>
          <cell r="BM120"/>
          <cell r="BN120"/>
          <cell r="BO120"/>
          <cell r="BP120"/>
          <cell r="BQ120"/>
          <cell r="BR120"/>
          <cell r="BS120"/>
          <cell r="BT120"/>
          <cell r="BU120"/>
          <cell r="BV120"/>
          <cell r="BW120"/>
          <cell r="BX120"/>
          <cell r="BY120"/>
        </row>
        <row r="121">
          <cell r="B121" t="str">
            <v>PB004759</v>
          </cell>
          <cell r="D121"/>
          <cell r="E121"/>
          <cell r="F121"/>
          <cell r="G121"/>
          <cell r="H121"/>
          <cell r="I121"/>
          <cell r="J121"/>
          <cell r="K121"/>
          <cell r="L121"/>
          <cell r="M121"/>
          <cell r="N121"/>
          <cell r="O121"/>
          <cell r="P121"/>
          <cell r="Q121"/>
          <cell r="R121"/>
          <cell r="S121"/>
          <cell r="T121"/>
          <cell r="U121"/>
          <cell r="V121"/>
          <cell r="W121"/>
          <cell r="X121"/>
          <cell r="Y121"/>
          <cell r="Z121"/>
          <cell r="AA121"/>
          <cell r="AB121"/>
          <cell r="AC121"/>
          <cell r="AD121"/>
          <cell r="AE121"/>
          <cell r="AF121"/>
          <cell r="AG121"/>
          <cell r="AH121"/>
          <cell r="AI121"/>
          <cell r="AJ121"/>
          <cell r="AK121"/>
          <cell r="AL121"/>
          <cell r="AM121"/>
          <cell r="AN121"/>
          <cell r="AO121"/>
          <cell r="AP121"/>
          <cell r="AQ121"/>
          <cell r="AR121"/>
          <cell r="AS121"/>
          <cell r="AT121"/>
          <cell r="AU121"/>
          <cell r="AV121"/>
          <cell r="AW121"/>
          <cell r="AX121"/>
          <cell r="AY121"/>
          <cell r="AZ121"/>
          <cell r="BA121"/>
          <cell r="BB121"/>
          <cell r="BC121"/>
          <cell r="BD121"/>
          <cell r="BE121"/>
          <cell r="BF121"/>
          <cell r="BG121"/>
          <cell r="BH121"/>
          <cell r="BI121"/>
          <cell r="BJ121"/>
          <cell r="BK121"/>
          <cell r="BL121"/>
          <cell r="BM121"/>
          <cell r="BN121"/>
          <cell r="BO121"/>
          <cell r="BP121"/>
          <cell r="BQ121"/>
          <cell r="BR121"/>
          <cell r="BS121"/>
          <cell r="BT121"/>
          <cell r="BU121"/>
          <cell r="BV121"/>
          <cell r="BW121"/>
          <cell r="BX121"/>
          <cell r="BY121"/>
        </row>
        <row r="122">
          <cell r="B122" t="str">
            <v>UCF211-32G</v>
          </cell>
          <cell r="D122"/>
          <cell r="E122"/>
          <cell r="F122"/>
          <cell r="G122"/>
          <cell r="H122"/>
          <cell r="I122"/>
          <cell r="J122"/>
          <cell r="K122"/>
          <cell r="L122"/>
          <cell r="M122"/>
          <cell r="N122"/>
          <cell r="O122"/>
          <cell r="P122"/>
          <cell r="Q122"/>
          <cell r="R122"/>
          <cell r="S122"/>
          <cell r="T122"/>
          <cell r="U122"/>
          <cell r="V122"/>
          <cell r="W122"/>
          <cell r="X122"/>
          <cell r="Y122"/>
          <cell r="Z122"/>
          <cell r="AA122"/>
          <cell r="AB122"/>
          <cell r="AC122"/>
          <cell r="AD122"/>
          <cell r="AE122"/>
          <cell r="AF122"/>
          <cell r="AG122"/>
          <cell r="AH122"/>
          <cell r="AI122"/>
          <cell r="AJ122"/>
          <cell r="AK122"/>
          <cell r="AL122"/>
          <cell r="AM122"/>
          <cell r="AN122"/>
          <cell r="AO122"/>
          <cell r="AP122"/>
          <cell r="AQ122"/>
          <cell r="AR122"/>
          <cell r="AS122"/>
          <cell r="AT122"/>
          <cell r="AU122"/>
          <cell r="AV122"/>
          <cell r="AW122"/>
          <cell r="AX122"/>
          <cell r="AY122"/>
          <cell r="AZ122"/>
          <cell r="BA122"/>
          <cell r="BB122"/>
          <cell r="BC122"/>
          <cell r="BD122"/>
          <cell r="BE122"/>
          <cell r="BF122"/>
          <cell r="BG122"/>
          <cell r="BH122"/>
          <cell r="BI122"/>
          <cell r="BJ122"/>
          <cell r="BK122"/>
          <cell r="BL122"/>
          <cell r="BM122"/>
          <cell r="BN122"/>
          <cell r="BO122"/>
          <cell r="BP122"/>
          <cell r="BQ122"/>
          <cell r="BR122"/>
          <cell r="BS122"/>
          <cell r="BT122"/>
          <cell r="BU122"/>
          <cell r="BV122"/>
          <cell r="BW122"/>
          <cell r="BX122"/>
          <cell r="BY122"/>
        </row>
        <row r="123">
          <cell r="B123" t="str">
            <v>ECL207-35DD</v>
          </cell>
          <cell r="D123"/>
          <cell r="E123"/>
          <cell r="F123"/>
          <cell r="G123"/>
          <cell r="H123"/>
          <cell r="I123"/>
          <cell r="J123"/>
          <cell r="K123"/>
          <cell r="L123"/>
          <cell r="M123"/>
          <cell r="N123"/>
          <cell r="O123"/>
          <cell r="P123"/>
          <cell r="Q123"/>
          <cell r="R123"/>
          <cell r="S123"/>
          <cell r="T123"/>
          <cell r="U123"/>
          <cell r="V123"/>
          <cell r="W123"/>
          <cell r="X123"/>
          <cell r="Y123"/>
          <cell r="Z123"/>
          <cell r="AA123"/>
          <cell r="AB123"/>
          <cell r="AC123"/>
          <cell r="AD123"/>
          <cell r="AE123"/>
          <cell r="AF123"/>
          <cell r="AG123"/>
          <cell r="AH123"/>
          <cell r="AI123"/>
          <cell r="AJ123"/>
          <cell r="AK123"/>
          <cell r="AL123"/>
          <cell r="AM123"/>
          <cell r="AN123"/>
          <cell r="AO123"/>
          <cell r="AP123"/>
          <cell r="AQ123"/>
          <cell r="AR123"/>
          <cell r="AS123"/>
          <cell r="AT123"/>
          <cell r="AU123"/>
          <cell r="AV123"/>
          <cell r="AW123"/>
          <cell r="AX123"/>
          <cell r="AY123"/>
          <cell r="AZ123"/>
          <cell r="BA123"/>
          <cell r="BB123"/>
          <cell r="BC123"/>
          <cell r="BD123"/>
          <cell r="BE123"/>
          <cell r="BF123"/>
          <cell r="BG123"/>
          <cell r="BH123"/>
          <cell r="BI123"/>
          <cell r="BJ123"/>
          <cell r="BK123"/>
          <cell r="BL123"/>
          <cell r="BM123"/>
          <cell r="BN123"/>
          <cell r="BO123"/>
          <cell r="BP123"/>
          <cell r="BQ123"/>
          <cell r="BR123"/>
          <cell r="BS123"/>
          <cell r="BT123"/>
          <cell r="BU123"/>
          <cell r="BV123"/>
          <cell r="BW123"/>
          <cell r="BX123"/>
          <cell r="BY123"/>
        </row>
        <row r="124">
          <cell r="B124" t="str">
            <v>PB004771</v>
          </cell>
          <cell r="D124"/>
          <cell r="E124"/>
          <cell r="F124"/>
          <cell r="G124"/>
          <cell r="H124"/>
          <cell r="I124"/>
          <cell r="J124"/>
          <cell r="K124"/>
          <cell r="L124"/>
          <cell r="M124"/>
          <cell r="N124"/>
          <cell r="O124"/>
          <cell r="P124"/>
          <cell r="Q124"/>
          <cell r="R124"/>
          <cell r="S124"/>
          <cell r="T124"/>
          <cell r="U124"/>
          <cell r="V124"/>
          <cell r="W124"/>
          <cell r="X124"/>
          <cell r="Y124"/>
          <cell r="Z124"/>
          <cell r="AA124"/>
          <cell r="AB124"/>
          <cell r="AC124"/>
          <cell r="AD124"/>
          <cell r="AE124"/>
          <cell r="AF124"/>
          <cell r="AG124"/>
          <cell r="AH124"/>
          <cell r="AI124"/>
          <cell r="AJ124"/>
          <cell r="AK124"/>
          <cell r="AL124"/>
          <cell r="AM124"/>
          <cell r="AN124"/>
          <cell r="AO124"/>
          <cell r="AP124"/>
          <cell r="AQ124"/>
          <cell r="AR124"/>
          <cell r="AS124"/>
          <cell r="AT124"/>
          <cell r="AU124"/>
          <cell r="AV124"/>
          <cell r="AW124"/>
          <cell r="AX124"/>
          <cell r="AY124"/>
          <cell r="AZ124"/>
          <cell r="BA124"/>
          <cell r="BB124"/>
          <cell r="BC124"/>
          <cell r="BD124"/>
          <cell r="BE124"/>
          <cell r="BF124"/>
          <cell r="BG124"/>
          <cell r="BH124"/>
          <cell r="BI124"/>
          <cell r="BJ124"/>
          <cell r="BK124"/>
          <cell r="BL124"/>
          <cell r="BM124"/>
          <cell r="BN124"/>
          <cell r="BO124"/>
          <cell r="BP124"/>
          <cell r="BQ124"/>
          <cell r="BR124"/>
          <cell r="BS124"/>
          <cell r="BT124"/>
          <cell r="BU124"/>
          <cell r="BV124"/>
          <cell r="BW124"/>
          <cell r="BX124"/>
          <cell r="BY124"/>
        </row>
        <row r="125">
          <cell r="B125" t="str">
            <v>32006-MX</v>
          </cell>
          <cell r="D125"/>
          <cell r="E125"/>
          <cell r="F125"/>
          <cell r="G125"/>
          <cell r="H125"/>
          <cell r="I125"/>
          <cell r="J125"/>
          <cell r="K125"/>
          <cell r="L125"/>
          <cell r="M125"/>
          <cell r="N125"/>
          <cell r="O125"/>
          <cell r="P125"/>
          <cell r="Q125"/>
          <cell r="R125"/>
          <cell r="S125"/>
          <cell r="T125"/>
          <cell r="U125"/>
          <cell r="V125"/>
          <cell r="W125"/>
          <cell r="X125"/>
          <cell r="Y125"/>
          <cell r="Z125"/>
          <cell r="AA125"/>
          <cell r="AB125"/>
          <cell r="AC125"/>
          <cell r="AD125"/>
          <cell r="AE125"/>
          <cell r="AF125"/>
          <cell r="AG125"/>
          <cell r="AH125"/>
          <cell r="AI125"/>
          <cell r="AJ125"/>
          <cell r="AK125"/>
          <cell r="AL125"/>
          <cell r="AM125"/>
          <cell r="AN125"/>
          <cell r="AO125"/>
          <cell r="AP125"/>
          <cell r="AQ125"/>
          <cell r="AR125"/>
          <cell r="AS125"/>
          <cell r="AT125"/>
          <cell r="AU125"/>
          <cell r="AV125"/>
          <cell r="AW125"/>
          <cell r="AX125"/>
          <cell r="AY125"/>
          <cell r="AZ125"/>
          <cell r="BA125"/>
          <cell r="BB125"/>
          <cell r="BC125"/>
          <cell r="BD125"/>
          <cell r="BE125"/>
          <cell r="BF125"/>
          <cell r="BG125"/>
          <cell r="BH125"/>
          <cell r="BI125"/>
          <cell r="BJ125"/>
          <cell r="BK125"/>
          <cell r="BL125"/>
          <cell r="BM125"/>
          <cell r="BN125"/>
          <cell r="BO125"/>
          <cell r="BP125"/>
          <cell r="BQ125"/>
          <cell r="BR125"/>
          <cell r="BS125"/>
          <cell r="BT125"/>
          <cell r="BU125"/>
          <cell r="BV125"/>
          <cell r="BW125"/>
          <cell r="BX125"/>
          <cell r="BY125"/>
        </row>
        <row r="126">
          <cell r="B126" t="str">
            <v>ECL-205-25DG</v>
          </cell>
          <cell r="D126"/>
          <cell r="E126"/>
          <cell r="F126"/>
          <cell r="G126"/>
          <cell r="H126"/>
          <cell r="I126"/>
          <cell r="J126"/>
          <cell r="K126"/>
          <cell r="L126"/>
          <cell r="M126"/>
          <cell r="N126"/>
          <cell r="O126"/>
          <cell r="P126"/>
          <cell r="Q126"/>
          <cell r="R126"/>
          <cell r="S126"/>
          <cell r="T126"/>
          <cell r="U126"/>
          <cell r="V126"/>
          <cell r="W126"/>
          <cell r="X126"/>
          <cell r="Y126"/>
          <cell r="Z126"/>
          <cell r="AA126"/>
          <cell r="AB126"/>
          <cell r="AC126"/>
          <cell r="AD126"/>
          <cell r="AE126"/>
          <cell r="AF126"/>
          <cell r="AG126"/>
          <cell r="AH126"/>
          <cell r="AI126"/>
          <cell r="AJ126"/>
          <cell r="AK126"/>
          <cell r="AL126"/>
          <cell r="AM126"/>
          <cell r="AN126"/>
          <cell r="AO126"/>
          <cell r="AP126"/>
          <cell r="AQ126"/>
          <cell r="AR126"/>
          <cell r="AS126"/>
          <cell r="AT126"/>
          <cell r="AU126"/>
          <cell r="AV126"/>
          <cell r="AW126"/>
          <cell r="AX126"/>
          <cell r="AY126"/>
          <cell r="AZ126"/>
          <cell r="BA126"/>
          <cell r="BB126"/>
          <cell r="BC126"/>
          <cell r="BD126"/>
          <cell r="BE126"/>
          <cell r="BF126"/>
          <cell r="BG126"/>
          <cell r="BH126"/>
          <cell r="BI126"/>
          <cell r="BJ126"/>
          <cell r="BK126"/>
          <cell r="BL126"/>
          <cell r="BM126"/>
          <cell r="BN126"/>
          <cell r="BO126"/>
          <cell r="BP126"/>
          <cell r="BQ126"/>
          <cell r="BR126"/>
          <cell r="BS126"/>
          <cell r="BT126"/>
          <cell r="BU126"/>
          <cell r="BV126"/>
          <cell r="BW126"/>
          <cell r="BX126"/>
          <cell r="BY126"/>
        </row>
        <row r="127">
          <cell r="B127" t="str">
            <v>01.10.016</v>
          </cell>
          <cell r="D127"/>
          <cell r="E127"/>
          <cell r="F127"/>
          <cell r="G127"/>
          <cell r="H127"/>
          <cell r="I127"/>
          <cell r="J127"/>
          <cell r="K127"/>
          <cell r="L127"/>
          <cell r="M127"/>
          <cell r="N127"/>
          <cell r="O127"/>
          <cell r="P127"/>
          <cell r="Q127"/>
          <cell r="R127"/>
          <cell r="S127"/>
          <cell r="T127"/>
          <cell r="U127"/>
          <cell r="V127"/>
          <cell r="W127"/>
          <cell r="X127"/>
          <cell r="Y127"/>
          <cell r="Z127"/>
          <cell r="AA127"/>
          <cell r="AB127"/>
          <cell r="AC127"/>
          <cell r="AD127"/>
          <cell r="AE127"/>
          <cell r="AF127"/>
          <cell r="AG127"/>
          <cell r="AH127"/>
          <cell r="AI127"/>
          <cell r="AJ127"/>
          <cell r="AK127"/>
          <cell r="AL127"/>
          <cell r="AM127"/>
          <cell r="AN127"/>
          <cell r="AO127"/>
          <cell r="AP127"/>
          <cell r="AQ127"/>
          <cell r="AR127"/>
          <cell r="AS127"/>
          <cell r="AT127"/>
          <cell r="AU127"/>
          <cell r="AV127"/>
          <cell r="AW127"/>
          <cell r="AX127"/>
          <cell r="AY127"/>
          <cell r="AZ127"/>
          <cell r="BA127"/>
          <cell r="BB127"/>
          <cell r="BC127"/>
          <cell r="BD127"/>
          <cell r="BE127"/>
          <cell r="BF127"/>
          <cell r="BG127"/>
          <cell r="BH127"/>
          <cell r="BI127"/>
          <cell r="BJ127"/>
          <cell r="BK127"/>
          <cell r="BL127"/>
          <cell r="BM127"/>
          <cell r="BN127"/>
          <cell r="BO127"/>
          <cell r="BP127"/>
          <cell r="BQ127"/>
          <cell r="BR127"/>
          <cell r="BS127"/>
          <cell r="BT127"/>
          <cell r="BU127"/>
          <cell r="BV127"/>
          <cell r="BW127"/>
          <cell r="BX127"/>
          <cell r="BY127"/>
        </row>
        <row r="128">
          <cell r="B128" t="str">
            <v>SAB5209-3</v>
          </cell>
          <cell r="D128"/>
          <cell r="E128"/>
          <cell r="F128"/>
          <cell r="G128"/>
          <cell r="H128"/>
          <cell r="I128"/>
          <cell r="J128"/>
          <cell r="K128"/>
          <cell r="L128"/>
          <cell r="M128"/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  <cell r="X128"/>
          <cell r="Y128"/>
          <cell r="Z128"/>
          <cell r="AA128"/>
          <cell r="AB128"/>
          <cell r="AC128"/>
          <cell r="AD128"/>
          <cell r="AE128"/>
          <cell r="AF128"/>
          <cell r="AG128"/>
          <cell r="AH128"/>
          <cell r="AI128"/>
          <cell r="AJ128"/>
          <cell r="AK128"/>
          <cell r="AL128"/>
          <cell r="AM128"/>
          <cell r="AN128"/>
          <cell r="AO128"/>
          <cell r="AP128"/>
          <cell r="AQ128"/>
          <cell r="AR128"/>
          <cell r="AS128"/>
          <cell r="AT128"/>
          <cell r="AU128"/>
          <cell r="AV128"/>
          <cell r="AW128"/>
          <cell r="AX128"/>
          <cell r="AY128"/>
          <cell r="AZ128"/>
          <cell r="BA128"/>
          <cell r="BB128"/>
          <cell r="BC128"/>
          <cell r="BD128"/>
          <cell r="BE128"/>
          <cell r="BF128"/>
          <cell r="BG128"/>
          <cell r="BH128"/>
          <cell r="BI128"/>
          <cell r="BJ128"/>
          <cell r="BK128"/>
          <cell r="BL128"/>
          <cell r="BM128"/>
          <cell r="BN128"/>
          <cell r="BO128"/>
          <cell r="BP128"/>
          <cell r="BQ128"/>
          <cell r="BR128"/>
          <cell r="BS128"/>
          <cell r="BT128"/>
          <cell r="BU128"/>
          <cell r="BV128"/>
          <cell r="BW128"/>
          <cell r="BX128"/>
          <cell r="BY128"/>
        </row>
        <row r="129">
          <cell r="B129" t="str">
            <v>PB002452</v>
          </cell>
          <cell r="D129"/>
          <cell r="E129"/>
          <cell r="F129"/>
          <cell r="G129"/>
          <cell r="H129"/>
          <cell r="I129"/>
          <cell r="J129"/>
          <cell r="K129"/>
          <cell r="L129"/>
          <cell r="M129"/>
          <cell r="N129"/>
          <cell r="O129"/>
          <cell r="P129"/>
          <cell r="Q129"/>
          <cell r="R129"/>
          <cell r="S129"/>
          <cell r="T129"/>
          <cell r="U129"/>
          <cell r="V129"/>
          <cell r="W129"/>
          <cell r="X129"/>
          <cell r="Y129"/>
          <cell r="Z129"/>
          <cell r="AA129"/>
          <cell r="AB129"/>
          <cell r="AC129"/>
          <cell r="AD129"/>
          <cell r="AE129"/>
          <cell r="AF129"/>
          <cell r="AG129"/>
          <cell r="AH129"/>
          <cell r="AI129"/>
          <cell r="AJ129"/>
          <cell r="AK129"/>
          <cell r="AL129"/>
          <cell r="AM129"/>
          <cell r="AN129"/>
          <cell r="AO129"/>
          <cell r="AP129"/>
          <cell r="AQ129"/>
          <cell r="AR129"/>
          <cell r="AS129"/>
          <cell r="AT129"/>
          <cell r="AU129"/>
          <cell r="AV129"/>
          <cell r="AW129"/>
          <cell r="AX129"/>
          <cell r="AY129"/>
          <cell r="AZ129"/>
          <cell r="BA129"/>
          <cell r="BB129"/>
          <cell r="BC129"/>
          <cell r="BD129"/>
          <cell r="BE129"/>
          <cell r="BF129"/>
          <cell r="BG129"/>
          <cell r="BH129"/>
          <cell r="BI129"/>
          <cell r="BJ129"/>
          <cell r="BK129"/>
          <cell r="BL129"/>
          <cell r="BM129"/>
          <cell r="BN129"/>
          <cell r="BO129"/>
          <cell r="BP129"/>
          <cell r="BQ129"/>
          <cell r="BR129"/>
          <cell r="BS129"/>
          <cell r="BT129"/>
          <cell r="BU129"/>
          <cell r="BV129"/>
          <cell r="BW129"/>
          <cell r="BX129"/>
          <cell r="BY129"/>
        </row>
        <row r="130">
          <cell r="B130" t="str">
            <v>32206-MX</v>
          </cell>
          <cell r="D130"/>
          <cell r="E130"/>
          <cell r="F130"/>
          <cell r="G130"/>
          <cell r="H130"/>
          <cell r="I130"/>
          <cell r="J130"/>
          <cell r="K130"/>
          <cell r="L130"/>
          <cell r="M130"/>
          <cell r="N130"/>
          <cell r="O130"/>
          <cell r="P130"/>
          <cell r="Q130"/>
          <cell r="R130"/>
          <cell r="S130"/>
          <cell r="T130"/>
          <cell r="U130"/>
          <cell r="V130"/>
          <cell r="W130"/>
          <cell r="X130"/>
          <cell r="Y130"/>
          <cell r="Z130"/>
          <cell r="AA130"/>
          <cell r="AB130"/>
          <cell r="AC130"/>
          <cell r="AD130"/>
          <cell r="AE130"/>
          <cell r="AF130"/>
          <cell r="AG130"/>
          <cell r="AH130"/>
          <cell r="AI130"/>
          <cell r="AJ130"/>
          <cell r="AK130"/>
          <cell r="AL130"/>
          <cell r="AM130"/>
          <cell r="AN130"/>
          <cell r="AO130"/>
          <cell r="AP130"/>
          <cell r="AQ130"/>
          <cell r="AR130"/>
          <cell r="AS130"/>
          <cell r="AT130"/>
          <cell r="AU130"/>
          <cell r="AV130"/>
          <cell r="AW130"/>
          <cell r="AX130"/>
          <cell r="AY130"/>
          <cell r="AZ130"/>
          <cell r="BA130"/>
          <cell r="BB130"/>
          <cell r="BC130"/>
          <cell r="BD130"/>
          <cell r="BE130"/>
          <cell r="BF130"/>
          <cell r="BG130"/>
          <cell r="BH130"/>
          <cell r="BI130"/>
          <cell r="BJ130"/>
          <cell r="BK130"/>
          <cell r="BL130"/>
          <cell r="BM130"/>
          <cell r="BN130"/>
          <cell r="BO130"/>
          <cell r="BP130"/>
          <cell r="BQ130"/>
          <cell r="BR130"/>
          <cell r="BS130"/>
          <cell r="BT130"/>
          <cell r="BU130"/>
          <cell r="BV130"/>
          <cell r="BW130"/>
          <cell r="BX130"/>
          <cell r="BY130"/>
        </row>
        <row r="131">
          <cell r="B131" t="str">
            <v>30309-MX</v>
          </cell>
          <cell r="D131"/>
          <cell r="E131"/>
          <cell r="F131"/>
          <cell r="G131"/>
          <cell r="H131"/>
          <cell r="I131"/>
          <cell r="J131"/>
          <cell r="K131"/>
          <cell r="L131"/>
          <cell r="M131"/>
          <cell r="N131"/>
          <cell r="O131"/>
          <cell r="P131"/>
          <cell r="Q131"/>
          <cell r="R131"/>
          <cell r="S131"/>
          <cell r="T131"/>
          <cell r="U131"/>
          <cell r="V131"/>
          <cell r="W131"/>
          <cell r="X131"/>
          <cell r="Y131"/>
          <cell r="Z131"/>
          <cell r="AA131"/>
          <cell r="AB131"/>
          <cell r="AC131"/>
          <cell r="AD131"/>
          <cell r="AE131"/>
          <cell r="AF131"/>
          <cell r="AG131"/>
          <cell r="AH131"/>
          <cell r="AI131"/>
          <cell r="AJ131"/>
          <cell r="AK131"/>
          <cell r="AL131"/>
          <cell r="AM131"/>
          <cell r="AN131"/>
          <cell r="AO131"/>
          <cell r="AP131"/>
          <cell r="AQ131"/>
          <cell r="AR131"/>
          <cell r="AS131"/>
          <cell r="AT131"/>
          <cell r="AU131"/>
          <cell r="AV131"/>
          <cell r="AW131"/>
          <cell r="AX131"/>
          <cell r="AY131"/>
          <cell r="AZ131"/>
          <cell r="BA131"/>
          <cell r="BB131"/>
          <cell r="BC131"/>
          <cell r="BD131"/>
          <cell r="BE131"/>
          <cell r="BF131"/>
          <cell r="BG131"/>
          <cell r="BH131"/>
          <cell r="BI131"/>
          <cell r="BJ131"/>
          <cell r="BK131"/>
          <cell r="BL131"/>
          <cell r="BM131"/>
          <cell r="BN131"/>
          <cell r="BO131"/>
          <cell r="BP131"/>
          <cell r="BQ131"/>
          <cell r="BR131"/>
          <cell r="BS131"/>
          <cell r="BT131"/>
          <cell r="BU131"/>
          <cell r="BV131"/>
          <cell r="BW131"/>
          <cell r="BX131"/>
          <cell r="BY131"/>
        </row>
        <row r="132">
          <cell r="B132" t="str">
            <v>F490306</v>
          </cell>
          <cell r="D132"/>
          <cell r="E132"/>
          <cell r="F132"/>
          <cell r="G132"/>
          <cell r="H132"/>
          <cell r="I132"/>
          <cell r="J132"/>
          <cell r="K132"/>
          <cell r="L132"/>
          <cell r="M132"/>
          <cell r="N132"/>
          <cell r="O132"/>
          <cell r="P132"/>
          <cell r="Q132"/>
          <cell r="R132"/>
          <cell r="S132"/>
          <cell r="T132"/>
          <cell r="U132"/>
          <cell r="V132"/>
          <cell r="W132"/>
          <cell r="X132"/>
          <cell r="Y132"/>
          <cell r="Z132"/>
          <cell r="AA132"/>
          <cell r="AB132"/>
          <cell r="AC132"/>
          <cell r="AD132"/>
          <cell r="AE132"/>
          <cell r="AF132"/>
          <cell r="AG132"/>
          <cell r="AH132"/>
          <cell r="AI132"/>
          <cell r="AJ132"/>
          <cell r="AK132"/>
          <cell r="AL132"/>
          <cell r="AM132"/>
          <cell r="AN132"/>
          <cell r="AO132"/>
          <cell r="AP132"/>
          <cell r="AQ132"/>
          <cell r="AR132"/>
          <cell r="AS132"/>
          <cell r="AT132"/>
          <cell r="AU132"/>
          <cell r="AV132"/>
          <cell r="AW132"/>
          <cell r="AX132"/>
          <cell r="AY132"/>
          <cell r="AZ132"/>
          <cell r="BA132"/>
          <cell r="BB132"/>
          <cell r="BC132"/>
          <cell r="BD132"/>
          <cell r="BE132"/>
          <cell r="BF132"/>
          <cell r="BG132"/>
          <cell r="BH132"/>
          <cell r="BI132"/>
          <cell r="BJ132"/>
          <cell r="BK132"/>
          <cell r="BL132"/>
          <cell r="BM132"/>
          <cell r="BN132"/>
          <cell r="BO132"/>
          <cell r="BP132"/>
          <cell r="BQ132"/>
          <cell r="BR132"/>
          <cell r="BS132"/>
          <cell r="BT132"/>
          <cell r="BU132"/>
          <cell r="BV132"/>
          <cell r="BW132"/>
          <cell r="BX132"/>
          <cell r="BY132"/>
        </row>
        <row r="133">
          <cell r="B133" t="str">
            <v>203-KRR3-E2</v>
          </cell>
          <cell r="D133"/>
          <cell r="E133"/>
          <cell r="F133"/>
          <cell r="G133"/>
          <cell r="H133"/>
          <cell r="I133"/>
          <cell r="J133"/>
          <cell r="K133"/>
          <cell r="L133"/>
          <cell r="M133"/>
          <cell r="N133"/>
          <cell r="O133"/>
          <cell r="P133"/>
          <cell r="Q133"/>
          <cell r="R133"/>
          <cell r="S133"/>
          <cell r="T133"/>
          <cell r="U133"/>
          <cell r="V133"/>
          <cell r="W133"/>
          <cell r="X133"/>
          <cell r="Y133"/>
          <cell r="Z133"/>
          <cell r="AA133"/>
          <cell r="AB133"/>
          <cell r="AC133"/>
          <cell r="AD133"/>
          <cell r="AE133"/>
          <cell r="AF133"/>
          <cell r="AG133"/>
          <cell r="AH133"/>
          <cell r="AI133"/>
          <cell r="AJ133"/>
          <cell r="AK133"/>
          <cell r="AL133"/>
          <cell r="AM133"/>
          <cell r="AN133"/>
          <cell r="AO133"/>
          <cell r="AP133"/>
          <cell r="AQ133"/>
          <cell r="AR133"/>
          <cell r="AS133"/>
          <cell r="AT133"/>
          <cell r="AU133"/>
          <cell r="AV133"/>
          <cell r="AW133"/>
          <cell r="AX133"/>
          <cell r="AY133"/>
          <cell r="AZ133"/>
          <cell r="BA133"/>
          <cell r="BB133"/>
          <cell r="BC133"/>
          <cell r="BD133"/>
          <cell r="BE133"/>
          <cell r="BF133"/>
          <cell r="BG133"/>
          <cell r="BH133"/>
          <cell r="BI133"/>
          <cell r="BJ133"/>
          <cell r="BK133"/>
          <cell r="BL133"/>
          <cell r="BM133"/>
          <cell r="BN133"/>
          <cell r="BO133"/>
          <cell r="BP133"/>
          <cell r="BQ133"/>
          <cell r="BR133"/>
          <cell r="BS133"/>
          <cell r="BT133"/>
          <cell r="BU133"/>
          <cell r="BV133"/>
          <cell r="BW133"/>
          <cell r="BX133"/>
          <cell r="BY133"/>
        </row>
        <row r="134">
          <cell r="B134" t="str">
            <v>F-211-M</v>
          </cell>
          <cell r="D134"/>
          <cell r="E134"/>
          <cell r="F134"/>
          <cell r="G134"/>
          <cell r="H134"/>
          <cell r="I134"/>
          <cell r="J134"/>
          <cell r="K134"/>
          <cell r="L134"/>
          <cell r="M134"/>
          <cell r="N134"/>
          <cell r="O134"/>
          <cell r="P134"/>
          <cell r="Q134"/>
          <cell r="R134"/>
          <cell r="S134"/>
          <cell r="T134"/>
          <cell r="U134"/>
          <cell r="V134"/>
          <cell r="W134"/>
          <cell r="X134"/>
          <cell r="Y134"/>
          <cell r="Z134"/>
          <cell r="AA134"/>
          <cell r="AB134"/>
          <cell r="AC134"/>
          <cell r="AD134"/>
          <cell r="AE134"/>
          <cell r="AF134"/>
          <cell r="AG134"/>
          <cell r="AH134"/>
          <cell r="AI134"/>
          <cell r="AJ134"/>
          <cell r="AK134"/>
          <cell r="AL134"/>
          <cell r="AM134"/>
          <cell r="AN134"/>
          <cell r="AO134"/>
          <cell r="AP134"/>
          <cell r="AQ134"/>
          <cell r="AR134"/>
          <cell r="AS134"/>
          <cell r="AT134"/>
          <cell r="AU134"/>
          <cell r="AV134"/>
          <cell r="AW134"/>
          <cell r="AX134"/>
          <cell r="AY134"/>
          <cell r="AZ134"/>
          <cell r="BA134"/>
          <cell r="BB134"/>
          <cell r="BC134"/>
          <cell r="BD134"/>
          <cell r="BE134"/>
          <cell r="BF134"/>
          <cell r="BG134"/>
          <cell r="BH134"/>
          <cell r="BI134"/>
          <cell r="BJ134"/>
          <cell r="BK134"/>
          <cell r="BL134"/>
          <cell r="BM134"/>
          <cell r="BN134"/>
          <cell r="BO134"/>
          <cell r="BP134"/>
          <cell r="BQ134"/>
          <cell r="BR134"/>
          <cell r="BS134"/>
          <cell r="BT134"/>
          <cell r="BU134"/>
          <cell r="BV134"/>
          <cell r="BW134"/>
          <cell r="BX134"/>
          <cell r="BY134"/>
        </row>
        <row r="135">
          <cell r="B135" t="str">
            <v>PB001096</v>
          </cell>
          <cell r="D135"/>
          <cell r="E135"/>
          <cell r="F135"/>
          <cell r="G135"/>
          <cell r="H135"/>
          <cell r="I135"/>
          <cell r="J135"/>
          <cell r="K135"/>
          <cell r="L135"/>
          <cell r="M135"/>
          <cell r="N135"/>
          <cell r="O135"/>
          <cell r="P135"/>
          <cell r="Q135"/>
          <cell r="R135"/>
          <cell r="S135"/>
          <cell r="T135"/>
          <cell r="U135"/>
          <cell r="V135"/>
          <cell r="W135"/>
          <cell r="X135"/>
          <cell r="Y135"/>
          <cell r="Z135"/>
          <cell r="AA135"/>
          <cell r="AB135"/>
          <cell r="AC135"/>
          <cell r="AD135"/>
          <cell r="AE135"/>
          <cell r="AF135"/>
          <cell r="AG135"/>
          <cell r="AH135"/>
          <cell r="AI135"/>
          <cell r="AJ135"/>
          <cell r="AK135"/>
          <cell r="AL135"/>
          <cell r="AM135"/>
          <cell r="AN135"/>
          <cell r="AO135"/>
          <cell r="AP135"/>
          <cell r="AQ135"/>
          <cell r="AR135"/>
          <cell r="AS135"/>
          <cell r="AT135"/>
          <cell r="AU135"/>
          <cell r="AV135"/>
          <cell r="AW135"/>
          <cell r="AX135"/>
          <cell r="AY135"/>
          <cell r="AZ135"/>
          <cell r="BA135"/>
          <cell r="BB135"/>
          <cell r="BC135"/>
          <cell r="BD135"/>
          <cell r="BE135"/>
          <cell r="BF135"/>
          <cell r="BG135"/>
          <cell r="BH135"/>
          <cell r="BI135"/>
          <cell r="BJ135"/>
          <cell r="BK135"/>
          <cell r="BL135"/>
          <cell r="BM135"/>
          <cell r="BN135"/>
          <cell r="BO135"/>
          <cell r="BP135"/>
          <cell r="BQ135"/>
          <cell r="BR135"/>
          <cell r="BS135"/>
          <cell r="BT135"/>
          <cell r="BU135"/>
          <cell r="BV135"/>
          <cell r="BW135"/>
          <cell r="BX135"/>
          <cell r="BY135"/>
        </row>
        <row r="136">
          <cell r="B136" t="str">
            <v>PB002861</v>
          </cell>
          <cell r="D136"/>
          <cell r="E136"/>
          <cell r="F136"/>
          <cell r="G136"/>
          <cell r="H136"/>
          <cell r="I136"/>
          <cell r="J136"/>
          <cell r="K136"/>
          <cell r="L136"/>
          <cell r="M136"/>
          <cell r="N136"/>
          <cell r="O136"/>
          <cell r="P136"/>
          <cell r="Q136"/>
          <cell r="R136"/>
          <cell r="S136"/>
          <cell r="T136"/>
          <cell r="U136"/>
          <cell r="V136"/>
          <cell r="W136"/>
          <cell r="X136"/>
          <cell r="Y136"/>
          <cell r="Z136"/>
          <cell r="AA136"/>
          <cell r="AB136"/>
          <cell r="AC136"/>
          <cell r="AD136"/>
          <cell r="AE136"/>
          <cell r="AF136"/>
          <cell r="AG136"/>
          <cell r="AH136"/>
          <cell r="AI136"/>
          <cell r="AJ136"/>
          <cell r="AK136"/>
          <cell r="AL136"/>
          <cell r="AM136"/>
          <cell r="AN136"/>
          <cell r="AO136"/>
          <cell r="AP136"/>
          <cell r="AQ136"/>
          <cell r="AR136"/>
          <cell r="AS136"/>
          <cell r="AT136"/>
          <cell r="AU136"/>
          <cell r="AV136"/>
          <cell r="AW136"/>
          <cell r="AX136"/>
          <cell r="AY136"/>
          <cell r="AZ136"/>
          <cell r="BA136"/>
          <cell r="BB136"/>
          <cell r="BC136"/>
          <cell r="BD136"/>
          <cell r="BE136"/>
          <cell r="BF136"/>
          <cell r="BG136"/>
          <cell r="BH136"/>
          <cell r="BI136"/>
          <cell r="BJ136"/>
          <cell r="BK136"/>
          <cell r="BL136"/>
          <cell r="BM136"/>
          <cell r="BN136"/>
          <cell r="BO136"/>
          <cell r="BP136"/>
          <cell r="BQ136"/>
          <cell r="BR136"/>
          <cell r="BS136"/>
          <cell r="BT136"/>
          <cell r="BU136"/>
          <cell r="BV136"/>
          <cell r="BW136"/>
          <cell r="BX136"/>
          <cell r="BY136"/>
        </row>
        <row r="137">
          <cell r="B137" t="str">
            <v>M040000077</v>
          </cell>
          <cell r="D137"/>
          <cell r="E137"/>
          <cell r="F137"/>
          <cell r="G137"/>
          <cell r="H137"/>
          <cell r="I137"/>
          <cell r="J137"/>
          <cell r="K137"/>
          <cell r="L137"/>
          <cell r="M137"/>
          <cell r="N137"/>
          <cell r="O137"/>
          <cell r="P137"/>
          <cell r="Q137"/>
          <cell r="R137"/>
          <cell r="S137"/>
          <cell r="T137"/>
          <cell r="U137"/>
          <cell r="V137"/>
          <cell r="W137"/>
          <cell r="X137"/>
          <cell r="Y137"/>
          <cell r="Z137"/>
          <cell r="AA137"/>
          <cell r="AB137"/>
          <cell r="AC137"/>
          <cell r="AD137"/>
          <cell r="AE137"/>
          <cell r="AF137"/>
          <cell r="AG137"/>
          <cell r="AH137"/>
          <cell r="AI137"/>
          <cell r="AJ137"/>
          <cell r="AK137"/>
          <cell r="AL137"/>
          <cell r="AM137"/>
          <cell r="AN137"/>
          <cell r="AO137"/>
          <cell r="AP137"/>
          <cell r="AQ137"/>
          <cell r="AR137"/>
          <cell r="AS137"/>
          <cell r="AT137"/>
          <cell r="AU137"/>
          <cell r="AV137"/>
          <cell r="AW137"/>
          <cell r="AX137"/>
          <cell r="AY137"/>
          <cell r="AZ137"/>
          <cell r="BA137"/>
          <cell r="BB137"/>
          <cell r="BC137"/>
          <cell r="BD137"/>
          <cell r="BE137"/>
          <cell r="BF137"/>
          <cell r="BG137"/>
          <cell r="BH137"/>
          <cell r="BI137"/>
          <cell r="BJ137"/>
          <cell r="BK137"/>
          <cell r="BL137"/>
          <cell r="BM137"/>
          <cell r="BN137"/>
          <cell r="BO137"/>
          <cell r="BP137"/>
          <cell r="BQ137"/>
          <cell r="BR137"/>
          <cell r="BS137"/>
          <cell r="BT137"/>
          <cell r="BU137"/>
          <cell r="BV137"/>
          <cell r="BW137"/>
          <cell r="BX137"/>
          <cell r="BY137"/>
        </row>
        <row r="138">
          <cell r="B138" t="str">
            <v>32220-MX</v>
          </cell>
          <cell r="D138"/>
          <cell r="E138"/>
          <cell r="F138"/>
          <cell r="G138"/>
          <cell r="H138"/>
          <cell r="I138"/>
          <cell r="J138"/>
          <cell r="K138"/>
          <cell r="L138"/>
          <cell r="M138"/>
          <cell r="N138"/>
          <cell r="O138"/>
          <cell r="P138"/>
          <cell r="Q138"/>
          <cell r="R138"/>
          <cell r="S138"/>
          <cell r="T138"/>
          <cell r="U138"/>
          <cell r="V138"/>
          <cell r="W138"/>
          <cell r="X138"/>
          <cell r="Y138"/>
          <cell r="Z138"/>
          <cell r="AA138"/>
          <cell r="AB138"/>
          <cell r="AC138"/>
          <cell r="AD138"/>
          <cell r="AE138"/>
          <cell r="AF138"/>
          <cell r="AG138"/>
          <cell r="AH138"/>
          <cell r="AI138"/>
          <cell r="AJ138"/>
          <cell r="AK138"/>
          <cell r="AL138"/>
          <cell r="AM138"/>
          <cell r="AN138"/>
          <cell r="AO138"/>
          <cell r="AP138"/>
          <cell r="AQ138"/>
          <cell r="AR138"/>
          <cell r="AS138"/>
          <cell r="AT138"/>
          <cell r="AU138"/>
          <cell r="AV138"/>
          <cell r="AW138"/>
          <cell r="AX138"/>
          <cell r="AY138"/>
          <cell r="AZ138"/>
          <cell r="BA138"/>
          <cell r="BB138"/>
          <cell r="BC138"/>
          <cell r="BD138"/>
          <cell r="BE138"/>
          <cell r="BF138"/>
          <cell r="BG138"/>
          <cell r="BH138"/>
          <cell r="BI138"/>
          <cell r="BJ138"/>
          <cell r="BK138"/>
          <cell r="BL138"/>
          <cell r="BM138"/>
          <cell r="BN138"/>
          <cell r="BO138"/>
          <cell r="BP138"/>
          <cell r="BQ138"/>
          <cell r="BR138"/>
          <cell r="BS138"/>
          <cell r="BT138"/>
          <cell r="BU138"/>
          <cell r="BV138"/>
          <cell r="BW138"/>
          <cell r="BX138"/>
          <cell r="BY138"/>
        </row>
        <row r="139">
          <cell r="B139" t="str">
            <v>209-KYYB2</v>
          </cell>
          <cell r="D139"/>
          <cell r="E139"/>
          <cell r="F139"/>
          <cell r="G139"/>
          <cell r="H139"/>
          <cell r="I139"/>
          <cell r="J139"/>
          <cell r="K139"/>
          <cell r="L139"/>
          <cell r="M139"/>
          <cell r="N139"/>
          <cell r="O139"/>
          <cell r="P139"/>
          <cell r="Q139"/>
          <cell r="R139"/>
          <cell r="S139"/>
          <cell r="T139"/>
          <cell r="U139"/>
          <cell r="V139"/>
          <cell r="W139"/>
          <cell r="X139"/>
          <cell r="Y139"/>
          <cell r="Z139"/>
          <cell r="AA139"/>
          <cell r="AB139"/>
          <cell r="AC139"/>
          <cell r="AD139"/>
          <cell r="AE139"/>
          <cell r="AF139"/>
          <cell r="AG139"/>
          <cell r="AH139"/>
          <cell r="AI139"/>
          <cell r="AJ139"/>
          <cell r="AK139"/>
          <cell r="AL139"/>
          <cell r="AM139"/>
          <cell r="AN139"/>
          <cell r="AO139"/>
          <cell r="AP139"/>
          <cell r="AQ139"/>
          <cell r="AR139"/>
          <cell r="AS139"/>
          <cell r="AT139"/>
          <cell r="AU139"/>
          <cell r="AV139"/>
          <cell r="AW139"/>
          <cell r="AX139"/>
          <cell r="AY139"/>
          <cell r="AZ139"/>
          <cell r="BA139"/>
          <cell r="BB139"/>
          <cell r="BC139"/>
          <cell r="BD139"/>
          <cell r="BE139"/>
          <cell r="BF139"/>
          <cell r="BG139"/>
          <cell r="BH139"/>
          <cell r="BI139"/>
          <cell r="BJ139"/>
          <cell r="BK139"/>
          <cell r="BL139"/>
          <cell r="BM139"/>
          <cell r="BN139"/>
          <cell r="BO139"/>
          <cell r="BP139"/>
          <cell r="BQ139"/>
          <cell r="BR139"/>
          <cell r="BS139"/>
          <cell r="BT139"/>
          <cell r="BU139"/>
          <cell r="BV139"/>
          <cell r="BW139"/>
          <cell r="BX139"/>
          <cell r="BY139"/>
        </row>
        <row r="140">
          <cell r="B140" t="str">
            <v>205KYR2</v>
          </cell>
          <cell r="D140"/>
          <cell r="E140"/>
          <cell r="F140"/>
          <cell r="G140"/>
          <cell r="H140"/>
          <cell r="I140"/>
          <cell r="J140"/>
          <cell r="K140"/>
          <cell r="L140"/>
          <cell r="M140"/>
          <cell r="N140"/>
          <cell r="O140"/>
          <cell r="P140"/>
          <cell r="Q140"/>
          <cell r="R140"/>
          <cell r="S140"/>
          <cell r="T140"/>
          <cell r="U140"/>
          <cell r="V140"/>
          <cell r="W140"/>
          <cell r="X140"/>
          <cell r="Y140"/>
          <cell r="Z140"/>
          <cell r="AA140"/>
          <cell r="AB140"/>
          <cell r="AC140"/>
          <cell r="AD140"/>
          <cell r="AE140"/>
          <cell r="AF140"/>
          <cell r="AG140"/>
          <cell r="AH140"/>
          <cell r="AI140"/>
          <cell r="AJ140"/>
          <cell r="AK140"/>
          <cell r="AL140"/>
          <cell r="AM140"/>
          <cell r="AN140"/>
          <cell r="AO140"/>
          <cell r="AP140"/>
          <cell r="AQ140"/>
          <cell r="AR140"/>
          <cell r="AS140"/>
          <cell r="AT140"/>
          <cell r="AU140"/>
          <cell r="AV140"/>
          <cell r="AW140"/>
          <cell r="AX140"/>
          <cell r="AY140"/>
          <cell r="AZ140"/>
          <cell r="BA140"/>
          <cell r="BB140"/>
          <cell r="BC140"/>
          <cell r="BD140"/>
          <cell r="BE140"/>
          <cell r="BF140"/>
          <cell r="BG140"/>
          <cell r="BH140"/>
          <cell r="BI140"/>
          <cell r="BJ140"/>
          <cell r="BK140"/>
          <cell r="BL140"/>
          <cell r="BM140"/>
          <cell r="BN140"/>
          <cell r="BO140"/>
          <cell r="BP140"/>
          <cell r="BQ140"/>
          <cell r="BR140"/>
          <cell r="BS140"/>
          <cell r="BT140"/>
          <cell r="BU140"/>
          <cell r="BV140"/>
          <cell r="BW140"/>
          <cell r="BX140"/>
          <cell r="BY140"/>
        </row>
        <row r="141">
          <cell r="B141" t="str">
            <v>MS02-2RLD-C3</v>
          </cell>
          <cell r="D141"/>
          <cell r="E141"/>
          <cell r="F141"/>
          <cell r="G141"/>
          <cell r="H141"/>
          <cell r="I141"/>
          <cell r="J141"/>
          <cell r="K141"/>
          <cell r="L141"/>
          <cell r="M141"/>
          <cell r="N141"/>
          <cell r="O141"/>
          <cell r="P141"/>
          <cell r="Q141"/>
          <cell r="R141"/>
          <cell r="S141"/>
          <cell r="T141"/>
          <cell r="U141"/>
          <cell r="V141"/>
          <cell r="W141"/>
          <cell r="X141"/>
          <cell r="Y141"/>
          <cell r="Z141"/>
          <cell r="AA141"/>
          <cell r="AB141"/>
          <cell r="AC141"/>
          <cell r="AD141"/>
          <cell r="AE141"/>
          <cell r="AF141"/>
          <cell r="AG141"/>
          <cell r="AH141"/>
          <cell r="AI141"/>
          <cell r="AJ141"/>
          <cell r="AK141"/>
          <cell r="AL141"/>
          <cell r="AM141"/>
          <cell r="AN141"/>
          <cell r="AO141"/>
          <cell r="AP141"/>
          <cell r="AQ141"/>
          <cell r="AR141"/>
          <cell r="AS141"/>
          <cell r="AT141"/>
          <cell r="AU141"/>
          <cell r="AV141"/>
          <cell r="AW141"/>
          <cell r="AX141"/>
          <cell r="AY141"/>
          <cell r="AZ141"/>
          <cell r="BA141"/>
          <cell r="BB141"/>
          <cell r="BC141"/>
          <cell r="BD141"/>
          <cell r="BE141"/>
          <cell r="BF141"/>
          <cell r="BG141"/>
          <cell r="BH141"/>
          <cell r="BI141"/>
          <cell r="BJ141"/>
          <cell r="BK141"/>
          <cell r="BL141"/>
          <cell r="BM141"/>
          <cell r="BN141"/>
          <cell r="BO141"/>
          <cell r="BP141"/>
          <cell r="BQ141"/>
          <cell r="BR141"/>
          <cell r="BS141"/>
          <cell r="BT141"/>
          <cell r="BU141"/>
          <cell r="BV141"/>
          <cell r="BW141"/>
          <cell r="BX141"/>
          <cell r="BY141"/>
        </row>
        <row r="142">
          <cell r="B142" t="str">
            <v>01.10.017</v>
          </cell>
          <cell r="D142"/>
          <cell r="E142"/>
          <cell r="F142"/>
          <cell r="G142"/>
          <cell r="H142"/>
          <cell r="I142"/>
          <cell r="J142"/>
          <cell r="K142"/>
          <cell r="L142"/>
          <cell r="M142"/>
          <cell r="N142"/>
          <cell r="O142"/>
          <cell r="P142"/>
          <cell r="Q142"/>
          <cell r="R142"/>
          <cell r="S142"/>
          <cell r="T142"/>
          <cell r="U142"/>
          <cell r="V142"/>
          <cell r="W142"/>
          <cell r="X142"/>
          <cell r="Y142"/>
          <cell r="Z142"/>
          <cell r="AA142"/>
          <cell r="AB142"/>
          <cell r="AC142"/>
          <cell r="AD142"/>
          <cell r="AE142"/>
          <cell r="AF142"/>
          <cell r="AG142"/>
          <cell r="AH142"/>
          <cell r="AI142"/>
          <cell r="AJ142"/>
          <cell r="AK142"/>
          <cell r="AL142"/>
          <cell r="AM142"/>
          <cell r="AN142"/>
          <cell r="AO142"/>
          <cell r="AP142"/>
          <cell r="AQ142"/>
          <cell r="AR142"/>
          <cell r="AS142"/>
          <cell r="AT142"/>
          <cell r="AU142"/>
          <cell r="AV142"/>
          <cell r="AW142"/>
          <cell r="AX142"/>
          <cell r="AY142"/>
          <cell r="AZ142"/>
          <cell r="BA142"/>
          <cell r="BB142"/>
          <cell r="BC142"/>
          <cell r="BD142"/>
          <cell r="BE142"/>
          <cell r="BF142"/>
          <cell r="BG142"/>
          <cell r="BH142"/>
          <cell r="BI142"/>
          <cell r="BJ142"/>
          <cell r="BK142"/>
          <cell r="BL142"/>
          <cell r="BM142"/>
          <cell r="BN142"/>
          <cell r="BO142"/>
          <cell r="BP142"/>
          <cell r="BQ142"/>
          <cell r="BR142"/>
          <cell r="BS142"/>
          <cell r="BT142"/>
          <cell r="BU142"/>
          <cell r="BV142"/>
          <cell r="BW142"/>
          <cell r="BX142"/>
          <cell r="BY142"/>
        </row>
        <row r="143">
          <cell r="B143" t="str">
            <v>ECL-207-35DG</v>
          </cell>
          <cell r="D143"/>
          <cell r="E143"/>
          <cell r="F143"/>
          <cell r="G143"/>
          <cell r="H143"/>
          <cell r="I143"/>
          <cell r="J143"/>
          <cell r="K143"/>
          <cell r="L143"/>
          <cell r="M143"/>
          <cell r="N143"/>
          <cell r="O143"/>
          <cell r="P143"/>
          <cell r="Q143"/>
          <cell r="R143"/>
          <cell r="S143"/>
          <cell r="T143"/>
          <cell r="U143"/>
          <cell r="V143"/>
          <cell r="W143"/>
          <cell r="X143"/>
          <cell r="Y143"/>
          <cell r="Z143"/>
          <cell r="AA143"/>
          <cell r="AB143"/>
          <cell r="AC143"/>
          <cell r="AD143"/>
          <cell r="AE143"/>
          <cell r="AF143"/>
          <cell r="AG143"/>
          <cell r="AH143"/>
          <cell r="AI143"/>
          <cell r="AJ143"/>
          <cell r="AK143"/>
          <cell r="AL143"/>
          <cell r="AM143"/>
          <cell r="AN143"/>
          <cell r="AO143"/>
          <cell r="AP143"/>
          <cell r="AQ143"/>
          <cell r="AR143"/>
          <cell r="AS143"/>
          <cell r="AT143"/>
          <cell r="AU143"/>
          <cell r="AV143"/>
          <cell r="AW143"/>
          <cell r="AX143"/>
          <cell r="AY143"/>
          <cell r="AZ143"/>
          <cell r="BA143"/>
          <cell r="BB143"/>
          <cell r="BC143"/>
          <cell r="BD143"/>
          <cell r="BE143"/>
          <cell r="BF143"/>
          <cell r="BG143"/>
          <cell r="BH143"/>
          <cell r="BI143"/>
          <cell r="BJ143"/>
          <cell r="BK143"/>
          <cell r="BL143"/>
          <cell r="BM143"/>
          <cell r="BN143"/>
          <cell r="BO143"/>
          <cell r="BP143"/>
          <cell r="BQ143"/>
          <cell r="BR143"/>
          <cell r="BS143"/>
          <cell r="BT143"/>
          <cell r="BU143"/>
          <cell r="BV143"/>
          <cell r="BW143"/>
          <cell r="BX143"/>
          <cell r="BY143"/>
        </row>
        <row r="144">
          <cell r="B144" t="str">
            <v>PB006186</v>
          </cell>
          <cell r="D144"/>
          <cell r="E144"/>
          <cell r="F144"/>
          <cell r="G144"/>
          <cell r="H144"/>
          <cell r="I144"/>
          <cell r="J144"/>
          <cell r="K144"/>
          <cell r="L144"/>
          <cell r="M144"/>
          <cell r="N144"/>
          <cell r="O144"/>
          <cell r="P144"/>
          <cell r="Q144"/>
          <cell r="R144"/>
          <cell r="S144"/>
          <cell r="T144"/>
          <cell r="U144"/>
          <cell r="V144"/>
          <cell r="W144"/>
          <cell r="X144"/>
          <cell r="Y144"/>
          <cell r="Z144"/>
          <cell r="AA144"/>
          <cell r="AB144"/>
          <cell r="AC144"/>
          <cell r="AD144"/>
          <cell r="AE144"/>
          <cell r="AF144"/>
          <cell r="AG144"/>
          <cell r="AH144"/>
          <cell r="AI144"/>
          <cell r="AJ144"/>
          <cell r="AK144"/>
          <cell r="AL144"/>
          <cell r="AM144"/>
          <cell r="AN144"/>
          <cell r="AO144"/>
          <cell r="AP144"/>
          <cell r="AQ144"/>
          <cell r="AR144"/>
          <cell r="AS144"/>
          <cell r="AT144"/>
          <cell r="AU144"/>
          <cell r="AV144"/>
          <cell r="AW144"/>
          <cell r="AX144"/>
          <cell r="AY144"/>
          <cell r="AZ144"/>
          <cell r="BA144"/>
          <cell r="BB144"/>
          <cell r="BC144"/>
          <cell r="BD144"/>
          <cell r="BE144"/>
          <cell r="BF144"/>
          <cell r="BG144"/>
          <cell r="BH144"/>
          <cell r="BI144"/>
          <cell r="BJ144"/>
          <cell r="BK144"/>
          <cell r="BL144"/>
          <cell r="BM144"/>
          <cell r="BN144"/>
          <cell r="BO144"/>
          <cell r="BP144"/>
          <cell r="BQ144"/>
          <cell r="BR144"/>
          <cell r="BS144"/>
          <cell r="BT144"/>
          <cell r="BU144"/>
          <cell r="BV144"/>
          <cell r="BW144"/>
          <cell r="BX144"/>
          <cell r="BY144"/>
        </row>
        <row r="145">
          <cell r="B145" t="str">
            <v>HCP211-32G</v>
          </cell>
          <cell r="D145"/>
          <cell r="E145"/>
          <cell r="F145"/>
          <cell r="G145"/>
          <cell r="H145"/>
          <cell r="I145"/>
          <cell r="J145"/>
          <cell r="K145"/>
          <cell r="L145"/>
          <cell r="M145"/>
          <cell r="N145"/>
          <cell r="O145"/>
          <cell r="P145"/>
          <cell r="Q145"/>
          <cell r="R145"/>
          <cell r="S145"/>
          <cell r="T145"/>
          <cell r="U145"/>
          <cell r="V145"/>
          <cell r="W145"/>
          <cell r="X145"/>
          <cell r="Y145"/>
          <cell r="Z145"/>
          <cell r="AA145"/>
          <cell r="AB145"/>
          <cell r="AC145"/>
          <cell r="AD145"/>
          <cell r="AE145"/>
          <cell r="AF145"/>
          <cell r="AG145"/>
          <cell r="AH145"/>
          <cell r="AI145"/>
          <cell r="AJ145"/>
          <cell r="AK145"/>
          <cell r="AL145"/>
          <cell r="AM145"/>
          <cell r="AN145"/>
          <cell r="AO145"/>
          <cell r="AP145"/>
          <cell r="AQ145"/>
          <cell r="AR145"/>
          <cell r="AS145"/>
          <cell r="AT145"/>
          <cell r="AU145"/>
          <cell r="AV145"/>
          <cell r="AW145"/>
          <cell r="AX145"/>
          <cell r="AY145"/>
          <cell r="AZ145"/>
          <cell r="BA145"/>
          <cell r="BB145"/>
          <cell r="BC145"/>
          <cell r="BD145"/>
          <cell r="BE145"/>
          <cell r="BF145"/>
          <cell r="BG145"/>
          <cell r="BH145"/>
          <cell r="BI145"/>
          <cell r="BJ145"/>
          <cell r="BK145"/>
          <cell r="BL145"/>
          <cell r="BM145"/>
          <cell r="BN145"/>
          <cell r="BO145"/>
          <cell r="BP145"/>
          <cell r="BQ145"/>
          <cell r="BR145"/>
          <cell r="BS145"/>
          <cell r="BT145"/>
          <cell r="BU145"/>
          <cell r="BV145"/>
          <cell r="BW145"/>
          <cell r="BX145"/>
          <cell r="BY145"/>
        </row>
        <row r="146">
          <cell r="B146" t="str">
            <v>ACL-210-50mm</v>
          </cell>
          <cell r="D146"/>
          <cell r="E146"/>
          <cell r="F146"/>
          <cell r="G146"/>
          <cell r="H146"/>
          <cell r="I146"/>
          <cell r="J146"/>
          <cell r="K146"/>
          <cell r="L146"/>
          <cell r="M146"/>
          <cell r="N146"/>
          <cell r="O146"/>
          <cell r="P146"/>
          <cell r="Q146"/>
          <cell r="R146"/>
          <cell r="S146"/>
          <cell r="T146"/>
          <cell r="U146"/>
          <cell r="V146"/>
          <cell r="W146"/>
          <cell r="X146"/>
          <cell r="Y146"/>
          <cell r="Z146"/>
          <cell r="AA146"/>
          <cell r="AB146"/>
          <cell r="AC146"/>
          <cell r="AD146"/>
          <cell r="AE146"/>
          <cell r="AF146"/>
          <cell r="AG146"/>
          <cell r="AH146"/>
          <cell r="AI146"/>
          <cell r="AJ146"/>
          <cell r="AK146"/>
          <cell r="AL146"/>
          <cell r="AM146"/>
          <cell r="AN146"/>
          <cell r="AO146"/>
          <cell r="AP146"/>
          <cell r="AQ146"/>
          <cell r="AR146"/>
          <cell r="AS146"/>
          <cell r="AT146"/>
          <cell r="AU146"/>
          <cell r="AV146"/>
          <cell r="AW146"/>
          <cell r="AX146"/>
          <cell r="AY146"/>
          <cell r="AZ146"/>
          <cell r="BA146"/>
          <cell r="BB146"/>
          <cell r="BC146"/>
          <cell r="BD146"/>
          <cell r="BE146"/>
          <cell r="BF146"/>
          <cell r="BG146"/>
          <cell r="BH146"/>
          <cell r="BI146"/>
          <cell r="BJ146"/>
          <cell r="BK146"/>
          <cell r="BL146"/>
          <cell r="BM146"/>
          <cell r="BN146"/>
          <cell r="BO146"/>
          <cell r="BP146"/>
          <cell r="BQ146"/>
          <cell r="BR146"/>
          <cell r="BS146"/>
          <cell r="BT146"/>
          <cell r="BU146"/>
          <cell r="BV146"/>
          <cell r="BW146"/>
          <cell r="BX146"/>
          <cell r="BY146"/>
        </row>
        <row r="147">
          <cell r="B147" t="str">
            <v>UCF205-16G</v>
          </cell>
          <cell r="D147"/>
          <cell r="E147"/>
          <cell r="F147"/>
          <cell r="G147"/>
          <cell r="H147"/>
          <cell r="I147"/>
          <cell r="J147"/>
          <cell r="K147"/>
          <cell r="L147"/>
          <cell r="M147"/>
          <cell r="N147"/>
          <cell r="O147"/>
          <cell r="P147"/>
          <cell r="Q147"/>
          <cell r="R147"/>
          <cell r="S147"/>
          <cell r="T147"/>
          <cell r="U147"/>
          <cell r="V147"/>
          <cell r="W147"/>
          <cell r="X147"/>
          <cell r="Y147"/>
          <cell r="Z147"/>
          <cell r="AA147"/>
          <cell r="AB147"/>
          <cell r="AC147"/>
          <cell r="AD147"/>
          <cell r="AE147"/>
          <cell r="AF147"/>
          <cell r="AG147"/>
          <cell r="AH147"/>
          <cell r="AI147"/>
          <cell r="AJ147"/>
          <cell r="AK147"/>
          <cell r="AL147"/>
          <cell r="AM147"/>
          <cell r="AN147"/>
          <cell r="AO147"/>
          <cell r="AP147"/>
          <cell r="AQ147"/>
          <cell r="AR147"/>
          <cell r="AS147"/>
          <cell r="AT147"/>
          <cell r="AU147"/>
          <cell r="AV147"/>
          <cell r="AW147"/>
          <cell r="AX147"/>
          <cell r="AY147"/>
          <cell r="AZ147"/>
          <cell r="BA147"/>
          <cell r="BB147"/>
          <cell r="BC147"/>
          <cell r="BD147"/>
          <cell r="BE147"/>
          <cell r="BF147"/>
          <cell r="BG147"/>
          <cell r="BH147"/>
          <cell r="BI147"/>
          <cell r="BJ147"/>
          <cell r="BK147"/>
          <cell r="BL147"/>
          <cell r="BM147"/>
          <cell r="BN147"/>
          <cell r="BO147"/>
          <cell r="BP147"/>
          <cell r="BQ147"/>
          <cell r="BR147"/>
          <cell r="BS147"/>
          <cell r="BT147"/>
          <cell r="BU147"/>
          <cell r="BV147"/>
          <cell r="BW147"/>
          <cell r="BX147"/>
          <cell r="BY147"/>
        </row>
        <row r="148">
          <cell r="B148" t="str">
            <v>5203-KYY5</v>
          </cell>
          <cell r="D148"/>
          <cell r="E148"/>
          <cell r="F148"/>
          <cell r="G148"/>
          <cell r="H148"/>
          <cell r="I148"/>
          <cell r="J148"/>
          <cell r="K148"/>
          <cell r="L148"/>
          <cell r="M148"/>
          <cell r="N148"/>
          <cell r="O148"/>
          <cell r="P148"/>
          <cell r="Q148"/>
          <cell r="R148"/>
          <cell r="S148"/>
          <cell r="T148"/>
          <cell r="U148"/>
          <cell r="V148"/>
          <cell r="W148"/>
          <cell r="X148"/>
          <cell r="Y148"/>
          <cell r="Z148"/>
          <cell r="AA148"/>
          <cell r="AB148"/>
          <cell r="AC148"/>
          <cell r="AD148"/>
          <cell r="AE148"/>
          <cell r="AF148"/>
          <cell r="AG148"/>
          <cell r="AH148"/>
          <cell r="AI148"/>
          <cell r="AJ148"/>
          <cell r="AK148"/>
          <cell r="AL148"/>
          <cell r="AM148"/>
          <cell r="AN148"/>
          <cell r="AO148"/>
          <cell r="AP148"/>
          <cell r="AQ148"/>
          <cell r="AR148"/>
          <cell r="AS148"/>
          <cell r="AT148"/>
          <cell r="AU148"/>
          <cell r="AV148"/>
          <cell r="AW148"/>
          <cell r="AX148"/>
          <cell r="AY148"/>
          <cell r="AZ148"/>
          <cell r="BA148"/>
          <cell r="BB148"/>
          <cell r="BC148"/>
          <cell r="BD148"/>
          <cell r="BE148"/>
          <cell r="BF148"/>
          <cell r="BG148"/>
          <cell r="BH148"/>
          <cell r="BI148"/>
          <cell r="BJ148"/>
          <cell r="BK148"/>
          <cell r="BL148"/>
          <cell r="BM148"/>
          <cell r="BN148"/>
          <cell r="BO148"/>
          <cell r="BP148"/>
          <cell r="BQ148"/>
          <cell r="BR148"/>
          <cell r="BS148"/>
          <cell r="BT148"/>
          <cell r="BU148"/>
          <cell r="BV148"/>
          <cell r="BW148"/>
          <cell r="BX148"/>
          <cell r="BY148"/>
        </row>
        <row r="149">
          <cell r="B149" t="str">
            <v>PB005307</v>
          </cell>
          <cell r="D149"/>
          <cell r="E149"/>
          <cell r="F149"/>
          <cell r="G149"/>
          <cell r="H149"/>
          <cell r="I149"/>
          <cell r="J149"/>
          <cell r="K149"/>
          <cell r="L149"/>
          <cell r="M149"/>
          <cell r="N149"/>
          <cell r="O149"/>
          <cell r="P149"/>
          <cell r="Q149"/>
          <cell r="R149"/>
          <cell r="S149"/>
          <cell r="T149"/>
          <cell r="U149"/>
          <cell r="V149"/>
          <cell r="W149"/>
          <cell r="X149"/>
          <cell r="Y149"/>
          <cell r="Z149"/>
          <cell r="AA149"/>
          <cell r="AB149"/>
          <cell r="AC149"/>
          <cell r="AD149"/>
          <cell r="AE149"/>
          <cell r="AF149"/>
          <cell r="AG149"/>
          <cell r="AH149"/>
          <cell r="AI149"/>
          <cell r="AJ149"/>
          <cell r="AK149"/>
          <cell r="AL149"/>
          <cell r="AM149"/>
          <cell r="AN149"/>
          <cell r="AO149"/>
          <cell r="AP149"/>
          <cell r="AQ149"/>
          <cell r="AR149"/>
          <cell r="AS149"/>
          <cell r="AT149"/>
          <cell r="AU149"/>
          <cell r="AV149"/>
          <cell r="AW149"/>
          <cell r="AX149"/>
          <cell r="AY149"/>
          <cell r="AZ149"/>
          <cell r="BA149"/>
          <cell r="BB149"/>
          <cell r="BC149"/>
          <cell r="BD149"/>
          <cell r="BE149"/>
          <cell r="BF149"/>
          <cell r="BG149"/>
          <cell r="BH149"/>
          <cell r="BI149"/>
          <cell r="BJ149"/>
          <cell r="BK149"/>
          <cell r="BL149"/>
          <cell r="BM149"/>
          <cell r="BN149"/>
          <cell r="BO149"/>
          <cell r="BP149"/>
          <cell r="BQ149"/>
          <cell r="BR149"/>
          <cell r="BS149"/>
          <cell r="BT149"/>
          <cell r="BU149"/>
          <cell r="BV149"/>
          <cell r="BW149"/>
          <cell r="BX149"/>
          <cell r="BY149"/>
        </row>
        <row r="150">
          <cell r="B150" t="str">
            <v>SAB209-45DG</v>
          </cell>
          <cell r="D150"/>
          <cell r="E150"/>
          <cell r="F150"/>
          <cell r="G150"/>
          <cell r="H150"/>
          <cell r="I150"/>
          <cell r="J150"/>
          <cell r="K150"/>
          <cell r="L150"/>
          <cell r="M150"/>
          <cell r="N150"/>
          <cell r="O150"/>
          <cell r="P150"/>
          <cell r="Q150"/>
          <cell r="R150"/>
          <cell r="S150"/>
          <cell r="T150"/>
          <cell r="U150"/>
          <cell r="V150"/>
          <cell r="W150"/>
          <cell r="X150"/>
          <cell r="Y150"/>
          <cell r="Z150"/>
          <cell r="AA150"/>
          <cell r="AB150"/>
          <cell r="AC150"/>
          <cell r="AD150"/>
          <cell r="AE150"/>
          <cell r="AF150"/>
          <cell r="AG150"/>
          <cell r="AH150"/>
          <cell r="AI150"/>
          <cell r="AJ150"/>
          <cell r="AK150"/>
          <cell r="AL150"/>
          <cell r="AM150"/>
          <cell r="AN150"/>
          <cell r="AO150"/>
          <cell r="AP150"/>
          <cell r="AQ150"/>
          <cell r="AR150"/>
          <cell r="AS150"/>
          <cell r="AT150"/>
          <cell r="AU150"/>
          <cell r="AV150"/>
          <cell r="AW150"/>
          <cell r="AX150"/>
          <cell r="AY150"/>
          <cell r="AZ150"/>
          <cell r="BA150"/>
          <cell r="BB150"/>
          <cell r="BC150"/>
          <cell r="BD150"/>
          <cell r="BE150"/>
          <cell r="BF150"/>
          <cell r="BG150"/>
          <cell r="BH150"/>
          <cell r="BI150"/>
          <cell r="BJ150"/>
          <cell r="BK150"/>
          <cell r="BL150"/>
          <cell r="BM150"/>
          <cell r="BN150"/>
          <cell r="BO150"/>
          <cell r="BP150"/>
          <cell r="BQ150"/>
          <cell r="BR150"/>
          <cell r="BS150"/>
          <cell r="BT150"/>
          <cell r="BU150"/>
          <cell r="BV150"/>
          <cell r="BW150"/>
          <cell r="BX150"/>
          <cell r="BY150"/>
        </row>
        <row r="151">
          <cell r="B151" t="str">
            <v>PB001842</v>
          </cell>
          <cell r="D151"/>
          <cell r="E151"/>
          <cell r="F151"/>
          <cell r="G151"/>
          <cell r="H151"/>
          <cell r="I151"/>
          <cell r="J151"/>
          <cell r="K151"/>
          <cell r="L151"/>
          <cell r="M151"/>
          <cell r="N151"/>
          <cell r="O151"/>
          <cell r="P151"/>
          <cell r="Q151"/>
          <cell r="R151"/>
          <cell r="S151"/>
          <cell r="T151"/>
          <cell r="U151"/>
          <cell r="V151"/>
          <cell r="W151"/>
          <cell r="X151"/>
          <cell r="Y151"/>
          <cell r="Z151"/>
          <cell r="AA151"/>
          <cell r="AB151"/>
          <cell r="AC151"/>
          <cell r="AD151"/>
          <cell r="AE151"/>
          <cell r="AF151"/>
          <cell r="AG151"/>
          <cell r="AH151"/>
          <cell r="AI151"/>
          <cell r="AJ151"/>
          <cell r="AK151"/>
          <cell r="AL151"/>
          <cell r="AM151"/>
          <cell r="AN151"/>
          <cell r="AO151"/>
          <cell r="AP151"/>
          <cell r="AQ151"/>
          <cell r="AR151"/>
          <cell r="AS151"/>
          <cell r="AT151"/>
          <cell r="AU151"/>
          <cell r="AV151"/>
          <cell r="AW151"/>
          <cell r="AX151"/>
          <cell r="AY151"/>
          <cell r="AZ151"/>
          <cell r="BA151"/>
          <cell r="BB151"/>
          <cell r="BC151"/>
          <cell r="BD151"/>
          <cell r="BE151"/>
          <cell r="BF151"/>
          <cell r="BG151"/>
          <cell r="BH151"/>
          <cell r="BI151"/>
          <cell r="BJ151"/>
          <cell r="BK151"/>
          <cell r="BL151"/>
          <cell r="BM151"/>
          <cell r="BN151"/>
          <cell r="BO151"/>
          <cell r="BP151"/>
          <cell r="BQ151"/>
          <cell r="BR151"/>
          <cell r="BS151"/>
          <cell r="BT151"/>
          <cell r="BU151"/>
          <cell r="BV151"/>
          <cell r="BW151"/>
          <cell r="BX151"/>
          <cell r="BY151"/>
        </row>
        <row r="152">
          <cell r="B152" t="str">
            <v>ACLR208-40RG</v>
          </cell>
          <cell r="D152"/>
          <cell r="E152"/>
          <cell r="F152"/>
          <cell r="G152"/>
          <cell r="H152"/>
          <cell r="I152"/>
          <cell r="J152"/>
          <cell r="K152"/>
          <cell r="L152"/>
          <cell r="M152"/>
          <cell r="N152"/>
          <cell r="O152"/>
          <cell r="P152"/>
          <cell r="Q152"/>
          <cell r="R152"/>
          <cell r="S152"/>
          <cell r="T152"/>
          <cell r="U152"/>
          <cell r="V152"/>
          <cell r="W152"/>
          <cell r="X152"/>
          <cell r="Y152"/>
          <cell r="Z152"/>
          <cell r="AA152"/>
          <cell r="AB152"/>
          <cell r="AC152"/>
          <cell r="AD152"/>
          <cell r="AE152"/>
          <cell r="AF152"/>
          <cell r="AG152"/>
          <cell r="AH152"/>
          <cell r="AI152"/>
          <cell r="AJ152"/>
          <cell r="AK152"/>
          <cell r="AL152"/>
          <cell r="AM152"/>
          <cell r="AN152"/>
          <cell r="AO152"/>
          <cell r="AP152"/>
          <cell r="AQ152"/>
          <cell r="AR152"/>
          <cell r="AS152"/>
          <cell r="AT152"/>
          <cell r="AU152"/>
          <cell r="AV152"/>
          <cell r="AW152"/>
          <cell r="AX152"/>
          <cell r="AY152"/>
          <cell r="AZ152"/>
          <cell r="BA152"/>
          <cell r="BB152"/>
          <cell r="BC152"/>
          <cell r="BD152"/>
          <cell r="BE152"/>
          <cell r="BF152"/>
          <cell r="BG152"/>
          <cell r="BH152"/>
          <cell r="BI152"/>
          <cell r="BJ152"/>
          <cell r="BK152"/>
          <cell r="BL152"/>
          <cell r="BM152"/>
          <cell r="BN152"/>
          <cell r="BO152"/>
          <cell r="BP152"/>
          <cell r="BQ152"/>
          <cell r="BR152"/>
          <cell r="BS152"/>
          <cell r="BT152"/>
          <cell r="BU152"/>
          <cell r="BV152"/>
          <cell r="BW152"/>
          <cell r="BX152"/>
          <cell r="BY152"/>
        </row>
        <row r="153">
          <cell r="B153" t="str">
            <v>FHP208-24G</v>
          </cell>
          <cell r="D153"/>
          <cell r="E153"/>
          <cell r="F153"/>
          <cell r="G153"/>
          <cell r="H153"/>
          <cell r="I153"/>
          <cell r="J153"/>
          <cell r="K153"/>
          <cell r="L153"/>
          <cell r="M153"/>
          <cell r="N153"/>
          <cell r="O153"/>
          <cell r="P153"/>
          <cell r="Q153"/>
          <cell r="R153"/>
          <cell r="S153"/>
          <cell r="T153"/>
          <cell r="U153"/>
          <cell r="V153"/>
          <cell r="W153"/>
          <cell r="X153"/>
          <cell r="Y153"/>
          <cell r="Z153"/>
          <cell r="AA153"/>
          <cell r="AB153"/>
          <cell r="AC153"/>
          <cell r="AD153"/>
          <cell r="AE153"/>
          <cell r="AF153"/>
          <cell r="AG153"/>
          <cell r="AH153"/>
          <cell r="AI153"/>
          <cell r="AJ153"/>
          <cell r="AK153"/>
          <cell r="AL153"/>
          <cell r="AM153"/>
          <cell r="AN153"/>
          <cell r="AO153"/>
          <cell r="AP153"/>
          <cell r="AQ153"/>
          <cell r="AR153"/>
          <cell r="AS153"/>
          <cell r="AT153"/>
          <cell r="AU153"/>
          <cell r="AV153"/>
          <cell r="AW153"/>
          <cell r="AX153"/>
          <cell r="AY153"/>
          <cell r="AZ153"/>
          <cell r="BA153"/>
          <cell r="BB153"/>
          <cell r="BC153"/>
          <cell r="BD153"/>
          <cell r="BE153"/>
          <cell r="BF153"/>
          <cell r="BG153"/>
          <cell r="BH153"/>
          <cell r="BI153"/>
          <cell r="BJ153"/>
          <cell r="BK153"/>
          <cell r="BL153"/>
          <cell r="BM153"/>
          <cell r="BN153"/>
          <cell r="BO153"/>
          <cell r="BP153"/>
          <cell r="BQ153"/>
          <cell r="BR153"/>
          <cell r="BS153"/>
          <cell r="BT153"/>
          <cell r="BU153"/>
          <cell r="BV153"/>
          <cell r="BW153"/>
          <cell r="BX153"/>
          <cell r="BY153"/>
        </row>
        <row r="154">
          <cell r="B154" t="str">
            <v>30308-MX</v>
          </cell>
          <cell r="D154"/>
          <cell r="E154"/>
          <cell r="F154"/>
          <cell r="G154"/>
          <cell r="H154"/>
          <cell r="I154"/>
          <cell r="J154"/>
          <cell r="K154"/>
          <cell r="L154"/>
          <cell r="M154"/>
          <cell r="N154"/>
          <cell r="O154"/>
          <cell r="P154"/>
          <cell r="Q154"/>
          <cell r="R154"/>
          <cell r="S154"/>
          <cell r="T154"/>
          <cell r="U154"/>
          <cell r="V154"/>
          <cell r="W154"/>
          <cell r="X154"/>
          <cell r="Y154"/>
          <cell r="Z154"/>
          <cell r="AA154"/>
          <cell r="AB154"/>
          <cell r="AC154"/>
          <cell r="AD154"/>
          <cell r="AE154"/>
          <cell r="AF154"/>
          <cell r="AG154"/>
          <cell r="AH154"/>
          <cell r="AI154"/>
          <cell r="AJ154"/>
          <cell r="AK154"/>
          <cell r="AL154"/>
          <cell r="AM154"/>
          <cell r="AN154"/>
          <cell r="AO154"/>
          <cell r="AP154"/>
          <cell r="AQ154"/>
          <cell r="AR154"/>
          <cell r="AS154"/>
          <cell r="AT154"/>
          <cell r="AU154"/>
          <cell r="AV154"/>
          <cell r="AW154"/>
          <cell r="AX154"/>
          <cell r="AY154"/>
          <cell r="AZ154"/>
          <cell r="BA154"/>
          <cell r="BB154"/>
          <cell r="BC154"/>
          <cell r="BD154"/>
          <cell r="BE154"/>
          <cell r="BF154"/>
          <cell r="BG154"/>
          <cell r="BH154"/>
          <cell r="BI154"/>
          <cell r="BJ154"/>
          <cell r="BK154"/>
          <cell r="BL154"/>
          <cell r="BM154"/>
          <cell r="BN154"/>
          <cell r="BO154"/>
          <cell r="BP154"/>
          <cell r="BQ154"/>
          <cell r="BR154"/>
          <cell r="BS154"/>
          <cell r="BT154"/>
          <cell r="BU154"/>
          <cell r="BV154"/>
          <cell r="BW154"/>
          <cell r="BX154"/>
          <cell r="BY154"/>
        </row>
        <row r="155">
          <cell r="B155" t="str">
            <v>207-KYYB2</v>
          </cell>
          <cell r="D155"/>
          <cell r="E155"/>
          <cell r="F155"/>
          <cell r="G155"/>
          <cell r="H155"/>
          <cell r="I155"/>
          <cell r="J155"/>
          <cell r="K155"/>
          <cell r="L155"/>
          <cell r="M155"/>
          <cell r="N155"/>
          <cell r="O155"/>
          <cell r="P155"/>
          <cell r="Q155"/>
          <cell r="R155"/>
          <cell r="S155"/>
          <cell r="T155"/>
          <cell r="U155"/>
          <cell r="V155"/>
          <cell r="W155"/>
          <cell r="X155"/>
          <cell r="Y155"/>
          <cell r="Z155"/>
          <cell r="AA155"/>
          <cell r="AB155"/>
          <cell r="AC155"/>
          <cell r="AD155"/>
          <cell r="AE155"/>
          <cell r="AF155"/>
          <cell r="AG155"/>
          <cell r="AH155"/>
          <cell r="AI155"/>
          <cell r="AJ155"/>
          <cell r="AK155"/>
          <cell r="AL155"/>
          <cell r="AM155"/>
          <cell r="AN155"/>
          <cell r="AO155"/>
          <cell r="AP155"/>
          <cell r="AQ155"/>
          <cell r="AR155"/>
          <cell r="AS155"/>
          <cell r="AT155"/>
          <cell r="AU155"/>
          <cell r="AV155"/>
          <cell r="AW155"/>
          <cell r="AX155"/>
          <cell r="AY155"/>
          <cell r="AZ155"/>
          <cell r="BA155"/>
          <cell r="BB155"/>
          <cell r="BC155"/>
          <cell r="BD155"/>
          <cell r="BE155"/>
          <cell r="BF155"/>
          <cell r="BG155"/>
          <cell r="BH155"/>
          <cell r="BI155"/>
          <cell r="BJ155"/>
          <cell r="BK155"/>
          <cell r="BL155"/>
          <cell r="BM155"/>
          <cell r="BN155"/>
          <cell r="BO155"/>
          <cell r="BP155"/>
          <cell r="BQ155"/>
          <cell r="BR155"/>
          <cell r="BS155"/>
          <cell r="BT155"/>
          <cell r="BU155"/>
          <cell r="BV155"/>
          <cell r="BW155"/>
          <cell r="BX155"/>
          <cell r="BY155"/>
        </row>
        <row r="156">
          <cell r="B156" t="str">
            <v>PB004010</v>
          </cell>
          <cell r="D156"/>
          <cell r="E156"/>
          <cell r="F156"/>
          <cell r="G156"/>
          <cell r="H156"/>
          <cell r="I156"/>
          <cell r="J156"/>
          <cell r="K156"/>
          <cell r="L156"/>
          <cell r="M156"/>
          <cell r="N156"/>
          <cell r="O156"/>
          <cell r="P156"/>
          <cell r="Q156"/>
          <cell r="R156"/>
          <cell r="S156"/>
          <cell r="T156"/>
          <cell r="U156"/>
          <cell r="V156"/>
          <cell r="W156"/>
          <cell r="X156"/>
          <cell r="Y156"/>
          <cell r="Z156"/>
          <cell r="AA156"/>
          <cell r="AB156"/>
          <cell r="AC156"/>
          <cell r="AD156"/>
          <cell r="AE156"/>
          <cell r="AF156"/>
          <cell r="AG156"/>
          <cell r="AH156"/>
          <cell r="AI156"/>
          <cell r="AJ156"/>
          <cell r="AK156"/>
          <cell r="AL156"/>
          <cell r="AM156"/>
          <cell r="AN156"/>
          <cell r="AO156"/>
          <cell r="AP156"/>
          <cell r="AQ156"/>
          <cell r="AR156"/>
          <cell r="AS156"/>
          <cell r="AT156"/>
          <cell r="AU156"/>
          <cell r="AV156"/>
          <cell r="AW156"/>
          <cell r="AX156"/>
          <cell r="AY156"/>
          <cell r="AZ156"/>
          <cell r="BA156"/>
          <cell r="BB156"/>
          <cell r="BC156"/>
          <cell r="BD156"/>
          <cell r="BE156"/>
          <cell r="BF156"/>
          <cell r="BG156"/>
          <cell r="BH156"/>
          <cell r="BI156"/>
          <cell r="BJ156"/>
          <cell r="BK156"/>
          <cell r="BL156"/>
          <cell r="BM156"/>
          <cell r="BN156"/>
          <cell r="BO156"/>
          <cell r="BP156"/>
          <cell r="BQ156"/>
          <cell r="BR156"/>
          <cell r="BS156"/>
          <cell r="BT156"/>
          <cell r="BU156"/>
          <cell r="BV156"/>
          <cell r="BW156"/>
          <cell r="BX156"/>
          <cell r="BY156"/>
        </row>
        <row r="157">
          <cell r="B157" t="str">
            <v>PB001335</v>
          </cell>
          <cell r="D157"/>
          <cell r="E157"/>
          <cell r="F157"/>
          <cell r="G157"/>
          <cell r="H157"/>
          <cell r="I157"/>
          <cell r="J157"/>
          <cell r="K157"/>
          <cell r="L157"/>
          <cell r="M157"/>
          <cell r="N157"/>
          <cell r="O157"/>
          <cell r="P157"/>
          <cell r="Q157"/>
          <cell r="R157"/>
          <cell r="S157"/>
          <cell r="T157"/>
          <cell r="U157"/>
          <cell r="V157"/>
          <cell r="W157"/>
          <cell r="X157"/>
          <cell r="Y157"/>
          <cell r="Z157"/>
          <cell r="AA157"/>
          <cell r="AB157"/>
          <cell r="AC157"/>
          <cell r="AD157"/>
          <cell r="AE157"/>
          <cell r="AF157"/>
          <cell r="AG157"/>
          <cell r="AH157"/>
          <cell r="AI157"/>
          <cell r="AJ157"/>
          <cell r="AK157"/>
          <cell r="AL157"/>
          <cell r="AM157"/>
          <cell r="AN157"/>
          <cell r="AO157"/>
          <cell r="AP157"/>
          <cell r="AQ157"/>
          <cell r="AR157"/>
          <cell r="AS157"/>
          <cell r="AT157"/>
          <cell r="AU157"/>
          <cell r="AV157"/>
          <cell r="AW157"/>
          <cell r="AX157"/>
          <cell r="AY157"/>
          <cell r="AZ157"/>
          <cell r="BA157"/>
          <cell r="BB157"/>
          <cell r="BC157"/>
          <cell r="BD157"/>
          <cell r="BE157"/>
          <cell r="BF157"/>
          <cell r="BG157"/>
          <cell r="BH157"/>
          <cell r="BI157"/>
          <cell r="BJ157"/>
          <cell r="BK157"/>
          <cell r="BL157"/>
          <cell r="BM157"/>
          <cell r="BN157"/>
          <cell r="BO157"/>
          <cell r="BP157"/>
          <cell r="BQ157"/>
          <cell r="BR157"/>
          <cell r="BS157"/>
          <cell r="BT157"/>
          <cell r="BU157"/>
          <cell r="BV157"/>
          <cell r="BW157"/>
          <cell r="BX157"/>
          <cell r="BY157"/>
        </row>
        <row r="158">
          <cell r="B158" t="str">
            <v>PB001029</v>
          </cell>
          <cell r="D158"/>
          <cell r="E158"/>
          <cell r="F158"/>
          <cell r="G158"/>
          <cell r="H158"/>
          <cell r="I158"/>
          <cell r="J158"/>
          <cell r="K158"/>
          <cell r="L158"/>
          <cell r="M158"/>
          <cell r="N158"/>
          <cell r="O158"/>
          <cell r="P158"/>
          <cell r="Q158"/>
          <cell r="R158"/>
          <cell r="S158"/>
          <cell r="T158"/>
          <cell r="U158"/>
          <cell r="V158"/>
          <cell r="W158"/>
          <cell r="X158"/>
          <cell r="Y158"/>
          <cell r="Z158"/>
          <cell r="AA158"/>
          <cell r="AB158"/>
          <cell r="AC158"/>
          <cell r="AD158"/>
          <cell r="AE158"/>
          <cell r="AF158"/>
          <cell r="AG158"/>
          <cell r="AH158"/>
          <cell r="AI158"/>
          <cell r="AJ158"/>
          <cell r="AK158"/>
          <cell r="AL158"/>
          <cell r="AM158"/>
          <cell r="AN158"/>
          <cell r="AO158"/>
          <cell r="AP158"/>
          <cell r="AQ158"/>
          <cell r="AR158"/>
          <cell r="AS158"/>
          <cell r="AT158"/>
          <cell r="AU158"/>
          <cell r="AV158"/>
          <cell r="AW158"/>
          <cell r="AX158"/>
          <cell r="AY158"/>
          <cell r="AZ158"/>
          <cell r="BA158"/>
          <cell r="BB158"/>
          <cell r="BC158"/>
          <cell r="BD158"/>
          <cell r="BE158"/>
          <cell r="BF158"/>
          <cell r="BG158"/>
          <cell r="BH158"/>
          <cell r="BI158"/>
          <cell r="BJ158"/>
          <cell r="BK158"/>
          <cell r="BL158"/>
          <cell r="BM158"/>
          <cell r="BN158"/>
          <cell r="BO158"/>
          <cell r="BP158"/>
          <cell r="BQ158"/>
          <cell r="BR158"/>
          <cell r="BS158"/>
          <cell r="BT158"/>
          <cell r="BU158"/>
          <cell r="BV158"/>
          <cell r="BW158"/>
          <cell r="BX158"/>
          <cell r="BY158"/>
        </row>
        <row r="159">
          <cell r="B159" t="str">
            <v>LS06-D</v>
          </cell>
          <cell r="D159"/>
          <cell r="E159"/>
          <cell r="F159"/>
          <cell r="G159"/>
          <cell r="H159"/>
          <cell r="I159"/>
          <cell r="J159"/>
          <cell r="K159"/>
          <cell r="L159"/>
          <cell r="M159"/>
          <cell r="N159"/>
          <cell r="O159"/>
          <cell r="P159"/>
          <cell r="Q159"/>
          <cell r="R159"/>
          <cell r="S159"/>
          <cell r="T159"/>
          <cell r="U159"/>
          <cell r="V159"/>
          <cell r="W159"/>
          <cell r="X159"/>
          <cell r="Y159"/>
          <cell r="Z159"/>
          <cell r="AA159"/>
          <cell r="AB159"/>
          <cell r="AC159"/>
          <cell r="AD159"/>
          <cell r="AE159"/>
          <cell r="AF159"/>
          <cell r="AG159"/>
          <cell r="AH159"/>
          <cell r="AI159"/>
          <cell r="AJ159"/>
          <cell r="AK159"/>
          <cell r="AL159"/>
          <cell r="AM159"/>
          <cell r="AN159"/>
          <cell r="AO159"/>
          <cell r="AP159"/>
          <cell r="AQ159"/>
          <cell r="AR159"/>
          <cell r="AS159"/>
          <cell r="AT159"/>
          <cell r="AU159"/>
          <cell r="AV159"/>
          <cell r="AW159"/>
          <cell r="AX159"/>
          <cell r="AY159"/>
          <cell r="AZ159"/>
          <cell r="BA159"/>
          <cell r="BB159"/>
          <cell r="BC159"/>
          <cell r="BD159"/>
          <cell r="BE159"/>
          <cell r="BF159"/>
          <cell r="BG159"/>
          <cell r="BH159"/>
          <cell r="BI159"/>
          <cell r="BJ159"/>
          <cell r="BK159"/>
          <cell r="BL159"/>
          <cell r="BM159"/>
          <cell r="BN159"/>
          <cell r="BO159"/>
          <cell r="BP159"/>
          <cell r="BQ159"/>
          <cell r="BR159"/>
          <cell r="BS159"/>
          <cell r="BT159"/>
          <cell r="BU159"/>
          <cell r="BV159"/>
          <cell r="BW159"/>
          <cell r="BX159"/>
          <cell r="BY159"/>
        </row>
        <row r="160">
          <cell r="B160" t="str">
            <v>PB004758</v>
          </cell>
          <cell r="D160"/>
          <cell r="E160"/>
          <cell r="F160"/>
          <cell r="G160"/>
          <cell r="H160"/>
          <cell r="I160"/>
          <cell r="J160"/>
          <cell r="K160"/>
          <cell r="L160"/>
          <cell r="M160"/>
          <cell r="N160"/>
          <cell r="O160"/>
          <cell r="P160"/>
          <cell r="Q160"/>
          <cell r="R160"/>
          <cell r="S160"/>
          <cell r="T160"/>
          <cell r="U160"/>
          <cell r="V160"/>
          <cell r="W160"/>
          <cell r="X160"/>
          <cell r="Y160"/>
          <cell r="Z160"/>
          <cell r="AA160"/>
          <cell r="AB160"/>
          <cell r="AC160"/>
          <cell r="AD160"/>
          <cell r="AE160"/>
          <cell r="AF160"/>
          <cell r="AG160"/>
          <cell r="AH160"/>
          <cell r="AI160"/>
          <cell r="AJ160"/>
          <cell r="AK160"/>
          <cell r="AL160"/>
          <cell r="AM160"/>
          <cell r="AN160"/>
          <cell r="AO160"/>
          <cell r="AP160"/>
          <cell r="AQ160"/>
          <cell r="AR160"/>
          <cell r="AS160"/>
          <cell r="AT160"/>
          <cell r="AU160"/>
          <cell r="AV160"/>
          <cell r="AW160"/>
          <cell r="AX160"/>
          <cell r="AY160"/>
          <cell r="AZ160"/>
          <cell r="BA160"/>
          <cell r="BB160"/>
          <cell r="BC160"/>
          <cell r="BD160"/>
          <cell r="BE160"/>
          <cell r="BF160"/>
          <cell r="BG160"/>
          <cell r="BH160"/>
          <cell r="BI160"/>
          <cell r="BJ160"/>
          <cell r="BK160"/>
          <cell r="BL160"/>
          <cell r="BM160"/>
          <cell r="BN160"/>
          <cell r="BO160"/>
          <cell r="BP160"/>
          <cell r="BQ160"/>
          <cell r="BR160"/>
          <cell r="BS160"/>
          <cell r="BT160"/>
          <cell r="BU160"/>
          <cell r="BV160"/>
          <cell r="BW160"/>
          <cell r="BX160"/>
          <cell r="BY160"/>
        </row>
        <row r="161">
          <cell r="B161" t="str">
            <v>PB000157</v>
          </cell>
          <cell r="D161"/>
          <cell r="E161"/>
          <cell r="F161"/>
          <cell r="G161"/>
          <cell r="H161"/>
          <cell r="I161"/>
          <cell r="J161"/>
          <cell r="K161"/>
          <cell r="L161"/>
          <cell r="M161"/>
          <cell r="N161"/>
          <cell r="O161"/>
          <cell r="P161"/>
          <cell r="Q161"/>
          <cell r="R161"/>
          <cell r="S161"/>
          <cell r="T161"/>
          <cell r="U161"/>
          <cell r="V161"/>
          <cell r="W161"/>
          <cell r="X161"/>
          <cell r="Y161"/>
          <cell r="Z161"/>
          <cell r="AA161"/>
          <cell r="AB161"/>
          <cell r="AC161"/>
          <cell r="AD161"/>
          <cell r="AE161"/>
          <cell r="AF161"/>
          <cell r="AG161"/>
          <cell r="AH161"/>
          <cell r="AI161"/>
          <cell r="AJ161"/>
          <cell r="AK161"/>
          <cell r="AL161"/>
          <cell r="AM161"/>
          <cell r="AN161"/>
          <cell r="AO161"/>
          <cell r="AP161"/>
          <cell r="AQ161"/>
          <cell r="AR161"/>
          <cell r="AS161"/>
          <cell r="AT161"/>
          <cell r="AU161"/>
          <cell r="AV161"/>
          <cell r="AW161"/>
          <cell r="AX161"/>
          <cell r="AY161"/>
          <cell r="AZ161"/>
          <cell r="BA161"/>
          <cell r="BB161"/>
          <cell r="BC161"/>
          <cell r="BD161"/>
          <cell r="BE161"/>
          <cell r="BF161"/>
          <cell r="BG161"/>
          <cell r="BH161"/>
          <cell r="BI161"/>
          <cell r="BJ161"/>
          <cell r="BK161"/>
          <cell r="BL161"/>
          <cell r="BM161"/>
          <cell r="BN161"/>
          <cell r="BO161"/>
          <cell r="BP161"/>
          <cell r="BQ161"/>
          <cell r="BR161"/>
          <cell r="BS161"/>
          <cell r="BT161"/>
          <cell r="BU161"/>
          <cell r="BV161"/>
          <cell r="BW161"/>
          <cell r="BX161"/>
          <cell r="BY161"/>
        </row>
        <row r="162">
          <cell r="B162" t="str">
            <v>HCFTS205-16</v>
          </cell>
          <cell r="D162"/>
          <cell r="E162"/>
          <cell r="F162"/>
          <cell r="G162"/>
          <cell r="H162"/>
          <cell r="I162"/>
          <cell r="J162"/>
          <cell r="K162"/>
          <cell r="L162"/>
          <cell r="M162"/>
          <cell r="N162"/>
          <cell r="O162"/>
          <cell r="P162"/>
          <cell r="Q162"/>
          <cell r="R162"/>
          <cell r="S162"/>
          <cell r="T162"/>
          <cell r="U162"/>
          <cell r="V162"/>
          <cell r="W162"/>
          <cell r="X162"/>
          <cell r="Y162"/>
          <cell r="Z162"/>
          <cell r="AA162"/>
          <cell r="AB162"/>
          <cell r="AC162"/>
          <cell r="AD162"/>
          <cell r="AE162"/>
          <cell r="AF162"/>
          <cell r="AG162"/>
          <cell r="AH162"/>
          <cell r="AI162"/>
          <cell r="AJ162"/>
          <cell r="AK162"/>
          <cell r="AL162"/>
          <cell r="AM162"/>
          <cell r="AN162"/>
          <cell r="AO162"/>
          <cell r="AP162"/>
          <cell r="AQ162"/>
          <cell r="AR162"/>
          <cell r="AS162"/>
          <cell r="AT162"/>
          <cell r="AU162"/>
          <cell r="AV162"/>
          <cell r="AW162"/>
          <cell r="AX162"/>
          <cell r="AY162"/>
          <cell r="AZ162"/>
          <cell r="BA162"/>
          <cell r="BB162"/>
          <cell r="BC162"/>
          <cell r="BD162"/>
          <cell r="BE162"/>
          <cell r="BF162"/>
          <cell r="BG162"/>
          <cell r="BH162"/>
          <cell r="BI162"/>
          <cell r="BJ162"/>
          <cell r="BK162"/>
          <cell r="BL162"/>
          <cell r="BM162"/>
          <cell r="BN162"/>
          <cell r="BO162"/>
          <cell r="BP162"/>
          <cell r="BQ162"/>
          <cell r="BR162"/>
          <cell r="BS162"/>
          <cell r="BT162"/>
          <cell r="BU162"/>
          <cell r="BV162"/>
          <cell r="BW162"/>
          <cell r="BX162"/>
          <cell r="BY162"/>
        </row>
        <row r="163">
          <cell r="B163" t="str">
            <v>PB000840</v>
          </cell>
          <cell r="D163"/>
          <cell r="E163"/>
          <cell r="F163"/>
          <cell r="G163"/>
          <cell r="H163"/>
          <cell r="I163"/>
          <cell r="J163"/>
          <cell r="K163"/>
          <cell r="L163"/>
          <cell r="M163"/>
          <cell r="N163"/>
          <cell r="O163"/>
          <cell r="P163"/>
          <cell r="Q163"/>
          <cell r="R163"/>
          <cell r="S163"/>
          <cell r="T163"/>
          <cell r="U163"/>
          <cell r="V163"/>
          <cell r="W163"/>
          <cell r="X163"/>
          <cell r="Y163"/>
          <cell r="Z163"/>
          <cell r="AA163"/>
          <cell r="AB163"/>
          <cell r="AC163"/>
          <cell r="AD163"/>
          <cell r="AE163"/>
          <cell r="AF163"/>
          <cell r="AG163"/>
          <cell r="AH163"/>
          <cell r="AI163"/>
          <cell r="AJ163"/>
          <cell r="AK163"/>
          <cell r="AL163"/>
          <cell r="AM163"/>
          <cell r="AN163"/>
          <cell r="AO163"/>
          <cell r="AP163"/>
          <cell r="AQ163"/>
          <cell r="AR163"/>
          <cell r="AS163"/>
          <cell r="AT163"/>
          <cell r="AU163"/>
          <cell r="AV163"/>
          <cell r="AW163"/>
          <cell r="AX163"/>
          <cell r="AY163"/>
          <cell r="AZ163"/>
          <cell r="BA163"/>
          <cell r="BB163"/>
          <cell r="BC163"/>
          <cell r="BD163"/>
          <cell r="BE163"/>
          <cell r="BF163"/>
          <cell r="BG163"/>
          <cell r="BH163"/>
          <cell r="BI163"/>
          <cell r="BJ163"/>
          <cell r="BK163"/>
          <cell r="BL163"/>
          <cell r="BM163"/>
          <cell r="BN163"/>
          <cell r="BO163"/>
          <cell r="BP163"/>
          <cell r="BQ163"/>
          <cell r="BR163"/>
          <cell r="BS163"/>
          <cell r="BT163"/>
          <cell r="BU163"/>
          <cell r="BV163"/>
          <cell r="BW163"/>
          <cell r="BX163"/>
          <cell r="BY163"/>
        </row>
        <row r="164">
          <cell r="B164" t="str">
            <v>ECL-206-19DG</v>
          </cell>
          <cell r="D164"/>
          <cell r="E164"/>
          <cell r="F164"/>
          <cell r="G164"/>
          <cell r="H164"/>
          <cell r="I164"/>
          <cell r="J164"/>
          <cell r="K164"/>
          <cell r="L164"/>
          <cell r="M164"/>
          <cell r="N164"/>
          <cell r="O164"/>
          <cell r="P164"/>
          <cell r="Q164"/>
          <cell r="R164"/>
          <cell r="S164"/>
          <cell r="T164"/>
          <cell r="U164"/>
          <cell r="V164"/>
          <cell r="W164"/>
          <cell r="X164"/>
          <cell r="Y164"/>
          <cell r="Z164"/>
          <cell r="AA164"/>
          <cell r="AB164"/>
          <cell r="AC164"/>
          <cell r="AD164"/>
          <cell r="AE164"/>
          <cell r="AF164"/>
          <cell r="AG164"/>
          <cell r="AH164"/>
          <cell r="AI164"/>
          <cell r="AJ164"/>
          <cell r="AK164"/>
          <cell r="AL164"/>
          <cell r="AM164"/>
          <cell r="AN164"/>
          <cell r="AO164"/>
          <cell r="AP164"/>
          <cell r="AQ164"/>
          <cell r="AR164"/>
          <cell r="AS164"/>
          <cell r="AT164"/>
          <cell r="AU164"/>
          <cell r="AV164"/>
          <cell r="AW164"/>
          <cell r="AX164"/>
          <cell r="AY164"/>
          <cell r="AZ164"/>
          <cell r="BA164"/>
          <cell r="BB164"/>
          <cell r="BC164"/>
          <cell r="BD164"/>
          <cell r="BE164"/>
          <cell r="BF164"/>
          <cell r="BG164"/>
          <cell r="BH164"/>
          <cell r="BI164"/>
          <cell r="BJ164"/>
          <cell r="BK164"/>
          <cell r="BL164"/>
          <cell r="BM164"/>
          <cell r="BN164"/>
          <cell r="BO164"/>
          <cell r="BP164"/>
          <cell r="BQ164"/>
          <cell r="BR164"/>
          <cell r="BS164"/>
          <cell r="BT164"/>
          <cell r="BU164"/>
          <cell r="BV164"/>
          <cell r="BW164"/>
          <cell r="BX164"/>
          <cell r="BY164"/>
        </row>
        <row r="165">
          <cell r="B165" t="str">
            <v>SAB207-35DD</v>
          </cell>
          <cell r="D165"/>
          <cell r="E165"/>
          <cell r="F165"/>
          <cell r="G165"/>
          <cell r="H165"/>
          <cell r="I165"/>
          <cell r="J165"/>
          <cell r="K165"/>
          <cell r="L165"/>
          <cell r="M165"/>
          <cell r="N165"/>
          <cell r="O165"/>
          <cell r="P165"/>
          <cell r="Q165"/>
          <cell r="R165"/>
          <cell r="S165"/>
          <cell r="T165"/>
          <cell r="U165"/>
          <cell r="V165"/>
          <cell r="W165"/>
          <cell r="X165"/>
          <cell r="Y165"/>
          <cell r="Z165"/>
          <cell r="AA165"/>
          <cell r="AB165"/>
          <cell r="AC165"/>
          <cell r="AD165"/>
          <cell r="AE165"/>
          <cell r="AF165"/>
          <cell r="AG165"/>
          <cell r="AH165"/>
          <cell r="AI165"/>
          <cell r="AJ165"/>
          <cell r="AK165"/>
          <cell r="AL165"/>
          <cell r="AM165"/>
          <cell r="AN165"/>
          <cell r="AO165"/>
          <cell r="AP165"/>
          <cell r="AQ165"/>
          <cell r="AR165"/>
          <cell r="AS165"/>
          <cell r="AT165"/>
          <cell r="AU165"/>
          <cell r="AV165"/>
          <cell r="AW165"/>
          <cell r="AX165"/>
          <cell r="AY165"/>
          <cell r="AZ165"/>
          <cell r="BA165"/>
          <cell r="BB165"/>
          <cell r="BC165"/>
          <cell r="BD165"/>
          <cell r="BE165"/>
          <cell r="BF165"/>
          <cell r="BG165"/>
          <cell r="BH165"/>
          <cell r="BI165"/>
          <cell r="BJ165"/>
          <cell r="BK165"/>
          <cell r="BL165"/>
          <cell r="BM165"/>
          <cell r="BN165"/>
          <cell r="BO165"/>
          <cell r="BP165"/>
          <cell r="BQ165"/>
          <cell r="BR165"/>
          <cell r="BS165"/>
          <cell r="BT165"/>
          <cell r="BU165"/>
          <cell r="BV165"/>
          <cell r="BW165"/>
          <cell r="BX165"/>
          <cell r="BY165"/>
        </row>
        <row r="166">
          <cell r="B166" t="str">
            <v>PB006001</v>
          </cell>
          <cell r="D166"/>
          <cell r="E166"/>
          <cell r="F166"/>
          <cell r="G166"/>
          <cell r="H166"/>
          <cell r="I166"/>
          <cell r="J166"/>
          <cell r="K166"/>
          <cell r="L166"/>
          <cell r="M166"/>
          <cell r="N166"/>
          <cell r="O166"/>
          <cell r="P166"/>
          <cell r="Q166"/>
          <cell r="R166"/>
          <cell r="S166"/>
          <cell r="T166"/>
          <cell r="U166"/>
          <cell r="V166"/>
          <cell r="W166"/>
          <cell r="X166"/>
          <cell r="Y166"/>
          <cell r="Z166"/>
          <cell r="AA166"/>
          <cell r="AB166"/>
          <cell r="AC166"/>
          <cell r="AD166"/>
          <cell r="AE166"/>
          <cell r="AF166"/>
          <cell r="AG166"/>
          <cell r="AH166"/>
          <cell r="AI166"/>
          <cell r="AJ166"/>
          <cell r="AK166"/>
          <cell r="AL166"/>
          <cell r="AM166"/>
          <cell r="AN166"/>
          <cell r="AO166"/>
          <cell r="AP166"/>
          <cell r="AQ166"/>
          <cell r="AR166"/>
          <cell r="AS166"/>
          <cell r="AT166"/>
          <cell r="AU166"/>
          <cell r="AV166"/>
          <cell r="AW166"/>
          <cell r="AX166"/>
          <cell r="AY166"/>
          <cell r="AZ166"/>
          <cell r="BA166"/>
          <cell r="BB166"/>
          <cell r="BC166"/>
          <cell r="BD166"/>
          <cell r="BE166"/>
          <cell r="BF166"/>
          <cell r="BG166"/>
          <cell r="BH166"/>
          <cell r="BI166"/>
          <cell r="BJ166"/>
          <cell r="BK166"/>
          <cell r="BL166"/>
          <cell r="BM166"/>
          <cell r="BN166"/>
          <cell r="BO166"/>
          <cell r="BP166"/>
          <cell r="BQ166"/>
          <cell r="BR166"/>
          <cell r="BS166"/>
          <cell r="BT166"/>
          <cell r="BU166"/>
          <cell r="BV166"/>
          <cell r="BW166"/>
          <cell r="BX166"/>
          <cell r="BY166"/>
        </row>
        <row r="167">
          <cell r="B167" t="str">
            <v>SAB207-3</v>
          </cell>
          <cell r="D167"/>
          <cell r="E167"/>
          <cell r="F167"/>
          <cell r="G167"/>
          <cell r="H167"/>
          <cell r="I167"/>
          <cell r="J167"/>
          <cell r="K167"/>
          <cell r="L167"/>
          <cell r="M167"/>
          <cell r="N167"/>
          <cell r="O167"/>
          <cell r="P167"/>
          <cell r="Q167"/>
          <cell r="R167"/>
          <cell r="S167"/>
          <cell r="T167"/>
          <cell r="U167"/>
          <cell r="V167"/>
          <cell r="W167"/>
          <cell r="X167"/>
          <cell r="Y167"/>
          <cell r="Z167"/>
          <cell r="AA167"/>
          <cell r="AB167"/>
          <cell r="AC167"/>
          <cell r="AD167"/>
          <cell r="AE167"/>
          <cell r="AF167"/>
          <cell r="AG167"/>
          <cell r="AH167"/>
          <cell r="AI167"/>
          <cell r="AJ167"/>
          <cell r="AK167"/>
          <cell r="AL167"/>
          <cell r="AM167"/>
          <cell r="AN167"/>
          <cell r="AO167"/>
          <cell r="AP167"/>
          <cell r="AQ167"/>
          <cell r="AR167"/>
          <cell r="AS167"/>
          <cell r="AT167"/>
          <cell r="AU167"/>
          <cell r="AV167"/>
          <cell r="AW167"/>
          <cell r="AX167"/>
          <cell r="AY167"/>
          <cell r="AZ167"/>
          <cell r="BA167"/>
          <cell r="BB167"/>
          <cell r="BC167"/>
          <cell r="BD167"/>
          <cell r="BE167"/>
          <cell r="BF167"/>
          <cell r="BG167"/>
          <cell r="BH167"/>
          <cell r="BI167"/>
          <cell r="BJ167"/>
          <cell r="BK167"/>
          <cell r="BL167"/>
          <cell r="BM167"/>
          <cell r="BN167"/>
          <cell r="BO167"/>
          <cell r="BP167"/>
          <cell r="BQ167"/>
          <cell r="BR167"/>
          <cell r="BS167"/>
          <cell r="BT167"/>
          <cell r="BU167"/>
          <cell r="BV167"/>
          <cell r="BW167"/>
          <cell r="BX167"/>
          <cell r="BY167"/>
        </row>
        <row r="168">
          <cell r="B168" t="str">
            <v>MS06-2RLD-C3</v>
          </cell>
          <cell r="D168"/>
          <cell r="E168"/>
          <cell r="F168"/>
          <cell r="G168"/>
          <cell r="H168"/>
          <cell r="I168"/>
          <cell r="J168"/>
          <cell r="K168"/>
          <cell r="L168"/>
          <cell r="M168"/>
          <cell r="N168"/>
          <cell r="O168"/>
          <cell r="P168"/>
          <cell r="Q168"/>
          <cell r="R168"/>
          <cell r="S168"/>
          <cell r="T168"/>
          <cell r="U168"/>
          <cell r="V168"/>
          <cell r="W168"/>
          <cell r="X168"/>
          <cell r="Y168"/>
          <cell r="Z168"/>
          <cell r="AA168"/>
          <cell r="AB168"/>
          <cell r="AC168"/>
          <cell r="AD168"/>
          <cell r="AE168"/>
          <cell r="AF168"/>
          <cell r="AG168"/>
          <cell r="AH168"/>
          <cell r="AI168"/>
          <cell r="AJ168"/>
          <cell r="AK168"/>
          <cell r="AL168"/>
          <cell r="AM168"/>
          <cell r="AN168"/>
          <cell r="AO168"/>
          <cell r="AP168"/>
          <cell r="AQ168"/>
          <cell r="AR168"/>
          <cell r="AS168"/>
          <cell r="AT168"/>
          <cell r="AU168"/>
          <cell r="AV168"/>
          <cell r="AW168"/>
          <cell r="AX168"/>
          <cell r="AY168"/>
          <cell r="AZ168"/>
          <cell r="BA168"/>
          <cell r="BB168"/>
          <cell r="BC168"/>
          <cell r="BD168"/>
          <cell r="BE168"/>
          <cell r="BF168"/>
          <cell r="BG168"/>
          <cell r="BH168"/>
          <cell r="BI168"/>
          <cell r="BJ168"/>
          <cell r="BK168"/>
          <cell r="BL168"/>
          <cell r="BM168"/>
          <cell r="BN168"/>
          <cell r="BO168"/>
          <cell r="BP168"/>
          <cell r="BQ168"/>
          <cell r="BR168"/>
          <cell r="BS168"/>
          <cell r="BT168"/>
          <cell r="BU168"/>
          <cell r="BV168"/>
          <cell r="BW168"/>
          <cell r="BX168"/>
          <cell r="BY168"/>
        </row>
        <row r="169">
          <cell r="B169" t="str">
            <v>PB001097</v>
          </cell>
          <cell r="D169"/>
          <cell r="E169"/>
          <cell r="F169"/>
          <cell r="G169"/>
          <cell r="H169"/>
          <cell r="I169"/>
          <cell r="J169"/>
          <cell r="K169"/>
          <cell r="L169"/>
          <cell r="M169"/>
          <cell r="N169"/>
          <cell r="O169"/>
          <cell r="P169"/>
          <cell r="Q169"/>
          <cell r="R169"/>
          <cell r="S169"/>
          <cell r="T169"/>
          <cell r="U169"/>
          <cell r="V169"/>
          <cell r="W169"/>
          <cell r="X169"/>
          <cell r="Y169"/>
          <cell r="Z169"/>
          <cell r="AA169"/>
          <cell r="AB169"/>
          <cell r="AC169"/>
          <cell r="AD169"/>
          <cell r="AE169"/>
          <cell r="AF169"/>
          <cell r="AG169"/>
          <cell r="AH169"/>
          <cell r="AI169"/>
          <cell r="AJ169"/>
          <cell r="AK169"/>
          <cell r="AL169"/>
          <cell r="AM169"/>
          <cell r="AN169"/>
          <cell r="AO169"/>
          <cell r="AP169"/>
          <cell r="AQ169"/>
          <cell r="AR169"/>
          <cell r="AS169"/>
          <cell r="AT169"/>
          <cell r="AU169"/>
          <cell r="AV169"/>
          <cell r="AW169"/>
          <cell r="AX169"/>
          <cell r="AY169"/>
          <cell r="AZ169"/>
          <cell r="BA169"/>
          <cell r="BB169"/>
          <cell r="BC169"/>
          <cell r="BD169"/>
          <cell r="BE169"/>
          <cell r="BF169"/>
          <cell r="BG169"/>
          <cell r="BH169"/>
          <cell r="BI169"/>
          <cell r="BJ169"/>
          <cell r="BK169"/>
          <cell r="BL169"/>
          <cell r="BM169"/>
          <cell r="BN169"/>
          <cell r="BO169"/>
          <cell r="BP169"/>
          <cell r="BQ169"/>
          <cell r="BR169"/>
          <cell r="BS169"/>
          <cell r="BT169"/>
          <cell r="BU169"/>
          <cell r="BV169"/>
          <cell r="BW169"/>
          <cell r="BX169"/>
          <cell r="BY169"/>
        </row>
        <row r="170">
          <cell r="B170" t="str">
            <v>PB002862</v>
          </cell>
          <cell r="D170"/>
          <cell r="E170"/>
          <cell r="F170"/>
          <cell r="G170"/>
          <cell r="H170"/>
          <cell r="I170"/>
          <cell r="J170"/>
          <cell r="K170"/>
          <cell r="L170"/>
          <cell r="M170"/>
          <cell r="N170"/>
          <cell r="O170"/>
          <cell r="P170"/>
          <cell r="Q170"/>
          <cell r="R170"/>
          <cell r="S170"/>
          <cell r="T170"/>
          <cell r="U170"/>
          <cell r="V170"/>
          <cell r="W170"/>
          <cell r="X170"/>
          <cell r="Y170"/>
          <cell r="Z170"/>
          <cell r="AA170"/>
          <cell r="AB170"/>
          <cell r="AC170"/>
          <cell r="AD170"/>
          <cell r="AE170"/>
          <cell r="AF170"/>
          <cell r="AG170"/>
          <cell r="AH170"/>
          <cell r="AI170"/>
          <cell r="AJ170"/>
          <cell r="AK170"/>
          <cell r="AL170"/>
          <cell r="AM170"/>
          <cell r="AN170"/>
          <cell r="AO170"/>
          <cell r="AP170"/>
          <cell r="AQ170"/>
          <cell r="AR170"/>
          <cell r="AS170"/>
          <cell r="AT170"/>
          <cell r="AU170"/>
          <cell r="AV170"/>
          <cell r="AW170"/>
          <cell r="AX170"/>
          <cell r="AY170"/>
          <cell r="AZ170"/>
          <cell r="BA170"/>
          <cell r="BB170"/>
          <cell r="BC170"/>
          <cell r="BD170"/>
          <cell r="BE170"/>
          <cell r="BF170"/>
          <cell r="BG170"/>
          <cell r="BH170"/>
          <cell r="BI170"/>
          <cell r="BJ170"/>
          <cell r="BK170"/>
          <cell r="BL170"/>
          <cell r="BM170"/>
          <cell r="BN170"/>
          <cell r="BO170"/>
          <cell r="BP170"/>
          <cell r="BQ170"/>
          <cell r="BR170"/>
          <cell r="BS170"/>
          <cell r="BT170"/>
          <cell r="BU170"/>
          <cell r="BV170"/>
          <cell r="BW170"/>
          <cell r="BX170"/>
          <cell r="BY170"/>
        </row>
        <row r="171">
          <cell r="B171" t="str">
            <v>PB004011</v>
          </cell>
          <cell r="D171"/>
          <cell r="E171"/>
          <cell r="F171"/>
          <cell r="G171"/>
          <cell r="H171"/>
          <cell r="I171"/>
          <cell r="J171"/>
          <cell r="K171"/>
          <cell r="L171"/>
          <cell r="M171"/>
          <cell r="N171"/>
          <cell r="O171"/>
          <cell r="P171"/>
          <cell r="Q171"/>
          <cell r="R171"/>
          <cell r="S171"/>
          <cell r="T171"/>
          <cell r="U171"/>
          <cell r="V171"/>
          <cell r="W171"/>
          <cell r="X171"/>
          <cell r="Y171"/>
          <cell r="Z171"/>
          <cell r="AA171"/>
          <cell r="AB171"/>
          <cell r="AC171"/>
          <cell r="AD171"/>
          <cell r="AE171"/>
          <cell r="AF171"/>
          <cell r="AG171"/>
          <cell r="AH171"/>
          <cell r="AI171"/>
          <cell r="AJ171"/>
          <cell r="AK171"/>
          <cell r="AL171"/>
          <cell r="AM171"/>
          <cell r="AN171"/>
          <cell r="AO171"/>
          <cell r="AP171"/>
          <cell r="AQ171"/>
          <cell r="AR171"/>
          <cell r="AS171"/>
          <cell r="AT171"/>
          <cell r="AU171"/>
          <cell r="AV171"/>
          <cell r="AW171"/>
          <cell r="AX171"/>
          <cell r="AY171"/>
          <cell r="AZ171"/>
          <cell r="BA171"/>
          <cell r="BB171"/>
          <cell r="BC171"/>
          <cell r="BD171"/>
          <cell r="BE171"/>
          <cell r="BF171"/>
          <cell r="BG171"/>
          <cell r="BH171"/>
          <cell r="BI171"/>
          <cell r="BJ171"/>
          <cell r="BK171"/>
          <cell r="BL171"/>
          <cell r="BM171"/>
          <cell r="BN171"/>
          <cell r="BO171"/>
          <cell r="BP171"/>
          <cell r="BQ171"/>
          <cell r="BR171"/>
          <cell r="BS171"/>
          <cell r="BT171"/>
          <cell r="BU171"/>
          <cell r="BV171"/>
          <cell r="BW171"/>
          <cell r="BX171"/>
          <cell r="BY171"/>
        </row>
        <row r="172">
          <cell r="B172" t="str">
            <v>LS05-D</v>
          </cell>
          <cell r="D172"/>
          <cell r="E172"/>
          <cell r="F172"/>
          <cell r="G172"/>
          <cell r="H172"/>
          <cell r="I172"/>
          <cell r="J172"/>
          <cell r="K172"/>
          <cell r="L172"/>
          <cell r="M172"/>
          <cell r="N172"/>
          <cell r="O172"/>
          <cell r="P172"/>
          <cell r="Q172"/>
          <cell r="R172"/>
          <cell r="S172"/>
          <cell r="T172"/>
          <cell r="U172"/>
          <cell r="V172"/>
          <cell r="W172"/>
          <cell r="X172"/>
          <cell r="Y172"/>
          <cell r="Z172"/>
          <cell r="AA172"/>
          <cell r="AB172"/>
          <cell r="AC172"/>
          <cell r="AD172"/>
          <cell r="AE172"/>
          <cell r="AF172"/>
          <cell r="AG172"/>
          <cell r="AH172"/>
          <cell r="AI172"/>
          <cell r="AJ172"/>
          <cell r="AK172"/>
          <cell r="AL172"/>
          <cell r="AM172"/>
          <cell r="AN172"/>
          <cell r="AO172"/>
          <cell r="AP172"/>
          <cell r="AQ172"/>
          <cell r="AR172"/>
          <cell r="AS172"/>
          <cell r="AT172"/>
          <cell r="AU172"/>
          <cell r="AV172"/>
          <cell r="AW172"/>
          <cell r="AX172"/>
          <cell r="AY172"/>
          <cell r="AZ172"/>
          <cell r="BA172"/>
          <cell r="BB172"/>
          <cell r="BC172"/>
          <cell r="BD172"/>
          <cell r="BE172"/>
          <cell r="BF172"/>
          <cell r="BG172"/>
          <cell r="BH172"/>
          <cell r="BI172"/>
          <cell r="BJ172"/>
          <cell r="BK172"/>
          <cell r="BL172"/>
          <cell r="BM172"/>
          <cell r="BN172"/>
          <cell r="BO172"/>
          <cell r="BP172"/>
          <cell r="BQ172"/>
          <cell r="BR172"/>
          <cell r="BS172"/>
          <cell r="BT172"/>
          <cell r="BU172"/>
          <cell r="BV172"/>
          <cell r="BW172"/>
          <cell r="BX172"/>
          <cell r="BY172"/>
        </row>
        <row r="173">
          <cell r="B173" t="str">
            <v>ECL-205-14DG</v>
          </cell>
          <cell r="D173"/>
          <cell r="E173"/>
          <cell r="F173"/>
          <cell r="G173"/>
          <cell r="H173"/>
          <cell r="I173"/>
          <cell r="J173"/>
          <cell r="K173"/>
          <cell r="L173"/>
          <cell r="M173"/>
          <cell r="N173"/>
          <cell r="O173"/>
          <cell r="P173"/>
          <cell r="Q173"/>
          <cell r="R173"/>
          <cell r="S173"/>
          <cell r="T173"/>
          <cell r="U173"/>
          <cell r="V173"/>
          <cell r="W173"/>
          <cell r="X173"/>
          <cell r="Y173"/>
          <cell r="Z173"/>
          <cell r="AA173"/>
          <cell r="AB173"/>
          <cell r="AC173"/>
          <cell r="AD173"/>
          <cell r="AE173"/>
          <cell r="AF173"/>
          <cell r="AG173"/>
          <cell r="AH173"/>
          <cell r="AI173"/>
          <cell r="AJ173"/>
          <cell r="AK173"/>
          <cell r="AL173"/>
          <cell r="AM173"/>
          <cell r="AN173"/>
          <cell r="AO173"/>
          <cell r="AP173"/>
          <cell r="AQ173"/>
          <cell r="AR173"/>
          <cell r="AS173"/>
          <cell r="AT173"/>
          <cell r="AU173"/>
          <cell r="AV173"/>
          <cell r="AW173"/>
          <cell r="AX173"/>
          <cell r="AY173"/>
          <cell r="AZ173"/>
          <cell r="BA173"/>
          <cell r="BB173"/>
          <cell r="BC173"/>
          <cell r="BD173"/>
          <cell r="BE173"/>
          <cell r="BF173"/>
          <cell r="BG173"/>
          <cell r="BH173"/>
          <cell r="BI173"/>
          <cell r="BJ173"/>
          <cell r="BK173"/>
          <cell r="BL173"/>
          <cell r="BM173"/>
          <cell r="BN173"/>
          <cell r="BO173"/>
          <cell r="BP173"/>
          <cell r="BQ173"/>
          <cell r="BR173"/>
          <cell r="BS173"/>
          <cell r="BT173"/>
          <cell r="BU173"/>
          <cell r="BV173"/>
          <cell r="BW173"/>
          <cell r="BX173"/>
          <cell r="BY173"/>
        </row>
        <row r="174">
          <cell r="B174" t="str">
            <v>FD-205-C</v>
          </cell>
          <cell r="D174"/>
          <cell r="E174"/>
          <cell r="F174"/>
          <cell r="G174"/>
          <cell r="H174"/>
          <cell r="I174"/>
          <cell r="J174"/>
          <cell r="K174"/>
          <cell r="L174"/>
          <cell r="M174"/>
          <cell r="N174"/>
          <cell r="O174"/>
          <cell r="P174"/>
          <cell r="Q174"/>
          <cell r="R174"/>
          <cell r="S174"/>
          <cell r="T174"/>
          <cell r="U174"/>
          <cell r="V174"/>
          <cell r="W174"/>
          <cell r="X174"/>
          <cell r="Y174"/>
          <cell r="Z174"/>
          <cell r="AA174"/>
          <cell r="AB174"/>
          <cell r="AC174"/>
          <cell r="AD174"/>
          <cell r="AE174"/>
          <cell r="AF174"/>
          <cell r="AG174"/>
          <cell r="AH174"/>
          <cell r="AI174"/>
          <cell r="AJ174"/>
          <cell r="AK174"/>
          <cell r="AL174"/>
          <cell r="AM174"/>
          <cell r="AN174"/>
          <cell r="AO174"/>
          <cell r="AP174"/>
          <cell r="AQ174"/>
          <cell r="AR174"/>
          <cell r="AS174"/>
          <cell r="AT174"/>
          <cell r="AU174"/>
          <cell r="AV174"/>
          <cell r="AW174"/>
          <cell r="AX174"/>
          <cell r="AY174"/>
          <cell r="AZ174"/>
          <cell r="BA174"/>
          <cell r="BB174"/>
          <cell r="BC174"/>
          <cell r="BD174"/>
          <cell r="BE174"/>
          <cell r="BF174"/>
          <cell r="BG174"/>
          <cell r="BH174"/>
          <cell r="BI174"/>
          <cell r="BJ174"/>
          <cell r="BK174"/>
          <cell r="BL174"/>
          <cell r="BM174"/>
          <cell r="BN174"/>
          <cell r="BO174"/>
          <cell r="BP174"/>
          <cell r="BQ174"/>
          <cell r="BR174"/>
          <cell r="BS174"/>
          <cell r="BT174"/>
          <cell r="BU174"/>
          <cell r="BV174"/>
          <cell r="BW174"/>
          <cell r="BX174"/>
          <cell r="BY174"/>
        </row>
        <row r="175">
          <cell r="B175" t="str">
            <v>F-209-A</v>
          </cell>
          <cell r="D175"/>
          <cell r="E175"/>
          <cell r="F175"/>
          <cell r="G175"/>
          <cell r="H175"/>
          <cell r="I175"/>
          <cell r="J175"/>
          <cell r="K175"/>
          <cell r="L175"/>
          <cell r="M175"/>
          <cell r="N175"/>
          <cell r="O175"/>
          <cell r="P175"/>
          <cell r="Q175"/>
          <cell r="R175"/>
          <cell r="S175"/>
          <cell r="T175"/>
          <cell r="U175"/>
          <cell r="V175"/>
          <cell r="W175"/>
          <cell r="X175"/>
          <cell r="Y175"/>
          <cell r="Z175"/>
          <cell r="AA175"/>
          <cell r="AB175"/>
          <cell r="AC175"/>
          <cell r="AD175"/>
          <cell r="AE175"/>
          <cell r="AF175"/>
          <cell r="AG175"/>
          <cell r="AH175"/>
          <cell r="AI175"/>
          <cell r="AJ175"/>
          <cell r="AK175"/>
          <cell r="AL175"/>
          <cell r="AM175"/>
          <cell r="AN175"/>
          <cell r="AO175"/>
          <cell r="AP175"/>
          <cell r="AQ175"/>
          <cell r="AR175"/>
          <cell r="AS175"/>
          <cell r="AT175"/>
          <cell r="AU175"/>
          <cell r="AV175"/>
          <cell r="AW175"/>
          <cell r="AX175"/>
          <cell r="AY175"/>
          <cell r="AZ175"/>
          <cell r="BA175"/>
          <cell r="BB175"/>
          <cell r="BC175"/>
          <cell r="BD175"/>
          <cell r="BE175"/>
          <cell r="BF175"/>
          <cell r="BG175"/>
          <cell r="BH175"/>
          <cell r="BI175"/>
          <cell r="BJ175"/>
          <cell r="BK175"/>
          <cell r="BL175"/>
          <cell r="BM175"/>
          <cell r="BN175"/>
          <cell r="BO175"/>
          <cell r="BP175"/>
          <cell r="BQ175"/>
          <cell r="BR175"/>
          <cell r="BS175"/>
          <cell r="BT175"/>
          <cell r="BU175"/>
          <cell r="BV175"/>
          <cell r="BW175"/>
          <cell r="BX175"/>
          <cell r="BY175"/>
        </row>
        <row r="176">
          <cell r="B176" t="str">
            <v>PB004008</v>
          </cell>
          <cell r="D176"/>
          <cell r="E176"/>
          <cell r="F176"/>
          <cell r="G176"/>
          <cell r="H176"/>
          <cell r="I176"/>
          <cell r="J176"/>
          <cell r="K176"/>
          <cell r="L176"/>
          <cell r="M176"/>
          <cell r="N176"/>
          <cell r="O176"/>
          <cell r="P176"/>
          <cell r="Q176"/>
          <cell r="R176"/>
          <cell r="S176"/>
          <cell r="T176"/>
          <cell r="U176"/>
          <cell r="V176"/>
          <cell r="W176"/>
          <cell r="X176"/>
          <cell r="Y176"/>
          <cell r="Z176"/>
          <cell r="AA176"/>
          <cell r="AB176"/>
          <cell r="AC176"/>
          <cell r="AD176"/>
          <cell r="AE176"/>
          <cell r="AF176"/>
          <cell r="AG176"/>
          <cell r="AH176"/>
          <cell r="AI176"/>
          <cell r="AJ176"/>
          <cell r="AK176"/>
          <cell r="AL176"/>
          <cell r="AM176"/>
          <cell r="AN176"/>
          <cell r="AO176"/>
          <cell r="AP176"/>
          <cell r="AQ176"/>
          <cell r="AR176"/>
          <cell r="AS176"/>
          <cell r="AT176"/>
          <cell r="AU176"/>
          <cell r="AV176"/>
          <cell r="AW176"/>
          <cell r="AX176"/>
          <cell r="AY176"/>
          <cell r="AZ176"/>
          <cell r="BA176"/>
          <cell r="BB176"/>
          <cell r="BC176"/>
          <cell r="BD176"/>
          <cell r="BE176"/>
          <cell r="BF176"/>
          <cell r="BG176"/>
          <cell r="BH176"/>
          <cell r="BI176"/>
          <cell r="BJ176"/>
          <cell r="BK176"/>
          <cell r="BL176"/>
          <cell r="BM176"/>
          <cell r="BN176"/>
          <cell r="BO176"/>
          <cell r="BP176"/>
          <cell r="BQ176"/>
          <cell r="BR176"/>
          <cell r="BS176"/>
          <cell r="BT176"/>
          <cell r="BU176"/>
          <cell r="BV176"/>
          <cell r="BW176"/>
          <cell r="BX176"/>
          <cell r="BY176"/>
        </row>
        <row r="177">
          <cell r="B177" t="str">
            <v>30310-MX</v>
          </cell>
          <cell r="D177"/>
          <cell r="E177"/>
          <cell r="F177"/>
          <cell r="G177"/>
          <cell r="H177"/>
          <cell r="I177"/>
          <cell r="J177"/>
          <cell r="K177"/>
          <cell r="L177"/>
          <cell r="M177"/>
          <cell r="N177"/>
          <cell r="O177"/>
          <cell r="P177"/>
          <cell r="Q177"/>
          <cell r="R177"/>
          <cell r="S177"/>
          <cell r="T177"/>
          <cell r="U177"/>
          <cell r="V177"/>
          <cell r="W177"/>
          <cell r="X177"/>
          <cell r="Y177"/>
          <cell r="Z177"/>
          <cell r="AA177"/>
          <cell r="AB177"/>
          <cell r="AC177"/>
          <cell r="AD177"/>
          <cell r="AE177"/>
          <cell r="AF177"/>
          <cell r="AG177"/>
          <cell r="AH177"/>
          <cell r="AI177"/>
          <cell r="AJ177"/>
          <cell r="AK177"/>
          <cell r="AL177"/>
          <cell r="AM177"/>
          <cell r="AN177"/>
          <cell r="AO177"/>
          <cell r="AP177"/>
          <cell r="AQ177"/>
          <cell r="AR177"/>
          <cell r="AS177"/>
          <cell r="AT177"/>
          <cell r="AU177"/>
          <cell r="AV177"/>
          <cell r="AW177"/>
          <cell r="AX177"/>
          <cell r="AY177"/>
          <cell r="AZ177"/>
          <cell r="BA177"/>
          <cell r="BB177"/>
          <cell r="BC177"/>
          <cell r="BD177"/>
          <cell r="BE177"/>
          <cell r="BF177"/>
          <cell r="BG177"/>
          <cell r="BH177"/>
          <cell r="BI177"/>
          <cell r="BJ177"/>
          <cell r="BK177"/>
          <cell r="BL177"/>
          <cell r="BM177"/>
          <cell r="BN177"/>
          <cell r="BO177"/>
          <cell r="BP177"/>
          <cell r="BQ177"/>
          <cell r="BR177"/>
          <cell r="BS177"/>
          <cell r="BT177"/>
          <cell r="BU177"/>
          <cell r="BV177"/>
          <cell r="BW177"/>
          <cell r="BX177"/>
          <cell r="BY177"/>
        </row>
        <row r="178">
          <cell r="B178" t="str">
            <v>MS04-D-C3</v>
          </cell>
          <cell r="D178"/>
          <cell r="E178"/>
          <cell r="F178"/>
          <cell r="G178"/>
          <cell r="H178"/>
          <cell r="I178"/>
          <cell r="J178"/>
          <cell r="K178"/>
          <cell r="L178"/>
          <cell r="M178"/>
          <cell r="N178"/>
          <cell r="O178"/>
          <cell r="P178"/>
          <cell r="Q178"/>
          <cell r="R178"/>
          <cell r="S178"/>
          <cell r="T178"/>
          <cell r="U178"/>
          <cell r="V178"/>
          <cell r="W178"/>
          <cell r="X178"/>
          <cell r="Y178"/>
          <cell r="Z178"/>
          <cell r="AA178"/>
          <cell r="AB178"/>
          <cell r="AC178"/>
          <cell r="AD178"/>
          <cell r="AE178"/>
          <cell r="AF178"/>
          <cell r="AG178"/>
          <cell r="AH178"/>
          <cell r="AI178"/>
          <cell r="AJ178"/>
          <cell r="AK178"/>
          <cell r="AL178"/>
          <cell r="AM178"/>
          <cell r="AN178"/>
          <cell r="AO178"/>
          <cell r="AP178"/>
          <cell r="AQ178"/>
          <cell r="AR178"/>
          <cell r="AS178"/>
          <cell r="AT178"/>
          <cell r="AU178"/>
          <cell r="AV178"/>
          <cell r="AW178"/>
          <cell r="AX178"/>
          <cell r="AY178"/>
          <cell r="AZ178"/>
          <cell r="BA178"/>
          <cell r="BB178"/>
          <cell r="BC178"/>
          <cell r="BD178"/>
          <cell r="BE178"/>
          <cell r="BF178"/>
          <cell r="BG178"/>
          <cell r="BH178"/>
          <cell r="BI178"/>
          <cell r="BJ178"/>
          <cell r="BK178"/>
          <cell r="BL178"/>
          <cell r="BM178"/>
          <cell r="BN178"/>
          <cell r="BO178"/>
          <cell r="BP178"/>
          <cell r="BQ178"/>
          <cell r="BR178"/>
          <cell r="BS178"/>
          <cell r="BT178"/>
          <cell r="BU178"/>
          <cell r="BV178"/>
          <cell r="BW178"/>
          <cell r="BX178"/>
          <cell r="BY178"/>
        </row>
        <row r="179">
          <cell r="B179" t="str">
            <v>PB003254</v>
          </cell>
          <cell r="D179"/>
          <cell r="E179"/>
          <cell r="F179"/>
          <cell r="G179"/>
          <cell r="H179"/>
          <cell r="I179"/>
          <cell r="J179"/>
          <cell r="K179"/>
          <cell r="L179"/>
          <cell r="M179"/>
          <cell r="N179"/>
          <cell r="O179"/>
          <cell r="P179"/>
          <cell r="Q179"/>
          <cell r="R179"/>
          <cell r="S179"/>
          <cell r="T179"/>
          <cell r="U179"/>
          <cell r="V179"/>
          <cell r="W179"/>
          <cell r="X179"/>
          <cell r="Y179"/>
          <cell r="Z179"/>
          <cell r="AA179"/>
          <cell r="AB179"/>
          <cell r="AC179"/>
          <cell r="AD179"/>
          <cell r="AE179"/>
          <cell r="AF179"/>
          <cell r="AG179"/>
          <cell r="AH179"/>
          <cell r="AI179"/>
          <cell r="AJ179"/>
          <cell r="AK179"/>
          <cell r="AL179"/>
          <cell r="AM179"/>
          <cell r="AN179"/>
          <cell r="AO179"/>
          <cell r="AP179"/>
          <cell r="AQ179"/>
          <cell r="AR179"/>
          <cell r="AS179"/>
          <cell r="AT179"/>
          <cell r="AU179"/>
          <cell r="AV179"/>
          <cell r="AW179"/>
          <cell r="AX179"/>
          <cell r="AY179"/>
          <cell r="AZ179"/>
          <cell r="BA179"/>
          <cell r="BB179"/>
          <cell r="BC179"/>
          <cell r="BD179"/>
          <cell r="BE179"/>
          <cell r="BF179"/>
          <cell r="BG179"/>
          <cell r="BH179"/>
          <cell r="BI179"/>
          <cell r="BJ179"/>
          <cell r="BK179"/>
          <cell r="BL179"/>
          <cell r="BM179"/>
          <cell r="BN179"/>
          <cell r="BO179"/>
          <cell r="BP179"/>
          <cell r="BQ179"/>
          <cell r="BR179"/>
          <cell r="BS179"/>
          <cell r="BT179"/>
          <cell r="BU179"/>
          <cell r="BV179"/>
          <cell r="BW179"/>
          <cell r="BX179"/>
          <cell r="BY179"/>
        </row>
        <row r="180">
          <cell r="B180" t="str">
            <v>AG59517-65</v>
          </cell>
          <cell r="D180"/>
          <cell r="E180"/>
          <cell r="F180"/>
          <cell r="G180"/>
          <cell r="H180"/>
          <cell r="I180"/>
          <cell r="J180"/>
          <cell r="K180"/>
          <cell r="L180"/>
          <cell r="M180"/>
          <cell r="N180"/>
          <cell r="O180"/>
          <cell r="P180"/>
          <cell r="Q180"/>
          <cell r="R180"/>
          <cell r="S180"/>
          <cell r="T180"/>
          <cell r="U180"/>
          <cell r="V180"/>
          <cell r="W180"/>
          <cell r="X180"/>
          <cell r="Y180"/>
          <cell r="Z180"/>
          <cell r="AA180"/>
          <cell r="AB180"/>
          <cell r="AC180"/>
          <cell r="AD180"/>
          <cell r="AE180"/>
          <cell r="AF180"/>
          <cell r="AG180"/>
          <cell r="AH180"/>
          <cell r="AI180"/>
          <cell r="AJ180"/>
          <cell r="AK180"/>
          <cell r="AL180"/>
          <cell r="AM180"/>
          <cell r="AN180"/>
          <cell r="AO180"/>
          <cell r="AP180"/>
          <cell r="AQ180"/>
          <cell r="AR180"/>
          <cell r="AS180"/>
          <cell r="AT180"/>
          <cell r="AU180"/>
          <cell r="AV180"/>
          <cell r="AW180"/>
          <cell r="AX180"/>
          <cell r="AY180"/>
          <cell r="AZ180"/>
          <cell r="BA180"/>
          <cell r="BB180"/>
          <cell r="BC180"/>
          <cell r="BD180"/>
          <cell r="BE180"/>
          <cell r="BF180"/>
          <cell r="BG180"/>
          <cell r="BH180"/>
          <cell r="BI180"/>
          <cell r="BJ180"/>
          <cell r="BK180"/>
          <cell r="BL180"/>
          <cell r="BM180"/>
          <cell r="BN180"/>
          <cell r="BO180"/>
          <cell r="BP180"/>
          <cell r="BQ180"/>
          <cell r="BR180"/>
          <cell r="BS180"/>
          <cell r="BT180"/>
          <cell r="BU180"/>
          <cell r="BV180"/>
          <cell r="BW180"/>
          <cell r="BX180"/>
          <cell r="BY180"/>
        </row>
        <row r="181">
          <cell r="B181" t="str">
            <v>33213-MX</v>
          </cell>
          <cell r="D181"/>
          <cell r="E181"/>
          <cell r="F181"/>
          <cell r="G181"/>
          <cell r="H181"/>
          <cell r="I181"/>
          <cell r="J181"/>
          <cell r="K181"/>
          <cell r="L181"/>
          <cell r="M181"/>
          <cell r="N181"/>
          <cell r="O181"/>
          <cell r="P181"/>
          <cell r="Q181"/>
          <cell r="R181"/>
          <cell r="S181"/>
          <cell r="T181"/>
          <cell r="U181"/>
          <cell r="V181"/>
          <cell r="W181"/>
          <cell r="X181"/>
          <cell r="Y181"/>
          <cell r="Z181"/>
          <cell r="AA181"/>
          <cell r="AB181"/>
          <cell r="AC181"/>
          <cell r="AD181"/>
          <cell r="AE181"/>
          <cell r="AF181"/>
          <cell r="AG181"/>
          <cell r="AH181"/>
          <cell r="AI181"/>
          <cell r="AJ181"/>
          <cell r="AK181"/>
          <cell r="AL181"/>
          <cell r="AM181"/>
          <cell r="AN181"/>
          <cell r="AO181"/>
          <cell r="AP181"/>
          <cell r="AQ181"/>
          <cell r="AR181"/>
          <cell r="AS181"/>
          <cell r="AT181"/>
          <cell r="AU181"/>
          <cell r="AV181"/>
          <cell r="AW181"/>
          <cell r="AX181"/>
          <cell r="AY181"/>
          <cell r="AZ181"/>
          <cell r="BA181"/>
          <cell r="BB181"/>
          <cell r="BC181"/>
          <cell r="BD181"/>
          <cell r="BE181"/>
          <cell r="BF181"/>
          <cell r="BG181"/>
          <cell r="BH181"/>
          <cell r="BI181"/>
          <cell r="BJ181"/>
          <cell r="BK181"/>
          <cell r="BL181"/>
          <cell r="BM181"/>
          <cell r="BN181"/>
          <cell r="BO181"/>
          <cell r="BP181"/>
          <cell r="BQ181"/>
          <cell r="BR181"/>
          <cell r="BS181"/>
          <cell r="BT181"/>
          <cell r="BU181"/>
          <cell r="BV181"/>
          <cell r="BW181"/>
          <cell r="BX181"/>
          <cell r="BY181"/>
        </row>
        <row r="182">
          <cell r="B182" t="str">
            <v>PB005350</v>
          </cell>
          <cell r="D182"/>
          <cell r="E182"/>
          <cell r="F182"/>
          <cell r="G182"/>
          <cell r="H182"/>
          <cell r="I182"/>
          <cell r="J182"/>
          <cell r="K182"/>
          <cell r="L182"/>
          <cell r="M182"/>
          <cell r="N182"/>
          <cell r="O182"/>
          <cell r="P182"/>
          <cell r="Q182"/>
          <cell r="R182"/>
          <cell r="S182"/>
          <cell r="T182"/>
          <cell r="U182"/>
          <cell r="V182"/>
          <cell r="W182"/>
          <cell r="X182"/>
          <cell r="Y182"/>
          <cell r="Z182"/>
          <cell r="AA182"/>
          <cell r="AB182"/>
          <cell r="AC182"/>
          <cell r="AD182"/>
          <cell r="AE182"/>
          <cell r="AF182"/>
          <cell r="AG182"/>
          <cell r="AH182"/>
          <cell r="AI182"/>
          <cell r="AJ182"/>
          <cell r="AK182"/>
          <cell r="AL182"/>
          <cell r="AM182"/>
          <cell r="AN182"/>
          <cell r="AO182"/>
          <cell r="AP182"/>
          <cell r="AQ182"/>
          <cell r="AR182"/>
          <cell r="AS182"/>
          <cell r="AT182"/>
          <cell r="AU182"/>
          <cell r="AV182"/>
          <cell r="AW182"/>
          <cell r="AX182"/>
          <cell r="AY182"/>
          <cell r="AZ182"/>
          <cell r="BA182"/>
          <cell r="BB182"/>
          <cell r="BC182"/>
          <cell r="BD182"/>
          <cell r="BE182"/>
          <cell r="BF182"/>
          <cell r="BG182"/>
          <cell r="BH182"/>
          <cell r="BI182"/>
          <cell r="BJ182"/>
          <cell r="BK182"/>
          <cell r="BL182"/>
          <cell r="BM182"/>
          <cell r="BN182"/>
          <cell r="BO182"/>
          <cell r="BP182"/>
          <cell r="BQ182"/>
          <cell r="BR182"/>
          <cell r="BS182"/>
          <cell r="BT182"/>
          <cell r="BU182"/>
          <cell r="BV182"/>
          <cell r="BW182"/>
          <cell r="BX182"/>
          <cell r="BY182"/>
        </row>
        <row r="183">
          <cell r="B183" t="str">
            <v>30214-MX</v>
          </cell>
          <cell r="D183"/>
          <cell r="E183"/>
          <cell r="F183"/>
          <cell r="G183"/>
          <cell r="H183"/>
          <cell r="I183"/>
          <cell r="J183"/>
          <cell r="K183"/>
          <cell r="L183"/>
          <cell r="M183"/>
          <cell r="N183"/>
          <cell r="O183"/>
          <cell r="P183"/>
          <cell r="Q183"/>
          <cell r="R183"/>
          <cell r="S183"/>
          <cell r="T183"/>
          <cell r="U183"/>
          <cell r="V183"/>
          <cell r="W183"/>
          <cell r="X183"/>
          <cell r="Y183"/>
          <cell r="Z183"/>
          <cell r="AA183"/>
          <cell r="AB183"/>
          <cell r="AC183"/>
          <cell r="AD183"/>
          <cell r="AE183"/>
          <cell r="AF183"/>
          <cell r="AG183"/>
          <cell r="AH183"/>
          <cell r="AI183"/>
          <cell r="AJ183"/>
          <cell r="AK183"/>
          <cell r="AL183"/>
          <cell r="AM183"/>
          <cell r="AN183"/>
          <cell r="AO183"/>
          <cell r="AP183"/>
          <cell r="AQ183"/>
          <cell r="AR183"/>
          <cell r="AS183"/>
          <cell r="AT183"/>
          <cell r="AU183"/>
          <cell r="AV183"/>
          <cell r="AW183"/>
          <cell r="AX183"/>
          <cell r="AY183"/>
          <cell r="AZ183"/>
          <cell r="BA183"/>
          <cell r="BB183"/>
          <cell r="BC183"/>
          <cell r="BD183"/>
          <cell r="BE183"/>
          <cell r="BF183"/>
          <cell r="BG183"/>
          <cell r="BH183"/>
          <cell r="BI183"/>
          <cell r="BJ183"/>
          <cell r="BK183"/>
          <cell r="BL183"/>
          <cell r="BM183"/>
          <cell r="BN183"/>
          <cell r="BO183"/>
          <cell r="BP183"/>
          <cell r="BQ183"/>
          <cell r="BR183"/>
          <cell r="BS183"/>
          <cell r="BT183"/>
          <cell r="BU183"/>
          <cell r="BV183"/>
          <cell r="BW183"/>
          <cell r="BX183"/>
          <cell r="BY183"/>
        </row>
        <row r="184">
          <cell r="B184" t="str">
            <v>ACL205-14RG</v>
          </cell>
          <cell r="D184"/>
          <cell r="E184"/>
          <cell r="F184"/>
          <cell r="G184"/>
          <cell r="H184"/>
          <cell r="I184"/>
          <cell r="J184"/>
          <cell r="K184"/>
          <cell r="L184"/>
          <cell r="M184"/>
          <cell r="N184"/>
          <cell r="O184"/>
          <cell r="P184"/>
          <cell r="Q184"/>
          <cell r="R184"/>
          <cell r="S184"/>
          <cell r="T184"/>
          <cell r="U184"/>
          <cell r="V184"/>
          <cell r="W184"/>
          <cell r="X184"/>
          <cell r="Y184"/>
          <cell r="Z184"/>
          <cell r="AA184"/>
          <cell r="AB184"/>
          <cell r="AC184"/>
          <cell r="AD184"/>
          <cell r="AE184"/>
          <cell r="AF184"/>
          <cell r="AG184"/>
          <cell r="AH184"/>
          <cell r="AI184"/>
          <cell r="AJ184"/>
          <cell r="AK184"/>
          <cell r="AL184"/>
          <cell r="AM184"/>
          <cell r="AN184"/>
          <cell r="AO184"/>
          <cell r="AP184"/>
          <cell r="AQ184"/>
          <cell r="AR184"/>
          <cell r="AS184"/>
          <cell r="AT184"/>
          <cell r="AU184"/>
          <cell r="AV184"/>
          <cell r="AW184"/>
          <cell r="AX184"/>
          <cell r="AY184"/>
          <cell r="AZ184"/>
          <cell r="BA184"/>
          <cell r="BB184"/>
          <cell r="BC184"/>
          <cell r="BD184"/>
          <cell r="BE184"/>
          <cell r="BF184"/>
          <cell r="BG184"/>
          <cell r="BH184"/>
          <cell r="BI184"/>
          <cell r="BJ184"/>
          <cell r="BK184"/>
          <cell r="BL184"/>
          <cell r="BM184"/>
          <cell r="BN184"/>
          <cell r="BO184"/>
          <cell r="BP184"/>
          <cell r="BQ184"/>
          <cell r="BR184"/>
          <cell r="BS184"/>
          <cell r="BT184"/>
          <cell r="BU184"/>
          <cell r="BV184"/>
          <cell r="BW184"/>
          <cell r="BX184"/>
          <cell r="BY184"/>
        </row>
        <row r="185">
          <cell r="B185" t="str">
            <v>206-KRRB6</v>
          </cell>
          <cell r="D185"/>
          <cell r="E185"/>
          <cell r="F185"/>
          <cell r="G185"/>
          <cell r="H185"/>
          <cell r="I185"/>
          <cell r="J185"/>
          <cell r="K185"/>
          <cell r="L185"/>
          <cell r="M185"/>
          <cell r="N185"/>
          <cell r="O185"/>
          <cell r="P185"/>
          <cell r="Q185"/>
          <cell r="R185"/>
          <cell r="S185"/>
          <cell r="T185"/>
          <cell r="U185"/>
          <cell r="V185"/>
          <cell r="W185"/>
          <cell r="X185"/>
          <cell r="Y185"/>
          <cell r="Z185"/>
          <cell r="AA185"/>
          <cell r="AB185"/>
          <cell r="AC185"/>
          <cell r="AD185"/>
          <cell r="AE185"/>
          <cell r="AF185"/>
          <cell r="AG185"/>
          <cell r="AH185"/>
          <cell r="AI185"/>
          <cell r="AJ185"/>
          <cell r="AK185"/>
          <cell r="AL185"/>
          <cell r="AM185"/>
          <cell r="AN185"/>
          <cell r="AO185"/>
          <cell r="AP185"/>
          <cell r="AQ185"/>
          <cell r="AR185"/>
          <cell r="AS185"/>
          <cell r="AT185"/>
          <cell r="AU185"/>
          <cell r="AV185"/>
          <cell r="AW185"/>
          <cell r="AX185"/>
          <cell r="AY185"/>
          <cell r="AZ185"/>
          <cell r="BA185"/>
          <cell r="BB185"/>
          <cell r="BC185"/>
          <cell r="BD185"/>
          <cell r="BE185"/>
          <cell r="BF185"/>
          <cell r="BG185"/>
          <cell r="BH185"/>
          <cell r="BI185"/>
          <cell r="BJ185"/>
          <cell r="BK185"/>
          <cell r="BL185"/>
          <cell r="BM185"/>
          <cell r="BN185"/>
          <cell r="BO185"/>
          <cell r="BP185"/>
          <cell r="BQ185"/>
          <cell r="BR185"/>
          <cell r="BS185"/>
          <cell r="BT185"/>
          <cell r="BU185"/>
          <cell r="BV185"/>
          <cell r="BW185"/>
          <cell r="BX185"/>
          <cell r="BY185"/>
        </row>
        <row r="186">
          <cell r="B186" t="str">
            <v>SAB209-3</v>
          </cell>
          <cell r="D186"/>
          <cell r="E186"/>
          <cell r="F186"/>
          <cell r="G186"/>
          <cell r="H186"/>
          <cell r="I186"/>
          <cell r="J186"/>
          <cell r="K186"/>
          <cell r="L186"/>
          <cell r="M186"/>
          <cell r="N186"/>
          <cell r="O186"/>
          <cell r="P186"/>
          <cell r="Q186"/>
          <cell r="R186"/>
          <cell r="S186"/>
          <cell r="T186"/>
          <cell r="U186"/>
          <cell r="V186"/>
          <cell r="W186"/>
          <cell r="X186"/>
          <cell r="Y186"/>
          <cell r="Z186"/>
          <cell r="AA186"/>
          <cell r="AB186"/>
          <cell r="AC186"/>
          <cell r="AD186"/>
          <cell r="AE186"/>
          <cell r="AF186"/>
          <cell r="AG186"/>
          <cell r="AH186"/>
          <cell r="AI186"/>
          <cell r="AJ186"/>
          <cell r="AK186"/>
          <cell r="AL186"/>
          <cell r="AM186"/>
          <cell r="AN186"/>
          <cell r="AO186"/>
          <cell r="AP186"/>
          <cell r="AQ186"/>
          <cell r="AR186"/>
          <cell r="AS186"/>
          <cell r="AT186"/>
          <cell r="AU186"/>
          <cell r="AV186"/>
          <cell r="AW186"/>
          <cell r="AX186"/>
          <cell r="AY186"/>
          <cell r="AZ186"/>
          <cell r="BA186"/>
          <cell r="BB186"/>
          <cell r="BC186"/>
          <cell r="BD186"/>
          <cell r="BE186"/>
          <cell r="BF186"/>
          <cell r="BG186"/>
          <cell r="BH186"/>
          <cell r="BI186"/>
          <cell r="BJ186"/>
          <cell r="BK186"/>
          <cell r="BL186"/>
          <cell r="BM186"/>
          <cell r="BN186"/>
          <cell r="BO186"/>
          <cell r="BP186"/>
          <cell r="BQ186"/>
          <cell r="BR186"/>
          <cell r="BS186"/>
          <cell r="BT186"/>
          <cell r="BU186"/>
          <cell r="BV186"/>
          <cell r="BW186"/>
          <cell r="BX186"/>
          <cell r="BY186"/>
        </row>
        <row r="187">
          <cell r="B187" t="str">
            <v>ASL-205-25MM</v>
          </cell>
          <cell r="D187"/>
          <cell r="E187"/>
          <cell r="F187"/>
          <cell r="G187"/>
          <cell r="H187"/>
          <cell r="I187"/>
          <cell r="J187"/>
          <cell r="K187"/>
          <cell r="L187"/>
          <cell r="M187"/>
          <cell r="N187"/>
          <cell r="O187"/>
          <cell r="P187"/>
          <cell r="Q187"/>
          <cell r="R187"/>
          <cell r="S187"/>
          <cell r="T187"/>
          <cell r="U187"/>
          <cell r="V187"/>
          <cell r="W187"/>
          <cell r="X187"/>
          <cell r="Y187"/>
          <cell r="Z187"/>
          <cell r="AA187"/>
          <cell r="AB187"/>
          <cell r="AC187"/>
          <cell r="AD187"/>
          <cell r="AE187"/>
          <cell r="AF187"/>
          <cell r="AG187"/>
          <cell r="AH187"/>
          <cell r="AI187"/>
          <cell r="AJ187"/>
          <cell r="AK187"/>
          <cell r="AL187"/>
          <cell r="AM187"/>
          <cell r="AN187"/>
          <cell r="AO187"/>
          <cell r="AP187"/>
          <cell r="AQ187"/>
          <cell r="AR187"/>
          <cell r="AS187"/>
          <cell r="AT187"/>
          <cell r="AU187"/>
          <cell r="AV187"/>
          <cell r="AW187"/>
          <cell r="AX187"/>
          <cell r="AY187"/>
          <cell r="AZ187"/>
          <cell r="BA187"/>
          <cell r="BB187"/>
          <cell r="BC187"/>
          <cell r="BD187"/>
          <cell r="BE187"/>
          <cell r="BF187"/>
          <cell r="BG187"/>
          <cell r="BH187"/>
          <cell r="BI187"/>
          <cell r="BJ187"/>
          <cell r="BK187"/>
          <cell r="BL187"/>
          <cell r="BM187"/>
          <cell r="BN187"/>
          <cell r="BO187"/>
          <cell r="BP187"/>
          <cell r="BQ187"/>
          <cell r="BR187"/>
          <cell r="BS187"/>
          <cell r="BT187"/>
          <cell r="BU187"/>
          <cell r="BV187"/>
          <cell r="BW187"/>
          <cell r="BX187"/>
          <cell r="BY187"/>
        </row>
        <row r="188">
          <cell r="B188" t="str">
            <v>ACL206-18RG</v>
          </cell>
          <cell r="D188"/>
          <cell r="E188"/>
          <cell r="F188"/>
          <cell r="G188"/>
          <cell r="H188"/>
          <cell r="I188"/>
          <cell r="J188"/>
          <cell r="K188"/>
          <cell r="L188"/>
          <cell r="M188"/>
          <cell r="N188"/>
          <cell r="O188"/>
          <cell r="P188"/>
          <cell r="Q188"/>
          <cell r="R188"/>
          <cell r="S188"/>
          <cell r="T188"/>
          <cell r="U188"/>
          <cell r="V188"/>
          <cell r="W188"/>
          <cell r="X188"/>
          <cell r="Y188"/>
          <cell r="Z188"/>
          <cell r="AA188"/>
          <cell r="AB188"/>
          <cell r="AC188"/>
          <cell r="AD188"/>
          <cell r="AE188"/>
          <cell r="AF188"/>
          <cell r="AG188"/>
          <cell r="AH188"/>
          <cell r="AI188"/>
          <cell r="AJ188"/>
          <cell r="AK188"/>
          <cell r="AL188"/>
          <cell r="AM188"/>
          <cell r="AN188"/>
          <cell r="AO188"/>
          <cell r="AP188"/>
          <cell r="AQ188"/>
          <cell r="AR188"/>
          <cell r="AS188"/>
          <cell r="AT188"/>
          <cell r="AU188"/>
          <cell r="AV188"/>
          <cell r="AW188"/>
          <cell r="AX188"/>
          <cell r="AY188"/>
          <cell r="AZ188"/>
          <cell r="BA188"/>
          <cell r="BB188"/>
          <cell r="BC188"/>
          <cell r="BD188"/>
          <cell r="BE188"/>
          <cell r="BF188"/>
          <cell r="BG188"/>
          <cell r="BH188"/>
          <cell r="BI188"/>
          <cell r="BJ188"/>
          <cell r="BK188"/>
          <cell r="BL188"/>
          <cell r="BM188"/>
          <cell r="BN188"/>
          <cell r="BO188"/>
          <cell r="BP188"/>
          <cell r="BQ188"/>
          <cell r="BR188"/>
          <cell r="BS188"/>
          <cell r="BT188"/>
          <cell r="BU188"/>
          <cell r="BV188"/>
          <cell r="BW188"/>
          <cell r="BX188"/>
          <cell r="BY188"/>
        </row>
        <row r="189">
          <cell r="B189" t="str">
            <v>AG256514-CH</v>
          </cell>
          <cell r="D189"/>
          <cell r="E189"/>
          <cell r="F189"/>
          <cell r="G189"/>
          <cell r="H189"/>
          <cell r="I189"/>
          <cell r="J189"/>
          <cell r="K189"/>
          <cell r="L189"/>
          <cell r="M189"/>
          <cell r="N189"/>
          <cell r="O189"/>
          <cell r="P189"/>
          <cell r="Q189"/>
          <cell r="R189"/>
          <cell r="S189"/>
          <cell r="T189"/>
          <cell r="U189"/>
          <cell r="V189"/>
          <cell r="W189"/>
          <cell r="X189"/>
          <cell r="Y189"/>
          <cell r="Z189"/>
          <cell r="AA189"/>
          <cell r="AB189"/>
          <cell r="AC189"/>
          <cell r="AD189"/>
          <cell r="AE189"/>
          <cell r="AF189"/>
          <cell r="AG189"/>
          <cell r="AH189"/>
          <cell r="AI189"/>
          <cell r="AJ189"/>
          <cell r="AK189"/>
          <cell r="AL189"/>
          <cell r="AM189"/>
          <cell r="AN189"/>
          <cell r="AO189"/>
          <cell r="AP189"/>
          <cell r="AQ189"/>
          <cell r="AR189"/>
          <cell r="AS189"/>
          <cell r="AT189"/>
          <cell r="AU189"/>
          <cell r="AV189"/>
          <cell r="AW189"/>
          <cell r="AX189"/>
          <cell r="AY189"/>
          <cell r="AZ189"/>
          <cell r="BA189"/>
          <cell r="BB189"/>
          <cell r="BC189"/>
          <cell r="BD189"/>
          <cell r="BE189"/>
          <cell r="BF189"/>
          <cell r="BG189"/>
          <cell r="BH189"/>
          <cell r="BI189"/>
          <cell r="BJ189"/>
          <cell r="BK189"/>
          <cell r="BL189"/>
          <cell r="BM189"/>
          <cell r="BN189"/>
          <cell r="BO189"/>
          <cell r="BP189"/>
          <cell r="BQ189"/>
          <cell r="BR189"/>
          <cell r="BS189"/>
          <cell r="BT189"/>
          <cell r="BU189"/>
          <cell r="BV189"/>
          <cell r="BW189"/>
          <cell r="BX189"/>
          <cell r="BY189"/>
        </row>
        <row r="190">
          <cell r="B190" t="str">
            <v>HM-803146/10</v>
          </cell>
          <cell r="D190"/>
          <cell r="E190"/>
          <cell r="F190"/>
          <cell r="G190"/>
          <cell r="H190"/>
          <cell r="I190"/>
          <cell r="J190"/>
          <cell r="K190"/>
          <cell r="L190"/>
          <cell r="M190"/>
          <cell r="N190"/>
          <cell r="O190"/>
          <cell r="P190"/>
          <cell r="Q190"/>
          <cell r="R190"/>
          <cell r="S190"/>
          <cell r="T190"/>
          <cell r="U190"/>
          <cell r="V190"/>
          <cell r="W190"/>
          <cell r="X190"/>
          <cell r="Y190"/>
          <cell r="Z190"/>
          <cell r="AA190"/>
          <cell r="AB190"/>
          <cell r="AC190"/>
          <cell r="AD190"/>
          <cell r="AE190"/>
          <cell r="AF190"/>
          <cell r="AG190"/>
          <cell r="AH190"/>
          <cell r="AI190"/>
          <cell r="AJ190"/>
          <cell r="AK190"/>
          <cell r="AL190"/>
          <cell r="AM190"/>
          <cell r="AN190"/>
          <cell r="AO190"/>
          <cell r="AP190"/>
          <cell r="AQ190"/>
          <cell r="AR190"/>
          <cell r="AS190"/>
          <cell r="AT190"/>
          <cell r="AU190"/>
          <cell r="AV190"/>
          <cell r="AW190"/>
          <cell r="AX190"/>
          <cell r="AY190"/>
          <cell r="AZ190"/>
          <cell r="BA190"/>
          <cell r="BB190"/>
          <cell r="BC190"/>
          <cell r="BD190"/>
          <cell r="BE190"/>
          <cell r="BF190"/>
          <cell r="BG190"/>
          <cell r="BH190"/>
          <cell r="BI190"/>
          <cell r="BJ190"/>
          <cell r="BK190"/>
          <cell r="BL190"/>
          <cell r="BM190"/>
          <cell r="BN190"/>
          <cell r="BO190"/>
          <cell r="BP190"/>
          <cell r="BQ190"/>
          <cell r="BR190"/>
          <cell r="BS190"/>
          <cell r="BT190"/>
          <cell r="BU190"/>
          <cell r="BV190"/>
          <cell r="BW190"/>
          <cell r="BX190"/>
          <cell r="BY190"/>
        </row>
        <row r="191">
          <cell r="B191" t="str">
            <v>F208-M</v>
          </cell>
          <cell r="D191"/>
          <cell r="E191"/>
          <cell r="F191"/>
          <cell r="G191"/>
          <cell r="H191"/>
          <cell r="I191"/>
          <cell r="J191"/>
          <cell r="K191"/>
          <cell r="L191"/>
          <cell r="M191"/>
          <cell r="N191"/>
          <cell r="O191"/>
          <cell r="P191"/>
          <cell r="Q191"/>
          <cell r="R191"/>
          <cell r="S191"/>
          <cell r="T191"/>
          <cell r="U191"/>
          <cell r="V191"/>
          <cell r="W191"/>
          <cell r="X191"/>
          <cell r="Y191"/>
          <cell r="Z191"/>
          <cell r="AA191"/>
          <cell r="AB191"/>
          <cell r="AC191"/>
          <cell r="AD191"/>
          <cell r="AE191"/>
          <cell r="AF191"/>
          <cell r="AG191"/>
          <cell r="AH191"/>
          <cell r="AI191"/>
          <cell r="AJ191"/>
          <cell r="AK191"/>
          <cell r="AL191"/>
          <cell r="AM191"/>
          <cell r="AN191"/>
          <cell r="AO191"/>
          <cell r="AP191"/>
          <cell r="AQ191"/>
          <cell r="AR191"/>
          <cell r="AS191"/>
          <cell r="AT191"/>
          <cell r="AU191"/>
          <cell r="AV191"/>
          <cell r="AW191"/>
          <cell r="AX191"/>
          <cell r="AY191"/>
          <cell r="AZ191"/>
          <cell r="BA191"/>
          <cell r="BB191"/>
          <cell r="BC191"/>
          <cell r="BD191"/>
          <cell r="BE191"/>
          <cell r="BF191"/>
          <cell r="BG191"/>
          <cell r="BH191"/>
          <cell r="BI191"/>
          <cell r="BJ191"/>
          <cell r="BK191"/>
          <cell r="BL191"/>
          <cell r="BM191"/>
          <cell r="BN191"/>
          <cell r="BO191"/>
          <cell r="BP191"/>
          <cell r="BQ191"/>
          <cell r="BR191"/>
          <cell r="BS191"/>
          <cell r="BT191"/>
          <cell r="BU191"/>
          <cell r="BV191"/>
          <cell r="BW191"/>
          <cell r="BX191"/>
          <cell r="BY191"/>
        </row>
        <row r="192">
          <cell r="B192" t="str">
            <v>5203-KYY9-A</v>
          </cell>
          <cell r="D192"/>
          <cell r="E192"/>
          <cell r="F192"/>
          <cell r="G192"/>
          <cell r="H192"/>
          <cell r="I192"/>
          <cell r="J192"/>
          <cell r="K192"/>
          <cell r="L192"/>
          <cell r="M192"/>
          <cell r="N192"/>
          <cell r="O192"/>
          <cell r="P192"/>
          <cell r="Q192"/>
          <cell r="R192"/>
          <cell r="S192"/>
          <cell r="T192"/>
          <cell r="U192"/>
          <cell r="V192"/>
          <cell r="W192"/>
          <cell r="X192"/>
          <cell r="Y192"/>
          <cell r="Z192"/>
          <cell r="AA192"/>
          <cell r="AB192"/>
          <cell r="AC192"/>
          <cell r="AD192"/>
          <cell r="AE192"/>
          <cell r="AF192"/>
          <cell r="AG192"/>
          <cell r="AH192"/>
          <cell r="AI192"/>
          <cell r="AJ192"/>
          <cell r="AK192"/>
          <cell r="AL192"/>
          <cell r="AM192"/>
          <cell r="AN192"/>
          <cell r="AO192"/>
          <cell r="AP192"/>
          <cell r="AQ192"/>
          <cell r="AR192"/>
          <cell r="AS192"/>
          <cell r="AT192"/>
          <cell r="AU192"/>
          <cell r="AV192"/>
          <cell r="AW192"/>
          <cell r="AX192"/>
          <cell r="AY192"/>
          <cell r="AZ192"/>
          <cell r="BA192"/>
          <cell r="BB192"/>
          <cell r="BC192"/>
          <cell r="BD192"/>
          <cell r="BE192"/>
          <cell r="BF192"/>
          <cell r="BG192"/>
          <cell r="BH192"/>
          <cell r="BI192"/>
          <cell r="BJ192"/>
          <cell r="BK192"/>
          <cell r="BL192"/>
          <cell r="BM192"/>
          <cell r="BN192"/>
          <cell r="BO192"/>
          <cell r="BP192"/>
          <cell r="BQ192"/>
          <cell r="BR192"/>
          <cell r="BS192"/>
          <cell r="BT192"/>
          <cell r="BU192"/>
          <cell r="BV192"/>
          <cell r="BW192"/>
          <cell r="BX192"/>
          <cell r="BY192"/>
        </row>
        <row r="193">
          <cell r="B193" t="str">
            <v>30307-MX</v>
          </cell>
          <cell r="D193"/>
          <cell r="E193"/>
          <cell r="F193"/>
          <cell r="G193"/>
          <cell r="H193"/>
          <cell r="I193"/>
          <cell r="J193"/>
          <cell r="K193"/>
          <cell r="L193"/>
          <cell r="M193"/>
          <cell r="N193"/>
          <cell r="O193"/>
          <cell r="P193"/>
          <cell r="Q193"/>
          <cell r="R193"/>
          <cell r="S193"/>
          <cell r="T193"/>
          <cell r="U193"/>
          <cell r="V193"/>
          <cell r="W193"/>
          <cell r="X193"/>
          <cell r="Y193"/>
          <cell r="Z193"/>
          <cell r="AA193"/>
          <cell r="AB193"/>
          <cell r="AC193"/>
          <cell r="AD193"/>
          <cell r="AE193"/>
          <cell r="AF193"/>
          <cell r="AG193"/>
          <cell r="AH193"/>
          <cell r="AI193"/>
          <cell r="AJ193"/>
          <cell r="AK193"/>
          <cell r="AL193"/>
          <cell r="AM193"/>
          <cell r="AN193"/>
          <cell r="AO193"/>
          <cell r="AP193"/>
          <cell r="AQ193"/>
          <cell r="AR193"/>
          <cell r="AS193"/>
          <cell r="AT193"/>
          <cell r="AU193"/>
          <cell r="AV193"/>
          <cell r="AW193"/>
          <cell r="AX193"/>
          <cell r="AY193"/>
          <cell r="AZ193"/>
          <cell r="BA193"/>
          <cell r="BB193"/>
          <cell r="BC193"/>
          <cell r="BD193"/>
          <cell r="BE193"/>
          <cell r="BF193"/>
          <cell r="BG193"/>
          <cell r="BH193"/>
          <cell r="BI193"/>
          <cell r="BJ193"/>
          <cell r="BK193"/>
          <cell r="BL193"/>
          <cell r="BM193"/>
          <cell r="BN193"/>
          <cell r="BO193"/>
          <cell r="BP193"/>
          <cell r="BQ193"/>
          <cell r="BR193"/>
          <cell r="BS193"/>
          <cell r="BT193"/>
          <cell r="BU193"/>
          <cell r="BV193"/>
          <cell r="BW193"/>
          <cell r="BX193"/>
          <cell r="BY193"/>
        </row>
        <row r="194">
          <cell r="B194" t="str">
            <v>PB002091</v>
          </cell>
          <cell r="D194"/>
          <cell r="E194"/>
          <cell r="F194"/>
          <cell r="G194"/>
          <cell r="H194"/>
          <cell r="I194"/>
          <cell r="J194"/>
          <cell r="K194"/>
          <cell r="L194"/>
          <cell r="M194"/>
          <cell r="N194"/>
          <cell r="O194"/>
          <cell r="P194"/>
          <cell r="Q194"/>
          <cell r="R194"/>
          <cell r="S194"/>
          <cell r="T194"/>
          <cell r="U194"/>
          <cell r="V194"/>
          <cell r="W194"/>
          <cell r="X194"/>
          <cell r="Y194"/>
          <cell r="Z194"/>
          <cell r="AA194"/>
          <cell r="AB194"/>
          <cell r="AC194"/>
          <cell r="AD194"/>
          <cell r="AE194"/>
          <cell r="AF194"/>
          <cell r="AG194"/>
          <cell r="AH194"/>
          <cell r="AI194"/>
          <cell r="AJ194"/>
          <cell r="AK194"/>
          <cell r="AL194"/>
          <cell r="AM194"/>
          <cell r="AN194"/>
          <cell r="AO194"/>
          <cell r="AP194"/>
          <cell r="AQ194"/>
          <cell r="AR194"/>
          <cell r="AS194"/>
          <cell r="AT194"/>
          <cell r="AU194"/>
          <cell r="AV194"/>
          <cell r="AW194"/>
          <cell r="AX194"/>
          <cell r="AY194"/>
          <cell r="AZ194"/>
          <cell r="BA194"/>
          <cell r="BB194"/>
          <cell r="BC194"/>
          <cell r="BD194"/>
          <cell r="BE194"/>
          <cell r="BF194"/>
          <cell r="BG194"/>
          <cell r="BH194"/>
          <cell r="BI194"/>
          <cell r="BJ194"/>
          <cell r="BK194"/>
          <cell r="BL194"/>
          <cell r="BM194"/>
          <cell r="BN194"/>
          <cell r="BO194"/>
          <cell r="BP194"/>
          <cell r="BQ194"/>
          <cell r="BR194"/>
          <cell r="BS194"/>
          <cell r="BT194"/>
          <cell r="BU194"/>
          <cell r="BV194"/>
          <cell r="BW194"/>
          <cell r="BX194"/>
          <cell r="BY194"/>
        </row>
        <row r="195">
          <cell r="B195" t="str">
            <v>PB004013</v>
          </cell>
          <cell r="D195"/>
          <cell r="E195"/>
          <cell r="F195"/>
          <cell r="G195"/>
          <cell r="H195"/>
          <cell r="I195"/>
          <cell r="J195"/>
          <cell r="K195"/>
          <cell r="L195"/>
          <cell r="M195"/>
          <cell r="N195"/>
          <cell r="O195"/>
          <cell r="P195"/>
          <cell r="Q195"/>
          <cell r="R195"/>
          <cell r="S195"/>
          <cell r="T195"/>
          <cell r="U195"/>
          <cell r="V195"/>
          <cell r="W195"/>
          <cell r="X195"/>
          <cell r="Y195"/>
          <cell r="Z195"/>
          <cell r="AA195"/>
          <cell r="AB195"/>
          <cell r="AC195"/>
          <cell r="AD195"/>
          <cell r="AE195"/>
          <cell r="AF195"/>
          <cell r="AG195"/>
          <cell r="AH195"/>
          <cell r="AI195"/>
          <cell r="AJ195"/>
          <cell r="AK195"/>
          <cell r="AL195"/>
          <cell r="AM195"/>
          <cell r="AN195"/>
          <cell r="AO195"/>
          <cell r="AP195"/>
          <cell r="AQ195"/>
          <cell r="AR195"/>
          <cell r="AS195"/>
          <cell r="AT195"/>
          <cell r="AU195"/>
          <cell r="AV195"/>
          <cell r="AW195"/>
          <cell r="AX195"/>
          <cell r="AY195"/>
          <cell r="AZ195"/>
          <cell r="BA195"/>
          <cell r="BB195"/>
          <cell r="BC195"/>
          <cell r="BD195"/>
          <cell r="BE195"/>
          <cell r="BF195"/>
          <cell r="BG195"/>
          <cell r="BH195"/>
          <cell r="BI195"/>
          <cell r="BJ195"/>
          <cell r="BK195"/>
          <cell r="BL195"/>
          <cell r="BM195"/>
          <cell r="BN195"/>
          <cell r="BO195"/>
          <cell r="BP195"/>
          <cell r="BQ195"/>
          <cell r="BR195"/>
          <cell r="BS195"/>
          <cell r="BT195"/>
          <cell r="BU195"/>
          <cell r="BV195"/>
          <cell r="BW195"/>
          <cell r="BX195"/>
          <cell r="BY195"/>
        </row>
        <row r="196">
          <cell r="B196" t="str">
            <v>3T-12012-MX</v>
          </cell>
          <cell r="D196"/>
          <cell r="E196"/>
          <cell r="F196"/>
          <cell r="G196"/>
          <cell r="H196"/>
          <cell r="I196"/>
          <cell r="J196"/>
          <cell r="K196"/>
          <cell r="L196"/>
          <cell r="M196"/>
          <cell r="N196"/>
          <cell r="O196"/>
          <cell r="P196"/>
          <cell r="Q196"/>
          <cell r="R196"/>
          <cell r="S196"/>
          <cell r="T196"/>
          <cell r="U196"/>
          <cell r="V196"/>
          <cell r="W196"/>
          <cell r="X196"/>
          <cell r="Y196"/>
          <cell r="Z196"/>
          <cell r="AA196"/>
          <cell r="AB196"/>
          <cell r="AC196"/>
          <cell r="AD196"/>
          <cell r="AE196"/>
          <cell r="AF196"/>
          <cell r="AG196"/>
          <cell r="AH196"/>
          <cell r="AI196"/>
          <cell r="AJ196"/>
          <cell r="AK196"/>
          <cell r="AL196"/>
          <cell r="AM196"/>
          <cell r="AN196"/>
          <cell r="AO196"/>
          <cell r="AP196"/>
          <cell r="AQ196"/>
          <cell r="AR196"/>
          <cell r="AS196"/>
          <cell r="AT196"/>
          <cell r="AU196"/>
          <cell r="AV196"/>
          <cell r="AW196"/>
          <cell r="AX196"/>
          <cell r="AY196"/>
          <cell r="AZ196"/>
          <cell r="BA196"/>
          <cell r="BB196"/>
          <cell r="BC196"/>
          <cell r="BD196"/>
          <cell r="BE196"/>
          <cell r="BF196"/>
          <cell r="BG196"/>
          <cell r="BH196"/>
          <cell r="BI196"/>
          <cell r="BJ196"/>
          <cell r="BK196"/>
          <cell r="BL196"/>
          <cell r="BM196"/>
          <cell r="BN196"/>
          <cell r="BO196"/>
          <cell r="BP196"/>
          <cell r="BQ196"/>
          <cell r="BR196"/>
          <cell r="BS196"/>
          <cell r="BT196"/>
          <cell r="BU196"/>
          <cell r="BV196"/>
          <cell r="BW196"/>
          <cell r="BX196"/>
          <cell r="BY196"/>
        </row>
        <row r="197">
          <cell r="B197" t="str">
            <v>32014-MX</v>
          </cell>
          <cell r="D197"/>
          <cell r="E197"/>
          <cell r="F197"/>
          <cell r="G197"/>
          <cell r="H197"/>
          <cell r="I197"/>
          <cell r="J197"/>
          <cell r="K197"/>
          <cell r="L197"/>
          <cell r="M197"/>
          <cell r="N197"/>
          <cell r="O197"/>
          <cell r="P197"/>
          <cell r="Q197"/>
          <cell r="R197"/>
          <cell r="S197"/>
          <cell r="T197"/>
          <cell r="U197"/>
          <cell r="V197"/>
          <cell r="W197"/>
          <cell r="X197"/>
          <cell r="Y197"/>
          <cell r="Z197"/>
          <cell r="AA197"/>
          <cell r="AB197"/>
          <cell r="AC197"/>
          <cell r="AD197"/>
          <cell r="AE197"/>
          <cell r="AF197"/>
          <cell r="AG197"/>
          <cell r="AH197"/>
          <cell r="AI197"/>
          <cell r="AJ197"/>
          <cell r="AK197"/>
          <cell r="AL197"/>
          <cell r="AM197"/>
          <cell r="AN197"/>
          <cell r="AO197"/>
          <cell r="AP197"/>
          <cell r="AQ197"/>
          <cell r="AR197"/>
          <cell r="AS197"/>
          <cell r="AT197"/>
          <cell r="AU197"/>
          <cell r="AV197"/>
          <cell r="AW197"/>
          <cell r="AX197"/>
          <cell r="AY197"/>
          <cell r="AZ197"/>
          <cell r="BA197"/>
          <cell r="BB197"/>
          <cell r="BC197"/>
          <cell r="BD197"/>
          <cell r="BE197"/>
          <cell r="BF197"/>
          <cell r="BG197"/>
          <cell r="BH197"/>
          <cell r="BI197"/>
          <cell r="BJ197"/>
          <cell r="BK197"/>
          <cell r="BL197"/>
          <cell r="BM197"/>
          <cell r="BN197"/>
          <cell r="BO197"/>
          <cell r="BP197"/>
          <cell r="BQ197"/>
          <cell r="BR197"/>
          <cell r="BS197"/>
          <cell r="BT197"/>
          <cell r="BU197"/>
          <cell r="BV197"/>
          <cell r="BW197"/>
          <cell r="BX197"/>
          <cell r="BY197"/>
        </row>
        <row r="198">
          <cell r="B198" t="str">
            <v>PB004009</v>
          </cell>
          <cell r="D198"/>
          <cell r="E198"/>
          <cell r="F198"/>
          <cell r="G198"/>
          <cell r="H198"/>
          <cell r="I198"/>
          <cell r="J198"/>
          <cell r="K198"/>
          <cell r="L198"/>
          <cell r="M198"/>
          <cell r="N198"/>
          <cell r="O198"/>
          <cell r="P198"/>
          <cell r="Q198"/>
          <cell r="R198"/>
          <cell r="S198"/>
          <cell r="T198"/>
          <cell r="U198"/>
          <cell r="V198"/>
          <cell r="W198"/>
          <cell r="X198"/>
          <cell r="Y198"/>
          <cell r="Z198"/>
          <cell r="AA198"/>
          <cell r="AB198"/>
          <cell r="AC198"/>
          <cell r="AD198"/>
          <cell r="AE198"/>
          <cell r="AF198"/>
          <cell r="AG198"/>
          <cell r="AH198"/>
          <cell r="AI198"/>
          <cell r="AJ198"/>
          <cell r="AK198"/>
          <cell r="AL198"/>
          <cell r="AM198"/>
          <cell r="AN198"/>
          <cell r="AO198"/>
          <cell r="AP198"/>
          <cell r="AQ198"/>
          <cell r="AR198"/>
          <cell r="AS198"/>
          <cell r="AT198"/>
          <cell r="AU198"/>
          <cell r="AV198"/>
          <cell r="AW198"/>
          <cell r="AX198"/>
          <cell r="AY198"/>
          <cell r="AZ198"/>
          <cell r="BA198"/>
          <cell r="BB198"/>
          <cell r="BC198"/>
          <cell r="BD198"/>
          <cell r="BE198"/>
          <cell r="BF198"/>
          <cell r="BG198"/>
          <cell r="BH198"/>
          <cell r="BI198"/>
          <cell r="BJ198"/>
          <cell r="BK198"/>
          <cell r="BL198"/>
          <cell r="BM198"/>
          <cell r="BN198"/>
          <cell r="BO198"/>
          <cell r="BP198"/>
          <cell r="BQ198"/>
          <cell r="BR198"/>
          <cell r="BS198"/>
          <cell r="BT198"/>
          <cell r="BU198"/>
          <cell r="BV198"/>
          <cell r="BW198"/>
          <cell r="BX198"/>
          <cell r="BY198"/>
        </row>
        <row r="199">
          <cell r="B199" t="str">
            <v>ASLLF205-14R</v>
          </cell>
          <cell r="D199"/>
          <cell r="E199"/>
          <cell r="F199"/>
          <cell r="G199"/>
          <cell r="H199"/>
          <cell r="I199"/>
          <cell r="J199"/>
          <cell r="K199"/>
          <cell r="L199"/>
          <cell r="M199"/>
          <cell r="N199"/>
          <cell r="O199"/>
          <cell r="P199"/>
          <cell r="Q199"/>
          <cell r="R199"/>
          <cell r="S199"/>
          <cell r="T199"/>
          <cell r="U199"/>
          <cell r="V199"/>
          <cell r="W199"/>
          <cell r="X199"/>
          <cell r="Y199"/>
          <cell r="Z199"/>
          <cell r="AA199"/>
          <cell r="AB199"/>
          <cell r="AC199"/>
          <cell r="AD199"/>
          <cell r="AE199"/>
          <cell r="AF199"/>
          <cell r="AG199"/>
          <cell r="AH199"/>
          <cell r="AI199"/>
          <cell r="AJ199"/>
          <cell r="AK199"/>
          <cell r="AL199"/>
          <cell r="AM199"/>
          <cell r="AN199"/>
          <cell r="AO199"/>
          <cell r="AP199"/>
          <cell r="AQ199"/>
          <cell r="AR199"/>
          <cell r="AS199"/>
          <cell r="AT199"/>
          <cell r="AU199"/>
          <cell r="AV199"/>
          <cell r="AW199"/>
          <cell r="AX199"/>
          <cell r="AY199"/>
          <cell r="AZ199"/>
          <cell r="BA199"/>
          <cell r="BB199"/>
          <cell r="BC199"/>
          <cell r="BD199"/>
          <cell r="BE199"/>
          <cell r="BF199"/>
          <cell r="BG199"/>
          <cell r="BH199"/>
          <cell r="BI199"/>
          <cell r="BJ199"/>
          <cell r="BK199"/>
          <cell r="BL199"/>
          <cell r="BM199"/>
          <cell r="BN199"/>
          <cell r="BO199"/>
          <cell r="BP199"/>
          <cell r="BQ199"/>
          <cell r="BR199"/>
          <cell r="BS199"/>
          <cell r="BT199"/>
          <cell r="BU199"/>
          <cell r="BV199"/>
          <cell r="BW199"/>
          <cell r="BX199"/>
          <cell r="BY199"/>
        </row>
        <row r="200">
          <cell r="B200" t="str">
            <v>AG593062</v>
          </cell>
          <cell r="D200"/>
          <cell r="E200"/>
          <cell r="F200"/>
          <cell r="G200"/>
          <cell r="H200"/>
          <cell r="I200"/>
          <cell r="J200"/>
          <cell r="K200"/>
          <cell r="L200"/>
          <cell r="M200"/>
          <cell r="N200"/>
          <cell r="O200"/>
          <cell r="P200"/>
          <cell r="Q200"/>
          <cell r="R200"/>
          <cell r="S200"/>
          <cell r="T200"/>
          <cell r="U200"/>
          <cell r="V200"/>
          <cell r="W200"/>
          <cell r="X200"/>
          <cell r="Y200"/>
          <cell r="Z200"/>
          <cell r="AA200"/>
          <cell r="AB200"/>
          <cell r="AC200"/>
          <cell r="AD200"/>
          <cell r="AE200"/>
          <cell r="AF200"/>
          <cell r="AG200"/>
          <cell r="AH200"/>
          <cell r="AI200"/>
          <cell r="AJ200"/>
          <cell r="AK200"/>
          <cell r="AL200"/>
          <cell r="AM200"/>
          <cell r="AN200"/>
          <cell r="AO200"/>
          <cell r="AP200"/>
          <cell r="AQ200"/>
          <cell r="AR200"/>
          <cell r="AS200"/>
          <cell r="AT200"/>
          <cell r="AU200"/>
          <cell r="AV200"/>
          <cell r="AW200"/>
          <cell r="AX200"/>
          <cell r="AY200"/>
          <cell r="AZ200"/>
          <cell r="BA200"/>
          <cell r="BB200"/>
          <cell r="BC200"/>
          <cell r="BD200"/>
          <cell r="BE200"/>
          <cell r="BF200"/>
          <cell r="BG200"/>
          <cell r="BH200"/>
          <cell r="BI200"/>
          <cell r="BJ200"/>
          <cell r="BK200"/>
          <cell r="BL200"/>
          <cell r="BM200"/>
          <cell r="BN200"/>
          <cell r="BO200"/>
          <cell r="BP200"/>
          <cell r="BQ200"/>
          <cell r="BR200"/>
          <cell r="BS200"/>
          <cell r="BT200"/>
          <cell r="BU200"/>
          <cell r="BV200"/>
          <cell r="BW200"/>
          <cell r="BX200"/>
          <cell r="BY200"/>
        </row>
        <row r="201">
          <cell r="B201" t="str">
            <v>FT208-M</v>
          </cell>
          <cell r="D201"/>
          <cell r="E201"/>
          <cell r="F201"/>
          <cell r="G201"/>
          <cell r="H201"/>
          <cell r="I201"/>
          <cell r="J201"/>
          <cell r="K201"/>
          <cell r="L201"/>
          <cell r="M201"/>
          <cell r="N201"/>
          <cell r="O201"/>
          <cell r="P201"/>
          <cell r="Q201"/>
          <cell r="R201"/>
          <cell r="S201"/>
          <cell r="T201"/>
          <cell r="U201"/>
          <cell r="V201"/>
          <cell r="W201"/>
          <cell r="X201"/>
          <cell r="Y201"/>
          <cell r="Z201"/>
          <cell r="AA201"/>
          <cell r="AB201"/>
          <cell r="AC201"/>
          <cell r="AD201"/>
          <cell r="AE201"/>
          <cell r="AF201"/>
          <cell r="AG201"/>
          <cell r="AH201"/>
          <cell r="AI201"/>
          <cell r="AJ201"/>
          <cell r="AK201"/>
          <cell r="AL201"/>
          <cell r="AM201"/>
          <cell r="AN201"/>
          <cell r="AO201"/>
          <cell r="AP201"/>
          <cell r="AQ201"/>
          <cell r="AR201"/>
          <cell r="AS201"/>
          <cell r="AT201"/>
          <cell r="AU201"/>
          <cell r="AV201"/>
          <cell r="AW201"/>
          <cell r="AX201"/>
          <cell r="AY201"/>
          <cell r="AZ201"/>
          <cell r="BA201"/>
          <cell r="BB201"/>
          <cell r="BC201"/>
          <cell r="BD201"/>
          <cell r="BE201"/>
          <cell r="BF201"/>
          <cell r="BG201"/>
          <cell r="BH201"/>
          <cell r="BI201"/>
          <cell r="BJ201"/>
          <cell r="BK201"/>
          <cell r="BL201"/>
          <cell r="BM201"/>
          <cell r="BN201"/>
          <cell r="BO201"/>
          <cell r="BP201"/>
          <cell r="BQ201"/>
          <cell r="BR201"/>
          <cell r="BS201"/>
          <cell r="BT201"/>
          <cell r="BU201"/>
          <cell r="BV201"/>
          <cell r="BW201"/>
          <cell r="BX201"/>
          <cell r="BY201"/>
        </row>
        <row r="202">
          <cell r="B202" t="str">
            <v>30305-MX</v>
          </cell>
          <cell r="D202"/>
          <cell r="E202"/>
          <cell r="F202"/>
          <cell r="G202"/>
          <cell r="H202"/>
          <cell r="I202"/>
          <cell r="J202"/>
          <cell r="K202"/>
          <cell r="L202"/>
          <cell r="M202"/>
          <cell r="N202"/>
          <cell r="O202"/>
          <cell r="P202"/>
          <cell r="Q202"/>
          <cell r="R202"/>
          <cell r="S202"/>
          <cell r="T202"/>
          <cell r="U202"/>
          <cell r="V202"/>
          <cell r="W202"/>
          <cell r="X202"/>
          <cell r="Y202"/>
          <cell r="Z202"/>
          <cell r="AA202"/>
          <cell r="AB202"/>
          <cell r="AC202"/>
          <cell r="AD202"/>
          <cell r="AE202"/>
          <cell r="AF202"/>
          <cell r="AG202"/>
          <cell r="AH202"/>
          <cell r="AI202"/>
          <cell r="AJ202"/>
          <cell r="AK202"/>
          <cell r="AL202"/>
          <cell r="AM202"/>
          <cell r="AN202"/>
          <cell r="AO202"/>
          <cell r="AP202"/>
          <cell r="AQ202"/>
          <cell r="AR202"/>
          <cell r="AS202"/>
          <cell r="AT202"/>
          <cell r="AU202"/>
          <cell r="AV202"/>
          <cell r="AW202"/>
          <cell r="AX202"/>
          <cell r="AY202"/>
          <cell r="AZ202"/>
          <cell r="BA202"/>
          <cell r="BB202"/>
          <cell r="BC202"/>
          <cell r="BD202"/>
          <cell r="BE202"/>
          <cell r="BF202"/>
          <cell r="BG202"/>
          <cell r="BH202"/>
          <cell r="BI202"/>
          <cell r="BJ202"/>
          <cell r="BK202"/>
          <cell r="BL202"/>
          <cell r="BM202"/>
          <cell r="BN202"/>
          <cell r="BO202"/>
          <cell r="BP202"/>
          <cell r="BQ202"/>
          <cell r="BR202"/>
          <cell r="BS202"/>
          <cell r="BT202"/>
          <cell r="BU202"/>
          <cell r="BV202"/>
          <cell r="BW202"/>
          <cell r="BX202"/>
          <cell r="BY202"/>
        </row>
        <row r="203">
          <cell r="B203" t="str">
            <v>30216-MX</v>
          </cell>
          <cell r="D203"/>
          <cell r="E203"/>
          <cell r="F203"/>
          <cell r="G203"/>
          <cell r="H203"/>
          <cell r="I203"/>
          <cell r="J203"/>
          <cell r="K203"/>
          <cell r="L203"/>
          <cell r="M203"/>
          <cell r="N203"/>
          <cell r="O203"/>
          <cell r="P203"/>
          <cell r="Q203"/>
          <cell r="R203"/>
          <cell r="S203"/>
          <cell r="T203"/>
          <cell r="U203"/>
          <cell r="V203"/>
          <cell r="W203"/>
          <cell r="X203"/>
          <cell r="Y203"/>
          <cell r="Z203"/>
          <cell r="AA203"/>
          <cell r="AB203"/>
          <cell r="AC203"/>
          <cell r="AD203"/>
          <cell r="AE203"/>
          <cell r="AF203"/>
          <cell r="AG203"/>
          <cell r="AH203"/>
          <cell r="AI203"/>
          <cell r="AJ203"/>
          <cell r="AK203"/>
          <cell r="AL203"/>
          <cell r="AM203"/>
          <cell r="AN203"/>
          <cell r="AO203"/>
          <cell r="AP203"/>
          <cell r="AQ203"/>
          <cell r="AR203"/>
          <cell r="AS203"/>
          <cell r="AT203"/>
          <cell r="AU203"/>
          <cell r="AV203"/>
          <cell r="AW203"/>
          <cell r="AX203"/>
          <cell r="AY203"/>
          <cell r="AZ203"/>
          <cell r="BA203"/>
          <cell r="BB203"/>
          <cell r="BC203"/>
          <cell r="BD203"/>
          <cell r="BE203"/>
          <cell r="BF203"/>
          <cell r="BG203"/>
          <cell r="BH203"/>
          <cell r="BI203"/>
          <cell r="BJ203"/>
          <cell r="BK203"/>
          <cell r="BL203"/>
          <cell r="BM203"/>
          <cell r="BN203"/>
          <cell r="BO203"/>
          <cell r="BP203"/>
          <cell r="BQ203"/>
          <cell r="BR203"/>
          <cell r="BS203"/>
          <cell r="BT203"/>
          <cell r="BU203"/>
          <cell r="BV203"/>
          <cell r="BW203"/>
          <cell r="BX203"/>
          <cell r="BY203"/>
        </row>
        <row r="204">
          <cell r="B204" t="str">
            <v>PB005305</v>
          </cell>
          <cell r="D204"/>
          <cell r="E204"/>
          <cell r="F204"/>
          <cell r="G204"/>
          <cell r="H204"/>
          <cell r="I204"/>
          <cell r="J204"/>
          <cell r="K204"/>
          <cell r="L204"/>
          <cell r="M204"/>
          <cell r="N204"/>
          <cell r="O204"/>
          <cell r="P204"/>
          <cell r="Q204"/>
          <cell r="R204"/>
          <cell r="S204"/>
          <cell r="T204"/>
          <cell r="U204"/>
          <cell r="V204"/>
          <cell r="W204"/>
          <cell r="X204"/>
          <cell r="Y204"/>
          <cell r="Z204"/>
          <cell r="AA204"/>
          <cell r="AB204"/>
          <cell r="AC204"/>
          <cell r="AD204"/>
          <cell r="AE204"/>
          <cell r="AF204"/>
          <cell r="AG204"/>
          <cell r="AH204"/>
          <cell r="AI204"/>
          <cell r="AJ204"/>
          <cell r="AK204"/>
          <cell r="AL204"/>
          <cell r="AM204"/>
          <cell r="AN204"/>
          <cell r="AO204"/>
          <cell r="AP204"/>
          <cell r="AQ204"/>
          <cell r="AR204"/>
          <cell r="AS204"/>
          <cell r="AT204"/>
          <cell r="AU204"/>
          <cell r="AV204"/>
          <cell r="AW204"/>
          <cell r="AX204"/>
          <cell r="AY204"/>
          <cell r="AZ204"/>
          <cell r="BA204"/>
          <cell r="BB204"/>
          <cell r="BC204"/>
          <cell r="BD204"/>
          <cell r="BE204"/>
          <cell r="BF204"/>
          <cell r="BG204"/>
          <cell r="BH204"/>
          <cell r="BI204"/>
          <cell r="BJ204"/>
          <cell r="BK204"/>
          <cell r="BL204"/>
          <cell r="BM204"/>
          <cell r="BN204"/>
          <cell r="BO204"/>
          <cell r="BP204"/>
          <cell r="BQ204"/>
          <cell r="BR204"/>
          <cell r="BS204"/>
          <cell r="BT204"/>
          <cell r="BU204"/>
          <cell r="BV204"/>
          <cell r="BW204"/>
          <cell r="BX204"/>
          <cell r="BY204"/>
        </row>
        <row r="205">
          <cell r="B205" t="str">
            <v>ACL-207-22</v>
          </cell>
          <cell r="D205"/>
          <cell r="E205"/>
          <cell r="F205"/>
          <cell r="G205"/>
          <cell r="H205"/>
          <cell r="I205"/>
          <cell r="J205"/>
          <cell r="K205"/>
          <cell r="L205"/>
          <cell r="M205"/>
          <cell r="N205"/>
          <cell r="O205"/>
          <cell r="P205"/>
          <cell r="Q205"/>
          <cell r="R205"/>
          <cell r="S205"/>
          <cell r="T205"/>
          <cell r="U205"/>
          <cell r="V205"/>
          <cell r="W205"/>
          <cell r="X205"/>
          <cell r="Y205"/>
          <cell r="Z205"/>
          <cell r="AA205"/>
          <cell r="AB205"/>
          <cell r="AC205"/>
          <cell r="AD205"/>
          <cell r="AE205"/>
          <cell r="AF205"/>
          <cell r="AG205"/>
          <cell r="AH205"/>
          <cell r="AI205"/>
          <cell r="AJ205"/>
          <cell r="AK205"/>
          <cell r="AL205"/>
          <cell r="AM205"/>
          <cell r="AN205"/>
          <cell r="AO205"/>
          <cell r="AP205"/>
          <cell r="AQ205"/>
          <cell r="AR205"/>
          <cell r="AS205"/>
          <cell r="AT205"/>
          <cell r="AU205"/>
          <cell r="AV205"/>
          <cell r="AW205"/>
          <cell r="AX205"/>
          <cell r="AY205"/>
          <cell r="AZ205"/>
          <cell r="BA205"/>
          <cell r="BB205"/>
          <cell r="BC205"/>
          <cell r="BD205"/>
          <cell r="BE205"/>
          <cell r="BF205"/>
          <cell r="BG205"/>
          <cell r="BH205"/>
          <cell r="BI205"/>
          <cell r="BJ205"/>
          <cell r="BK205"/>
          <cell r="BL205"/>
          <cell r="BM205"/>
          <cell r="BN205"/>
          <cell r="BO205"/>
          <cell r="BP205"/>
          <cell r="BQ205"/>
          <cell r="BR205"/>
          <cell r="BS205"/>
          <cell r="BT205"/>
          <cell r="BU205"/>
          <cell r="BV205"/>
          <cell r="BW205"/>
          <cell r="BX205"/>
          <cell r="BY205"/>
        </row>
        <row r="206">
          <cell r="B206" t="str">
            <v>HA-212</v>
          </cell>
          <cell r="D206"/>
          <cell r="E206"/>
          <cell r="F206"/>
          <cell r="G206"/>
          <cell r="H206"/>
          <cell r="I206"/>
          <cell r="J206"/>
          <cell r="K206"/>
          <cell r="L206"/>
          <cell r="M206"/>
          <cell r="N206"/>
          <cell r="O206"/>
          <cell r="P206"/>
          <cell r="Q206"/>
          <cell r="R206"/>
          <cell r="S206"/>
          <cell r="T206"/>
          <cell r="U206"/>
          <cell r="V206"/>
          <cell r="W206"/>
          <cell r="X206"/>
          <cell r="Y206"/>
          <cell r="Z206"/>
          <cell r="AA206"/>
          <cell r="AB206"/>
          <cell r="AC206"/>
          <cell r="AD206"/>
          <cell r="AE206"/>
          <cell r="AF206"/>
          <cell r="AG206"/>
          <cell r="AH206"/>
          <cell r="AI206"/>
          <cell r="AJ206"/>
          <cell r="AK206"/>
          <cell r="AL206"/>
          <cell r="AM206"/>
          <cell r="AN206"/>
          <cell r="AO206"/>
          <cell r="AP206"/>
          <cell r="AQ206"/>
          <cell r="AR206"/>
          <cell r="AS206"/>
          <cell r="AT206"/>
          <cell r="AU206"/>
          <cell r="AV206"/>
          <cell r="AW206"/>
          <cell r="AX206"/>
          <cell r="AY206"/>
          <cell r="AZ206"/>
          <cell r="BA206"/>
          <cell r="BB206"/>
          <cell r="BC206"/>
          <cell r="BD206"/>
          <cell r="BE206"/>
          <cell r="BF206"/>
          <cell r="BG206"/>
          <cell r="BH206"/>
          <cell r="BI206"/>
          <cell r="BJ206"/>
          <cell r="BK206"/>
          <cell r="BL206"/>
          <cell r="BM206"/>
          <cell r="BN206"/>
          <cell r="BO206"/>
          <cell r="BP206"/>
          <cell r="BQ206"/>
          <cell r="BR206"/>
          <cell r="BS206"/>
          <cell r="BT206"/>
          <cell r="BU206"/>
          <cell r="BV206"/>
          <cell r="BW206"/>
          <cell r="BX206"/>
          <cell r="BY206"/>
        </row>
        <row r="207">
          <cell r="B207" t="str">
            <v>204-JY5</v>
          </cell>
          <cell r="D207"/>
          <cell r="E207"/>
          <cell r="F207"/>
          <cell r="G207"/>
          <cell r="H207"/>
          <cell r="I207"/>
          <cell r="J207"/>
          <cell r="K207"/>
          <cell r="L207"/>
          <cell r="M207"/>
          <cell r="N207"/>
          <cell r="O207"/>
          <cell r="P207"/>
          <cell r="Q207"/>
          <cell r="R207"/>
          <cell r="S207"/>
          <cell r="T207"/>
          <cell r="U207"/>
          <cell r="V207"/>
          <cell r="W207"/>
          <cell r="X207"/>
          <cell r="Y207"/>
          <cell r="Z207"/>
          <cell r="AA207"/>
          <cell r="AB207"/>
          <cell r="AC207"/>
          <cell r="AD207"/>
          <cell r="AE207"/>
          <cell r="AF207"/>
          <cell r="AG207"/>
          <cell r="AH207"/>
          <cell r="AI207"/>
          <cell r="AJ207"/>
          <cell r="AK207"/>
          <cell r="AL207"/>
          <cell r="AM207"/>
          <cell r="AN207"/>
          <cell r="AO207"/>
          <cell r="AP207"/>
          <cell r="AQ207"/>
          <cell r="AR207"/>
          <cell r="AS207"/>
          <cell r="AT207"/>
          <cell r="AU207"/>
          <cell r="AV207"/>
          <cell r="AW207"/>
          <cell r="AX207"/>
          <cell r="AY207"/>
          <cell r="AZ207"/>
          <cell r="BA207"/>
          <cell r="BB207"/>
          <cell r="BC207"/>
          <cell r="BD207"/>
          <cell r="BE207"/>
          <cell r="BF207"/>
          <cell r="BG207"/>
          <cell r="BH207"/>
          <cell r="BI207"/>
          <cell r="BJ207"/>
          <cell r="BK207"/>
          <cell r="BL207"/>
          <cell r="BM207"/>
          <cell r="BN207"/>
          <cell r="BO207"/>
          <cell r="BP207"/>
          <cell r="BQ207"/>
          <cell r="BR207"/>
          <cell r="BS207"/>
          <cell r="BT207"/>
          <cell r="BU207"/>
          <cell r="BV207"/>
          <cell r="BW207"/>
          <cell r="BX207"/>
          <cell r="BY207"/>
        </row>
        <row r="208">
          <cell r="B208" t="str">
            <v>E080001012</v>
          </cell>
          <cell r="D208"/>
          <cell r="E208"/>
          <cell r="F208"/>
          <cell r="G208"/>
          <cell r="H208"/>
          <cell r="I208"/>
          <cell r="J208"/>
          <cell r="K208"/>
          <cell r="L208"/>
          <cell r="M208"/>
          <cell r="N208"/>
          <cell r="O208"/>
          <cell r="P208"/>
          <cell r="Q208"/>
          <cell r="R208"/>
          <cell r="S208"/>
          <cell r="T208"/>
          <cell r="U208"/>
          <cell r="V208"/>
          <cell r="W208"/>
          <cell r="X208"/>
          <cell r="Y208"/>
          <cell r="Z208"/>
          <cell r="AA208"/>
          <cell r="AB208"/>
          <cell r="AC208"/>
          <cell r="AD208"/>
          <cell r="AE208"/>
          <cell r="AF208"/>
          <cell r="AG208"/>
          <cell r="AH208"/>
          <cell r="AI208"/>
          <cell r="AJ208"/>
          <cell r="AK208"/>
          <cell r="AL208"/>
          <cell r="AM208"/>
          <cell r="AN208"/>
          <cell r="AO208"/>
          <cell r="AP208"/>
          <cell r="AQ208"/>
          <cell r="AR208"/>
          <cell r="AS208"/>
          <cell r="AT208"/>
          <cell r="AU208"/>
          <cell r="AV208"/>
          <cell r="AW208"/>
          <cell r="AX208"/>
          <cell r="AY208"/>
          <cell r="AZ208"/>
          <cell r="BA208"/>
          <cell r="BB208"/>
          <cell r="BC208"/>
          <cell r="BD208"/>
          <cell r="BE208"/>
          <cell r="BF208"/>
          <cell r="BG208"/>
          <cell r="BH208"/>
          <cell r="BI208"/>
          <cell r="BJ208"/>
          <cell r="BK208"/>
          <cell r="BL208"/>
          <cell r="BM208"/>
          <cell r="BN208"/>
          <cell r="BO208"/>
          <cell r="BP208"/>
          <cell r="BQ208"/>
          <cell r="BR208"/>
          <cell r="BS208"/>
          <cell r="BT208"/>
          <cell r="BU208"/>
          <cell r="BV208"/>
          <cell r="BW208"/>
          <cell r="BX208"/>
          <cell r="BY208"/>
        </row>
        <row r="209">
          <cell r="B209" t="str">
            <v>32009-MX</v>
          </cell>
          <cell r="D209"/>
          <cell r="E209"/>
          <cell r="F209"/>
          <cell r="G209"/>
          <cell r="H209"/>
          <cell r="I209"/>
          <cell r="J209"/>
          <cell r="K209"/>
          <cell r="L209"/>
          <cell r="M209"/>
          <cell r="N209"/>
          <cell r="O209"/>
          <cell r="P209"/>
          <cell r="Q209"/>
          <cell r="R209"/>
          <cell r="S209"/>
          <cell r="T209"/>
          <cell r="U209"/>
          <cell r="V209"/>
          <cell r="W209"/>
          <cell r="X209"/>
          <cell r="Y209"/>
          <cell r="Z209"/>
          <cell r="AA209"/>
          <cell r="AB209"/>
          <cell r="AC209"/>
          <cell r="AD209"/>
          <cell r="AE209"/>
          <cell r="AF209"/>
          <cell r="AG209"/>
          <cell r="AH209"/>
          <cell r="AI209"/>
          <cell r="AJ209"/>
          <cell r="AK209"/>
          <cell r="AL209"/>
          <cell r="AM209"/>
          <cell r="AN209"/>
          <cell r="AO209"/>
          <cell r="AP209"/>
          <cell r="AQ209"/>
          <cell r="AR209"/>
          <cell r="AS209"/>
          <cell r="AT209"/>
          <cell r="AU209"/>
          <cell r="AV209"/>
          <cell r="AW209"/>
          <cell r="AX209"/>
          <cell r="AY209"/>
          <cell r="AZ209"/>
          <cell r="BA209"/>
          <cell r="BB209"/>
          <cell r="BC209"/>
          <cell r="BD209"/>
          <cell r="BE209"/>
          <cell r="BF209"/>
          <cell r="BG209"/>
          <cell r="BH209"/>
          <cell r="BI209"/>
          <cell r="BJ209"/>
          <cell r="BK209"/>
          <cell r="BL209"/>
          <cell r="BM209"/>
          <cell r="BN209"/>
          <cell r="BO209"/>
          <cell r="BP209"/>
          <cell r="BQ209"/>
          <cell r="BR209"/>
          <cell r="BS209"/>
          <cell r="BT209"/>
          <cell r="BU209"/>
          <cell r="BV209"/>
          <cell r="BW209"/>
          <cell r="BX209"/>
          <cell r="BY209"/>
        </row>
        <row r="210">
          <cell r="B210" t="str">
            <v>BP-13014</v>
          </cell>
          <cell r="D210"/>
          <cell r="E210"/>
          <cell r="F210"/>
          <cell r="G210"/>
          <cell r="H210"/>
          <cell r="I210"/>
          <cell r="J210"/>
          <cell r="K210"/>
          <cell r="L210"/>
          <cell r="M210"/>
          <cell r="N210"/>
          <cell r="O210"/>
          <cell r="P210"/>
          <cell r="Q210"/>
          <cell r="R210"/>
          <cell r="S210"/>
          <cell r="T210"/>
          <cell r="U210"/>
          <cell r="V210"/>
          <cell r="W210"/>
          <cell r="X210"/>
          <cell r="Y210"/>
          <cell r="Z210"/>
          <cell r="AA210"/>
          <cell r="AB210"/>
          <cell r="AC210"/>
          <cell r="AD210"/>
          <cell r="AE210"/>
          <cell r="AF210"/>
          <cell r="AG210"/>
          <cell r="AH210"/>
          <cell r="AI210"/>
          <cell r="AJ210"/>
          <cell r="AK210"/>
          <cell r="AL210"/>
          <cell r="AM210"/>
          <cell r="AN210"/>
          <cell r="AO210"/>
          <cell r="AP210"/>
          <cell r="AQ210"/>
          <cell r="AR210"/>
          <cell r="AS210"/>
          <cell r="AT210"/>
          <cell r="AU210"/>
          <cell r="AV210"/>
          <cell r="AW210"/>
          <cell r="AX210"/>
          <cell r="AY210"/>
          <cell r="AZ210"/>
          <cell r="BA210"/>
          <cell r="BB210"/>
          <cell r="BC210"/>
          <cell r="BD210"/>
          <cell r="BE210"/>
          <cell r="BF210"/>
          <cell r="BG210"/>
          <cell r="BH210"/>
          <cell r="BI210"/>
          <cell r="BJ210"/>
          <cell r="BK210"/>
          <cell r="BL210"/>
          <cell r="BM210"/>
          <cell r="BN210"/>
          <cell r="BO210"/>
          <cell r="BP210"/>
          <cell r="BQ210"/>
          <cell r="BR210"/>
          <cell r="BS210"/>
          <cell r="BT210"/>
          <cell r="BU210"/>
          <cell r="BV210"/>
          <cell r="BW210"/>
          <cell r="BX210"/>
          <cell r="BY210"/>
        </row>
        <row r="211">
          <cell r="B211" t="str">
            <v>SAB205-25DG</v>
          </cell>
          <cell r="D211"/>
          <cell r="E211"/>
          <cell r="F211"/>
          <cell r="G211"/>
          <cell r="H211"/>
          <cell r="I211"/>
          <cell r="J211"/>
          <cell r="K211"/>
          <cell r="L211"/>
          <cell r="M211"/>
          <cell r="N211"/>
          <cell r="O211"/>
          <cell r="P211"/>
          <cell r="Q211"/>
          <cell r="R211"/>
          <cell r="S211"/>
          <cell r="T211"/>
          <cell r="U211"/>
          <cell r="V211"/>
          <cell r="W211"/>
          <cell r="X211"/>
          <cell r="Y211"/>
          <cell r="Z211"/>
          <cell r="AA211"/>
          <cell r="AB211"/>
          <cell r="AC211"/>
          <cell r="AD211"/>
          <cell r="AE211"/>
          <cell r="AF211"/>
          <cell r="AG211"/>
          <cell r="AH211"/>
          <cell r="AI211"/>
          <cell r="AJ211"/>
          <cell r="AK211"/>
          <cell r="AL211"/>
          <cell r="AM211"/>
          <cell r="AN211"/>
          <cell r="AO211"/>
          <cell r="AP211"/>
          <cell r="AQ211"/>
          <cell r="AR211"/>
          <cell r="AS211"/>
          <cell r="AT211"/>
          <cell r="AU211"/>
          <cell r="AV211"/>
          <cell r="AW211"/>
          <cell r="AX211"/>
          <cell r="AY211"/>
          <cell r="AZ211"/>
          <cell r="BA211"/>
          <cell r="BB211"/>
          <cell r="BC211"/>
          <cell r="BD211"/>
          <cell r="BE211"/>
          <cell r="BF211"/>
          <cell r="BG211"/>
          <cell r="BH211"/>
          <cell r="BI211"/>
          <cell r="BJ211"/>
          <cell r="BK211"/>
          <cell r="BL211"/>
          <cell r="BM211"/>
          <cell r="BN211"/>
          <cell r="BO211"/>
          <cell r="BP211"/>
          <cell r="BQ211"/>
          <cell r="BR211"/>
          <cell r="BS211"/>
          <cell r="BT211"/>
          <cell r="BU211"/>
          <cell r="BV211"/>
          <cell r="BW211"/>
          <cell r="BX211"/>
          <cell r="BY211"/>
        </row>
        <row r="212">
          <cell r="B212" t="str">
            <v>33110-MX</v>
          </cell>
          <cell r="D212"/>
          <cell r="E212"/>
          <cell r="F212"/>
          <cell r="G212"/>
          <cell r="H212"/>
          <cell r="I212"/>
          <cell r="J212"/>
          <cell r="K212"/>
          <cell r="L212"/>
          <cell r="M212"/>
          <cell r="N212"/>
          <cell r="O212"/>
          <cell r="P212"/>
          <cell r="Q212"/>
          <cell r="R212"/>
          <cell r="S212"/>
          <cell r="T212"/>
          <cell r="U212"/>
          <cell r="V212"/>
          <cell r="W212"/>
          <cell r="X212"/>
          <cell r="Y212"/>
          <cell r="Z212"/>
          <cell r="AA212"/>
          <cell r="AB212"/>
          <cell r="AC212"/>
          <cell r="AD212"/>
          <cell r="AE212"/>
          <cell r="AF212"/>
          <cell r="AG212"/>
          <cell r="AH212"/>
          <cell r="AI212"/>
          <cell r="AJ212"/>
          <cell r="AK212"/>
          <cell r="AL212"/>
          <cell r="AM212"/>
          <cell r="AN212"/>
          <cell r="AO212"/>
          <cell r="AP212"/>
          <cell r="AQ212"/>
          <cell r="AR212"/>
          <cell r="AS212"/>
          <cell r="AT212"/>
          <cell r="AU212"/>
          <cell r="AV212"/>
          <cell r="AW212"/>
          <cell r="AX212"/>
          <cell r="AY212"/>
          <cell r="AZ212"/>
          <cell r="BA212"/>
          <cell r="BB212"/>
          <cell r="BC212"/>
          <cell r="BD212"/>
          <cell r="BE212"/>
          <cell r="BF212"/>
          <cell r="BG212"/>
          <cell r="BH212"/>
          <cell r="BI212"/>
          <cell r="BJ212"/>
          <cell r="BK212"/>
          <cell r="BL212"/>
          <cell r="BM212"/>
          <cell r="BN212"/>
          <cell r="BO212"/>
          <cell r="BP212"/>
          <cell r="BQ212"/>
          <cell r="BR212"/>
          <cell r="BS212"/>
          <cell r="BT212"/>
          <cell r="BU212"/>
          <cell r="BV212"/>
          <cell r="BW212"/>
          <cell r="BX212"/>
          <cell r="BY212"/>
        </row>
        <row r="213">
          <cell r="B213" t="str">
            <v>F4X-208</v>
          </cell>
          <cell r="D213"/>
          <cell r="E213"/>
          <cell r="F213"/>
          <cell r="G213"/>
          <cell r="H213"/>
          <cell r="I213"/>
          <cell r="J213"/>
          <cell r="K213"/>
          <cell r="L213"/>
          <cell r="M213"/>
          <cell r="N213"/>
          <cell r="O213"/>
          <cell r="P213"/>
          <cell r="Q213"/>
          <cell r="R213"/>
          <cell r="S213"/>
          <cell r="T213"/>
          <cell r="U213"/>
          <cell r="V213"/>
          <cell r="W213"/>
          <cell r="X213"/>
          <cell r="Y213"/>
          <cell r="Z213"/>
          <cell r="AA213"/>
          <cell r="AB213"/>
          <cell r="AC213"/>
          <cell r="AD213"/>
          <cell r="AE213"/>
          <cell r="AF213"/>
          <cell r="AG213"/>
          <cell r="AH213"/>
          <cell r="AI213"/>
          <cell r="AJ213"/>
          <cell r="AK213"/>
          <cell r="AL213"/>
          <cell r="AM213"/>
          <cell r="AN213"/>
          <cell r="AO213"/>
          <cell r="AP213"/>
          <cell r="AQ213"/>
          <cell r="AR213"/>
          <cell r="AS213"/>
          <cell r="AT213"/>
          <cell r="AU213"/>
          <cell r="AV213"/>
          <cell r="AW213"/>
          <cell r="AX213"/>
          <cell r="AY213"/>
          <cell r="AZ213"/>
          <cell r="BA213"/>
          <cell r="BB213"/>
          <cell r="BC213"/>
          <cell r="BD213"/>
          <cell r="BE213"/>
          <cell r="BF213"/>
          <cell r="BG213"/>
          <cell r="BH213"/>
          <cell r="BI213"/>
          <cell r="BJ213"/>
          <cell r="BK213"/>
          <cell r="BL213"/>
          <cell r="BM213"/>
          <cell r="BN213"/>
          <cell r="BO213"/>
          <cell r="BP213"/>
          <cell r="BQ213"/>
          <cell r="BR213"/>
          <cell r="BS213"/>
          <cell r="BT213"/>
          <cell r="BU213"/>
          <cell r="BV213"/>
          <cell r="BW213"/>
          <cell r="BX213"/>
          <cell r="BY213"/>
        </row>
        <row r="214">
          <cell r="B214" t="str">
            <v>22218-CW33C3</v>
          </cell>
          <cell r="D214"/>
          <cell r="E214"/>
          <cell r="F214"/>
          <cell r="G214"/>
          <cell r="H214"/>
          <cell r="I214"/>
          <cell r="J214"/>
          <cell r="K214"/>
          <cell r="L214"/>
          <cell r="M214"/>
          <cell r="N214"/>
          <cell r="O214"/>
          <cell r="P214"/>
          <cell r="Q214"/>
          <cell r="R214"/>
          <cell r="S214"/>
          <cell r="T214"/>
          <cell r="U214"/>
          <cell r="V214"/>
          <cell r="W214"/>
          <cell r="X214"/>
          <cell r="Y214"/>
          <cell r="Z214"/>
          <cell r="AA214"/>
          <cell r="AB214"/>
          <cell r="AC214"/>
          <cell r="AD214"/>
          <cell r="AE214"/>
          <cell r="AF214"/>
          <cell r="AG214"/>
          <cell r="AH214"/>
          <cell r="AI214"/>
          <cell r="AJ214"/>
          <cell r="AK214"/>
          <cell r="AL214"/>
          <cell r="AM214"/>
          <cell r="AN214"/>
          <cell r="AO214"/>
          <cell r="AP214"/>
          <cell r="AQ214"/>
          <cell r="AR214"/>
          <cell r="AS214"/>
          <cell r="AT214"/>
          <cell r="AU214"/>
          <cell r="AV214"/>
          <cell r="AW214"/>
          <cell r="AX214"/>
          <cell r="AY214"/>
          <cell r="AZ214"/>
          <cell r="BA214"/>
          <cell r="BB214"/>
          <cell r="BC214"/>
          <cell r="BD214"/>
          <cell r="BE214"/>
          <cell r="BF214"/>
          <cell r="BG214"/>
          <cell r="BH214"/>
          <cell r="BI214"/>
          <cell r="BJ214"/>
          <cell r="BK214"/>
          <cell r="BL214"/>
          <cell r="BM214"/>
          <cell r="BN214"/>
          <cell r="BO214"/>
          <cell r="BP214"/>
          <cell r="BQ214"/>
          <cell r="BR214"/>
          <cell r="BS214"/>
          <cell r="BT214"/>
          <cell r="BU214"/>
          <cell r="BV214"/>
          <cell r="BW214"/>
          <cell r="BX214"/>
          <cell r="BY214"/>
        </row>
        <row r="215">
          <cell r="B215" t="str">
            <v>W207-KYYB3</v>
          </cell>
          <cell r="D215"/>
          <cell r="E215"/>
          <cell r="F215"/>
          <cell r="G215"/>
          <cell r="H215"/>
          <cell r="I215"/>
          <cell r="J215"/>
          <cell r="K215"/>
          <cell r="L215"/>
          <cell r="M215"/>
          <cell r="N215"/>
          <cell r="O215"/>
          <cell r="P215"/>
          <cell r="Q215"/>
          <cell r="R215"/>
          <cell r="S215"/>
          <cell r="T215"/>
          <cell r="U215"/>
          <cell r="V215"/>
          <cell r="W215"/>
          <cell r="X215"/>
          <cell r="Y215"/>
          <cell r="Z215"/>
          <cell r="AA215"/>
          <cell r="AB215"/>
          <cell r="AC215"/>
          <cell r="AD215"/>
          <cell r="AE215"/>
          <cell r="AF215"/>
          <cell r="AG215"/>
          <cell r="AH215"/>
          <cell r="AI215"/>
          <cell r="AJ215"/>
          <cell r="AK215"/>
          <cell r="AL215"/>
          <cell r="AM215"/>
          <cell r="AN215"/>
          <cell r="AO215"/>
          <cell r="AP215"/>
          <cell r="AQ215"/>
          <cell r="AR215"/>
          <cell r="AS215"/>
          <cell r="AT215"/>
          <cell r="AU215"/>
          <cell r="AV215"/>
          <cell r="AW215"/>
          <cell r="AX215"/>
          <cell r="AY215"/>
          <cell r="AZ215"/>
          <cell r="BA215"/>
          <cell r="BB215"/>
          <cell r="BC215"/>
          <cell r="BD215"/>
          <cell r="BE215"/>
          <cell r="BF215"/>
          <cell r="BG215"/>
          <cell r="BH215"/>
          <cell r="BI215"/>
          <cell r="BJ215"/>
          <cell r="BK215"/>
          <cell r="BL215"/>
          <cell r="BM215"/>
          <cell r="BN215"/>
          <cell r="BO215"/>
          <cell r="BP215"/>
          <cell r="BQ215"/>
          <cell r="BR215"/>
          <cell r="BS215"/>
          <cell r="BT215"/>
          <cell r="BU215"/>
          <cell r="BV215"/>
          <cell r="BW215"/>
          <cell r="BX215"/>
          <cell r="BY215"/>
        </row>
        <row r="216">
          <cell r="B216" t="str">
            <v>3984-20</v>
          </cell>
          <cell r="D216"/>
          <cell r="E216"/>
          <cell r="F216"/>
          <cell r="G216"/>
          <cell r="H216"/>
          <cell r="I216"/>
          <cell r="J216"/>
          <cell r="K216"/>
          <cell r="L216"/>
          <cell r="M216"/>
          <cell r="N216"/>
          <cell r="O216"/>
          <cell r="P216"/>
          <cell r="Q216"/>
          <cell r="R216"/>
          <cell r="S216"/>
          <cell r="T216"/>
          <cell r="U216"/>
          <cell r="V216"/>
          <cell r="W216"/>
          <cell r="X216"/>
          <cell r="Y216"/>
          <cell r="Z216"/>
          <cell r="AA216"/>
          <cell r="AB216"/>
          <cell r="AC216"/>
          <cell r="AD216"/>
          <cell r="AE216"/>
          <cell r="AF216"/>
          <cell r="AG216"/>
          <cell r="AH216"/>
          <cell r="AI216"/>
          <cell r="AJ216"/>
          <cell r="AK216"/>
          <cell r="AL216"/>
          <cell r="AM216"/>
          <cell r="AN216"/>
          <cell r="AO216"/>
          <cell r="AP216"/>
          <cell r="AQ216"/>
          <cell r="AR216"/>
          <cell r="AS216"/>
          <cell r="AT216"/>
          <cell r="AU216"/>
          <cell r="AV216"/>
          <cell r="AW216"/>
          <cell r="AX216"/>
          <cell r="AY216"/>
          <cell r="AZ216"/>
          <cell r="BA216"/>
          <cell r="BB216"/>
          <cell r="BC216"/>
          <cell r="BD216"/>
          <cell r="BE216"/>
          <cell r="BF216"/>
          <cell r="BG216"/>
          <cell r="BH216"/>
          <cell r="BI216"/>
          <cell r="BJ216"/>
          <cell r="BK216"/>
          <cell r="BL216"/>
          <cell r="BM216"/>
          <cell r="BN216"/>
          <cell r="BO216"/>
          <cell r="BP216"/>
          <cell r="BQ216"/>
          <cell r="BR216"/>
          <cell r="BS216"/>
          <cell r="BT216"/>
          <cell r="BU216"/>
          <cell r="BV216"/>
          <cell r="BW216"/>
          <cell r="BX216"/>
          <cell r="BY216"/>
        </row>
        <row r="217">
          <cell r="B217" t="str">
            <v>PB005519</v>
          </cell>
          <cell r="D217"/>
          <cell r="E217"/>
          <cell r="F217"/>
          <cell r="G217"/>
          <cell r="H217"/>
          <cell r="I217"/>
          <cell r="J217"/>
          <cell r="K217"/>
          <cell r="L217"/>
          <cell r="M217"/>
          <cell r="N217"/>
          <cell r="O217"/>
          <cell r="P217"/>
          <cell r="Q217"/>
          <cell r="R217"/>
          <cell r="S217"/>
          <cell r="T217"/>
          <cell r="U217"/>
          <cell r="V217"/>
          <cell r="W217"/>
          <cell r="X217"/>
          <cell r="Y217"/>
          <cell r="Z217"/>
          <cell r="AA217"/>
          <cell r="AB217"/>
          <cell r="AC217"/>
          <cell r="AD217"/>
          <cell r="AE217"/>
          <cell r="AF217"/>
          <cell r="AG217"/>
          <cell r="AH217"/>
          <cell r="AI217"/>
          <cell r="AJ217"/>
          <cell r="AK217"/>
          <cell r="AL217"/>
          <cell r="AM217"/>
          <cell r="AN217"/>
          <cell r="AO217"/>
          <cell r="AP217"/>
          <cell r="AQ217"/>
          <cell r="AR217"/>
          <cell r="AS217"/>
          <cell r="AT217"/>
          <cell r="AU217"/>
          <cell r="AV217"/>
          <cell r="AW217"/>
          <cell r="AX217"/>
          <cell r="AY217"/>
          <cell r="AZ217"/>
          <cell r="BA217"/>
          <cell r="BB217"/>
          <cell r="BC217"/>
          <cell r="BD217"/>
          <cell r="BE217"/>
          <cell r="BF217"/>
          <cell r="BG217"/>
          <cell r="BH217"/>
          <cell r="BI217"/>
          <cell r="BJ217"/>
          <cell r="BK217"/>
          <cell r="BL217"/>
          <cell r="BM217"/>
          <cell r="BN217"/>
          <cell r="BO217"/>
          <cell r="BP217"/>
          <cell r="BQ217"/>
          <cell r="BR217"/>
          <cell r="BS217"/>
          <cell r="BT217"/>
          <cell r="BU217"/>
          <cell r="BV217"/>
          <cell r="BW217"/>
          <cell r="BX217"/>
          <cell r="BY217"/>
        </row>
        <row r="218">
          <cell r="B218" t="str">
            <v>ACL-205-25MM</v>
          </cell>
          <cell r="D218"/>
          <cell r="E218"/>
          <cell r="F218"/>
          <cell r="G218"/>
          <cell r="H218"/>
          <cell r="I218"/>
          <cell r="J218"/>
          <cell r="K218"/>
          <cell r="L218"/>
          <cell r="M218"/>
          <cell r="N218"/>
          <cell r="O218"/>
          <cell r="P218"/>
          <cell r="Q218"/>
          <cell r="R218"/>
          <cell r="S218"/>
          <cell r="T218"/>
          <cell r="U218"/>
          <cell r="V218"/>
          <cell r="W218"/>
          <cell r="X218"/>
          <cell r="Y218"/>
          <cell r="Z218"/>
          <cell r="AA218"/>
          <cell r="AB218"/>
          <cell r="AC218"/>
          <cell r="AD218"/>
          <cell r="AE218"/>
          <cell r="AF218"/>
          <cell r="AG218"/>
          <cell r="AH218"/>
          <cell r="AI218"/>
          <cell r="AJ218"/>
          <cell r="AK218"/>
          <cell r="AL218"/>
          <cell r="AM218"/>
          <cell r="AN218"/>
          <cell r="AO218"/>
          <cell r="AP218"/>
          <cell r="AQ218"/>
          <cell r="AR218"/>
          <cell r="AS218"/>
          <cell r="AT218"/>
          <cell r="AU218"/>
          <cell r="AV218"/>
          <cell r="AW218"/>
          <cell r="AX218"/>
          <cell r="AY218"/>
          <cell r="AZ218"/>
          <cell r="BA218"/>
          <cell r="BB218"/>
          <cell r="BC218"/>
          <cell r="BD218"/>
          <cell r="BE218"/>
          <cell r="BF218"/>
          <cell r="BG218"/>
          <cell r="BH218"/>
          <cell r="BI218"/>
          <cell r="BJ218"/>
          <cell r="BK218"/>
          <cell r="BL218"/>
          <cell r="BM218"/>
          <cell r="BN218"/>
          <cell r="BO218"/>
          <cell r="BP218"/>
          <cell r="BQ218"/>
          <cell r="BR218"/>
          <cell r="BS218"/>
          <cell r="BT218"/>
          <cell r="BU218"/>
          <cell r="BV218"/>
          <cell r="BW218"/>
          <cell r="BX218"/>
          <cell r="BY218"/>
        </row>
        <row r="219">
          <cell r="B219" t="str">
            <v>ECL-305DG</v>
          </cell>
          <cell r="D219"/>
          <cell r="E219"/>
          <cell r="F219"/>
          <cell r="G219"/>
          <cell r="H219"/>
          <cell r="I219"/>
          <cell r="J219"/>
          <cell r="K219"/>
          <cell r="L219"/>
          <cell r="M219"/>
          <cell r="N219"/>
          <cell r="O219"/>
          <cell r="P219"/>
          <cell r="Q219"/>
          <cell r="R219"/>
          <cell r="S219"/>
          <cell r="T219"/>
          <cell r="U219"/>
          <cell r="V219"/>
          <cell r="W219"/>
          <cell r="X219"/>
          <cell r="Y219"/>
          <cell r="Z219"/>
          <cell r="AA219"/>
          <cell r="AB219"/>
          <cell r="AC219"/>
          <cell r="AD219"/>
          <cell r="AE219"/>
          <cell r="AF219"/>
          <cell r="AG219"/>
          <cell r="AH219"/>
          <cell r="AI219"/>
          <cell r="AJ219"/>
          <cell r="AK219"/>
          <cell r="AL219"/>
          <cell r="AM219"/>
          <cell r="AN219"/>
          <cell r="AO219"/>
          <cell r="AP219"/>
          <cell r="AQ219"/>
          <cell r="AR219"/>
          <cell r="AS219"/>
          <cell r="AT219"/>
          <cell r="AU219"/>
          <cell r="AV219"/>
          <cell r="AW219"/>
          <cell r="AX219"/>
          <cell r="AY219"/>
          <cell r="AZ219"/>
          <cell r="BA219"/>
          <cell r="BB219"/>
          <cell r="BC219"/>
          <cell r="BD219"/>
          <cell r="BE219"/>
          <cell r="BF219"/>
          <cell r="BG219"/>
          <cell r="BH219"/>
          <cell r="BI219"/>
          <cell r="BJ219"/>
          <cell r="BK219"/>
          <cell r="BL219"/>
          <cell r="BM219"/>
          <cell r="BN219"/>
          <cell r="BO219"/>
          <cell r="BP219"/>
          <cell r="BQ219"/>
          <cell r="BR219"/>
          <cell r="BS219"/>
          <cell r="BT219"/>
          <cell r="BU219"/>
          <cell r="BV219"/>
          <cell r="BW219"/>
          <cell r="BX219"/>
          <cell r="BY219"/>
        </row>
        <row r="220">
          <cell r="B220" t="str">
            <v>FHF205-16G</v>
          </cell>
          <cell r="D220"/>
          <cell r="E220"/>
          <cell r="F220"/>
          <cell r="G220"/>
          <cell r="H220"/>
          <cell r="I220"/>
          <cell r="J220"/>
          <cell r="K220"/>
          <cell r="L220"/>
          <cell r="M220"/>
          <cell r="N220"/>
          <cell r="O220"/>
          <cell r="P220"/>
          <cell r="Q220"/>
          <cell r="R220"/>
          <cell r="S220"/>
          <cell r="T220"/>
          <cell r="U220"/>
          <cell r="V220"/>
          <cell r="W220"/>
          <cell r="X220"/>
          <cell r="Y220"/>
          <cell r="Z220"/>
          <cell r="AA220"/>
          <cell r="AB220"/>
          <cell r="AC220"/>
          <cell r="AD220"/>
          <cell r="AE220"/>
          <cell r="AF220"/>
          <cell r="AG220"/>
          <cell r="AH220"/>
          <cell r="AI220"/>
          <cell r="AJ220"/>
          <cell r="AK220"/>
          <cell r="AL220"/>
          <cell r="AM220"/>
          <cell r="AN220"/>
          <cell r="AO220"/>
          <cell r="AP220"/>
          <cell r="AQ220"/>
          <cell r="AR220"/>
          <cell r="AS220"/>
          <cell r="AT220"/>
          <cell r="AU220"/>
          <cell r="AV220"/>
          <cell r="AW220"/>
          <cell r="AX220"/>
          <cell r="AY220"/>
          <cell r="AZ220"/>
          <cell r="BA220"/>
          <cell r="BB220"/>
          <cell r="BC220"/>
          <cell r="BD220"/>
          <cell r="BE220"/>
          <cell r="BF220"/>
          <cell r="BG220"/>
          <cell r="BH220"/>
          <cell r="BI220"/>
          <cell r="BJ220"/>
          <cell r="BK220"/>
          <cell r="BL220"/>
          <cell r="BM220"/>
          <cell r="BN220"/>
          <cell r="BO220"/>
          <cell r="BP220"/>
          <cell r="BQ220"/>
          <cell r="BR220"/>
          <cell r="BS220"/>
          <cell r="BT220"/>
          <cell r="BU220"/>
          <cell r="BV220"/>
          <cell r="BW220"/>
          <cell r="BX220"/>
          <cell r="BY220"/>
        </row>
        <row r="221">
          <cell r="B221" t="str">
            <v>MS08-2RSTX</v>
          </cell>
          <cell r="D221"/>
          <cell r="E221"/>
          <cell r="F221"/>
          <cell r="G221"/>
          <cell r="H221"/>
          <cell r="I221"/>
          <cell r="J221"/>
          <cell r="K221"/>
          <cell r="L221"/>
          <cell r="M221"/>
          <cell r="N221"/>
          <cell r="O221"/>
          <cell r="P221"/>
          <cell r="Q221"/>
          <cell r="R221"/>
          <cell r="S221"/>
          <cell r="T221"/>
          <cell r="U221"/>
          <cell r="V221"/>
          <cell r="W221"/>
          <cell r="X221"/>
          <cell r="Y221"/>
          <cell r="Z221"/>
          <cell r="AA221"/>
          <cell r="AB221"/>
          <cell r="AC221"/>
          <cell r="AD221"/>
          <cell r="AE221"/>
          <cell r="AF221"/>
          <cell r="AG221"/>
          <cell r="AH221"/>
          <cell r="AI221"/>
          <cell r="AJ221"/>
          <cell r="AK221"/>
          <cell r="AL221"/>
          <cell r="AM221"/>
          <cell r="AN221"/>
          <cell r="AO221"/>
          <cell r="AP221"/>
          <cell r="AQ221"/>
          <cell r="AR221"/>
          <cell r="AS221"/>
          <cell r="AT221"/>
          <cell r="AU221"/>
          <cell r="AV221"/>
          <cell r="AW221"/>
          <cell r="AX221"/>
          <cell r="AY221"/>
          <cell r="AZ221"/>
          <cell r="BA221"/>
          <cell r="BB221"/>
          <cell r="BC221"/>
          <cell r="BD221"/>
          <cell r="BE221"/>
          <cell r="BF221"/>
          <cell r="BG221"/>
          <cell r="BH221"/>
          <cell r="BI221"/>
          <cell r="BJ221"/>
          <cell r="BK221"/>
          <cell r="BL221"/>
          <cell r="BM221"/>
          <cell r="BN221"/>
          <cell r="BO221"/>
          <cell r="BP221"/>
          <cell r="BQ221"/>
          <cell r="BR221"/>
          <cell r="BS221"/>
          <cell r="BT221"/>
          <cell r="BU221"/>
          <cell r="BV221"/>
          <cell r="BW221"/>
          <cell r="BX221"/>
          <cell r="BY221"/>
        </row>
        <row r="222">
          <cell r="B222" t="str">
            <v>FB-211</v>
          </cell>
          <cell r="D222"/>
          <cell r="E222"/>
          <cell r="F222"/>
          <cell r="G222"/>
          <cell r="H222"/>
          <cell r="I222"/>
          <cell r="J222"/>
          <cell r="K222"/>
          <cell r="L222"/>
          <cell r="M222"/>
          <cell r="N222"/>
          <cell r="O222"/>
          <cell r="P222"/>
          <cell r="Q222"/>
          <cell r="R222"/>
          <cell r="S222"/>
          <cell r="T222"/>
          <cell r="U222"/>
          <cell r="V222"/>
          <cell r="W222"/>
          <cell r="X222"/>
          <cell r="Y222"/>
          <cell r="Z222"/>
          <cell r="AA222"/>
          <cell r="AB222"/>
          <cell r="AC222"/>
          <cell r="AD222"/>
          <cell r="AE222"/>
          <cell r="AF222"/>
          <cell r="AG222"/>
          <cell r="AH222"/>
          <cell r="AI222"/>
          <cell r="AJ222"/>
          <cell r="AK222"/>
          <cell r="AL222"/>
          <cell r="AM222"/>
          <cell r="AN222"/>
          <cell r="AO222"/>
          <cell r="AP222"/>
          <cell r="AQ222"/>
          <cell r="AR222"/>
          <cell r="AS222"/>
          <cell r="AT222"/>
          <cell r="AU222"/>
          <cell r="AV222"/>
          <cell r="AW222"/>
          <cell r="AX222"/>
          <cell r="AY222"/>
          <cell r="AZ222"/>
          <cell r="BA222"/>
          <cell r="BB222"/>
          <cell r="BC222"/>
          <cell r="BD222"/>
          <cell r="BE222"/>
          <cell r="BF222"/>
          <cell r="BG222"/>
          <cell r="BH222"/>
          <cell r="BI222"/>
          <cell r="BJ222"/>
          <cell r="BK222"/>
          <cell r="BL222"/>
          <cell r="BM222"/>
          <cell r="BN222"/>
          <cell r="BO222"/>
          <cell r="BP222"/>
          <cell r="BQ222"/>
          <cell r="BR222"/>
          <cell r="BS222"/>
          <cell r="BT222"/>
          <cell r="BU222"/>
          <cell r="BV222"/>
          <cell r="BW222"/>
          <cell r="BX222"/>
          <cell r="BY222"/>
        </row>
        <row r="223">
          <cell r="B223" t="str">
            <v>PB004763</v>
          </cell>
          <cell r="D223"/>
          <cell r="E223"/>
          <cell r="F223"/>
          <cell r="G223"/>
          <cell r="H223"/>
          <cell r="I223"/>
          <cell r="J223"/>
          <cell r="K223"/>
          <cell r="L223"/>
          <cell r="M223"/>
          <cell r="N223"/>
          <cell r="O223"/>
          <cell r="P223"/>
          <cell r="Q223"/>
          <cell r="R223"/>
          <cell r="S223"/>
          <cell r="T223"/>
          <cell r="U223"/>
          <cell r="V223"/>
          <cell r="W223"/>
          <cell r="X223"/>
          <cell r="Y223"/>
          <cell r="Z223"/>
          <cell r="AA223"/>
          <cell r="AB223"/>
          <cell r="AC223"/>
          <cell r="AD223"/>
          <cell r="AE223"/>
          <cell r="AF223"/>
          <cell r="AG223"/>
          <cell r="AH223"/>
          <cell r="AI223"/>
          <cell r="AJ223"/>
          <cell r="AK223"/>
          <cell r="AL223"/>
          <cell r="AM223"/>
          <cell r="AN223"/>
          <cell r="AO223"/>
          <cell r="AP223"/>
          <cell r="AQ223"/>
          <cell r="AR223"/>
          <cell r="AS223"/>
          <cell r="AT223"/>
          <cell r="AU223"/>
          <cell r="AV223"/>
          <cell r="AW223"/>
          <cell r="AX223"/>
          <cell r="AY223"/>
          <cell r="AZ223"/>
          <cell r="BA223"/>
          <cell r="BB223"/>
          <cell r="BC223"/>
          <cell r="BD223"/>
          <cell r="BE223"/>
          <cell r="BF223"/>
          <cell r="BG223"/>
          <cell r="BH223"/>
          <cell r="BI223"/>
          <cell r="BJ223"/>
          <cell r="BK223"/>
          <cell r="BL223"/>
          <cell r="BM223"/>
          <cell r="BN223"/>
          <cell r="BO223"/>
          <cell r="BP223"/>
          <cell r="BQ223"/>
          <cell r="BR223"/>
          <cell r="BS223"/>
          <cell r="BT223"/>
          <cell r="BU223"/>
          <cell r="BV223"/>
          <cell r="BW223"/>
          <cell r="BX223"/>
          <cell r="BY223"/>
        </row>
        <row r="224">
          <cell r="B224" t="str">
            <v>30306-MX</v>
          </cell>
          <cell r="D224"/>
          <cell r="E224"/>
          <cell r="F224"/>
          <cell r="G224"/>
          <cell r="H224"/>
          <cell r="I224"/>
          <cell r="J224"/>
          <cell r="K224"/>
          <cell r="L224"/>
          <cell r="M224"/>
          <cell r="N224"/>
          <cell r="O224"/>
          <cell r="P224"/>
          <cell r="Q224"/>
          <cell r="R224"/>
          <cell r="S224"/>
          <cell r="T224"/>
          <cell r="U224"/>
          <cell r="V224"/>
          <cell r="W224"/>
          <cell r="X224"/>
          <cell r="Y224"/>
          <cell r="Z224"/>
          <cell r="AA224"/>
          <cell r="AB224"/>
          <cell r="AC224"/>
          <cell r="AD224"/>
          <cell r="AE224"/>
          <cell r="AF224"/>
          <cell r="AG224"/>
          <cell r="AH224"/>
          <cell r="AI224"/>
          <cell r="AJ224"/>
          <cell r="AK224"/>
          <cell r="AL224"/>
          <cell r="AM224"/>
          <cell r="AN224"/>
          <cell r="AO224"/>
          <cell r="AP224"/>
          <cell r="AQ224"/>
          <cell r="AR224"/>
          <cell r="AS224"/>
          <cell r="AT224"/>
          <cell r="AU224"/>
          <cell r="AV224"/>
          <cell r="AW224"/>
          <cell r="AX224"/>
          <cell r="AY224"/>
          <cell r="AZ224"/>
          <cell r="BA224"/>
          <cell r="BB224"/>
          <cell r="BC224"/>
          <cell r="BD224"/>
          <cell r="BE224"/>
          <cell r="BF224"/>
          <cell r="BG224"/>
          <cell r="BH224"/>
          <cell r="BI224"/>
          <cell r="BJ224"/>
          <cell r="BK224"/>
          <cell r="BL224"/>
          <cell r="BM224"/>
          <cell r="BN224"/>
          <cell r="BO224"/>
          <cell r="BP224"/>
          <cell r="BQ224"/>
          <cell r="BR224"/>
          <cell r="BS224"/>
          <cell r="BT224"/>
          <cell r="BU224"/>
          <cell r="BV224"/>
          <cell r="BW224"/>
          <cell r="BX224"/>
          <cell r="BY224"/>
        </row>
        <row r="225">
          <cell r="B225" t="str">
            <v>BP-23005-ST</v>
          </cell>
          <cell r="D225"/>
          <cell r="E225"/>
          <cell r="F225"/>
          <cell r="G225"/>
          <cell r="H225"/>
          <cell r="I225"/>
          <cell r="J225"/>
          <cell r="K225"/>
          <cell r="L225"/>
          <cell r="M225"/>
          <cell r="N225"/>
          <cell r="O225"/>
          <cell r="P225"/>
          <cell r="Q225"/>
          <cell r="R225"/>
          <cell r="S225"/>
          <cell r="T225"/>
          <cell r="U225"/>
          <cell r="V225"/>
          <cell r="W225"/>
          <cell r="X225"/>
          <cell r="Y225"/>
          <cell r="Z225"/>
          <cell r="AA225"/>
          <cell r="AB225"/>
          <cell r="AC225"/>
          <cell r="AD225"/>
          <cell r="AE225"/>
          <cell r="AF225"/>
          <cell r="AG225"/>
          <cell r="AH225"/>
          <cell r="AI225"/>
          <cell r="AJ225"/>
          <cell r="AK225"/>
          <cell r="AL225"/>
          <cell r="AM225"/>
          <cell r="AN225"/>
          <cell r="AO225"/>
          <cell r="AP225"/>
          <cell r="AQ225"/>
          <cell r="AR225"/>
          <cell r="AS225"/>
          <cell r="AT225"/>
          <cell r="AU225"/>
          <cell r="AV225"/>
          <cell r="AW225"/>
          <cell r="AX225"/>
          <cell r="AY225"/>
          <cell r="AZ225"/>
          <cell r="BA225"/>
          <cell r="BB225"/>
          <cell r="BC225"/>
          <cell r="BD225"/>
          <cell r="BE225"/>
          <cell r="BF225"/>
          <cell r="BG225"/>
          <cell r="BH225"/>
          <cell r="BI225"/>
          <cell r="BJ225"/>
          <cell r="BK225"/>
          <cell r="BL225"/>
          <cell r="BM225"/>
          <cell r="BN225"/>
          <cell r="BO225"/>
          <cell r="BP225"/>
          <cell r="BQ225"/>
          <cell r="BR225"/>
          <cell r="BS225"/>
          <cell r="BT225"/>
          <cell r="BU225"/>
          <cell r="BV225"/>
          <cell r="BW225"/>
          <cell r="BX225"/>
          <cell r="BY225"/>
        </row>
        <row r="226">
          <cell r="B226" t="str">
            <v>ECL209-45D-3</v>
          </cell>
          <cell r="D226"/>
          <cell r="E226"/>
          <cell r="F226"/>
          <cell r="G226"/>
          <cell r="H226"/>
          <cell r="I226"/>
          <cell r="J226"/>
          <cell r="K226"/>
          <cell r="L226"/>
          <cell r="M226"/>
          <cell r="N226"/>
          <cell r="O226"/>
          <cell r="P226"/>
          <cell r="Q226"/>
          <cell r="R226"/>
          <cell r="S226"/>
          <cell r="T226"/>
          <cell r="U226"/>
          <cell r="V226"/>
          <cell r="W226"/>
          <cell r="X226"/>
          <cell r="Y226"/>
          <cell r="Z226"/>
          <cell r="AA226"/>
          <cell r="AB226"/>
          <cell r="AC226"/>
          <cell r="AD226"/>
          <cell r="AE226"/>
          <cell r="AF226"/>
          <cell r="AG226"/>
          <cell r="AH226"/>
          <cell r="AI226"/>
          <cell r="AJ226"/>
          <cell r="AK226"/>
          <cell r="AL226"/>
          <cell r="AM226"/>
          <cell r="AN226"/>
          <cell r="AO226"/>
          <cell r="AP226"/>
          <cell r="AQ226"/>
          <cell r="AR226"/>
          <cell r="AS226"/>
          <cell r="AT226"/>
          <cell r="AU226"/>
          <cell r="AV226"/>
          <cell r="AW226"/>
          <cell r="AX226"/>
          <cell r="AY226"/>
          <cell r="AZ226"/>
          <cell r="BA226"/>
          <cell r="BB226"/>
          <cell r="BC226"/>
          <cell r="BD226"/>
          <cell r="BE226"/>
          <cell r="BF226"/>
          <cell r="BG226"/>
          <cell r="BH226"/>
          <cell r="BI226"/>
          <cell r="BJ226"/>
          <cell r="BK226"/>
          <cell r="BL226"/>
          <cell r="BM226"/>
          <cell r="BN226"/>
          <cell r="BO226"/>
          <cell r="BP226"/>
          <cell r="BQ226"/>
          <cell r="BR226"/>
          <cell r="BS226"/>
          <cell r="BT226"/>
          <cell r="BU226"/>
          <cell r="BV226"/>
          <cell r="BW226"/>
          <cell r="BX226"/>
          <cell r="BY226"/>
        </row>
        <row r="227">
          <cell r="B227" t="str">
            <v>PB004520</v>
          </cell>
          <cell r="D227"/>
          <cell r="E227"/>
          <cell r="F227"/>
          <cell r="G227"/>
          <cell r="H227"/>
          <cell r="I227"/>
          <cell r="J227"/>
          <cell r="K227"/>
          <cell r="L227"/>
          <cell r="M227"/>
          <cell r="N227"/>
          <cell r="O227"/>
          <cell r="P227"/>
          <cell r="Q227"/>
          <cell r="R227"/>
          <cell r="S227"/>
          <cell r="T227"/>
          <cell r="U227"/>
          <cell r="V227"/>
          <cell r="W227"/>
          <cell r="X227"/>
          <cell r="Y227"/>
          <cell r="Z227"/>
          <cell r="AA227"/>
          <cell r="AB227"/>
          <cell r="AC227"/>
          <cell r="AD227"/>
          <cell r="AE227"/>
          <cell r="AF227"/>
          <cell r="AG227"/>
          <cell r="AH227"/>
          <cell r="AI227"/>
          <cell r="AJ227"/>
          <cell r="AK227"/>
          <cell r="AL227"/>
          <cell r="AM227"/>
          <cell r="AN227"/>
          <cell r="AO227"/>
          <cell r="AP227"/>
          <cell r="AQ227"/>
          <cell r="AR227"/>
          <cell r="AS227"/>
          <cell r="AT227"/>
          <cell r="AU227"/>
          <cell r="AV227"/>
          <cell r="AW227"/>
          <cell r="AX227"/>
          <cell r="AY227"/>
          <cell r="AZ227"/>
          <cell r="BA227"/>
          <cell r="BB227"/>
          <cell r="BC227"/>
          <cell r="BD227"/>
          <cell r="BE227"/>
          <cell r="BF227"/>
          <cell r="BG227"/>
          <cell r="BH227"/>
          <cell r="BI227"/>
          <cell r="BJ227"/>
          <cell r="BK227"/>
          <cell r="BL227"/>
          <cell r="BM227"/>
          <cell r="BN227"/>
          <cell r="BO227"/>
          <cell r="BP227"/>
          <cell r="BQ227"/>
          <cell r="BR227"/>
          <cell r="BS227"/>
          <cell r="BT227"/>
          <cell r="BU227"/>
          <cell r="BV227"/>
          <cell r="BW227"/>
          <cell r="BX227"/>
          <cell r="BY227"/>
        </row>
        <row r="228">
          <cell r="B228" t="str">
            <v>PB005641</v>
          </cell>
          <cell r="D228"/>
          <cell r="E228"/>
          <cell r="F228"/>
          <cell r="G228"/>
          <cell r="H228"/>
          <cell r="I228"/>
          <cell r="J228"/>
          <cell r="K228"/>
          <cell r="L228"/>
          <cell r="M228"/>
          <cell r="N228"/>
          <cell r="O228"/>
          <cell r="P228"/>
          <cell r="Q228"/>
          <cell r="R228"/>
          <cell r="S228"/>
          <cell r="T228"/>
          <cell r="U228"/>
          <cell r="V228"/>
          <cell r="W228"/>
          <cell r="X228"/>
          <cell r="Y228"/>
          <cell r="Z228"/>
          <cell r="AA228"/>
          <cell r="AB228"/>
          <cell r="AC228"/>
          <cell r="AD228"/>
          <cell r="AE228"/>
          <cell r="AF228"/>
          <cell r="AG228"/>
          <cell r="AH228"/>
          <cell r="AI228"/>
          <cell r="AJ228"/>
          <cell r="AK228"/>
          <cell r="AL228"/>
          <cell r="AM228"/>
          <cell r="AN228"/>
          <cell r="AO228"/>
          <cell r="AP228"/>
          <cell r="AQ228"/>
          <cell r="AR228"/>
          <cell r="AS228"/>
          <cell r="AT228"/>
          <cell r="AU228"/>
          <cell r="AV228"/>
          <cell r="AW228"/>
          <cell r="AX228"/>
          <cell r="AY228"/>
          <cell r="AZ228"/>
          <cell r="BA228"/>
          <cell r="BB228"/>
          <cell r="BC228"/>
          <cell r="BD228"/>
          <cell r="BE228"/>
          <cell r="BF228"/>
          <cell r="BG228"/>
          <cell r="BH228"/>
          <cell r="BI228"/>
          <cell r="BJ228"/>
          <cell r="BK228"/>
          <cell r="BL228"/>
          <cell r="BM228"/>
          <cell r="BN228"/>
          <cell r="BO228"/>
          <cell r="BP228"/>
          <cell r="BQ228"/>
          <cell r="BR228"/>
          <cell r="BS228"/>
          <cell r="BT228"/>
          <cell r="BU228"/>
          <cell r="BV228"/>
          <cell r="BW228"/>
          <cell r="BX228"/>
          <cell r="BY228"/>
        </row>
        <row r="229">
          <cell r="B229" t="str">
            <v>6307</v>
          </cell>
          <cell r="D229"/>
          <cell r="E229"/>
          <cell r="F229"/>
          <cell r="G229"/>
          <cell r="H229"/>
          <cell r="I229"/>
          <cell r="J229"/>
          <cell r="K229"/>
          <cell r="L229"/>
          <cell r="M229"/>
          <cell r="N229"/>
          <cell r="O229"/>
          <cell r="P229"/>
          <cell r="Q229"/>
          <cell r="R229"/>
          <cell r="S229"/>
          <cell r="T229"/>
          <cell r="U229"/>
          <cell r="V229"/>
          <cell r="W229"/>
          <cell r="X229"/>
          <cell r="Y229"/>
          <cell r="Z229"/>
          <cell r="AA229"/>
          <cell r="AB229"/>
          <cell r="AC229"/>
          <cell r="AD229"/>
          <cell r="AE229"/>
          <cell r="AF229"/>
          <cell r="AG229"/>
          <cell r="AH229"/>
          <cell r="AI229"/>
          <cell r="AJ229"/>
          <cell r="AK229"/>
          <cell r="AL229"/>
          <cell r="AM229"/>
          <cell r="AN229"/>
          <cell r="AO229"/>
          <cell r="AP229"/>
          <cell r="AQ229"/>
          <cell r="AR229"/>
          <cell r="AS229"/>
          <cell r="AT229"/>
          <cell r="AU229"/>
          <cell r="AV229"/>
          <cell r="AW229"/>
          <cell r="AX229"/>
          <cell r="AY229"/>
          <cell r="AZ229"/>
          <cell r="BA229"/>
          <cell r="BB229"/>
          <cell r="BC229"/>
          <cell r="BD229"/>
          <cell r="BE229"/>
          <cell r="BF229"/>
          <cell r="BG229"/>
          <cell r="BH229"/>
          <cell r="BI229"/>
          <cell r="BJ229"/>
          <cell r="BK229"/>
          <cell r="BL229"/>
          <cell r="BM229"/>
          <cell r="BN229"/>
          <cell r="BO229"/>
          <cell r="BP229"/>
          <cell r="BQ229"/>
          <cell r="BR229"/>
          <cell r="BS229"/>
          <cell r="BT229"/>
          <cell r="BU229"/>
          <cell r="BV229"/>
          <cell r="BW229"/>
          <cell r="BX229"/>
          <cell r="BY229"/>
        </row>
        <row r="230">
          <cell r="B230" t="str">
            <v>205-KYR2</v>
          </cell>
          <cell r="D230"/>
          <cell r="E230"/>
          <cell r="F230"/>
          <cell r="G230"/>
          <cell r="H230"/>
          <cell r="I230"/>
          <cell r="J230"/>
          <cell r="K230"/>
          <cell r="L230"/>
          <cell r="M230"/>
          <cell r="N230"/>
          <cell r="O230"/>
          <cell r="P230"/>
          <cell r="Q230"/>
          <cell r="R230"/>
          <cell r="S230"/>
          <cell r="T230"/>
          <cell r="U230"/>
          <cell r="V230"/>
          <cell r="W230"/>
          <cell r="X230"/>
          <cell r="Y230"/>
          <cell r="Z230"/>
          <cell r="AA230"/>
          <cell r="AB230"/>
          <cell r="AC230"/>
          <cell r="AD230"/>
          <cell r="AE230"/>
          <cell r="AF230"/>
          <cell r="AG230"/>
          <cell r="AH230"/>
          <cell r="AI230"/>
          <cell r="AJ230"/>
          <cell r="AK230"/>
          <cell r="AL230"/>
          <cell r="AM230"/>
          <cell r="AN230"/>
          <cell r="AO230"/>
          <cell r="AP230"/>
          <cell r="AQ230"/>
          <cell r="AR230"/>
          <cell r="AS230"/>
          <cell r="AT230"/>
          <cell r="AU230"/>
          <cell r="AV230"/>
          <cell r="AW230"/>
          <cell r="AX230"/>
          <cell r="AY230"/>
          <cell r="AZ230"/>
          <cell r="BA230"/>
          <cell r="BB230"/>
          <cell r="BC230"/>
          <cell r="BD230"/>
          <cell r="BE230"/>
          <cell r="BF230"/>
          <cell r="BG230"/>
          <cell r="BH230"/>
          <cell r="BI230"/>
          <cell r="BJ230"/>
          <cell r="BK230"/>
          <cell r="BL230"/>
          <cell r="BM230"/>
          <cell r="BN230"/>
          <cell r="BO230"/>
          <cell r="BP230"/>
          <cell r="BQ230"/>
          <cell r="BR230"/>
          <cell r="BS230"/>
          <cell r="BT230"/>
          <cell r="BU230"/>
          <cell r="BV230"/>
          <cell r="BW230"/>
          <cell r="BX230"/>
          <cell r="BY230"/>
        </row>
        <row r="231">
          <cell r="B231" t="str">
            <v>BP-23005-MM</v>
          </cell>
          <cell r="D231"/>
          <cell r="E231"/>
          <cell r="F231"/>
          <cell r="G231"/>
          <cell r="H231"/>
          <cell r="I231"/>
          <cell r="J231"/>
          <cell r="K231"/>
          <cell r="L231"/>
          <cell r="M231"/>
          <cell r="N231"/>
          <cell r="O231"/>
          <cell r="P231"/>
          <cell r="Q231"/>
          <cell r="R231"/>
          <cell r="S231"/>
          <cell r="T231"/>
          <cell r="U231"/>
          <cell r="V231"/>
          <cell r="W231"/>
          <cell r="X231"/>
          <cell r="Y231"/>
          <cell r="Z231"/>
          <cell r="AA231"/>
          <cell r="AB231"/>
          <cell r="AC231"/>
          <cell r="AD231"/>
          <cell r="AE231"/>
          <cell r="AF231"/>
          <cell r="AG231"/>
          <cell r="AH231"/>
          <cell r="AI231"/>
          <cell r="AJ231"/>
          <cell r="AK231"/>
          <cell r="AL231"/>
          <cell r="AM231"/>
          <cell r="AN231"/>
          <cell r="AO231"/>
          <cell r="AP231"/>
          <cell r="AQ231"/>
          <cell r="AR231"/>
          <cell r="AS231"/>
          <cell r="AT231"/>
          <cell r="AU231"/>
          <cell r="AV231"/>
          <cell r="AW231"/>
          <cell r="AX231"/>
          <cell r="AY231"/>
          <cell r="AZ231"/>
          <cell r="BA231"/>
          <cell r="BB231"/>
          <cell r="BC231"/>
          <cell r="BD231"/>
          <cell r="BE231"/>
          <cell r="BF231"/>
          <cell r="BG231"/>
          <cell r="BH231"/>
          <cell r="BI231"/>
          <cell r="BJ231"/>
          <cell r="BK231"/>
          <cell r="BL231"/>
          <cell r="BM231"/>
          <cell r="BN231"/>
          <cell r="BO231"/>
          <cell r="BP231"/>
          <cell r="BQ231"/>
          <cell r="BR231"/>
          <cell r="BS231"/>
          <cell r="BT231"/>
          <cell r="BU231"/>
          <cell r="BV231"/>
          <cell r="BW231"/>
          <cell r="BX231"/>
          <cell r="BY231"/>
        </row>
        <row r="232">
          <cell r="B232" t="str">
            <v>ASL207-35RR</v>
          </cell>
          <cell r="D232"/>
          <cell r="E232"/>
          <cell r="F232"/>
          <cell r="G232"/>
          <cell r="H232"/>
          <cell r="I232"/>
          <cell r="J232"/>
          <cell r="K232"/>
          <cell r="L232"/>
          <cell r="M232"/>
          <cell r="N232"/>
          <cell r="O232"/>
          <cell r="P232"/>
          <cell r="Q232"/>
          <cell r="R232"/>
          <cell r="S232"/>
          <cell r="T232"/>
          <cell r="U232"/>
          <cell r="V232"/>
          <cell r="W232"/>
          <cell r="X232"/>
          <cell r="Y232"/>
          <cell r="Z232"/>
          <cell r="AA232"/>
          <cell r="AB232"/>
          <cell r="AC232"/>
          <cell r="AD232"/>
          <cell r="AE232"/>
          <cell r="AF232"/>
          <cell r="AG232"/>
          <cell r="AH232"/>
          <cell r="AI232"/>
          <cell r="AJ232"/>
          <cell r="AK232"/>
          <cell r="AL232"/>
          <cell r="AM232"/>
          <cell r="AN232"/>
          <cell r="AO232"/>
          <cell r="AP232"/>
          <cell r="AQ232"/>
          <cell r="AR232"/>
          <cell r="AS232"/>
          <cell r="AT232"/>
          <cell r="AU232"/>
          <cell r="AV232"/>
          <cell r="AW232"/>
          <cell r="AX232"/>
          <cell r="AY232"/>
          <cell r="AZ232"/>
          <cell r="BA232"/>
          <cell r="BB232"/>
          <cell r="BC232"/>
          <cell r="BD232"/>
          <cell r="BE232"/>
          <cell r="BF232"/>
          <cell r="BG232"/>
          <cell r="BH232"/>
          <cell r="BI232"/>
          <cell r="BJ232"/>
          <cell r="BK232"/>
          <cell r="BL232"/>
          <cell r="BM232"/>
          <cell r="BN232"/>
          <cell r="BO232"/>
          <cell r="BP232"/>
          <cell r="BQ232"/>
          <cell r="BR232"/>
          <cell r="BS232"/>
          <cell r="BT232"/>
          <cell r="BU232"/>
          <cell r="BV232"/>
          <cell r="BW232"/>
          <cell r="BX232"/>
          <cell r="BY232"/>
        </row>
        <row r="233">
          <cell r="B233" t="str">
            <v>PB006005</v>
          </cell>
          <cell r="D233"/>
          <cell r="E233"/>
          <cell r="F233"/>
          <cell r="G233"/>
          <cell r="H233"/>
          <cell r="I233"/>
          <cell r="J233"/>
          <cell r="K233"/>
          <cell r="L233"/>
          <cell r="M233"/>
          <cell r="N233"/>
          <cell r="O233"/>
          <cell r="P233"/>
          <cell r="Q233"/>
          <cell r="R233"/>
          <cell r="S233"/>
          <cell r="T233"/>
          <cell r="U233"/>
          <cell r="V233"/>
          <cell r="W233"/>
          <cell r="X233"/>
          <cell r="Y233"/>
          <cell r="Z233"/>
          <cell r="AA233"/>
          <cell r="AB233"/>
          <cell r="AC233"/>
          <cell r="AD233"/>
          <cell r="AE233"/>
          <cell r="AF233"/>
          <cell r="AG233"/>
          <cell r="AH233"/>
          <cell r="AI233"/>
          <cell r="AJ233"/>
          <cell r="AK233"/>
          <cell r="AL233"/>
          <cell r="AM233"/>
          <cell r="AN233"/>
          <cell r="AO233"/>
          <cell r="AP233"/>
          <cell r="AQ233"/>
          <cell r="AR233"/>
          <cell r="AS233"/>
          <cell r="AT233"/>
          <cell r="AU233"/>
          <cell r="AV233"/>
          <cell r="AW233"/>
          <cell r="AX233"/>
          <cell r="AY233"/>
          <cell r="AZ233"/>
          <cell r="BA233"/>
          <cell r="BB233"/>
          <cell r="BC233"/>
          <cell r="BD233"/>
          <cell r="BE233"/>
          <cell r="BF233"/>
          <cell r="BG233"/>
          <cell r="BH233"/>
          <cell r="BI233"/>
          <cell r="BJ233"/>
          <cell r="BK233"/>
          <cell r="BL233"/>
          <cell r="BM233"/>
          <cell r="BN233"/>
          <cell r="BO233"/>
          <cell r="BP233"/>
          <cell r="BQ233"/>
          <cell r="BR233"/>
          <cell r="BS233"/>
          <cell r="BT233"/>
          <cell r="BU233"/>
          <cell r="BV233"/>
          <cell r="BW233"/>
          <cell r="BX233"/>
          <cell r="BY233"/>
        </row>
        <row r="234">
          <cell r="B234" t="str">
            <v>32311-MX</v>
          </cell>
          <cell r="D234"/>
          <cell r="E234"/>
          <cell r="F234"/>
          <cell r="G234"/>
          <cell r="H234"/>
          <cell r="I234"/>
          <cell r="J234"/>
          <cell r="K234"/>
          <cell r="L234"/>
          <cell r="M234"/>
          <cell r="N234"/>
          <cell r="O234"/>
          <cell r="P234"/>
          <cell r="Q234"/>
          <cell r="R234"/>
          <cell r="S234"/>
          <cell r="T234"/>
          <cell r="U234"/>
          <cell r="V234"/>
          <cell r="W234"/>
          <cell r="X234"/>
          <cell r="Y234"/>
          <cell r="Z234"/>
          <cell r="AA234"/>
          <cell r="AB234"/>
          <cell r="AC234"/>
          <cell r="AD234"/>
          <cell r="AE234"/>
          <cell r="AF234"/>
          <cell r="AG234"/>
          <cell r="AH234"/>
          <cell r="AI234"/>
          <cell r="AJ234"/>
          <cell r="AK234"/>
          <cell r="AL234"/>
          <cell r="AM234"/>
          <cell r="AN234"/>
          <cell r="AO234"/>
          <cell r="AP234"/>
          <cell r="AQ234"/>
          <cell r="AR234"/>
          <cell r="AS234"/>
          <cell r="AT234"/>
          <cell r="AU234"/>
          <cell r="AV234"/>
          <cell r="AW234"/>
          <cell r="AX234"/>
          <cell r="AY234"/>
          <cell r="AZ234"/>
          <cell r="BA234"/>
          <cell r="BB234"/>
          <cell r="BC234"/>
          <cell r="BD234"/>
          <cell r="BE234"/>
          <cell r="BF234"/>
          <cell r="BG234"/>
          <cell r="BH234"/>
          <cell r="BI234"/>
          <cell r="BJ234"/>
          <cell r="BK234"/>
          <cell r="BL234"/>
          <cell r="BM234"/>
          <cell r="BN234"/>
          <cell r="BO234"/>
          <cell r="BP234"/>
          <cell r="BQ234"/>
          <cell r="BR234"/>
          <cell r="BS234"/>
          <cell r="BT234"/>
          <cell r="BU234"/>
          <cell r="BV234"/>
          <cell r="BW234"/>
          <cell r="BX234"/>
          <cell r="BY234"/>
        </row>
        <row r="235">
          <cell r="B235" t="str">
            <v>33208-MX</v>
          </cell>
          <cell r="D235"/>
          <cell r="E235"/>
          <cell r="F235"/>
          <cell r="G235"/>
          <cell r="H235"/>
          <cell r="I235"/>
          <cell r="J235"/>
          <cell r="K235"/>
          <cell r="L235"/>
          <cell r="M235"/>
          <cell r="N235"/>
          <cell r="O235"/>
          <cell r="P235"/>
          <cell r="Q235"/>
          <cell r="R235"/>
          <cell r="S235"/>
          <cell r="T235"/>
          <cell r="U235"/>
          <cell r="V235"/>
          <cell r="W235"/>
          <cell r="X235"/>
          <cell r="Y235"/>
          <cell r="Z235"/>
          <cell r="AA235"/>
          <cell r="AB235"/>
          <cell r="AC235"/>
          <cell r="AD235"/>
          <cell r="AE235"/>
          <cell r="AF235"/>
          <cell r="AG235"/>
          <cell r="AH235"/>
          <cell r="AI235"/>
          <cell r="AJ235"/>
          <cell r="AK235"/>
          <cell r="AL235"/>
          <cell r="AM235"/>
          <cell r="AN235"/>
          <cell r="AO235"/>
          <cell r="AP235"/>
          <cell r="AQ235"/>
          <cell r="AR235"/>
          <cell r="AS235"/>
          <cell r="AT235"/>
          <cell r="AU235"/>
          <cell r="AV235"/>
          <cell r="AW235"/>
          <cell r="AX235"/>
          <cell r="AY235"/>
          <cell r="AZ235"/>
          <cell r="BA235"/>
          <cell r="BB235"/>
          <cell r="BC235"/>
          <cell r="BD235"/>
          <cell r="BE235"/>
          <cell r="BF235"/>
          <cell r="BG235"/>
          <cell r="BH235"/>
          <cell r="BI235"/>
          <cell r="BJ235"/>
          <cell r="BK235"/>
          <cell r="BL235"/>
          <cell r="BM235"/>
          <cell r="BN235"/>
          <cell r="BO235"/>
          <cell r="BP235"/>
          <cell r="BQ235"/>
          <cell r="BR235"/>
          <cell r="BS235"/>
          <cell r="BT235"/>
          <cell r="BU235"/>
          <cell r="BV235"/>
          <cell r="BW235"/>
          <cell r="BX235"/>
          <cell r="BY235"/>
        </row>
        <row r="236">
          <cell r="B236" t="str">
            <v>32308-MX</v>
          </cell>
          <cell r="D236"/>
          <cell r="E236"/>
          <cell r="F236"/>
          <cell r="G236"/>
          <cell r="H236"/>
          <cell r="I236"/>
          <cell r="J236"/>
          <cell r="K236"/>
          <cell r="L236"/>
          <cell r="M236"/>
          <cell r="N236"/>
          <cell r="O236"/>
          <cell r="P236"/>
          <cell r="Q236"/>
          <cell r="R236"/>
          <cell r="S236"/>
          <cell r="T236"/>
          <cell r="U236"/>
          <cell r="V236"/>
          <cell r="W236"/>
          <cell r="X236"/>
          <cell r="Y236"/>
          <cell r="Z236"/>
          <cell r="AA236"/>
          <cell r="AB236"/>
          <cell r="AC236"/>
          <cell r="AD236"/>
          <cell r="AE236"/>
          <cell r="AF236"/>
          <cell r="AG236"/>
          <cell r="AH236"/>
          <cell r="AI236"/>
          <cell r="AJ236"/>
          <cell r="AK236"/>
          <cell r="AL236"/>
          <cell r="AM236"/>
          <cell r="AN236"/>
          <cell r="AO236"/>
          <cell r="AP236"/>
          <cell r="AQ236"/>
          <cell r="AR236"/>
          <cell r="AS236"/>
          <cell r="AT236"/>
          <cell r="AU236"/>
          <cell r="AV236"/>
          <cell r="AW236"/>
          <cell r="AX236"/>
          <cell r="AY236"/>
          <cell r="AZ236"/>
          <cell r="BA236"/>
          <cell r="BB236"/>
          <cell r="BC236"/>
          <cell r="BD236"/>
          <cell r="BE236"/>
          <cell r="BF236"/>
          <cell r="BG236"/>
          <cell r="BH236"/>
          <cell r="BI236"/>
          <cell r="BJ236"/>
          <cell r="BK236"/>
          <cell r="BL236"/>
          <cell r="BM236"/>
          <cell r="BN236"/>
          <cell r="BO236"/>
          <cell r="BP236"/>
          <cell r="BQ236"/>
          <cell r="BR236"/>
          <cell r="BS236"/>
          <cell r="BT236"/>
          <cell r="BU236"/>
          <cell r="BV236"/>
          <cell r="BW236"/>
          <cell r="BX236"/>
          <cell r="BY236"/>
        </row>
        <row r="237">
          <cell r="B237" t="str">
            <v>ASL206-30RG</v>
          </cell>
          <cell r="D237"/>
          <cell r="E237"/>
          <cell r="F237"/>
          <cell r="G237"/>
          <cell r="H237"/>
          <cell r="I237"/>
          <cell r="J237"/>
          <cell r="K237"/>
          <cell r="L237"/>
          <cell r="M237"/>
          <cell r="N237"/>
          <cell r="O237"/>
          <cell r="P237"/>
          <cell r="Q237"/>
          <cell r="R237"/>
          <cell r="S237"/>
          <cell r="T237"/>
          <cell r="U237"/>
          <cell r="V237"/>
          <cell r="W237"/>
          <cell r="X237"/>
          <cell r="Y237"/>
          <cell r="Z237"/>
          <cell r="AA237"/>
          <cell r="AB237"/>
          <cell r="AC237"/>
          <cell r="AD237"/>
          <cell r="AE237"/>
          <cell r="AF237"/>
          <cell r="AG237"/>
          <cell r="AH237"/>
          <cell r="AI237"/>
          <cell r="AJ237"/>
          <cell r="AK237"/>
          <cell r="AL237"/>
          <cell r="AM237"/>
          <cell r="AN237"/>
          <cell r="AO237"/>
          <cell r="AP237"/>
          <cell r="AQ237"/>
          <cell r="AR237"/>
          <cell r="AS237"/>
          <cell r="AT237"/>
          <cell r="AU237"/>
          <cell r="AV237"/>
          <cell r="AW237"/>
          <cell r="AX237"/>
          <cell r="AY237"/>
          <cell r="AZ237"/>
          <cell r="BA237"/>
          <cell r="BB237"/>
          <cell r="BC237"/>
          <cell r="BD237"/>
          <cell r="BE237"/>
          <cell r="BF237"/>
          <cell r="BG237"/>
          <cell r="BH237"/>
          <cell r="BI237"/>
          <cell r="BJ237"/>
          <cell r="BK237"/>
          <cell r="BL237"/>
          <cell r="BM237"/>
          <cell r="BN237"/>
          <cell r="BO237"/>
          <cell r="BP237"/>
          <cell r="BQ237"/>
          <cell r="BR237"/>
          <cell r="BS237"/>
          <cell r="BT237"/>
          <cell r="BU237"/>
          <cell r="BV237"/>
          <cell r="BW237"/>
          <cell r="BX237"/>
          <cell r="BY237"/>
        </row>
        <row r="238">
          <cell r="B238" t="str">
            <v>F-208-C</v>
          </cell>
          <cell r="D238"/>
          <cell r="E238"/>
          <cell r="F238"/>
          <cell r="G238"/>
          <cell r="H238"/>
          <cell r="I238"/>
          <cell r="J238"/>
          <cell r="K238"/>
          <cell r="L238"/>
          <cell r="M238"/>
          <cell r="N238"/>
          <cell r="O238"/>
          <cell r="P238"/>
          <cell r="Q238"/>
          <cell r="R238"/>
          <cell r="S238"/>
          <cell r="T238"/>
          <cell r="U238"/>
          <cell r="V238"/>
          <cell r="W238"/>
          <cell r="X238"/>
          <cell r="Y238"/>
          <cell r="Z238"/>
          <cell r="AA238"/>
          <cell r="AB238"/>
          <cell r="AC238"/>
          <cell r="AD238"/>
          <cell r="AE238"/>
          <cell r="AF238"/>
          <cell r="AG238"/>
          <cell r="AH238"/>
          <cell r="AI238"/>
          <cell r="AJ238"/>
          <cell r="AK238"/>
          <cell r="AL238"/>
          <cell r="AM238"/>
          <cell r="AN238"/>
          <cell r="AO238"/>
          <cell r="AP238"/>
          <cell r="AQ238"/>
          <cell r="AR238"/>
          <cell r="AS238"/>
          <cell r="AT238"/>
          <cell r="AU238"/>
          <cell r="AV238"/>
          <cell r="AW238"/>
          <cell r="AX238"/>
          <cell r="AY238"/>
          <cell r="AZ238"/>
          <cell r="BA238"/>
          <cell r="BB238"/>
          <cell r="BC238"/>
          <cell r="BD238"/>
          <cell r="BE238"/>
          <cell r="BF238"/>
          <cell r="BG238"/>
          <cell r="BH238"/>
          <cell r="BI238"/>
          <cell r="BJ238"/>
          <cell r="BK238"/>
          <cell r="BL238"/>
          <cell r="BM238"/>
          <cell r="BN238"/>
          <cell r="BO238"/>
          <cell r="BP238"/>
          <cell r="BQ238"/>
          <cell r="BR238"/>
          <cell r="BS238"/>
          <cell r="BT238"/>
          <cell r="BU238"/>
          <cell r="BV238"/>
          <cell r="BW238"/>
          <cell r="BX238"/>
          <cell r="BY238"/>
        </row>
        <row r="239">
          <cell r="B239" t="str">
            <v>FC-207-M</v>
          </cell>
          <cell r="D239"/>
          <cell r="E239"/>
          <cell r="F239"/>
          <cell r="G239"/>
          <cell r="H239"/>
          <cell r="I239"/>
          <cell r="J239"/>
          <cell r="K239"/>
          <cell r="L239"/>
          <cell r="M239"/>
          <cell r="N239"/>
          <cell r="O239"/>
          <cell r="P239"/>
          <cell r="Q239"/>
          <cell r="R239"/>
          <cell r="S239"/>
          <cell r="T239"/>
          <cell r="U239"/>
          <cell r="V239"/>
          <cell r="W239"/>
          <cell r="X239"/>
          <cell r="Y239"/>
          <cell r="Z239"/>
          <cell r="AA239"/>
          <cell r="AB239"/>
          <cell r="AC239"/>
          <cell r="AD239"/>
          <cell r="AE239"/>
          <cell r="AF239"/>
          <cell r="AG239"/>
          <cell r="AH239"/>
          <cell r="AI239"/>
          <cell r="AJ239"/>
          <cell r="AK239"/>
          <cell r="AL239"/>
          <cell r="AM239"/>
          <cell r="AN239"/>
          <cell r="AO239"/>
          <cell r="AP239"/>
          <cell r="AQ239"/>
          <cell r="AR239"/>
          <cell r="AS239"/>
          <cell r="AT239"/>
          <cell r="AU239"/>
          <cell r="AV239"/>
          <cell r="AW239"/>
          <cell r="AX239"/>
          <cell r="AY239"/>
          <cell r="AZ239"/>
          <cell r="BA239"/>
          <cell r="BB239"/>
          <cell r="BC239"/>
          <cell r="BD239"/>
          <cell r="BE239"/>
          <cell r="BF239"/>
          <cell r="BG239"/>
          <cell r="BH239"/>
          <cell r="BI239"/>
          <cell r="BJ239"/>
          <cell r="BK239"/>
          <cell r="BL239"/>
          <cell r="BM239"/>
          <cell r="BN239"/>
          <cell r="BO239"/>
          <cell r="BP239"/>
          <cell r="BQ239"/>
          <cell r="BR239"/>
          <cell r="BS239"/>
          <cell r="BT239"/>
          <cell r="BU239"/>
          <cell r="BV239"/>
          <cell r="BW239"/>
          <cell r="BX239"/>
          <cell r="BY239"/>
        </row>
        <row r="240">
          <cell r="B240" t="str">
            <v>HCP209-28</v>
          </cell>
          <cell r="D240"/>
          <cell r="E240"/>
          <cell r="F240"/>
          <cell r="G240"/>
          <cell r="H240"/>
          <cell r="I240"/>
          <cell r="J240"/>
          <cell r="K240"/>
          <cell r="L240"/>
          <cell r="M240"/>
          <cell r="N240"/>
          <cell r="O240"/>
          <cell r="P240"/>
          <cell r="Q240"/>
          <cell r="R240"/>
          <cell r="S240"/>
          <cell r="T240"/>
          <cell r="U240"/>
          <cell r="V240"/>
          <cell r="W240"/>
          <cell r="X240"/>
          <cell r="Y240"/>
          <cell r="Z240"/>
          <cell r="AA240"/>
          <cell r="AB240"/>
          <cell r="AC240"/>
          <cell r="AD240"/>
          <cell r="AE240"/>
          <cell r="AF240"/>
          <cell r="AG240"/>
          <cell r="AH240"/>
          <cell r="AI240"/>
          <cell r="AJ240"/>
          <cell r="AK240"/>
          <cell r="AL240"/>
          <cell r="AM240"/>
          <cell r="AN240"/>
          <cell r="AO240"/>
          <cell r="AP240"/>
          <cell r="AQ240"/>
          <cell r="AR240"/>
          <cell r="AS240"/>
          <cell r="AT240"/>
          <cell r="AU240"/>
          <cell r="AV240"/>
          <cell r="AW240"/>
          <cell r="AX240"/>
          <cell r="AY240"/>
          <cell r="AZ240"/>
          <cell r="BA240"/>
          <cell r="BB240"/>
          <cell r="BC240"/>
          <cell r="BD240"/>
          <cell r="BE240"/>
          <cell r="BF240"/>
          <cell r="BG240"/>
          <cell r="BH240"/>
          <cell r="BI240"/>
          <cell r="BJ240"/>
          <cell r="BK240"/>
          <cell r="BL240"/>
          <cell r="BM240"/>
          <cell r="BN240"/>
          <cell r="BO240"/>
          <cell r="BP240"/>
          <cell r="BQ240"/>
          <cell r="BR240"/>
          <cell r="BS240"/>
          <cell r="BT240"/>
          <cell r="BU240"/>
          <cell r="BV240"/>
          <cell r="BW240"/>
          <cell r="BX240"/>
          <cell r="BY240"/>
        </row>
        <row r="241">
          <cell r="B241" t="str">
            <v>PB000849</v>
          </cell>
          <cell r="D241"/>
          <cell r="E241"/>
          <cell r="F241"/>
          <cell r="G241"/>
          <cell r="H241"/>
          <cell r="I241"/>
          <cell r="J241"/>
          <cell r="K241"/>
          <cell r="L241"/>
          <cell r="M241"/>
          <cell r="N241"/>
          <cell r="O241"/>
          <cell r="P241"/>
          <cell r="Q241"/>
          <cell r="R241"/>
          <cell r="S241"/>
          <cell r="T241"/>
          <cell r="U241"/>
          <cell r="V241"/>
          <cell r="W241"/>
          <cell r="X241"/>
          <cell r="Y241"/>
          <cell r="Z241"/>
          <cell r="AA241"/>
          <cell r="AB241"/>
          <cell r="AC241"/>
          <cell r="AD241"/>
          <cell r="AE241"/>
          <cell r="AF241"/>
          <cell r="AG241"/>
          <cell r="AH241"/>
          <cell r="AI241"/>
          <cell r="AJ241"/>
          <cell r="AK241"/>
          <cell r="AL241"/>
          <cell r="AM241"/>
          <cell r="AN241"/>
          <cell r="AO241"/>
          <cell r="AP241"/>
          <cell r="AQ241"/>
          <cell r="AR241"/>
          <cell r="AS241"/>
          <cell r="AT241"/>
          <cell r="AU241"/>
          <cell r="AV241"/>
          <cell r="AW241"/>
          <cell r="AX241"/>
          <cell r="AY241"/>
          <cell r="AZ241"/>
          <cell r="BA241"/>
          <cell r="BB241"/>
          <cell r="BC241"/>
          <cell r="BD241"/>
          <cell r="BE241"/>
          <cell r="BF241"/>
          <cell r="BG241"/>
          <cell r="BH241"/>
          <cell r="BI241"/>
          <cell r="BJ241"/>
          <cell r="BK241"/>
          <cell r="BL241"/>
          <cell r="BM241"/>
          <cell r="BN241"/>
          <cell r="BO241"/>
          <cell r="BP241"/>
          <cell r="BQ241"/>
          <cell r="BR241"/>
          <cell r="BS241"/>
          <cell r="BT241"/>
          <cell r="BU241"/>
          <cell r="BV241"/>
          <cell r="BW241"/>
          <cell r="BX241"/>
          <cell r="BY241"/>
        </row>
        <row r="242">
          <cell r="B242" t="str">
            <v>32205-MX</v>
          </cell>
          <cell r="D242"/>
          <cell r="E242"/>
          <cell r="F242"/>
          <cell r="G242"/>
          <cell r="H242"/>
          <cell r="I242"/>
          <cell r="J242"/>
          <cell r="K242"/>
          <cell r="L242"/>
          <cell r="M242"/>
          <cell r="N242"/>
          <cell r="O242"/>
          <cell r="P242"/>
          <cell r="Q242"/>
          <cell r="R242"/>
          <cell r="S242"/>
          <cell r="T242"/>
          <cell r="U242"/>
          <cell r="V242"/>
          <cell r="W242"/>
          <cell r="X242"/>
          <cell r="Y242"/>
          <cell r="Z242"/>
          <cell r="AA242"/>
          <cell r="AB242"/>
          <cell r="AC242"/>
          <cell r="AD242"/>
          <cell r="AE242"/>
          <cell r="AF242"/>
          <cell r="AG242"/>
          <cell r="AH242"/>
          <cell r="AI242"/>
          <cell r="AJ242"/>
          <cell r="AK242"/>
          <cell r="AL242"/>
          <cell r="AM242"/>
          <cell r="AN242"/>
          <cell r="AO242"/>
          <cell r="AP242"/>
          <cell r="AQ242"/>
          <cell r="AR242"/>
          <cell r="AS242"/>
          <cell r="AT242"/>
          <cell r="AU242"/>
          <cell r="AV242"/>
          <cell r="AW242"/>
          <cell r="AX242"/>
          <cell r="AY242"/>
          <cell r="AZ242"/>
          <cell r="BA242"/>
          <cell r="BB242"/>
          <cell r="BC242"/>
          <cell r="BD242"/>
          <cell r="BE242"/>
          <cell r="BF242"/>
          <cell r="BG242"/>
          <cell r="BH242"/>
          <cell r="BI242"/>
          <cell r="BJ242"/>
          <cell r="BK242"/>
          <cell r="BL242"/>
          <cell r="BM242"/>
          <cell r="BN242"/>
          <cell r="BO242"/>
          <cell r="BP242"/>
          <cell r="BQ242"/>
          <cell r="BR242"/>
          <cell r="BS242"/>
          <cell r="BT242"/>
          <cell r="BU242"/>
          <cell r="BV242"/>
          <cell r="BW242"/>
          <cell r="BX242"/>
          <cell r="BY242"/>
        </row>
        <row r="243">
          <cell r="B243" t="str">
            <v>BP15009</v>
          </cell>
          <cell r="D243"/>
          <cell r="E243"/>
          <cell r="F243"/>
          <cell r="G243"/>
          <cell r="H243"/>
          <cell r="I243"/>
          <cell r="J243"/>
          <cell r="K243"/>
          <cell r="L243"/>
          <cell r="M243"/>
          <cell r="N243"/>
          <cell r="O243"/>
          <cell r="P243"/>
          <cell r="Q243"/>
          <cell r="R243"/>
          <cell r="S243"/>
          <cell r="T243"/>
          <cell r="U243"/>
          <cell r="V243"/>
          <cell r="W243"/>
          <cell r="X243"/>
          <cell r="Y243"/>
          <cell r="Z243"/>
          <cell r="AA243"/>
          <cell r="AB243"/>
          <cell r="AC243"/>
          <cell r="AD243"/>
          <cell r="AE243"/>
          <cell r="AF243"/>
          <cell r="AG243"/>
          <cell r="AH243"/>
          <cell r="AI243"/>
          <cell r="AJ243"/>
          <cell r="AK243"/>
          <cell r="AL243"/>
          <cell r="AM243"/>
          <cell r="AN243"/>
          <cell r="AO243"/>
          <cell r="AP243"/>
          <cell r="AQ243"/>
          <cell r="AR243"/>
          <cell r="AS243"/>
          <cell r="AT243"/>
          <cell r="AU243"/>
          <cell r="AV243"/>
          <cell r="AW243"/>
          <cell r="AX243"/>
          <cell r="AY243"/>
          <cell r="AZ243"/>
          <cell r="BA243"/>
          <cell r="BB243"/>
          <cell r="BC243"/>
          <cell r="BD243"/>
          <cell r="BE243"/>
          <cell r="BF243"/>
          <cell r="BG243"/>
          <cell r="BH243"/>
          <cell r="BI243"/>
          <cell r="BJ243"/>
          <cell r="BK243"/>
          <cell r="BL243"/>
          <cell r="BM243"/>
          <cell r="BN243"/>
          <cell r="BO243"/>
          <cell r="BP243"/>
          <cell r="BQ243"/>
          <cell r="BR243"/>
          <cell r="BS243"/>
          <cell r="BT243"/>
          <cell r="BU243"/>
          <cell r="BV243"/>
          <cell r="BW243"/>
          <cell r="BX243"/>
          <cell r="BY243"/>
        </row>
        <row r="244">
          <cell r="B244" t="str">
            <v>33010-MX</v>
          </cell>
          <cell r="D244"/>
          <cell r="E244"/>
          <cell r="F244"/>
          <cell r="G244"/>
          <cell r="H244"/>
          <cell r="I244"/>
          <cell r="J244"/>
          <cell r="K244"/>
          <cell r="L244"/>
          <cell r="M244"/>
          <cell r="N244"/>
          <cell r="O244"/>
          <cell r="P244"/>
          <cell r="Q244"/>
          <cell r="R244"/>
          <cell r="S244"/>
          <cell r="T244"/>
          <cell r="U244"/>
          <cell r="V244"/>
          <cell r="W244"/>
          <cell r="X244"/>
          <cell r="Y244"/>
          <cell r="Z244"/>
          <cell r="AA244"/>
          <cell r="AB244"/>
          <cell r="AC244"/>
          <cell r="AD244"/>
          <cell r="AE244"/>
          <cell r="AF244"/>
          <cell r="AG244"/>
          <cell r="AH244"/>
          <cell r="AI244"/>
          <cell r="AJ244"/>
          <cell r="AK244"/>
          <cell r="AL244"/>
          <cell r="AM244"/>
          <cell r="AN244"/>
          <cell r="AO244"/>
          <cell r="AP244"/>
          <cell r="AQ244"/>
          <cell r="AR244"/>
          <cell r="AS244"/>
          <cell r="AT244"/>
          <cell r="AU244"/>
          <cell r="AV244"/>
          <cell r="AW244"/>
          <cell r="AX244"/>
          <cell r="AY244"/>
          <cell r="AZ244"/>
          <cell r="BA244"/>
          <cell r="BB244"/>
          <cell r="BC244"/>
          <cell r="BD244"/>
          <cell r="BE244"/>
          <cell r="BF244"/>
          <cell r="BG244"/>
          <cell r="BH244"/>
          <cell r="BI244"/>
          <cell r="BJ244"/>
          <cell r="BK244"/>
          <cell r="BL244"/>
          <cell r="BM244"/>
          <cell r="BN244"/>
          <cell r="BO244"/>
          <cell r="BP244"/>
          <cell r="BQ244"/>
          <cell r="BR244"/>
          <cell r="BS244"/>
          <cell r="BT244"/>
          <cell r="BU244"/>
          <cell r="BV244"/>
          <cell r="BW244"/>
          <cell r="BX244"/>
          <cell r="BY244"/>
        </row>
        <row r="245">
          <cell r="B245" t="str">
            <v>SAB210-50DG</v>
          </cell>
          <cell r="D245"/>
          <cell r="E245"/>
          <cell r="F245"/>
          <cell r="G245"/>
          <cell r="H245"/>
          <cell r="I245"/>
          <cell r="J245"/>
          <cell r="K245"/>
          <cell r="L245"/>
          <cell r="M245"/>
          <cell r="N245"/>
          <cell r="O245"/>
          <cell r="P245"/>
          <cell r="Q245"/>
          <cell r="R245"/>
          <cell r="S245"/>
          <cell r="T245"/>
          <cell r="U245"/>
          <cell r="V245"/>
          <cell r="W245"/>
          <cell r="X245"/>
          <cell r="Y245"/>
          <cell r="Z245"/>
          <cell r="AA245"/>
          <cell r="AB245"/>
          <cell r="AC245"/>
          <cell r="AD245"/>
          <cell r="AE245"/>
          <cell r="AF245"/>
          <cell r="AG245"/>
          <cell r="AH245"/>
          <cell r="AI245"/>
          <cell r="AJ245"/>
          <cell r="AK245"/>
          <cell r="AL245"/>
          <cell r="AM245"/>
          <cell r="AN245"/>
          <cell r="AO245"/>
          <cell r="AP245"/>
          <cell r="AQ245"/>
          <cell r="AR245"/>
          <cell r="AS245"/>
          <cell r="AT245"/>
          <cell r="AU245"/>
          <cell r="AV245"/>
          <cell r="AW245"/>
          <cell r="AX245"/>
          <cell r="AY245"/>
          <cell r="AZ245"/>
          <cell r="BA245"/>
          <cell r="BB245"/>
          <cell r="BC245"/>
          <cell r="BD245"/>
          <cell r="BE245"/>
          <cell r="BF245"/>
          <cell r="BG245"/>
          <cell r="BH245"/>
          <cell r="BI245"/>
          <cell r="BJ245"/>
          <cell r="BK245"/>
          <cell r="BL245"/>
          <cell r="BM245"/>
          <cell r="BN245"/>
          <cell r="BO245"/>
          <cell r="BP245"/>
          <cell r="BQ245"/>
          <cell r="BR245"/>
          <cell r="BS245"/>
          <cell r="BT245"/>
          <cell r="BU245"/>
          <cell r="BV245"/>
          <cell r="BW245"/>
          <cell r="BX245"/>
          <cell r="BY245"/>
        </row>
        <row r="246">
          <cell r="B246" t="str">
            <v>33209-MX</v>
          </cell>
          <cell r="D246"/>
          <cell r="E246"/>
          <cell r="F246"/>
          <cell r="G246"/>
          <cell r="H246"/>
          <cell r="I246"/>
          <cell r="J246"/>
          <cell r="K246"/>
          <cell r="L246"/>
          <cell r="M246"/>
          <cell r="N246"/>
          <cell r="O246"/>
          <cell r="P246"/>
          <cell r="Q246"/>
          <cell r="R246"/>
          <cell r="S246"/>
          <cell r="T246"/>
          <cell r="U246"/>
          <cell r="V246"/>
          <cell r="W246"/>
          <cell r="X246"/>
          <cell r="Y246"/>
          <cell r="Z246"/>
          <cell r="AA246"/>
          <cell r="AB246"/>
          <cell r="AC246"/>
          <cell r="AD246"/>
          <cell r="AE246"/>
          <cell r="AF246"/>
          <cell r="AG246"/>
          <cell r="AH246"/>
          <cell r="AI246"/>
          <cell r="AJ246"/>
          <cell r="AK246"/>
          <cell r="AL246"/>
          <cell r="AM246"/>
          <cell r="AN246"/>
          <cell r="AO246"/>
          <cell r="AP246"/>
          <cell r="AQ246"/>
          <cell r="AR246"/>
          <cell r="AS246"/>
          <cell r="AT246"/>
          <cell r="AU246"/>
          <cell r="AV246"/>
          <cell r="AW246"/>
          <cell r="AX246"/>
          <cell r="AY246"/>
          <cell r="AZ246"/>
          <cell r="BA246"/>
          <cell r="BB246"/>
          <cell r="BC246"/>
          <cell r="BD246"/>
          <cell r="BE246"/>
          <cell r="BF246"/>
          <cell r="BG246"/>
          <cell r="BH246"/>
          <cell r="BI246"/>
          <cell r="BJ246"/>
          <cell r="BK246"/>
          <cell r="BL246"/>
          <cell r="BM246"/>
          <cell r="BN246"/>
          <cell r="BO246"/>
          <cell r="BP246"/>
          <cell r="BQ246"/>
          <cell r="BR246"/>
          <cell r="BS246"/>
          <cell r="BT246"/>
          <cell r="BU246"/>
          <cell r="BV246"/>
          <cell r="BW246"/>
          <cell r="BX246"/>
          <cell r="BY246"/>
        </row>
        <row r="247">
          <cell r="B247" t="str">
            <v>CF5202-RM16</v>
          </cell>
          <cell r="D247"/>
          <cell r="E247"/>
          <cell r="F247"/>
          <cell r="G247"/>
          <cell r="H247"/>
          <cell r="I247"/>
          <cell r="J247"/>
          <cell r="K247"/>
          <cell r="L247"/>
          <cell r="M247"/>
          <cell r="N247"/>
          <cell r="O247"/>
          <cell r="P247"/>
          <cell r="Q247"/>
          <cell r="R247"/>
          <cell r="S247"/>
          <cell r="T247"/>
          <cell r="U247"/>
          <cell r="V247"/>
          <cell r="W247"/>
          <cell r="X247"/>
          <cell r="Y247"/>
          <cell r="Z247"/>
          <cell r="AA247"/>
          <cell r="AB247"/>
          <cell r="AC247"/>
          <cell r="AD247"/>
          <cell r="AE247"/>
          <cell r="AF247"/>
          <cell r="AG247"/>
          <cell r="AH247"/>
          <cell r="AI247"/>
          <cell r="AJ247"/>
          <cell r="AK247"/>
          <cell r="AL247"/>
          <cell r="AM247"/>
          <cell r="AN247"/>
          <cell r="AO247"/>
          <cell r="AP247"/>
          <cell r="AQ247"/>
          <cell r="AR247"/>
          <cell r="AS247"/>
          <cell r="AT247"/>
          <cell r="AU247"/>
          <cell r="AV247"/>
          <cell r="AW247"/>
          <cell r="AX247"/>
          <cell r="AY247"/>
          <cell r="AZ247"/>
          <cell r="BA247"/>
          <cell r="BB247"/>
          <cell r="BC247"/>
          <cell r="BD247"/>
          <cell r="BE247"/>
          <cell r="BF247"/>
          <cell r="BG247"/>
          <cell r="BH247"/>
          <cell r="BI247"/>
          <cell r="BJ247"/>
          <cell r="BK247"/>
          <cell r="BL247"/>
          <cell r="BM247"/>
          <cell r="BN247"/>
          <cell r="BO247"/>
          <cell r="BP247"/>
          <cell r="BQ247"/>
          <cell r="BR247"/>
          <cell r="BS247"/>
          <cell r="BT247"/>
          <cell r="BU247"/>
          <cell r="BV247"/>
          <cell r="BW247"/>
          <cell r="BX247"/>
          <cell r="BY247"/>
        </row>
        <row r="248">
          <cell r="B248" t="str">
            <v>BP15010</v>
          </cell>
          <cell r="D248"/>
          <cell r="E248"/>
          <cell r="F248"/>
          <cell r="G248"/>
          <cell r="H248"/>
          <cell r="I248"/>
          <cell r="J248"/>
          <cell r="K248"/>
          <cell r="L248"/>
          <cell r="M248"/>
          <cell r="N248"/>
          <cell r="O248"/>
          <cell r="P248"/>
          <cell r="Q248"/>
          <cell r="R248"/>
          <cell r="S248"/>
          <cell r="T248"/>
          <cell r="U248"/>
          <cell r="V248"/>
          <cell r="W248"/>
          <cell r="X248"/>
          <cell r="Y248"/>
          <cell r="Z248"/>
          <cell r="AA248"/>
          <cell r="AB248"/>
          <cell r="AC248"/>
          <cell r="AD248"/>
          <cell r="AE248"/>
          <cell r="AF248"/>
          <cell r="AG248"/>
          <cell r="AH248"/>
          <cell r="AI248"/>
          <cell r="AJ248"/>
          <cell r="AK248"/>
          <cell r="AL248"/>
          <cell r="AM248"/>
          <cell r="AN248"/>
          <cell r="AO248"/>
          <cell r="AP248"/>
          <cell r="AQ248"/>
          <cell r="AR248"/>
          <cell r="AS248"/>
          <cell r="AT248"/>
          <cell r="AU248"/>
          <cell r="AV248"/>
          <cell r="AW248"/>
          <cell r="AX248"/>
          <cell r="AY248"/>
          <cell r="AZ248"/>
          <cell r="BA248"/>
          <cell r="BB248"/>
          <cell r="BC248"/>
          <cell r="BD248"/>
          <cell r="BE248"/>
          <cell r="BF248"/>
          <cell r="BG248"/>
          <cell r="BH248"/>
          <cell r="BI248"/>
          <cell r="BJ248"/>
          <cell r="BK248"/>
          <cell r="BL248"/>
          <cell r="BM248"/>
          <cell r="BN248"/>
          <cell r="BO248"/>
          <cell r="BP248"/>
          <cell r="BQ248"/>
          <cell r="BR248"/>
          <cell r="BS248"/>
          <cell r="BT248"/>
          <cell r="BU248"/>
          <cell r="BV248"/>
          <cell r="BW248"/>
          <cell r="BX248"/>
          <cell r="BY248"/>
        </row>
        <row r="249">
          <cell r="B249" t="str">
            <v>207-KRRB17</v>
          </cell>
          <cell r="D249"/>
          <cell r="E249"/>
          <cell r="F249"/>
          <cell r="G249"/>
          <cell r="H249"/>
          <cell r="I249"/>
          <cell r="J249"/>
          <cell r="K249"/>
          <cell r="L249"/>
          <cell r="M249"/>
          <cell r="N249"/>
          <cell r="O249"/>
          <cell r="P249"/>
          <cell r="Q249"/>
          <cell r="R249"/>
          <cell r="S249"/>
          <cell r="T249"/>
          <cell r="U249"/>
          <cell r="V249"/>
          <cell r="W249"/>
          <cell r="X249"/>
          <cell r="Y249"/>
          <cell r="Z249"/>
          <cell r="AA249"/>
          <cell r="AB249"/>
          <cell r="AC249"/>
          <cell r="AD249"/>
          <cell r="AE249"/>
          <cell r="AF249"/>
          <cell r="AG249"/>
          <cell r="AH249"/>
          <cell r="AI249"/>
          <cell r="AJ249"/>
          <cell r="AK249"/>
          <cell r="AL249"/>
          <cell r="AM249"/>
          <cell r="AN249"/>
          <cell r="AO249"/>
          <cell r="AP249"/>
          <cell r="AQ249"/>
          <cell r="AR249"/>
          <cell r="AS249"/>
          <cell r="AT249"/>
          <cell r="AU249"/>
          <cell r="AV249"/>
          <cell r="AW249"/>
          <cell r="AX249"/>
          <cell r="AY249"/>
          <cell r="AZ249"/>
          <cell r="BA249"/>
          <cell r="BB249"/>
          <cell r="BC249"/>
          <cell r="BD249"/>
          <cell r="BE249"/>
          <cell r="BF249"/>
          <cell r="BG249"/>
          <cell r="BH249"/>
          <cell r="BI249"/>
          <cell r="BJ249"/>
          <cell r="BK249"/>
          <cell r="BL249"/>
          <cell r="BM249"/>
          <cell r="BN249"/>
          <cell r="BO249"/>
          <cell r="BP249"/>
          <cell r="BQ249"/>
          <cell r="BR249"/>
          <cell r="BS249"/>
          <cell r="BT249"/>
          <cell r="BU249"/>
          <cell r="BV249"/>
          <cell r="BW249"/>
          <cell r="BX249"/>
          <cell r="BY249"/>
        </row>
        <row r="250">
          <cell r="B250" t="str">
            <v>HCP207-22G</v>
          </cell>
          <cell r="D250"/>
          <cell r="E250"/>
          <cell r="F250"/>
          <cell r="G250"/>
          <cell r="H250"/>
          <cell r="I250"/>
          <cell r="J250"/>
          <cell r="K250"/>
          <cell r="L250"/>
          <cell r="M250"/>
          <cell r="N250"/>
          <cell r="O250"/>
          <cell r="P250"/>
          <cell r="Q250"/>
          <cell r="R250"/>
          <cell r="S250"/>
          <cell r="T250"/>
          <cell r="U250"/>
          <cell r="V250"/>
          <cell r="W250"/>
          <cell r="X250"/>
          <cell r="Y250"/>
          <cell r="Z250"/>
          <cell r="AA250"/>
          <cell r="AB250"/>
          <cell r="AC250"/>
          <cell r="AD250"/>
          <cell r="AE250"/>
          <cell r="AF250"/>
          <cell r="AG250"/>
          <cell r="AH250"/>
          <cell r="AI250"/>
          <cell r="AJ250"/>
          <cell r="AK250"/>
          <cell r="AL250"/>
          <cell r="AM250"/>
          <cell r="AN250"/>
          <cell r="AO250"/>
          <cell r="AP250"/>
          <cell r="AQ250"/>
          <cell r="AR250"/>
          <cell r="AS250"/>
          <cell r="AT250"/>
          <cell r="AU250"/>
          <cell r="AV250"/>
          <cell r="AW250"/>
          <cell r="AX250"/>
          <cell r="AY250"/>
          <cell r="AZ250"/>
          <cell r="BA250"/>
          <cell r="BB250"/>
          <cell r="BC250"/>
          <cell r="BD250"/>
          <cell r="BE250"/>
          <cell r="BF250"/>
          <cell r="BG250"/>
          <cell r="BH250"/>
          <cell r="BI250"/>
          <cell r="BJ250"/>
          <cell r="BK250"/>
          <cell r="BL250"/>
          <cell r="BM250"/>
          <cell r="BN250"/>
          <cell r="BO250"/>
          <cell r="BP250"/>
          <cell r="BQ250"/>
          <cell r="BR250"/>
          <cell r="BS250"/>
          <cell r="BT250"/>
          <cell r="BU250"/>
          <cell r="BV250"/>
          <cell r="BW250"/>
          <cell r="BX250"/>
          <cell r="BY250"/>
        </row>
        <row r="251">
          <cell r="B251" t="str">
            <v>FHLP205-16</v>
          </cell>
          <cell r="D251"/>
          <cell r="E251"/>
          <cell r="F251"/>
          <cell r="G251"/>
          <cell r="H251"/>
          <cell r="I251"/>
          <cell r="J251"/>
          <cell r="K251"/>
          <cell r="L251"/>
          <cell r="M251"/>
          <cell r="N251"/>
          <cell r="O251"/>
          <cell r="P251"/>
          <cell r="Q251"/>
          <cell r="R251"/>
          <cell r="S251"/>
          <cell r="T251"/>
          <cell r="U251"/>
          <cell r="V251"/>
          <cell r="W251"/>
          <cell r="X251"/>
          <cell r="Y251"/>
          <cell r="Z251"/>
          <cell r="AA251"/>
          <cell r="AB251"/>
          <cell r="AC251"/>
          <cell r="AD251"/>
          <cell r="AE251"/>
          <cell r="AF251"/>
          <cell r="AG251"/>
          <cell r="AH251"/>
          <cell r="AI251"/>
          <cell r="AJ251"/>
          <cell r="AK251"/>
          <cell r="AL251"/>
          <cell r="AM251"/>
          <cell r="AN251"/>
          <cell r="AO251"/>
          <cell r="AP251"/>
          <cell r="AQ251"/>
          <cell r="AR251"/>
          <cell r="AS251"/>
          <cell r="AT251"/>
          <cell r="AU251"/>
          <cell r="AV251"/>
          <cell r="AW251"/>
          <cell r="AX251"/>
          <cell r="AY251"/>
          <cell r="AZ251"/>
          <cell r="BA251"/>
          <cell r="BB251"/>
          <cell r="BC251"/>
          <cell r="BD251"/>
          <cell r="BE251"/>
          <cell r="BF251"/>
          <cell r="BG251"/>
          <cell r="BH251"/>
          <cell r="BI251"/>
          <cell r="BJ251"/>
          <cell r="BK251"/>
          <cell r="BL251"/>
          <cell r="BM251"/>
          <cell r="BN251"/>
          <cell r="BO251"/>
          <cell r="BP251"/>
          <cell r="BQ251"/>
          <cell r="BR251"/>
          <cell r="BS251"/>
          <cell r="BT251"/>
          <cell r="BU251"/>
          <cell r="BV251"/>
          <cell r="BW251"/>
          <cell r="BX251"/>
          <cell r="BY251"/>
        </row>
        <row r="252">
          <cell r="B252" t="str">
            <v>ACL206-20</v>
          </cell>
          <cell r="D252"/>
          <cell r="E252"/>
          <cell r="F252"/>
          <cell r="G252"/>
          <cell r="H252"/>
          <cell r="I252"/>
          <cell r="J252"/>
          <cell r="K252"/>
          <cell r="L252"/>
          <cell r="M252"/>
          <cell r="N252"/>
          <cell r="O252"/>
          <cell r="P252"/>
          <cell r="Q252"/>
          <cell r="R252"/>
          <cell r="S252"/>
          <cell r="T252"/>
          <cell r="U252"/>
          <cell r="V252"/>
          <cell r="W252"/>
          <cell r="X252"/>
          <cell r="Y252"/>
          <cell r="Z252"/>
          <cell r="AA252"/>
          <cell r="AB252"/>
          <cell r="AC252"/>
          <cell r="AD252"/>
          <cell r="AE252"/>
          <cell r="AF252"/>
          <cell r="AG252"/>
          <cell r="AH252"/>
          <cell r="AI252"/>
          <cell r="AJ252"/>
          <cell r="AK252"/>
          <cell r="AL252"/>
          <cell r="AM252"/>
          <cell r="AN252"/>
          <cell r="AO252"/>
          <cell r="AP252"/>
          <cell r="AQ252"/>
          <cell r="AR252"/>
          <cell r="AS252"/>
          <cell r="AT252"/>
          <cell r="AU252"/>
          <cell r="AV252"/>
          <cell r="AW252"/>
          <cell r="AX252"/>
          <cell r="AY252"/>
          <cell r="AZ252"/>
          <cell r="BA252"/>
          <cell r="BB252"/>
          <cell r="BC252"/>
          <cell r="BD252"/>
          <cell r="BE252"/>
          <cell r="BF252"/>
          <cell r="BG252"/>
          <cell r="BH252"/>
          <cell r="BI252"/>
          <cell r="BJ252"/>
          <cell r="BK252"/>
          <cell r="BL252"/>
          <cell r="BM252"/>
          <cell r="BN252"/>
          <cell r="BO252"/>
          <cell r="BP252"/>
          <cell r="BQ252"/>
          <cell r="BR252"/>
          <cell r="BS252"/>
          <cell r="BT252"/>
          <cell r="BU252"/>
          <cell r="BV252"/>
          <cell r="BW252"/>
          <cell r="BX252"/>
          <cell r="BY252"/>
        </row>
        <row r="253">
          <cell r="B253" t="str">
            <v>32310-MX</v>
          </cell>
          <cell r="D253"/>
          <cell r="E253"/>
          <cell r="F253"/>
          <cell r="G253"/>
          <cell r="H253"/>
          <cell r="I253"/>
          <cell r="J253"/>
          <cell r="K253"/>
          <cell r="L253"/>
          <cell r="M253"/>
          <cell r="N253"/>
          <cell r="O253"/>
          <cell r="P253"/>
          <cell r="Q253"/>
          <cell r="R253"/>
          <cell r="S253"/>
          <cell r="T253"/>
          <cell r="U253"/>
          <cell r="V253"/>
          <cell r="W253"/>
          <cell r="X253"/>
          <cell r="Y253"/>
          <cell r="Z253"/>
          <cell r="AA253"/>
          <cell r="AB253"/>
          <cell r="AC253"/>
          <cell r="AD253"/>
          <cell r="AE253"/>
          <cell r="AF253"/>
          <cell r="AG253"/>
          <cell r="AH253"/>
          <cell r="AI253"/>
          <cell r="AJ253"/>
          <cell r="AK253"/>
          <cell r="AL253"/>
          <cell r="AM253"/>
          <cell r="AN253"/>
          <cell r="AO253"/>
          <cell r="AP253"/>
          <cell r="AQ253"/>
          <cell r="AR253"/>
          <cell r="AS253"/>
          <cell r="AT253"/>
          <cell r="AU253"/>
          <cell r="AV253"/>
          <cell r="AW253"/>
          <cell r="AX253"/>
          <cell r="AY253"/>
          <cell r="AZ253"/>
          <cell r="BA253"/>
          <cell r="BB253"/>
          <cell r="BC253"/>
          <cell r="BD253"/>
          <cell r="BE253"/>
          <cell r="BF253"/>
          <cell r="BG253"/>
          <cell r="BH253"/>
          <cell r="BI253"/>
          <cell r="BJ253"/>
          <cell r="BK253"/>
          <cell r="BL253"/>
          <cell r="BM253"/>
          <cell r="BN253"/>
          <cell r="BO253"/>
          <cell r="BP253"/>
          <cell r="BQ253"/>
          <cell r="BR253"/>
          <cell r="BS253"/>
          <cell r="BT253"/>
          <cell r="BU253"/>
          <cell r="BV253"/>
          <cell r="BW253"/>
          <cell r="BX253"/>
          <cell r="BY253"/>
        </row>
        <row r="254">
          <cell r="B254" t="str">
            <v>32309-MX</v>
          </cell>
          <cell r="D254"/>
          <cell r="E254"/>
          <cell r="F254"/>
          <cell r="G254"/>
          <cell r="H254"/>
          <cell r="I254"/>
          <cell r="J254"/>
          <cell r="K254"/>
          <cell r="L254"/>
          <cell r="M254"/>
          <cell r="N254"/>
          <cell r="O254"/>
          <cell r="P254"/>
          <cell r="Q254"/>
          <cell r="R254"/>
          <cell r="S254"/>
          <cell r="T254"/>
          <cell r="U254"/>
          <cell r="V254"/>
          <cell r="W254"/>
          <cell r="X254"/>
          <cell r="Y254"/>
          <cell r="Z254"/>
          <cell r="AA254"/>
          <cell r="AB254"/>
          <cell r="AC254"/>
          <cell r="AD254"/>
          <cell r="AE254"/>
          <cell r="AF254"/>
          <cell r="AG254"/>
          <cell r="AH254"/>
          <cell r="AI254"/>
          <cell r="AJ254"/>
          <cell r="AK254"/>
          <cell r="AL254"/>
          <cell r="AM254"/>
          <cell r="AN254"/>
          <cell r="AO254"/>
          <cell r="AP254"/>
          <cell r="AQ254"/>
          <cell r="AR254"/>
          <cell r="AS254"/>
          <cell r="AT254"/>
          <cell r="AU254"/>
          <cell r="AV254"/>
          <cell r="AW254"/>
          <cell r="AX254"/>
          <cell r="AY254"/>
          <cell r="AZ254"/>
          <cell r="BA254"/>
          <cell r="BB254"/>
          <cell r="BC254"/>
          <cell r="BD254"/>
          <cell r="BE254"/>
          <cell r="BF254"/>
          <cell r="BG254"/>
          <cell r="BH254"/>
          <cell r="BI254"/>
          <cell r="BJ254"/>
          <cell r="BK254"/>
          <cell r="BL254"/>
          <cell r="BM254"/>
          <cell r="BN254"/>
          <cell r="BO254"/>
          <cell r="BP254"/>
          <cell r="BQ254"/>
          <cell r="BR254"/>
          <cell r="BS254"/>
          <cell r="BT254"/>
          <cell r="BU254"/>
          <cell r="BV254"/>
          <cell r="BW254"/>
          <cell r="BX254"/>
          <cell r="BY254"/>
        </row>
        <row r="255">
          <cell r="B255" t="str">
            <v>DTR2047-FM</v>
          </cell>
          <cell r="D255"/>
          <cell r="E255"/>
          <cell r="F255"/>
          <cell r="G255"/>
          <cell r="H255"/>
          <cell r="I255"/>
          <cell r="J255"/>
          <cell r="K255"/>
          <cell r="L255"/>
          <cell r="M255"/>
          <cell r="N255"/>
          <cell r="O255"/>
          <cell r="P255"/>
          <cell r="Q255"/>
          <cell r="R255"/>
          <cell r="S255"/>
          <cell r="T255"/>
          <cell r="U255"/>
          <cell r="V255"/>
          <cell r="W255"/>
          <cell r="X255"/>
          <cell r="Y255"/>
          <cell r="Z255"/>
          <cell r="AA255"/>
          <cell r="AB255"/>
          <cell r="AC255"/>
          <cell r="AD255"/>
          <cell r="AE255"/>
          <cell r="AF255"/>
          <cell r="AG255"/>
          <cell r="AH255"/>
          <cell r="AI255"/>
          <cell r="AJ255"/>
          <cell r="AK255"/>
          <cell r="AL255"/>
          <cell r="AM255"/>
          <cell r="AN255"/>
          <cell r="AO255"/>
          <cell r="AP255"/>
          <cell r="AQ255"/>
          <cell r="AR255"/>
          <cell r="AS255"/>
          <cell r="AT255"/>
          <cell r="AU255"/>
          <cell r="AV255"/>
          <cell r="AW255"/>
          <cell r="AX255"/>
          <cell r="AY255"/>
          <cell r="AZ255"/>
          <cell r="BA255"/>
          <cell r="BB255"/>
          <cell r="BC255"/>
          <cell r="BD255"/>
          <cell r="BE255"/>
          <cell r="BF255"/>
          <cell r="BG255"/>
          <cell r="BH255"/>
          <cell r="BI255"/>
          <cell r="BJ255"/>
          <cell r="BK255"/>
          <cell r="BL255"/>
          <cell r="BM255"/>
          <cell r="BN255"/>
          <cell r="BO255"/>
          <cell r="BP255"/>
          <cell r="BQ255"/>
          <cell r="BR255"/>
          <cell r="BS255"/>
          <cell r="BT255"/>
          <cell r="BU255"/>
          <cell r="BV255"/>
          <cell r="BW255"/>
          <cell r="BX255"/>
          <cell r="BY255"/>
        </row>
        <row r="256">
          <cell r="B256" t="str">
            <v>205-KYYB5</v>
          </cell>
          <cell r="D256"/>
          <cell r="E256"/>
          <cell r="F256"/>
          <cell r="G256"/>
          <cell r="H256"/>
          <cell r="I256"/>
          <cell r="J256"/>
          <cell r="K256"/>
          <cell r="L256"/>
          <cell r="M256"/>
          <cell r="N256"/>
          <cell r="O256"/>
          <cell r="P256"/>
          <cell r="Q256"/>
          <cell r="R256"/>
          <cell r="S256"/>
          <cell r="T256"/>
          <cell r="U256"/>
          <cell r="V256"/>
          <cell r="W256"/>
          <cell r="X256"/>
          <cell r="Y256"/>
          <cell r="Z256"/>
          <cell r="AA256"/>
          <cell r="AB256"/>
          <cell r="AC256"/>
          <cell r="AD256"/>
          <cell r="AE256"/>
          <cell r="AF256"/>
          <cell r="AG256"/>
          <cell r="AH256"/>
          <cell r="AI256"/>
          <cell r="AJ256"/>
          <cell r="AK256"/>
          <cell r="AL256"/>
          <cell r="AM256"/>
          <cell r="AN256"/>
          <cell r="AO256"/>
          <cell r="AP256"/>
          <cell r="AQ256"/>
          <cell r="AR256"/>
          <cell r="AS256"/>
          <cell r="AT256"/>
          <cell r="AU256"/>
          <cell r="AV256"/>
          <cell r="AW256"/>
          <cell r="AX256"/>
          <cell r="AY256"/>
          <cell r="AZ256"/>
          <cell r="BA256"/>
          <cell r="BB256"/>
          <cell r="BC256"/>
          <cell r="BD256"/>
          <cell r="BE256"/>
          <cell r="BF256"/>
          <cell r="BG256"/>
          <cell r="BH256"/>
          <cell r="BI256"/>
          <cell r="BJ256"/>
          <cell r="BK256"/>
          <cell r="BL256"/>
          <cell r="BM256"/>
          <cell r="BN256"/>
          <cell r="BO256"/>
          <cell r="BP256"/>
          <cell r="BQ256"/>
          <cell r="BR256"/>
          <cell r="BS256"/>
          <cell r="BT256"/>
          <cell r="BU256"/>
          <cell r="BV256"/>
          <cell r="BW256"/>
          <cell r="BX256"/>
          <cell r="BY256"/>
        </row>
        <row r="257">
          <cell r="B257" t="str">
            <v>SAB-206-30DG</v>
          </cell>
          <cell r="D257"/>
          <cell r="E257"/>
          <cell r="F257"/>
          <cell r="G257"/>
          <cell r="H257"/>
          <cell r="I257"/>
          <cell r="J257"/>
          <cell r="K257"/>
          <cell r="L257"/>
          <cell r="M257"/>
          <cell r="N257"/>
          <cell r="O257"/>
          <cell r="P257"/>
          <cell r="Q257"/>
          <cell r="R257"/>
          <cell r="S257"/>
          <cell r="T257"/>
          <cell r="U257"/>
          <cell r="V257"/>
          <cell r="W257"/>
          <cell r="X257"/>
          <cell r="Y257"/>
          <cell r="Z257"/>
          <cell r="AA257"/>
          <cell r="AB257"/>
          <cell r="AC257"/>
          <cell r="AD257"/>
          <cell r="AE257"/>
          <cell r="AF257"/>
          <cell r="AG257"/>
          <cell r="AH257"/>
          <cell r="AI257"/>
          <cell r="AJ257"/>
          <cell r="AK257"/>
          <cell r="AL257"/>
          <cell r="AM257"/>
          <cell r="AN257"/>
          <cell r="AO257"/>
          <cell r="AP257"/>
          <cell r="AQ257"/>
          <cell r="AR257"/>
          <cell r="AS257"/>
          <cell r="AT257"/>
          <cell r="AU257"/>
          <cell r="AV257"/>
          <cell r="AW257"/>
          <cell r="AX257"/>
          <cell r="AY257"/>
          <cell r="AZ257"/>
          <cell r="BA257"/>
          <cell r="BB257"/>
          <cell r="BC257"/>
          <cell r="BD257"/>
          <cell r="BE257"/>
          <cell r="BF257"/>
          <cell r="BG257"/>
          <cell r="BH257"/>
          <cell r="BI257"/>
          <cell r="BJ257"/>
          <cell r="BK257"/>
          <cell r="BL257"/>
          <cell r="BM257"/>
          <cell r="BN257"/>
          <cell r="BO257"/>
          <cell r="BP257"/>
          <cell r="BQ257"/>
          <cell r="BR257"/>
          <cell r="BS257"/>
          <cell r="BT257"/>
          <cell r="BU257"/>
          <cell r="BV257"/>
          <cell r="BW257"/>
          <cell r="BX257"/>
          <cell r="BY257"/>
        </row>
        <row r="258">
          <cell r="B258" t="str">
            <v>ECL207-23</v>
          </cell>
          <cell r="D258"/>
          <cell r="E258"/>
          <cell r="F258"/>
          <cell r="G258"/>
          <cell r="H258"/>
          <cell r="I258"/>
          <cell r="J258"/>
          <cell r="K258"/>
          <cell r="L258"/>
          <cell r="M258"/>
          <cell r="N258"/>
          <cell r="O258"/>
          <cell r="P258"/>
          <cell r="Q258"/>
          <cell r="R258"/>
          <cell r="S258"/>
          <cell r="T258"/>
          <cell r="U258"/>
          <cell r="V258"/>
          <cell r="W258"/>
          <cell r="X258"/>
          <cell r="Y258"/>
          <cell r="Z258"/>
          <cell r="AA258"/>
          <cell r="AB258"/>
          <cell r="AC258"/>
          <cell r="AD258"/>
          <cell r="AE258"/>
          <cell r="AF258"/>
          <cell r="AG258"/>
          <cell r="AH258"/>
          <cell r="AI258"/>
          <cell r="AJ258"/>
          <cell r="AK258"/>
          <cell r="AL258"/>
          <cell r="AM258"/>
          <cell r="AN258"/>
          <cell r="AO258"/>
          <cell r="AP258"/>
          <cell r="AQ258"/>
          <cell r="AR258"/>
          <cell r="AS258"/>
          <cell r="AT258"/>
          <cell r="AU258"/>
          <cell r="AV258"/>
          <cell r="AW258"/>
          <cell r="AX258"/>
          <cell r="AY258"/>
          <cell r="AZ258"/>
          <cell r="BA258"/>
          <cell r="BB258"/>
          <cell r="BC258"/>
          <cell r="BD258"/>
          <cell r="BE258"/>
          <cell r="BF258"/>
          <cell r="BG258"/>
          <cell r="BH258"/>
          <cell r="BI258"/>
          <cell r="BJ258"/>
          <cell r="BK258"/>
          <cell r="BL258"/>
          <cell r="BM258"/>
          <cell r="BN258"/>
          <cell r="BO258"/>
          <cell r="BP258"/>
          <cell r="BQ258"/>
          <cell r="BR258"/>
          <cell r="BS258"/>
          <cell r="BT258"/>
          <cell r="BU258"/>
          <cell r="BV258"/>
          <cell r="BW258"/>
          <cell r="BX258"/>
          <cell r="BY258"/>
        </row>
        <row r="259">
          <cell r="B259" t="str">
            <v>32016-MX</v>
          </cell>
          <cell r="D259"/>
          <cell r="E259"/>
          <cell r="F259"/>
          <cell r="G259"/>
          <cell r="H259"/>
          <cell r="I259"/>
          <cell r="J259"/>
          <cell r="K259"/>
          <cell r="L259"/>
          <cell r="M259"/>
          <cell r="N259"/>
          <cell r="O259"/>
          <cell r="P259"/>
          <cell r="Q259"/>
          <cell r="R259"/>
          <cell r="S259"/>
          <cell r="T259"/>
          <cell r="U259"/>
          <cell r="V259"/>
          <cell r="W259"/>
          <cell r="X259"/>
          <cell r="Y259"/>
          <cell r="Z259"/>
          <cell r="AA259"/>
          <cell r="AB259"/>
          <cell r="AC259"/>
          <cell r="AD259"/>
          <cell r="AE259"/>
          <cell r="AF259"/>
          <cell r="AG259"/>
          <cell r="AH259"/>
          <cell r="AI259"/>
          <cell r="AJ259"/>
          <cell r="AK259"/>
          <cell r="AL259"/>
          <cell r="AM259"/>
          <cell r="AN259"/>
          <cell r="AO259"/>
          <cell r="AP259"/>
          <cell r="AQ259"/>
          <cell r="AR259"/>
          <cell r="AS259"/>
          <cell r="AT259"/>
          <cell r="AU259"/>
          <cell r="AV259"/>
          <cell r="AW259"/>
          <cell r="AX259"/>
          <cell r="AY259"/>
          <cell r="AZ259"/>
          <cell r="BA259"/>
          <cell r="BB259"/>
          <cell r="BC259"/>
          <cell r="BD259"/>
          <cell r="BE259"/>
          <cell r="BF259"/>
          <cell r="BG259"/>
          <cell r="BH259"/>
          <cell r="BI259"/>
          <cell r="BJ259"/>
          <cell r="BK259"/>
          <cell r="BL259"/>
          <cell r="BM259"/>
          <cell r="BN259"/>
          <cell r="BO259"/>
          <cell r="BP259"/>
          <cell r="BQ259"/>
          <cell r="BR259"/>
          <cell r="BS259"/>
          <cell r="BT259"/>
          <cell r="BU259"/>
          <cell r="BV259"/>
          <cell r="BW259"/>
          <cell r="BX259"/>
          <cell r="BY259"/>
        </row>
        <row r="260">
          <cell r="B260" t="str">
            <v>FT206-M</v>
          </cell>
          <cell r="D260"/>
          <cell r="E260"/>
          <cell r="F260"/>
          <cell r="G260"/>
          <cell r="H260"/>
          <cell r="I260"/>
          <cell r="J260"/>
          <cell r="K260"/>
          <cell r="L260"/>
          <cell r="M260"/>
          <cell r="N260"/>
          <cell r="O260"/>
          <cell r="P260"/>
          <cell r="Q260"/>
          <cell r="R260"/>
          <cell r="S260"/>
          <cell r="T260"/>
          <cell r="U260"/>
          <cell r="V260"/>
          <cell r="W260"/>
          <cell r="X260"/>
          <cell r="Y260"/>
          <cell r="Z260"/>
          <cell r="AA260"/>
          <cell r="AB260"/>
          <cell r="AC260"/>
          <cell r="AD260"/>
          <cell r="AE260"/>
          <cell r="AF260"/>
          <cell r="AG260"/>
          <cell r="AH260"/>
          <cell r="AI260"/>
          <cell r="AJ260"/>
          <cell r="AK260"/>
          <cell r="AL260"/>
          <cell r="AM260"/>
          <cell r="AN260"/>
          <cell r="AO260"/>
          <cell r="AP260"/>
          <cell r="AQ260"/>
          <cell r="AR260"/>
          <cell r="AS260"/>
          <cell r="AT260"/>
          <cell r="AU260"/>
          <cell r="AV260"/>
          <cell r="AW260"/>
          <cell r="AX260"/>
          <cell r="AY260"/>
          <cell r="AZ260"/>
          <cell r="BA260"/>
          <cell r="BB260"/>
          <cell r="BC260"/>
          <cell r="BD260"/>
          <cell r="BE260"/>
          <cell r="BF260"/>
          <cell r="BG260"/>
          <cell r="BH260"/>
          <cell r="BI260"/>
          <cell r="BJ260"/>
          <cell r="BK260"/>
          <cell r="BL260"/>
          <cell r="BM260"/>
          <cell r="BN260"/>
          <cell r="BO260"/>
          <cell r="BP260"/>
          <cell r="BQ260"/>
          <cell r="BR260"/>
          <cell r="BS260"/>
          <cell r="BT260"/>
          <cell r="BU260"/>
          <cell r="BV260"/>
          <cell r="BW260"/>
          <cell r="BX260"/>
          <cell r="BY260"/>
        </row>
        <row r="261">
          <cell r="B261" t="str">
            <v>FHFD205-16</v>
          </cell>
          <cell r="D261"/>
          <cell r="E261"/>
          <cell r="F261"/>
          <cell r="G261"/>
          <cell r="H261"/>
          <cell r="I261"/>
          <cell r="J261"/>
          <cell r="K261"/>
          <cell r="L261"/>
          <cell r="M261"/>
          <cell r="N261"/>
          <cell r="O261"/>
          <cell r="P261"/>
          <cell r="Q261"/>
          <cell r="R261"/>
          <cell r="S261"/>
          <cell r="T261"/>
          <cell r="U261"/>
          <cell r="V261"/>
          <cell r="W261"/>
          <cell r="X261"/>
          <cell r="Y261"/>
          <cell r="Z261"/>
          <cell r="AA261"/>
          <cell r="AB261"/>
          <cell r="AC261"/>
          <cell r="AD261"/>
          <cell r="AE261"/>
          <cell r="AF261"/>
          <cell r="AG261"/>
          <cell r="AH261"/>
          <cell r="AI261"/>
          <cell r="AJ261"/>
          <cell r="AK261"/>
          <cell r="AL261"/>
          <cell r="AM261"/>
          <cell r="AN261"/>
          <cell r="AO261"/>
          <cell r="AP261"/>
          <cell r="AQ261"/>
          <cell r="AR261"/>
          <cell r="AS261"/>
          <cell r="AT261"/>
          <cell r="AU261"/>
          <cell r="AV261"/>
          <cell r="AW261"/>
          <cell r="AX261"/>
          <cell r="AY261"/>
          <cell r="AZ261"/>
          <cell r="BA261"/>
          <cell r="BB261"/>
          <cell r="BC261"/>
          <cell r="BD261"/>
          <cell r="BE261"/>
          <cell r="BF261"/>
          <cell r="BG261"/>
          <cell r="BH261"/>
          <cell r="BI261"/>
          <cell r="BJ261"/>
          <cell r="BK261"/>
          <cell r="BL261"/>
          <cell r="BM261"/>
          <cell r="BN261"/>
          <cell r="BO261"/>
          <cell r="BP261"/>
          <cell r="BQ261"/>
          <cell r="BR261"/>
          <cell r="BS261"/>
          <cell r="BT261"/>
          <cell r="BU261"/>
          <cell r="BV261"/>
          <cell r="BW261"/>
          <cell r="BX261"/>
          <cell r="BY261"/>
        </row>
        <row r="262">
          <cell r="B262" t="str">
            <v>33013-MX</v>
          </cell>
          <cell r="D262"/>
          <cell r="E262"/>
          <cell r="F262"/>
          <cell r="G262"/>
          <cell r="H262"/>
          <cell r="I262"/>
          <cell r="J262"/>
          <cell r="K262"/>
          <cell r="L262"/>
          <cell r="M262"/>
          <cell r="N262"/>
          <cell r="O262"/>
          <cell r="P262"/>
          <cell r="Q262"/>
          <cell r="R262"/>
          <cell r="S262"/>
          <cell r="T262"/>
          <cell r="U262"/>
          <cell r="V262"/>
          <cell r="W262"/>
          <cell r="X262"/>
          <cell r="Y262"/>
          <cell r="Z262"/>
          <cell r="AA262"/>
          <cell r="AB262"/>
          <cell r="AC262"/>
          <cell r="AD262"/>
          <cell r="AE262"/>
          <cell r="AF262"/>
          <cell r="AG262"/>
          <cell r="AH262"/>
          <cell r="AI262"/>
          <cell r="AJ262"/>
          <cell r="AK262"/>
          <cell r="AL262"/>
          <cell r="AM262"/>
          <cell r="AN262"/>
          <cell r="AO262"/>
          <cell r="AP262"/>
          <cell r="AQ262"/>
          <cell r="AR262"/>
          <cell r="AS262"/>
          <cell r="AT262"/>
          <cell r="AU262"/>
          <cell r="AV262"/>
          <cell r="AW262"/>
          <cell r="AX262"/>
          <cell r="AY262"/>
          <cell r="AZ262"/>
          <cell r="BA262"/>
          <cell r="BB262"/>
          <cell r="BC262"/>
          <cell r="BD262"/>
          <cell r="BE262"/>
          <cell r="BF262"/>
          <cell r="BG262"/>
          <cell r="BH262"/>
          <cell r="BI262"/>
          <cell r="BJ262"/>
          <cell r="BK262"/>
          <cell r="BL262"/>
          <cell r="BM262"/>
          <cell r="BN262"/>
          <cell r="BO262"/>
          <cell r="BP262"/>
          <cell r="BQ262"/>
          <cell r="BR262"/>
          <cell r="BS262"/>
          <cell r="BT262"/>
          <cell r="BU262"/>
          <cell r="BV262"/>
          <cell r="BW262"/>
          <cell r="BX262"/>
          <cell r="BY262"/>
        </row>
        <row r="263">
          <cell r="B263" t="str">
            <v>32012-MX</v>
          </cell>
          <cell r="D263"/>
          <cell r="E263"/>
          <cell r="F263"/>
          <cell r="G263"/>
          <cell r="H263"/>
          <cell r="I263"/>
          <cell r="J263"/>
          <cell r="K263"/>
          <cell r="L263"/>
          <cell r="M263"/>
          <cell r="N263"/>
          <cell r="O263"/>
          <cell r="P263"/>
          <cell r="Q263"/>
          <cell r="R263"/>
          <cell r="S263"/>
          <cell r="T263"/>
          <cell r="U263"/>
          <cell r="V263"/>
          <cell r="W263"/>
          <cell r="X263"/>
          <cell r="Y263"/>
          <cell r="Z263"/>
          <cell r="AA263"/>
          <cell r="AB263"/>
          <cell r="AC263"/>
          <cell r="AD263"/>
          <cell r="AE263"/>
          <cell r="AF263"/>
          <cell r="AG263"/>
          <cell r="AH263"/>
          <cell r="AI263"/>
          <cell r="AJ263"/>
          <cell r="AK263"/>
          <cell r="AL263"/>
          <cell r="AM263"/>
          <cell r="AN263"/>
          <cell r="AO263"/>
          <cell r="AP263"/>
          <cell r="AQ263"/>
          <cell r="AR263"/>
          <cell r="AS263"/>
          <cell r="AT263"/>
          <cell r="AU263"/>
          <cell r="AV263"/>
          <cell r="AW263"/>
          <cell r="AX263"/>
          <cell r="AY263"/>
          <cell r="AZ263"/>
          <cell r="BA263"/>
          <cell r="BB263"/>
          <cell r="BC263"/>
          <cell r="BD263"/>
          <cell r="BE263"/>
          <cell r="BF263"/>
          <cell r="BG263"/>
          <cell r="BH263"/>
          <cell r="BI263"/>
          <cell r="BJ263"/>
          <cell r="BK263"/>
          <cell r="BL263"/>
          <cell r="BM263"/>
          <cell r="BN263"/>
          <cell r="BO263"/>
          <cell r="BP263"/>
          <cell r="BQ263"/>
          <cell r="BR263"/>
          <cell r="BS263"/>
          <cell r="BT263"/>
          <cell r="BU263"/>
          <cell r="BV263"/>
          <cell r="BW263"/>
          <cell r="BX263"/>
          <cell r="BY263"/>
        </row>
        <row r="264">
          <cell r="B264" t="str">
            <v>6202-2RLD-C3</v>
          </cell>
          <cell r="D264"/>
          <cell r="E264"/>
          <cell r="F264"/>
          <cell r="G264"/>
          <cell r="H264"/>
          <cell r="I264"/>
          <cell r="J264"/>
          <cell r="K264"/>
          <cell r="L264"/>
          <cell r="M264"/>
          <cell r="N264"/>
          <cell r="O264"/>
          <cell r="P264"/>
          <cell r="Q264"/>
          <cell r="R264"/>
          <cell r="S264"/>
          <cell r="T264"/>
          <cell r="U264"/>
          <cell r="V264"/>
          <cell r="W264"/>
          <cell r="X264"/>
          <cell r="Y264"/>
          <cell r="Z264"/>
          <cell r="AA264"/>
          <cell r="AB264"/>
          <cell r="AC264"/>
          <cell r="AD264"/>
          <cell r="AE264"/>
          <cell r="AF264"/>
          <cell r="AG264"/>
          <cell r="AH264"/>
          <cell r="AI264"/>
          <cell r="AJ264"/>
          <cell r="AK264"/>
          <cell r="AL264"/>
          <cell r="AM264"/>
          <cell r="AN264"/>
          <cell r="AO264"/>
          <cell r="AP264"/>
          <cell r="AQ264"/>
          <cell r="AR264"/>
          <cell r="AS264"/>
          <cell r="AT264"/>
          <cell r="AU264"/>
          <cell r="AV264"/>
          <cell r="AW264"/>
          <cell r="AX264"/>
          <cell r="AY264"/>
          <cell r="AZ264"/>
          <cell r="BA264"/>
          <cell r="BB264"/>
          <cell r="BC264"/>
          <cell r="BD264"/>
          <cell r="BE264"/>
          <cell r="BF264"/>
          <cell r="BG264"/>
          <cell r="BH264"/>
          <cell r="BI264"/>
          <cell r="BJ264"/>
          <cell r="BK264"/>
          <cell r="BL264"/>
          <cell r="BM264"/>
          <cell r="BN264"/>
          <cell r="BO264"/>
          <cell r="BP264"/>
          <cell r="BQ264"/>
          <cell r="BR264"/>
          <cell r="BS264"/>
          <cell r="BT264"/>
          <cell r="BU264"/>
          <cell r="BV264"/>
          <cell r="BW264"/>
          <cell r="BX264"/>
          <cell r="BY264"/>
        </row>
        <row r="265">
          <cell r="B265" t="str">
            <v>PB004773</v>
          </cell>
          <cell r="D265"/>
          <cell r="E265"/>
          <cell r="F265"/>
          <cell r="G265"/>
          <cell r="H265"/>
          <cell r="I265"/>
          <cell r="J265"/>
          <cell r="K265"/>
          <cell r="L265"/>
          <cell r="M265"/>
          <cell r="N265"/>
          <cell r="O265"/>
          <cell r="P265"/>
          <cell r="Q265"/>
          <cell r="R265"/>
          <cell r="S265"/>
          <cell r="T265"/>
          <cell r="U265"/>
          <cell r="V265"/>
          <cell r="W265"/>
          <cell r="X265"/>
          <cell r="Y265"/>
          <cell r="Z265"/>
          <cell r="AA265"/>
          <cell r="AB265"/>
          <cell r="AC265"/>
          <cell r="AD265"/>
          <cell r="AE265"/>
          <cell r="AF265"/>
          <cell r="AG265"/>
          <cell r="AH265"/>
          <cell r="AI265"/>
          <cell r="AJ265"/>
          <cell r="AK265"/>
          <cell r="AL265"/>
          <cell r="AM265"/>
          <cell r="AN265"/>
          <cell r="AO265"/>
          <cell r="AP265"/>
          <cell r="AQ265"/>
          <cell r="AR265"/>
          <cell r="AS265"/>
          <cell r="AT265"/>
          <cell r="AU265"/>
          <cell r="AV265"/>
          <cell r="AW265"/>
          <cell r="AX265"/>
          <cell r="AY265"/>
          <cell r="AZ265"/>
          <cell r="BA265"/>
          <cell r="BB265"/>
          <cell r="BC265"/>
          <cell r="BD265"/>
          <cell r="BE265"/>
          <cell r="BF265"/>
          <cell r="BG265"/>
          <cell r="BH265"/>
          <cell r="BI265"/>
          <cell r="BJ265"/>
          <cell r="BK265"/>
          <cell r="BL265"/>
          <cell r="BM265"/>
          <cell r="BN265"/>
          <cell r="BO265"/>
          <cell r="BP265"/>
          <cell r="BQ265"/>
          <cell r="BR265"/>
          <cell r="BS265"/>
          <cell r="BT265"/>
          <cell r="BU265"/>
          <cell r="BV265"/>
          <cell r="BW265"/>
          <cell r="BX265"/>
          <cell r="BY265"/>
        </row>
        <row r="266">
          <cell r="B266" t="str">
            <v>HCP207-20G</v>
          </cell>
          <cell r="D266"/>
          <cell r="E266"/>
          <cell r="F266"/>
          <cell r="G266"/>
          <cell r="H266"/>
          <cell r="I266"/>
          <cell r="J266"/>
          <cell r="K266"/>
          <cell r="L266"/>
          <cell r="M266"/>
          <cell r="N266"/>
          <cell r="O266"/>
          <cell r="P266"/>
          <cell r="Q266"/>
          <cell r="R266"/>
          <cell r="S266"/>
          <cell r="T266"/>
          <cell r="U266"/>
          <cell r="V266"/>
          <cell r="W266"/>
          <cell r="X266"/>
          <cell r="Y266"/>
          <cell r="Z266"/>
          <cell r="AA266"/>
          <cell r="AB266"/>
          <cell r="AC266"/>
          <cell r="AD266"/>
          <cell r="AE266"/>
          <cell r="AF266"/>
          <cell r="AG266"/>
          <cell r="AH266"/>
          <cell r="AI266"/>
          <cell r="AJ266"/>
          <cell r="AK266"/>
          <cell r="AL266"/>
          <cell r="AM266"/>
          <cell r="AN266"/>
          <cell r="AO266"/>
          <cell r="AP266"/>
          <cell r="AQ266"/>
          <cell r="AR266"/>
          <cell r="AS266"/>
          <cell r="AT266"/>
          <cell r="AU266"/>
          <cell r="AV266"/>
          <cell r="AW266"/>
          <cell r="AX266"/>
          <cell r="AY266"/>
          <cell r="AZ266"/>
          <cell r="BA266"/>
          <cell r="BB266"/>
          <cell r="BC266"/>
          <cell r="BD266"/>
          <cell r="BE266"/>
          <cell r="BF266"/>
          <cell r="BG266"/>
          <cell r="BH266"/>
          <cell r="BI266"/>
          <cell r="BJ266"/>
          <cell r="BK266"/>
          <cell r="BL266"/>
          <cell r="BM266"/>
          <cell r="BN266"/>
          <cell r="BO266"/>
          <cell r="BP266"/>
          <cell r="BQ266"/>
          <cell r="BR266"/>
          <cell r="BS266"/>
          <cell r="BT266"/>
          <cell r="BU266"/>
          <cell r="BV266"/>
          <cell r="BW266"/>
          <cell r="BX266"/>
          <cell r="BY266"/>
        </row>
        <row r="267">
          <cell r="B267" t="str">
            <v>PB004012</v>
          </cell>
          <cell r="D267"/>
          <cell r="E267"/>
          <cell r="F267"/>
          <cell r="G267"/>
          <cell r="H267"/>
          <cell r="I267"/>
          <cell r="J267"/>
          <cell r="K267"/>
          <cell r="L267"/>
          <cell r="M267"/>
          <cell r="N267"/>
          <cell r="O267"/>
          <cell r="P267"/>
          <cell r="Q267"/>
          <cell r="R267"/>
          <cell r="S267"/>
          <cell r="T267"/>
          <cell r="U267"/>
          <cell r="V267"/>
          <cell r="W267"/>
          <cell r="X267"/>
          <cell r="Y267"/>
          <cell r="Z267"/>
          <cell r="AA267"/>
          <cell r="AB267"/>
          <cell r="AC267"/>
          <cell r="AD267"/>
          <cell r="AE267"/>
          <cell r="AF267"/>
          <cell r="AG267"/>
          <cell r="AH267"/>
          <cell r="AI267"/>
          <cell r="AJ267"/>
          <cell r="AK267"/>
          <cell r="AL267"/>
          <cell r="AM267"/>
          <cell r="AN267"/>
          <cell r="AO267"/>
          <cell r="AP267"/>
          <cell r="AQ267"/>
          <cell r="AR267"/>
          <cell r="AS267"/>
          <cell r="AT267"/>
          <cell r="AU267"/>
          <cell r="AV267"/>
          <cell r="AW267"/>
          <cell r="AX267"/>
          <cell r="AY267"/>
          <cell r="AZ267"/>
          <cell r="BA267"/>
          <cell r="BB267"/>
          <cell r="BC267"/>
          <cell r="BD267"/>
          <cell r="BE267"/>
          <cell r="BF267"/>
          <cell r="BG267"/>
          <cell r="BH267"/>
          <cell r="BI267"/>
          <cell r="BJ267"/>
          <cell r="BK267"/>
          <cell r="BL267"/>
          <cell r="BM267"/>
          <cell r="BN267"/>
          <cell r="BO267"/>
          <cell r="BP267"/>
          <cell r="BQ267"/>
          <cell r="BR267"/>
          <cell r="BS267"/>
          <cell r="BT267"/>
          <cell r="BU267"/>
          <cell r="BV267"/>
          <cell r="BW267"/>
          <cell r="BX267"/>
          <cell r="BY267"/>
        </row>
        <row r="268">
          <cell r="B268" t="str">
            <v>32312-MX</v>
          </cell>
          <cell r="D268"/>
          <cell r="E268"/>
          <cell r="F268"/>
          <cell r="G268"/>
          <cell r="H268"/>
          <cell r="I268"/>
          <cell r="J268"/>
          <cell r="K268"/>
          <cell r="L268"/>
          <cell r="M268"/>
          <cell r="N268"/>
          <cell r="O268"/>
          <cell r="P268"/>
          <cell r="Q268"/>
          <cell r="R268"/>
          <cell r="S268"/>
          <cell r="T268"/>
          <cell r="U268"/>
          <cell r="V268"/>
          <cell r="W268"/>
          <cell r="X268"/>
          <cell r="Y268"/>
          <cell r="Z268"/>
          <cell r="AA268"/>
          <cell r="AB268"/>
          <cell r="AC268"/>
          <cell r="AD268"/>
          <cell r="AE268"/>
          <cell r="AF268"/>
          <cell r="AG268"/>
          <cell r="AH268"/>
          <cell r="AI268"/>
          <cell r="AJ268"/>
          <cell r="AK268"/>
          <cell r="AL268"/>
          <cell r="AM268"/>
          <cell r="AN268"/>
          <cell r="AO268"/>
          <cell r="AP268"/>
          <cell r="AQ268"/>
          <cell r="AR268"/>
          <cell r="AS268"/>
          <cell r="AT268"/>
          <cell r="AU268"/>
          <cell r="AV268"/>
          <cell r="AW268"/>
          <cell r="AX268"/>
          <cell r="AY268"/>
          <cell r="AZ268"/>
          <cell r="BA268"/>
          <cell r="BB268"/>
          <cell r="BC268"/>
          <cell r="BD268"/>
          <cell r="BE268"/>
          <cell r="BF268"/>
          <cell r="BG268"/>
          <cell r="BH268"/>
          <cell r="BI268"/>
          <cell r="BJ268"/>
          <cell r="BK268"/>
          <cell r="BL268"/>
          <cell r="BM268"/>
          <cell r="BN268"/>
          <cell r="BO268"/>
          <cell r="BP268"/>
          <cell r="BQ268"/>
          <cell r="BR268"/>
          <cell r="BS268"/>
          <cell r="BT268"/>
          <cell r="BU268"/>
          <cell r="BV268"/>
          <cell r="BW268"/>
          <cell r="BX268"/>
          <cell r="BY268"/>
        </row>
        <row r="269">
          <cell r="B269" t="str">
            <v>BP-21003</v>
          </cell>
          <cell r="D269"/>
          <cell r="E269"/>
          <cell r="F269"/>
          <cell r="G269"/>
          <cell r="H269"/>
          <cell r="I269"/>
          <cell r="J269"/>
          <cell r="K269"/>
          <cell r="L269"/>
          <cell r="M269"/>
          <cell r="N269"/>
          <cell r="O269"/>
          <cell r="P269"/>
          <cell r="Q269"/>
          <cell r="R269"/>
          <cell r="S269"/>
          <cell r="T269"/>
          <cell r="U269"/>
          <cell r="V269"/>
          <cell r="W269"/>
          <cell r="X269"/>
          <cell r="Y269"/>
          <cell r="Z269"/>
          <cell r="AA269"/>
          <cell r="AB269"/>
          <cell r="AC269"/>
          <cell r="AD269"/>
          <cell r="AE269"/>
          <cell r="AF269"/>
          <cell r="AG269"/>
          <cell r="AH269"/>
          <cell r="AI269"/>
          <cell r="AJ269"/>
          <cell r="AK269"/>
          <cell r="AL269"/>
          <cell r="AM269"/>
          <cell r="AN269"/>
          <cell r="AO269"/>
          <cell r="AP269"/>
          <cell r="AQ269"/>
          <cell r="AR269"/>
          <cell r="AS269"/>
          <cell r="AT269"/>
          <cell r="AU269"/>
          <cell r="AV269"/>
          <cell r="AW269"/>
          <cell r="AX269"/>
          <cell r="AY269"/>
          <cell r="AZ269"/>
          <cell r="BA269"/>
          <cell r="BB269"/>
          <cell r="BC269"/>
          <cell r="BD269"/>
          <cell r="BE269"/>
          <cell r="BF269"/>
          <cell r="BG269"/>
          <cell r="BH269"/>
          <cell r="BI269"/>
          <cell r="BJ269"/>
          <cell r="BK269"/>
          <cell r="BL269"/>
          <cell r="BM269"/>
          <cell r="BN269"/>
          <cell r="BO269"/>
          <cell r="BP269"/>
          <cell r="BQ269"/>
          <cell r="BR269"/>
          <cell r="BS269"/>
          <cell r="BT269"/>
          <cell r="BU269"/>
          <cell r="BV269"/>
          <cell r="BW269"/>
          <cell r="BX269"/>
          <cell r="BY269"/>
        </row>
        <row r="270">
          <cell r="B270" t="str">
            <v>7209-B</v>
          </cell>
          <cell r="D270"/>
          <cell r="E270"/>
          <cell r="F270"/>
          <cell r="G270"/>
          <cell r="H270"/>
          <cell r="I270"/>
          <cell r="J270"/>
          <cell r="K270"/>
          <cell r="L270"/>
          <cell r="M270"/>
          <cell r="N270"/>
          <cell r="O270"/>
          <cell r="P270"/>
          <cell r="Q270"/>
          <cell r="R270"/>
          <cell r="S270"/>
          <cell r="T270"/>
          <cell r="U270"/>
          <cell r="V270"/>
          <cell r="W270"/>
          <cell r="X270"/>
          <cell r="Y270"/>
          <cell r="Z270"/>
          <cell r="AA270"/>
          <cell r="AB270"/>
          <cell r="AC270"/>
          <cell r="AD270"/>
          <cell r="AE270"/>
          <cell r="AF270"/>
          <cell r="AG270"/>
          <cell r="AH270"/>
          <cell r="AI270"/>
          <cell r="AJ270"/>
          <cell r="AK270"/>
          <cell r="AL270"/>
          <cell r="AM270"/>
          <cell r="AN270"/>
          <cell r="AO270"/>
          <cell r="AP270"/>
          <cell r="AQ270"/>
          <cell r="AR270"/>
          <cell r="AS270"/>
          <cell r="AT270"/>
          <cell r="AU270"/>
          <cell r="AV270"/>
          <cell r="AW270"/>
          <cell r="AX270"/>
          <cell r="AY270"/>
          <cell r="AZ270"/>
          <cell r="BA270"/>
          <cell r="BB270"/>
          <cell r="BC270"/>
          <cell r="BD270"/>
          <cell r="BE270"/>
          <cell r="BF270"/>
          <cell r="BG270"/>
          <cell r="BH270"/>
          <cell r="BI270"/>
          <cell r="BJ270"/>
          <cell r="BK270"/>
          <cell r="BL270"/>
          <cell r="BM270"/>
          <cell r="BN270"/>
          <cell r="BO270"/>
          <cell r="BP270"/>
          <cell r="BQ270"/>
          <cell r="BR270"/>
          <cell r="BS270"/>
          <cell r="BT270"/>
          <cell r="BU270"/>
          <cell r="BV270"/>
          <cell r="BW270"/>
          <cell r="BX270"/>
          <cell r="BY270"/>
        </row>
        <row r="271">
          <cell r="B271" t="str">
            <v>204-KRRB2</v>
          </cell>
          <cell r="D271"/>
          <cell r="E271"/>
          <cell r="F271"/>
          <cell r="G271"/>
          <cell r="H271"/>
          <cell r="I271"/>
          <cell r="J271"/>
          <cell r="K271"/>
          <cell r="L271"/>
          <cell r="M271"/>
          <cell r="N271"/>
          <cell r="O271"/>
          <cell r="P271"/>
          <cell r="Q271"/>
          <cell r="R271"/>
          <cell r="S271"/>
          <cell r="T271"/>
          <cell r="U271"/>
          <cell r="V271"/>
          <cell r="W271"/>
          <cell r="X271"/>
          <cell r="Y271"/>
          <cell r="Z271"/>
          <cell r="AA271"/>
          <cell r="AB271"/>
          <cell r="AC271"/>
          <cell r="AD271"/>
          <cell r="AE271"/>
          <cell r="AF271"/>
          <cell r="AG271"/>
          <cell r="AH271"/>
          <cell r="AI271"/>
          <cell r="AJ271"/>
          <cell r="AK271"/>
          <cell r="AL271"/>
          <cell r="AM271"/>
          <cell r="AN271"/>
          <cell r="AO271"/>
          <cell r="AP271"/>
          <cell r="AQ271"/>
          <cell r="AR271"/>
          <cell r="AS271"/>
          <cell r="AT271"/>
          <cell r="AU271"/>
          <cell r="AV271"/>
          <cell r="AW271"/>
          <cell r="AX271"/>
          <cell r="AY271"/>
          <cell r="AZ271"/>
          <cell r="BA271"/>
          <cell r="BB271"/>
          <cell r="BC271"/>
          <cell r="BD271"/>
          <cell r="BE271"/>
          <cell r="BF271"/>
          <cell r="BG271"/>
          <cell r="BH271"/>
          <cell r="BI271"/>
          <cell r="BJ271"/>
          <cell r="BK271"/>
          <cell r="BL271"/>
          <cell r="BM271"/>
          <cell r="BN271"/>
          <cell r="BO271"/>
          <cell r="BP271"/>
          <cell r="BQ271"/>
          <cell r="BR271"/>
          <cell r="BS271"/>
          <cell r="BT271"/>
          <cell r="BU271"/>
          <cell r="BV271"/>
          <cell r="BW271"/>
          <cell r="BX271"/>
          <cell r="BY271"/>
        </row>
        <row r="272">
          <cell r="B272" t="str">
            <v>CA627-M40A-9</v>
          </cell>
          <cell r="D272"/>
          <cell r="E272"/>
          <cell r="F272"/>
          <cell r="G272"/>
          <cell r="H272"/>
          <cell r="I272"/>
          <cell r="J272"/>
          <cell r="K272"/>
          <cell r="L272"/>
          <cell r="M272"/>
          <cell r="N272"/>
          <cell r="O272"/>
          <cell r="P272"/>
          <cell r="Q272"/>
          <cell r="R272"/>
          <cell r="S272"/>
          <cell r="T272"/>
          <cell r="U272"/>
          <cell r="V272"/>
          <cell r="W272"/>
          <cell r="X272"/>
          <cell r="Y272"/>
          <cell r="Z272"/>
          <cell r="AA272"/>
          <cell r="AB272"/>
          <cell r="AC272"/>
          <cell r="AD272"/>
          <cell r="AE272"/>
          <cell r="AF272"/>
          <cell r="AG272"/>
          <cell r="AH272"/>
          <cell r="AI272"/>
          <cell r="AJ272"/>
          <cell r="AK272"/>
          <cell r="AL272"/>
          <cell r="AM272"/>
          <cell r="AN272"/>
          <cell r="AO272"/>
          <cell r="AP272"/>
          <cell r="AQ272"/>
          <cell r="AR272"/>
          <cell r="AS272"/>
          <cell r="AT272"/>
          <cell r="AU272"/>
          <cell r="AV272"/>
          <cell r="AW272"/>
          <cell r="AX272"/>
          <cell r="AY272"/>
          <cell r="AZ272"/>
          <cell r="BA272"/>
          <cell r="BB272"/>
          <cell r="BC272"/>
          <cell r="BD272"/>
          <cell r="BE272"/>
          <cell r="BF272"/>
          <cell r="BG272"/>
          <cell r="BH272"/>
          <cell r="BI272"/>
          <cell r="BJ272"/>
          <cell r="BK272"/>
          <cell r="BL272"/>
          <cell r="BM272"/>
          <cell r="BN272"/>
          <cell r="BO272"/>
          <cell r="BP272"/>
          <cell r="BQ272"/>
          <cell r="BR272"/>
          <cell r="BS272"/>
          <cell r="BT272"/>
          <cell r="BU272"/>
          <cell r="BV272"/>
          <cell r="BW272"/>
          <cell r="BX272"/>
          <cell r="BY272"/>
        </row>
        <row r="273">
          <cell r="B273" t="str">
            <v>BP-12011-01</v>
          </cell>
          <cell r="D273"/>
          <cell r="E273"/>
          <cell r="F273"/>
          <cell r="G273"/>
          <cell r="H273"/>
          <cell r="I273"/>
          <cell r="J273"/>
          <cell r="K273"/>
          <cell r="L273"/>
          <cell r="M273"/>
          <cell r="N273"/>
          <cell r="O273"/>
          <cell r="P273"/>
          <cell r="Q273"/>
          <cell r="R273"/>
          <cell r="S273"/>
          <cell r="T273"/>
          <cell r="U273"/>
          <cell r="V273"/>
          <cell r="W273"/>
          <cell r="X273"/>
          <cell r="Y273"/>
          <cell r="Z273"/>
          <cell r="AA273"/>
          <cell r="AB273"/>
          <cell r="AC273"/>
          <cell r="AD273"/>
          <cell r="AE273"/>
          <cell r="AF273"/>
          <cell r="AG273"/>
          <cell r="AH273"/>
          <cell r="AI273"/>
          <cell r="AJ273"/>
          <cell r="AK273"/>
          <cell r="AL273"/>
          <cell r="AM273"/>
          <cell r="AN273"/>
          <cell r="AO273"/>
          <cell r="AP273"/>
          <cell r="AQ273"/>
          <cell r="AR273"/>
          <cell r="AS273"/>
          <cell r="AT273"/>
          <cell r="AU273"/>
          <cell r="AV273"/>
          <cell r="AW273"/>
          <cell r="AX273"/>
          <cell r="AY273"/>
          <cell r="AZ273"/>
          <cell r="BA273"/>
          <cell r="BB273"/>
          <cell r="BC273"/>
          <cell r="BD273"/>
          <cell r="BE273"/>
          <cell r="BF273"/>
          <cell r="BG273"/>
          <cell r="BH273"/>
          <cell r="BI273"/>
          <cell r="BJ273"/>
          <cell r="BK273"/>
          <cell r="BL273"/>
          <cell r="BM273"/>
          <cell r="BN273"/>
          <cell r="BO273"/>
          <cell r="BP273"/>
          <cell r="BQ273"/>
          <cell r="BR273"/>
          <cell r="BS273"/>
          <cell r="BT273"/>
          <cell r="BU273"/>
          <cell r="BV273"/>
          <cell r="BW273"/>
          <cell r="BX273"/>
          <cell r="BY273"/>
        </row>
        <row r="274">
          <cell r="B274" t="str">
            <v>30217-MX</v>
          </cell>
          <cell r="D274"/>
          <cell r="E274"/>
          <cell r="F274"/>
          <cell r="G274"/>
          <cell r="H274"/>
          <cell r="I274"/>
          <cell r="J274"/>
          <cell r="K274"/>
          <cell r="L274"/>
          <cell r="M274"/>
          <cell r="N274"/>
          <cell r="O274"/>
          <cell r="P274"/>
          <cell r="Q274"/>
          <cell r="R274"/>
          <cell r="S274"/>
          <cell r="T274"/>
          <cell r="U274"/>
          <cell r="V274"/>
          <cell r="W274"/>
          <cell r="X274"/>
          <cell r="Y274"/>
          <cell r="Z274"/>
          <cell r="AA274"/>
          <cell r="AB274"/>
          <cell r="AC274"/>
          <cell r="AD274"/>
          <cell r="AE274"/>
          <cell r="AF274"/>
          <cell r="AG274"/>
          <cell r="AH274"/>
          <cell r="AI274"/>
          <cell r="AJ274"/>
          <cell r="AK274"/>
          <cell r="AL274"/>
          <cell r="AM274"/>
          <cell r="AN274"/>
          <cell r="AO274"/>
          <cell r="AP274"/>
          <cell r="AQ274"/>
          <cell r="AR274"/>
          <cell r="AS274"/>
          <cell r="AT274"/>
          <cell r="AU274"/>
          <cell r="AV274"/>
          <cell r="AW274"/>
          <cell r="AX274"/>
          <cell r="AY274"/>
          <cell r="AZ274"/>
          <cell r="BA274"/>
          <cell r="BB274"/>
          <cell r="BC274"/>
          <cell r="BD274"/>
          <cell r="BE274"/>
          <cell r="BF274"/>
          <cell r="BG274"/>
          <cell r="BH274"/>
          <cell r="BI274"/>
          <cell r="BJ274"/>
          <cell r="BK274"/>
          <cell r="BL274"/>
          <cell r="BM274"/>
          <cell r="BN274"/>
          <cell r="BO274"/>
          <cell r="BP274"/>
          <cell r="BQ274"/>
          <cell r="BR274"/>
          <cell r="BS274"/>
          <cell r="BT274"/>
          <cell r="BU274"/>
          <cell r="BV274"/>
          <cell r="BW274"/>
          <cell r="BX274"/>
          <cell r="BY274"/>
        </row>
        <row r="275">
          <cell r="B275" t="str">
            <v>T060001020</v>
          </cell>
          <cell r="D275"/>
          <cell r="E275"/>
          <cell r="F275"/>
          <cell r="G275"/>
          <cell r="H275"/>
          <cell r="I275"/>
          <cell r="J275"/>
          <cell r="K275"/>
          <cell r="L275"/>
          <cell r="M275"/>
          <cell r="N275"/>
          <cell r="O275"/>
          <cell r="P275"/>
          <cell r="Q275"/>
          <cell r="R275"/>
          <cell r="S275"/>
          <cell r="T275"/>
          <cell r="U275"/>
          <cell r="V275"/>
          <cell r="W275"/>
          <cell r="X275"/>
          <cell r="Y275"/>
          <cell r="Z275"/>
          <cell r="AA275"/>
          <cell r="AB275"/>
          <cell r="AC275"/>
          <cell r="AD275"/>
          <cell r="AE275"/>
          <cell r="AF275"/>
          <cell r="AG275"/>
          <cell r="AH275"/>
          <cell r="AI275"/>
          <cell r="AJ275"/>
          <cell r="AK275"/>
          <cell r="AL275"/>
          <cell r="AM275"/>
          <cell r="AN275"/>
          <cell r="AO275"/>
          <cell r="AP275"/>
          <cell r="AQ275"/>
          <cell r="AR275"/>
          <cell r="AS275"/>
          <cell r="AT275"/>
          <cell r="AU275"/>
          <cell r="AV275"/>
          <cell r="AW275"/>
          <cell r="AX275"/>
          <cell r="AY275"/>
          <cell r="AZ275"/>
          <cell r="BA275"/>
          <cell r="BB275"/>
          <cell r="BC275"/>
          <cell r="BD275"/>
          <cell r="BE275"/>
          <cell r="BF275"/>
          <cell r="BG275"/>
          <cell r="BH275"/>
          <cell r="BI275"/>
          <cell r="BJ275"/>
          <cell r="BK275"/>
          <cell r="BL275"/>
          <cell r="BM275"/>
          <cell r="BN275"/>
          <cell r="BO275"/>
          <cell r="BP275"/>
          <cell r="BQ275"/>
          <cell r="BR275"/>
          <cell r="BS275"/>
          <cell r="BT275"/>
          <cell r="BU275"/>
          <cell r="BV275"/>
          <cell r="BW275"/>
          <cell r="BX275"/>
          <cell r="BY275"/>
        </row>
        <row r="276">
          <cell r="B276" t="str">
            <v>30220-MX</v>
          </cell>
          <cell r="D276"/>
          <cell r="E276"/>
          <cell r="F276"/>
          <cell r="G276"/>
          <cell r="H276"/>
          <cell r="I276"/>
          <cell r="J276"/>
          <cell r="K276"/>
          <cell r="L276"/>
          <cell r="M276"/>
          <cell r="N276"/>
          <cell r="O276"/>
          <cell r="P276"/>
          <cell r="Q276"/>
          <cell r="R276"/>
          <cell r="S276"/>
          <cell r="T276"/>
          <cell r="U276"/>
          <cell r="V276"/>
          <cell r="W276"/>
          <cell r="X276"/>
          <cell r="Y276"/>
          <cell r="Z276"/>
          <cell r="AA276"/>
          <cell r="AB276"/>
          <cell r="AC276"/>
          <cell r="AD276"/>
          <cell r="AE276"/>
          <cell r="AF276"/>
          <cell r="AG276"/>
          <cell r="AH276"/>
          <cell r="AI276"/>
          <cell r="AJ276"/>
          <cell r="AK276"/>
          <cell r="AL276"/>
          <cell r="AM276"/>
          <cell r="AN276"/>
          <cell r="AO276"/>
          <cell r="AP276"/>
          <cell r="AQ276"/>
          <cell r="AR276"/>
          <cell r="AS276"/>
          <cell r="AT276"/>
          <cell r="AU276"/>
          <cell r="AV276"/>
          <cell r="AW276"/>
          <cell r="AX276"/>
          <cell r="AY276"/>
          <cell r="AZ276"/>
          <cell r="BA276"/>
          <cell r="BB276"/>
          <cell r="BC276"/>
          <cell r="BD276"/>
          <cell r="BE276"/>
          <cell r="BF276"/>
          <cell r="BG276"/>
          <cell r="BH276"/>
          <cell r="BI276"/>
          <cell r="BJ276"/>
          <cell r="BK276"/>
          <cell r="BL276"/>
          <cell r="BM276"/>
          <cell r="BN276"/>
          <cell r="BO276"/>
          <cell r="BP276"/>
          <cell r="BQ276"/>
          <cell r="BR276"/>
          <cell r="BS276"/>
          <cell r="BT276"/>
          <cell r="BU276"/>
          <cell r="BV276"/>
          <cell r="BW276"/>
          <cell r="BX276"/>
          <cell r="BY276"/>
        </row>
        <row r="277">
          <cell r="B277" t="str">
            <v>W208PPB5</v>
          </cell>
          <cell r="D277"/>
          <cell r="E277"/>
          <cell r="F277"/>
          <cell r="G277"/>
          <cell r="H277"/>
          <cell r="I277"/>
          <cell r="J277"/>
          <cell r="K277"/>
          <cell r="L277"/>
          <cell r="M277"/>
          <cell r="N277"/>
          <cell r="O277"/>
          <cell r="P277"/>
          <cell r="Q277"/>
          <cell r="R277"/>
          <cell r="S277"/>
          <cell r="T277"/>
          <cell r="U277"/>
          <cell r="V277"/>
          <cell r="W277"/>
          <cell r="X277"/>
          <cell r="Y277"/>
          <cell r="Z277"/>
          <cell r="AA277"/>
          <cell r="AB277"/>
          <cell r="AC277"/>
          <cell r="AD277"/>
          <cell r="AE277"/>
          <cell r="AF277"/>
          <cell r="AG277"/>
          <cell r="AH277"/>
          <cell r="AI277"/>
          <cell r="AJ277"/>
          <cell r="AK277"/>
          <cell r="AL277"/>
          <cell r="AM277"/>
          <cell r="AN277"/>
          <cell r="AO277"/>
          <cell r="AP277"/>
          <cell r="AQ277"/>
          <cell r="AR277"/>
          <cell r="AS277"/>
          <cell r="AT277"/>
          <cell r="AU277"/>
          <cell r="AV277"/>
          <cell r="AW277"/>
          <cell r="AX277"/>
          <cell r="AY277"/>
          <cell r="AZ277"/>
          <cell r="BA277"/>
          <cell r="BB277"/>
          <cell r="BC277"/>
          <cell r="BD277"/>
          <cell r="BE277"/>
          <cell r="BF277"/>
          <cell r="BG277"/>
          <cell r="BH277"/>
          <cell r="BI277"/>
          <cell r="BJ277"/>
          <cell r="BK277"/>
          <cell r="BL277"/>
          <cell r="BM277"/>
          <cell r="BN277"/>
          <cell r="BO277"/>
          <cell r="BP277"/>
          <cell r="BQ277"/>
          <cell r="BR277"/>
          <cell r="BS277"/>
          <cell r="BT277"/>
          <cell r="BU277"/>
          <cell r="BV277"/>
          <cell r="BW277"/>
          <cell r="BX277"/>
          <cell r="BY277"/>
        </row>
        <row r="278">
          <cell r="B278" t="str">
            <v>SAB5207-35</v>
          </cell>
          <cell r="D278"/>
          <cell r="E278"/>
          <cell r="F278"/>
          <cell r="G278"/>
          <cell r="H278"/>
          <cell r="I278"/>
          <cell r="J278"/>
          <cell r="K278"/>
          <cell r="L278"/>
          <cell r="M278"/>
          <cell r="N278"/>
          <cell r="O278"/>
          <cell r="P278"/>
          <cell r="Q278"/>
          <cell r="R278"/>
          <cell r="S278"/>
          <cell r="T278"/>
          <cell r="U278"/>
          <cell r="V278"/>
          <cell r="W278"/>
          <cell r="X278"/>
          <cell r="Y278"/>
          <cell r="Z278"/>
          <cell r="AA278"/>
          <cell r="AB278"/>
          <cell r="AC278"/>
          <cell r="AD278"/>
          <cell r="AE278"/>
          <cell r="AF278"/>
          <cell r="AG278"/>
          <cell r="AH278"/>
          <cell r="AI278"/>
          <cell r="AJ278"/>
          <cell r="AK278"/>
          <cell r="AL278"/>
          <cell r="AM278"/>
          <cell r="AN278"/>
          <cell r="AO278"/>
          <cell r="AP278"/>
          <cell r="AQ278"/>
          <cell r="AR278"/>
          <cell r="AS278"/>
          <cell r="AT278"/>
          <cell r="AU278"/>
          <cell r="AV278"/>
          <cell r="AW278"/>
          <cell r="AX278"/>
          <cell r="AY278"/>
          <cell r="AZ278"/>
          <cell r="BA278"/>
          <cell r="BB278"/>
          <cell r="BC278"/>
          <cell r="BD278"/>
          <cell r="BE278"/>
          <cell r="BF278"/>
          <cell r="BG278"/>
          <cell r="BH278"/>
          <cell r="BI278"/>
          <cell r="BJ278"/>
          <cell r="BK278"/>
          <cell r="BL278"/>
          <cell r="BM278"/>
          <cell r="BN278"/>
          <cell r="BO278"/>
          <cell r="BP278"/>
          <cell r="BQ278"/>
          <cell r="BR278"/>
          <cell r="BS278"/>
          <cell r="BT278"/>
          <cell r="BU278"/>
          <cell r="BV278"/>
          <cell r="BW278"/>
          <cell r="BX278"/>
          <cell r="BY278"/>
        </row>
        <row r="279">
          <cell r="B279" t="str">
            <v>PB005306</v>
          </cell>
          <cell r="D279"/>
          <cell r="E279"/>
          <cell r="F279"/>
          <cell r="G279"/>
          <cell r="H279"/>
          <cell r="I279"/>
          <cell r="J279"/>
          <cell r="K279"/>
          <cell r="L279"/>
          <cell r="M279"/>
          <cell r="N279"/>
          <cell r="O279"/>
          <cell r="P279"/>
          <cell r="Q279"/>
          <cell r="R279"/>
          <cell r="S279"/>
          <cell r="T279"/>
          <cell r="U279"/>
          <cell r="V279"/>
          <cell r="W279"/>
          <cell r="X279"/>
          <cell r="Y279"/>
          <cell r="Z279"/>
          <cell r="AA279"/>
          <cell r="AB279"/>
          <cell r="AC279"/>
          <cell r="AD279"/>
          <cell r="AE279"/>
          <cell r="AF279"/>
          <cell r="AG279"/>
          <cell r="AH279"/>
          <cell r="AI279"/>
          <cell r="AJ279"/>
          <cell r="AK279"/>
          <cell r="AL279"/>
          <cell r="AM279"/>
          <cell r="AN279"/>
          <cell r="AO279"/>
          <cell r="AP279"/>
          <cell r="AQ279"/>
          <cell r="AR279"/>
          <cell r="AS279"/>
          <cell r="AT279"/>
          <cell r="AU279"/>
          <cell r="AV279"/>
          <cell r="AW279"/>
          <cell r="AX279"/>
          <cell r="AY279"/>
          <cell r="AZ279"/>
          <cell r="BA279"/>
          <cell r="BB279"/>
          <cell r="BC279"/>
          <cell r="BD279"/>
          <cell r="BE279"/>
          <cell r="BF279"/>
          <cell r="BG279"/>
          <cell r="BH279"/>
          <cell r="BI279"/>
          <cell r="BJ279"/>
          <cell r="BK279"/>
          <cell r="BL279"/>
          <cell r="BM279"/>
          <cell r="BN279"/>
          <cell r="BO279"/>
          <cell r="BP279"/>
          <cell r="BQ279"/>
          <cell r="BR279"/>
          <cell r="BS279"/>
          <cell r="BT279"/>
          <cell r="BU279"/>
          <cell r="BV279"/>
          <cell r="BW279"/>
          <cell r="BX279"/>
          <cell r="BY279"/>
        </row>
        <row r="280">
          <cell r="B280" t="str">
            <v>PB001284</v>
          </cell>
          <cell r="D280"/>
          <cell r="E280"/>
          <cell r="F280"/>
          <cell r="G280"/>
          <cell r="H280"/>
          <cell r="I280"/>
          <cell r="J280"/>
          <cell r="K280"/>
          <cell r="L280"/>
          <cell r="M280"/>
          <cell r="N280"/>
          <cell r="O280"/>
          <cell r="P280"/>
          <cell r="Q280"/>
          <cell r="R280"/>
          <cell r="S280"/>
          <cell r="T280"/>
          <cell r="U280"/>
          <cell r="V280"/>
          <cell r="W280"/>
          <cell r="X280"/>
          <cell r="Y280"/>
          <cell r="Z280"/>
          <cell r="AA280"/>
          <cell r="AB280"/>
          <cell r="AC280"/>
          <cell r="AD280"/>
          <cell r="AE280"/>
          <cell r="AF280"/>
          <cell r="AG280"/>
          <cell r="AH280"/>
          <cell r="AI280"/>
          <cell r="AJ280"/>
          <cell r="AK280"/>
          <cell r="AL280"/>
          <cell r="AM280"/>
          <cell r="AN280"/>
          <cell r="AO280"/>
          <cell r="AP280"/>
          <cell r="AQ280"/>
          <cell r="AR280"/>
          <cell r="AS280"/>
          <cell r="AT280"/>
          <cell r="AU280"/>
          <cell r="AV280"/>
          <cell r="AW280"/>
          <cell r="AX280"/>
          <cell r="AY280"/>
          <cell r="AZ280"/>
          <cell r="BA280"/>
          <cell r="BB280"/>
          <cell r="BC280"/>
          <cell r="BD280"/>
          <cell r="BE280"/>
          <cell r="BF280"/>
          <cell r="BG280"/>
          <cell r="BH280"/>
          <cell r="BI280"/>
          <cell r="BJ280"/>
          <cell r="BK280"/>
          <cell r="BL280"/>
          <cell r="BM280"/>
          <cell r="BN280"/>
          <cell r="BO280"/>
          <cell r="BP280"/>
          <cell r="BQ280"/>
          <cell r="BR280"/>
          <cell r="BS280"/>
          <cell r="BT280"/>
          <cell r="BU280"/>
          <cell r="BV280"/>
          <cell r="BW280"/>
          <cell r="BX280"/>
          <cell r="BY280"/>
        </row>
        <row r="281">
          <cell r="B281" t="str">
            <v>33019-MX</v>
          </cell>
          <cell r="D281"/>
          <cell r="E281"/>
          <cell r="F281"/>
          <cell r="G281"/>
          <cell r="H281"/>
          <cell r="I281"/>
          <cell r="J281"/>
          <cell r="K281"/>
          <cell r="L281"/>
          <cell r="M281"/>
          <cell r="N281"/>
          <cell r="O281"/>
          <cell r="P281"/>
          <cell r="Q281"/>
          <cell r="R281"/>
          <cell r="S281"/>
          <cell r="T281"/>
          <cell r="U281"/>
          <cell r="V281"/>
          <cell r="W281"/>
          <cell r="X281"/>
          <cell r="Y281"/>
          <cell r="Z281"/>
          <cell r="AA281"/>
          <cell r="AB281"/>
          <cell r="AC281"/>
          <cell r="AD281"/>
          <cell r="AE281"/>
          <cell r="AF281"/>
          <cell r="AG281"/>
          <cell r="AH281"/>
          <cell r="AI281"/>
          <cell r="AJ281"/>
          <cell r="AK281"/>
          <cell r="AL281"/>
          <cell r="AM281"/>
          <cell r="AN281"/>
          <cell r="AO281"/>
          <cell r="AP281"/>
          <cell r="AQ281"/>
          <cell r="AR281"/>
          <cell r="AS281"/>
          <cell r="AT281"/>
          <cell r="AU281"/>
          <cell r="AV281"/>
          <cell r="AW281"/>
          <cell r="AX281"/>
          <cell r="AY281"/>
          <cell r="AZ281"/>
          <cell r="BA281"/>
          <cell r="BB281"/>
          <cell r="BC281"/>
          <cell r="BD281"/>
          <cell r="BE281"/>
          <cell r="BF281"/>
          <cell r="BG281"/>
          <cell r="BH281"/>
          <cell r="BI281"/>
          <cell r="BJ281"/>
          <cell r="BK281"/>
          <cell r="BL281"/>
          <cell r="BM281"/>
          <cell r="BN281"/>
          <cell r="BO281"/>
          <cell r="BP281"/>
          <cell r="BQ281"/>
          <cell r="BR281"/>
          <cell r="BS281"/>
          <cell r="BT281"/>
          <cell r="BU281"/>
          <cell r="BV281"/>
          <cell r="BW281"/>
          <cell r="BX281"/>
          <cell r="BY281"/>
        </row>
        <row r="282">
          <cell r="B282" t="str">
            <v>30219-MX</v>
          </cell>
          <cell r="D282"/>
          <cell r="E282"/>
          <cell r="F282"/>
          <cell r="G282"/>
          <cell r="H282"/>
          <cell r="I282"/>
          <cell r="J282"/>
          <cell r="K282"/>
          <cell r="L282"/>
          <cell r="M282"/>
          <cell r="N282"/>
          <cell r="O282"/>
          <cell r="P282"/>
          <cell r="Q282"/>
          <cell r="R282"/>
          <cell r="S282"/>
          <cell r="T282"/>
          <cell r="U282"/>
          <cell r="V282"/>
          <cell r="W282"/>
          <cell r="X282"/>
          <cell r="Y282"/>
          <cell r="Z282"/>
          <cell r="AA282"/>
          <cell r="AB282"/>
          <cell r="AC282"/>
          <cell r="AD282"/>
          <cell r="AE282"/>
          <cell r="AF282"/>
          <cell r="AG282"/>
          <cell r="AH282"/>
          <cell r="AI282"/>
          <cell r="AJ282"/>
          <cell r="AK282"/>
          <cell r="AL282"/>
          <cell r="AM282"/>
          <cell r="AN282"/>
          <cell r="AO282"/>
          <cell r="AP282"/>
          <cell r="AQ282"/>
          <cell r="AR282"/>
          <cell r="AS282"/>
          <cell r="AT282"/>
          <cell r="AU282"/>
          <cell r="AV282"/>
          <cell r="AW282"/>
          <cell r="AX282"/>
          <cell r="AY282"/>
          <cell r="AZ282"/>
          <cell r="BA282"/>
          <cell r="BB282"/>
          <cell r="BC282"/>
          <cell r="BD282"/>
          <cell r="BE282"/>
          <cell r="BF282"/>
          <cell r="BG282"/>
          <cell r="BH282"/>
          <cell r="BI282"/>
          <cell r="BJ282"/>
          <cell r="BK282"/>
          <cell r="BL282"/>
          <cell r="BM282"/>
          <cell r="BN282"/>
          <cell r="BO282"/>
          <cell r="BP282"/>
          <cell r="BQ282"/>
          <cell r="BR282"/>
          <cell r="BS282"/>
          <cell r="BT282"/>
          <cell r="BU282"/>
          <cell r="BV282"/>
          <cell r="BW282"/>
          <cell r="BX282"/>
          <cell r="BY282"/>
        </row>
        <row r="283">
          <cell r="B283" t="str">
            <v>ECL206-18DG</v>
          </cell>
          <cell r="D283"/>
          <cell r="E283"/>
          <cell r="F283"/>
          <cell r="G283"/>
          <cell r="H283"/>
          <cell r="I283"/>
          <cell r="J283"/>
          <cell r="K283"/>
          <cell r="L283"/>
          <cell r="M283"/>
          <cell r="N283"/>
          <cell r="O283"/>
          <cell r="P283"/>
          <cell r="Q283"/>
          <cell r="R283"/>
          <cell r="S283"/>
          <cell r="T283"/>
          <cell r="U283"/>
          <cell r="V283"/>
          <cell r="W283"/>
          <cell r="X283"/>
          <cell r="Y283"/>
          <cell r="Z283"/>
          <cell r="AA283"/>
          <cell r="AB283"/>
          <cell r="AC283"/>
          <cell r="AD283"/>
          <cell r="AE283"/>
          <cell r="AF283"/>
          <cell r="AG283"/>
          <cell r="AH283"/>
          <cell r="AI283"/>
          <cell r="AJ283"/>
          <cell r="AK283"/>
          <cell r="AL283"/>
          <cell r="AM283"/>
          <cell r="AN283"/>
          <cell r="AO283"/>
          <cell r="AP283"/>
          <cell r="AQ283"/>
          <cell r="AR283"/>
          <cell r="AS283"/>
          <cell r="AT283"/>
          <cell r="AU283"/>
          <cell r="AV283"/>
          <cell r="AW283"/>
          <cell r="AX283"/>
          <cell r="AY283"/>
          <cell r="AZ283"/>
          <cell r="BA283"/>
          <cell r="BB283"/>
          <cell r="BC283"/>
          <cell r="BD283"/>
          <cell r="BE283"/>
          <cell r="BF283"/>
          <cell r="BG283"/>
          <cell r="BH283"/>
          <cell r="BI283"/>
          <cell r="BJ283"/>
          <cell r="BK283"/>
          <cell r="BL283"/>
          <cell r="BM283"/>
          <cell r="BN283"/>
          <cell r="BO283"/>
          <cell r="BP283"/>
          <cell r="BQ283"/>
          <cell r="BR283"/>
          <cell r="BS283"/>
          <cell r="BT283"/>
          <cell r="BU283"/>
          <cell r="BV283"/>
          <cell r="BW283"/>
          <cell r="BX283"/>
          <cell r="BY283"/>
        </row>
        <row r="284">
          <cell r="B284" t="str">
            <v>33210-MX</v>
          </cell>
          <cell r="D284"/>
          <cell r="E284"/>
          <cell r="F284"/>
          <cell r="G284"/>
          <cell r="H284"/>
          <cell r="I284"/>
          <cell r="J284"/>
          <cell r="K284"/>
          <cell r="L284"/>
          <cell r="M284"/>
          <cell r="N284"/>
          <cell r="O284"/>
          <cell r="P284"/>
          <cell r="Q284"/>
          <cell r="R284"/>
          <cell r="S284"/>
          <cell r="T284"/>
          <cell r="U284"/>
          <cell r="V284"/>
          <cell r="W284"/>
          <cell r="X284"/>
          <cell r="Y284"/>
          <cell r="Z284"/>
          <cell r="AA284"/>
          <cell r="AB284"/>
          <cell r="AC284"/>
          <cell r="AD284"/>
          <cell r="AE284"/>
          <cell r="AF284"/>
          <cell r="AG284"/>
          <cell r="AH284"/>
          <cell r="AI284"/>
          <cell r="AJ284"/>
          <cell r="AK284"/>
          <cell r="AL284"/>
          <cell r="AM284"/>
          <cell r="AN284"/>
          <cell r="AO284"/>
          <cell r="AP284"/>
          <cell r="AQ284"/>
          <cell r="AR284"/>
          <cell r="AS284"/>
          <cell r="AT284"/>
          <cell r="AU284"/>
          <cell r="AV284"/>
          <cell r="AW284"/>
          <cell r="AX284"/>
          <cell r="AY284"/>
          <cell r="AZ284"/>
          <cell r="BA284"/>
          <cell r="BB284"/>
          <cell r="BC284"/>
          <cell r="BD284"/>
          <cell r="BE284"/>
          <cell r="BF284"/>
          <cell r="BG284"/>
          <cell r="BH284"/>
          <cell r="BI284"/>
          <cell r="BJ284"/>
          <cell r="BK284"/>
          <cell r="BL284"/>
          <cell r="BM284"/>
          <cell r="BN284"/>
          <cell r="BO284"/>
          <cell r="BP284"/>
          <cell r="BQ284"/>
          <cell r="BR284"/>
          <cell r="BS284"/>
          <cell r="BT284"/>
          <cell r="BU284"/>
          <cell r="BV284"/>
          <cell r="BW284"/>
          <cell r="BX284"/>
          <cell r="BY284"/>
        </row>
        <row r="285">
          <cell r="B285" t="str">
            <v>ECLR205-16D</v>
          </cell>
          <cell r="D285"/>
          <cell r="E285"/>
          <cell r="F285"/>
          <cell r="G285"/>
          <cell r="H285"/>
          <cell r="I285"/>
          <cell r="J285"/>
          <cell r="K285"/>
          <cell r="L285"/>
          <cell r="M285"/>
          <cell r="N285"/>
          <cell r="O285"/>
          <cell r="P285"/>
          <cell r="Q285"/>
          <cell r="R285"/>
          <cell r="S285"/>
          <cell r="T285"/>
          <cell r="U285"/>
          <cell r="V285"/>
          <cell r="W285"/>
          <cell r="X285"/>
          <cell r="Y285"/>
          <cell r="Z285"/>
          <cell r="AA285"/>
          <cell r="AB285"/>
          <cell r="AC285"/>
          <cell r="AD285"/>
          <cell r="AE285"/>
          <cell r="AF285"/>
          <cell r="AG285"/>
          <cell r="AH285"/>
          <cell r="AI285"/>
          <cell r="AJ285"/>
          <cell r="AK285"/>
          <cell r="AL285"/>
          <cell r="AM285"/>
          <cell r="AN285"/>
          <cell r="AO285"/>
          <cell r="AP285"/>
          <cell r="AQ285"/>
          <cell r="AR285"/>
          <cell r="AS285"/>
          <cell r="AT285"/>
          <cell r="AU285"/>
          <cell r="AV285"/>
          <cell r="AW285"/>
          <cell r="AX285"/>
          <cell r="AY285"/>
          <cell r="AZ285"/>
          <cell r="BA285"/>
          <cell r="BB285"/>
          <cell r="BC285"/>
          <cell r="BD285"/>
          <cell r="BE285"/>
          <cell r="BF285"/>
          <cell r="BG285"/>
          <cell r="BH285"/>
          <cell r="BI285"/>
          <cell r="BJ285"/>
          <cell r="BK285"/>
          <cell r="BL285"/>
          <cell r="BM285"/>
          <cell r="BN285"/>
          <cell r="BO285"/>
          <cell r="BP285"/>
          <cell r="BQ285"/>
          <cell r="BR285"/>
          <cell r="BS285"/>
          <cell r="BT285"/>
          <cell r="BU285"/>
          <cell r="BV285"/>
          <cell r="BW285"/>
          <cell r="BX285"/>
          <cell r="BY285"/>
        </row>
        <row r="286">
          <cell r="B286" t="str">
            <v>30218-MX</v>
          </cell>
          <cell r="D286"/>
          <cell r="E286"/>
          <cell r="F286"/>
          <cell r="G286"/>
          <cell r="H286"/>
          <cell r="I286"/>
          <cell r="J286"/>
          <cell r="K286"/>
          <cell r="L286"/>
          <cell r="M286"/>
          <cell r="N286"/>
          <cell r="O286"/>
          <cell r="P286"/>
          <cell r="Q286"/>
          <cell r="R286"/>
          <cell r="S286"/>
          <cell r="T286"/>
          <cell r="U286"/>
          <cell r="V286"/>
          <cell r="W286"/>
          <cell r="X286"/>
          <cell r="Y286"/>
          <cell r="Z286"/>
          <cell r="AA286"/>
          <cell r="AB286"/>
          <cell r="AC286"/>
          <cell r="AD286"/>
          <cell r="AE286"/>
          <cell r="AF286"/>
          <cell r="AG286"/>
          <cell r="AH286"/>
          <cell r="AI286"/>
          <cell r="AJ286"/>
          <cell r="AK286"/>
          <cell r="AL286"/>
          <cell r="AM286"/>
          <cell r="AN286"/>
          <cell r="AO286"/>
          <cell r="AP286"/>
          <cell r="AQ286"/>
          <cell r="AR286"/>
          <cell r="AS286"/>
          <cell r="AT286"/>
          <cell r="AU286"/>
          <cell r="AV286"/>
          <cell r="AW286"/>
          <cell r="AX286"/>
          <cell r="AY286"/>
          <cell r="AZ286"/>
          <cell r="BA286"/>
          <cell r="BB286"/>
          <cell r="BC286"/>
          <cell r="BD286"/>
          <cell r="BE286"/>
          <cell r="BF286"/>
          <cell r="BG286"/>
          <cell r="BH286"/>
          <cell r="BI286"/>
          <cell r="BJ286"/>
          <cell r="BK286"/>
          <cell r="BL286"/>
          <cell r="BM286"/>
          <cell r="BN286"/>
          <cell r="BO286"/>
          <cell r="BP286"/>
          <cell r="BQ286"/>
          <cell r="BR286"/>
          <cell r="BS286"/>
          <cell r="BT286"/>
          <cell r="BU286"/>
          <cell r="BV286"/>
          <cell r="BW286"/>
          <cell r="BX286"/>
          <cell r="BY286"/>
        </row>
        <row r="287">
          <cell r="B287" t="str">
            <v>DTR2047-TPL</v>
          </cell>
          <cell r="D287"/>
          <cell r="E287"/>
          <cell r="F287"/>
          <cell r="G287"/>
          <cell r="H287"/>
          <cell r="I287"/>
          <cell r="J287"/>
          <cell r="K287"/>
          <cell r="L287"/>
          <cell r="M287"/>
          <cell r="N287"/>
          <cell r="O287"/>
          <cell r="P287"/>
          <cell r="Q287"/>
          <cell r="R287"/>
          <cell r="S287"/>
          <cell r="T287"/>
          <cell r="U287"/>
          <cell r="V287"/>
          <cell r="W287"/>
          <cell r="X287"/>
          <cell r="Y287"/>
          <cell r="Z287"/>
          <cell r="AA287"/>
          <cell r="AB287"/>
          <cell r="AC287"/>
          <cell r="AD287"/>
          <cell r="AE287"/>
          <cell r="AF287"/>
          <cell r="AG287"/>
          <cell r="AH287"/>
          <cell r="AI287"/>
          <cell r="AJ287"/>
          <cell r="AK287"/>
          <cell r="AL287"/>
          <cell r="AM287"/>
          <cell r="AN287"/>
          <cell r="AO287"/>
          <cell r="AP287"/>
          <cell r="AQ287"/>
          <cell r="AR287"/>
          <cell r="AS287"/>
          <cell r="AT287"/>
          <cell r="AU287"/>
          <cell r="AV287"/>
          <cell r="AW287"/>
          <cell r="AX287"/>
          <cell r="AY287"/>
          <cell r="AZ287"/>
          <cell r="BA287"/>
          <cell r="BB287"/>
          <cell r="BC287"/>
          <cell r="BD287"/>
          <cell r="BE287"/>
          <cell r="BF287"/>
          <cell r="BG287"/>
          <cell r="BH287"/>
          <cell r="BI287"/>
          <cell r="BJ287"/>
          <cell r="BK287"/>
          <cell r="BL287"/>
          <cell r="BM287"/>
          <cell r="BN287"/>
          <cell r="BO287"/>
          <cell r="BP287"/>
          <cell r="BQ287"/>
          <cell r="BR287"/>
          <cell r="BS287"/>
          <cell r="BT287"/>
          <cell r="BU287"/>
          <cell r="BV287"/>
          <cell r="BW287"/>
          <cell r="BX287"/>
          <cell r="BY287"/>
        </row>
        <row r="288">
          <cell r="B288" t="str">
            <v>3T-12413-MX</v>
          </cell>
          <cell r="D288"/>
          <cell r="E288"/>
          <cell r="F288"/>
          <cell r="G288"/>
          <cell r="H288"/>
          <cell r="I288"/>
          <cell r="J288"/>
          <cell r="K288"/>
          <cell r="L288"/>
          <cell r="M288"/>
          <cell r="N288"/>
          <cell r="O288"/>
          <cell r="P288"/>
          <cell r="Q288"/>
          <cell r="R288"/>
          <cell r="S288"/>
          <cell r="T288"/>
          <cell r="U288"/>
          <cell r="V288"/>
          <cell r="W288"/>
          <cell r="X288"/>
          <cell r="Y288"/>
          <cell r="Z288"/>
          <cell r="AA288"/>
          <cell r="AB288"/>
          <cell r="AC288"/>
          <cell r="AD288"/>
          <cell r="AE288"/>
          <cell r="AF288"/>
          <cell r="AG288"/>
          <cell r="AH288"/>
          <cell r="AI288"/>
          <cell r="AJ288"/>
          <cell r="AK288"/>
          <cell r="AL288"/>
          <cell r="AM288"/>
          <cell r="AN288"/>
          <cell r="AO288"/>
          <cell r="AP288"/>
          <cell r="AQ288"/>
          <cell r="AR288"/>
          <cell r="AS288"/>
          <cell r="AT288"/>
          <cell r="AU288"/>
          <cell r="AV288"/>
          <cell r="AW288"/>
          <cell r="AX288"/>
          <cell r="AY288"/>
          <cell r="AZ288"/>
          <cell r="BA288"/>
          <cell r="BB288"/>
          <cell r="BC288"/>
          <cell r="BD288"/>
          <cell r="BE288"/>
          <cell r="BF288"/>
          <cell r="BG288"/>
          <cell r="BH288"/>
          <cell r="BI288"/>
          <cell r="BJ288"/>
          <cell r="BK288"/>
          <cell r="BL288"/>
          <cell r="BM288"/>
          <cell r="BN288"/>
          <cell r="BO288"/>
          <cell r="BP288"/>
          <cell r="BQ288"/>
          <cell r="BR288"/>
          <cell r="BS288"/>
          <cell r="BT288"/>
          <cell r="BU288"/>
          <cell r="BV288"/>
          <cell r="BW288"/>
          <cell r="BX288"/>
          <cell r="BY288"/>
        </row>
        <row r="289">
          <cell r="B289" t="str">
            <v>32307-MX</v>
          </cell>
          <cell r="D289"/>
          <cell r="E289"/>
          <cell r="F289"/>
          <cell r="G289"/>
          <cell r="H289"/>
          <cell r="I289"/>
          <cell r="J289"/>
          <cell r="K289"/>
          <cell r="L289"/>
          <cell r="M289"/>
          <cell r="N289"/>
          <cell r="O289"/>
          <cell r="P289"/>
          <cell r="Q289"/>
          <cell r="R289"/>
          <cell r="S289"/>
          <cell r="T289"/>
          <cell r="U289"/>
          <cell r="V289"/>
          <cell r="W289"/>
          <cell r="X289"/>
          <cell r="Y289"/>
          <cell r="Z289"/>
          <cell r="AA289"/>
          <cell r="AB289"/>
          <cell r="AC289"/>
          <cell r="AD289"/>
          <cell r="AE289"/>
          <cell r="AF289"/>
          <cell r="AG289"/>
          <cell r="AH289"/>
          <cell r="AI289"/>
          <cell r="AJ289"/>
          <cell r="AK289"/>
          <cell r="AL289"/>
          <cell r="AM289"/>
          <cell r="AN289"/>
          <cell r="AO289"/>
          <cell r="AP289"/>
          <cell r="AQ289"/>
          <cell r="AR289"/>
          <cell r="AS289"/>
          <cell r="AT289"/>
          <cell r="AU289"/>
          <cell r="AV289"/>
          <cell r="AW289"/>
          <cell r="AX289"/>
          <cell r="AY289"/>
          <cell r="AZ289"/>
          <cell r="BA289"/>
          <cell r="BB289"/>
          <cell r="BC289"/>
          <cell r="BD289"/>
          <cell r="BE289"/>
          <cell r="BF289"/>
          <cell r="BG289"/>
          <cell r="BH289"/>
          <cell r="BI289"/>
          <cell r="BJ289"/>
          <cell r="BK289"/>
          <cell r="BL289"/>
          <cell r="BM289"/>
          <cell r="BN289"/>
          <cell r="BO289"/>
          <cell r="BP289"/>
          <cell r="BQ289"/>
          <cell r="BR289"/>
          <cell r="BS289"/>
          <cell r="BT289"/>
          <cell r="BU289"/>
          <cell r="BV289"/>
          <cell r="BW289"/>
          <cell r="BX289"/>
          <cell r="BY289"/>
        </row>
        <row r="290">
          <cell r="B290" t="str">
            <v>G205-KYYB5</v>
          </cell>
          <cell r="D290"/>
          <cell r="E290"/>
          <cell r="F290"/>
          <cell r="G290"/>
          <cell r="H290"/>
          <cell r="I290"/>
          <cell r="J290"/>
          <cell r="K290"/>
          <cell r="L290"/>
          <cell r="M290"/>
          <cell r="N290"/>
          <cell r="O290"/>
          <cell r="P290"/>
          <cell r="Q290"/>
          <cell r="R290"/>
          <cell r="S290"/>
          <cell r="T290"/>
          <cell r="U290"/>
          <cell r="V290"/>
          <cell r="W290"/>
          <cell r="X290"/>
          <cell r="Y290"/>
          <cell r="Z290"/>
          <cell r="AA290"/>
          <cell r="AB290"/>
          <cell r="AC290"/>
          <cell r="AD290"/>
          <cell r="AE290"/>
          <cell r="AF290"/>
          <cell r="AG290"/>
          <cell r="AH290"/>
          <cell r="AI290"/>
          <cell r="AJ290"/>
          <cell r="AK290"/>
          <cell r="AL290"/>
          <cell r="AM290"/>
          <cell r="AN290"/>
          <cell r="AO290"/>
          <cell r="AP290"/>
          <cell r="AQ290"/>
          <cell r="AR290"/>
          <cell r="AS290"/>
          <cell r="AT290"/>
          <cell r="AU290"/>
          <cell r="AV290"/>
          <cell r="AW290"/>
          <cell r="AX290"/>
          <cell r="AY290"/>
          <cell r="AZ290"/>
          <cell r="BA290"/>
          <cell r="BB290"/>
          <cell r="BC290"/>
          <cell r="BD290"/>
          <cell r="BE290"/>
          <cell r="BF290"/>
          <cell r="BG290"/>
          <cell r="BH290"/>
          <cell r="BI290"/>
          <cell r="BJ290"/>
          <cell r="BK290"/>
          <cell r="BL290"/>
          <cell r="BM290"/>
          <cell r="BN290"/>
          <cell r="BO290"/>
          <cell r="BP290"/>
          <cell r="BQ290"/>
          <cell r="BR290"/>
          <cell r="BS290"/>
          <cell r="BT290"/>
          <cell r="BU290"/>
          <cell r="BV290"/>
          <cell r="BW290"/>
          <cell r="BX290"/>
          <cell r="BY290"/>
        </row>
        <row r="291">
          <cell r="B291" t="str">
            <v>PB001030</v>
          </cell>
          <cell r="D291"/>
          <cell r="E291"/>
          <cell r="F291"/>
          <cell r="G291"/>
          <cell r="H291"/>
          <cell r="I291"/>
          <cell r="J291"/>
          <cell r="K291"/>
          <cell r="L291"/>
          <cell r="M291"/>
          <cell r="N291"/>
          <cell r="O291"/>
          <cell r="P291"/>
          <cell r="Q291"/>
          <cell r="R291"/>
          <cell r="S291"/>
          <cell r="T291"/>
          <cell r="U291"/>
          <cell r="V291"/>
          <cell r="W291"/>
          <cell r="X291"/>
          <cell r="Y291"/>
          <cell r="Z291"/>
          <cell r="AA291"/>
          <cell r="AB291"/>
          <cell r="AC291"/>
          <cell r="AD291"/>
          <cell r="AE291"/>
          <cell r="AF291"/>
          <cell r="AG291"/>
          <cell r="AH291"/>
          <cell r="AI291"/>
          <cell r="AJ291"/>
          <cell r="AK291"/>
          <cell r="AL291"/>
          <cell r="AM291"/>
          <cell r="AN291"/>
          <cell r="AO291"/>
          <cell r="AP291"/>
          <cell r="AQ291"/>
          <cell r="AR291"/>
          <cell r="AS291"/>
          <cell r="AT291"/>
          <cell r="AU291"/>
          <cell r="AV291"/>
          <cell r="AW291"/>
          <cell r="AX291"/>
          <cell r="AY291"/>
          <cell r="AZ291"/>
          <cell r="BA291"/>
          <cell r="BB291"/>
          <cell r="BC291"/>
          <cell r="BD291"/>
          <cell r="BE291"/>
          <cell r="BF291"/>
          <cell r="BG291"/>
          <cell r="BH291"/>
          <cell r="BI291"/>
          <cell r="BJ291"/>
          <cell r="BK291"/>
          <cell r="BL291"/>
          <cell r="BM291"/>
          <cell r="BN291"/>
          <cell r="BO291"/>
          <cell r="BP291"/>
          <cell r="BQ291"/>
          <cell r="BR291"/>
          <cell r="BS291"/>
          <cell r="BT291"/>
          <cell r="BU291"/>
          <cell r="BV291"/>
          <cell r="BW291"/>
          <cell r="BX291"/>
          <cell r="BY291"/>
        </row>
        <row r="292">
          <cell r="B292" t="str">
            <v>ECL208-40D-3</v>
          </cell>
          <cell r="D292"/>
          <cell r="E292"/>
          <cell r="F292"/>
          <cell r="G292"/>
          <cell r="H292"/>
          <cell r="I292"/>
          <cell r="J292"/>
          <cell r="K292"/>
          <cell r="L292"/>
          <cell r="M292"/>
          <cell r="N292"/>
          <cell r="O292"/>
          <cell r="P292"/>
          <cell r="Q292"/>
          <cell r="R292"/>
          <cell r="S292"/>
          <cell r="T292"/>
          <cell r="U292"/>
          <cell r="V292"/>
          <cell r="W292"/>
          <cell r="X292"/>
          <cell r="Y292"/>
          <cell r="Z292"/>
          <cell r="AA292"/>
          <cell r="AB292"/>
          <cell r="AC292"/>
          <cell r="AD292"/>
          <cell r="AE292"/>
          <cell r="AF292"/>
          <cell r="AG292"/>
          <cell r="AH292"/>
          <cell r="AI292"/>
          <cell r="AJ292"/>
          <cell r="AK292"/>
          <cell r="AL292"/>
          <cell r="AM292"/>
          <cell r="AN292"/>
          <cell r="AO292"/>
          <cell r="AP292"/>
          <cell r="AQ292"/>
          <cell r="AR292"/>
          <cell r="AS292"/>
          <cell r="AT292"/>
          <cell r="AU292"/>
          <cell r="AV292"/>
          <cell r="AW292"/>
          <cell r="AX292"/>
          <cell r="AY292"/>
          <cell r="AZ292"/>
          <cell r="BA292"/>
          <cell r="BB292"/>
          <cell r="BC292"/>
          <cell r="BD292"/>
          <cell r="BE292"/>
          <cell r="BF292"/>
          <cell r="BG292"/>
          <cell r="BH292"/>
          <cell r="BI292"/>
          <cell r="BJ292"/>
          <cell r="BK292"/>
          <cell r="BL292"/>
          <cell r="BM292"/>
          <cell r="BN292"/>
          <cell r="BO292"/>
          <cell r="BP292"/>
          <cell r="BQ292"/>
          <cell r="BR292"/>
          <cell r="BS292"/>
          <cell r="BT292"/>
          <cell r="BU292"/>
          <cell r="BV292"/>
          <cell r="BW292"/>
          <cell r="BX292"/>
          <cell r="BY292"/>
        </row>
        <row r="293">
          <cell r="B293" t="str">
            <v>PE208-M</v>
          </cell>
          <cell r="D293"/>
          <cell r="E293"/>
          <cell r="F293"/>
          <cell r="G293"/>
          <cell r="H293"/>
          <cell r="I293"/>
          <cell r="J293"/>
          <cell r="K293"/>
          <cell r="L293"/>
          <cell r="M293"/>
          <cell r="N293"/>
          <cell r="O293"/>
          <cell r="P293"/>
          <cell r="Q293"/>
          <cell r="R293"/>
          <cell r="S293"/>
          <cell r="T293"/>
          <cell r="U293"/>
          <cell r="V293"/>
          <cell r="W293"/>
          <cell r="X293"/>
          <cell r="Y293"/>
          <cell r="Z293"/>
          <cell r="AA293"/>
          <cell r="AB293"/>
          <cell r="AC293"/>
          <cell r="AD293"/>
          <cell r="AE293"/>
          <cell r="AF293"/>
          <cell r="AG293"/>
          <cell r="AH293"/>
          <cell r="AI293"/>
          <cell r="AJ293"/>
          <cell r="AK293"/>
          <cell r="AL293"/>
          <cell r="AM293"/>
          <cell r="AN293"/>
          <cell r="AO293"/>
          <cell r="AP293"/>
          <cell r="AQ293"/>
          <cell r="AR293"/>
          <cell r="AS293"/>
          <cell r="AT293"/>
          <cell r="AU293"/>
          <cell r="AV293"/>
          <cell r="AW293"/>
          <cell r="AX293"/>
          <cell r="AY293"/>
          <cell r="AZ293"/>
          <cell r="BA293"/>
          <cell r="BB293"/>
          <cell r="BC293"/>
          <cell r="BD293"/>
          <cell r="BE293"/>
          <cell r="BF293"/>
          <cell r="BG293"/>
          <cell r="BH293"/>
          <cell r="BI293"/>
          <cell r="BJ293"/>
          <cell r="BK293"/>
          <cell r="BL293"/>
          <cell r="BM293"/>
          <cell r="BN293"/>
          <cell r="BO293"/>
          <cell r="BP293"/>
          <cell r="BQ293"/>
          <cell r="BR293"/>
          <cell r="BS293"/>
          <cell r="BT293"/>
          <cell r="BU293"/>
          <cell r="BV293"/>
          <cell r="BW293"/>
          <cell r="BX293"/>
          <cell r="BY293"/>
        </row>
        <row r="294">
          <cell r="B294" t="str">
            <v>FHF206-20G</v>
          </cell>
          <cell r="D294"/>
          <cell r="E294"/>
          <cell r="F294"/>
          <cell r="G294"/>
          <cell r="H294"/>
          <cell r="I294"/>
          <cell r="J294"/>
          <cell r="K294"/>
          <cell r="L294"/>
          <cell r="M294"/>
          <cell r="N294"/>
          <cell r="O294"/>
          <cell r="P294"/>
          <cell r="Q294"/>
          <cell r="R294"/>
          <cell r="S294"/>
          <cell r="T294"/>
          <cell r="U294"/>
          <cell r="V294"/>
          <cell r="W294"/>
          <cell r="X294"/>
          <cell r="Y294"/>
          <cell r="Z294"/>
          <cell r="AA294"/>
          <cell r="AB294"/>
          <cell r="AC294"/>
          <cell r="AD294"/>
          <cell r="AE294"/>
          <cell r="AF294"/>
          <cell r="AG294"/>
          <cell r="AH294"/>
          <cell r="AI294"/>
          <cell r="AJ294"/>
          <cell r="AK294"/>
          <cell r="AL294"/>
          <cell r="AM294"/>
          <cell r="AN294"/>
          <cell r="AO294"/>
          <cell r="AP294"/>
          <cell r="AQ294"/>
          <cell r="AR294"/>
          <cell r="AS294"/>
          <cell r="AT294"/>
          <cell r="AU294"/>
          <cell r="AV294"/>
          <cell r="AW294"/>
          <cell r="AX294"/>
          <cell r="AY294"/>
          <cell r="AZ294"/>
          <cell r="BA294"/>
          <cell r="BB294"/>
          <cell r="BC294"/>
          <cell r="BD294"/>
          <cell r="BE294"/>
          <cell r="BF294"/>
          <cell r="BG294"/>
          <cell r="BH294"/>
          <cell r="BI294"/>
          <cell r="BJ294"/>
          <cell r="BK294"/>
          <cell r="BL294"/>
          <cell r="BM294"/>
          <cell r="BN294"/>
          <cell r="BO294"/>
          <cell r="BP294"/>
          <cell r="BQ294"/>
          <cell r="BR294"/>
          <cell r="BS294"/>
          <cell r="BT294"/>
          <cell r="BU294"/>
          <cell r="BV294"/>
          <cell r="BW294"/>
          <cell r="BX294"/>
          <cell r="BY294"/>
        </row>
        <row r="295">
          <cell r="B295" t="str">
            <v>ACL-206-19</v>
          </cell>
          <cell r="D295"/>
          <cell r="E295"/>
          <cell r="F295"/>
          <cell r="G295"/>
          <cell r="H295"/>
          <cell r="I295"/>
          <cell r="J295"/>
          <cell r="K295"/>
          <cell r="L295"/>
          <cell r="M295"/>
          <cell r="N295"/>
          <cell r="O295"/>
          <cell r="P295"/>
          <cell r="Q295"/>
          <cell r="R295"/>
          <cell r="S295"/>
          <cell r="T295"/>
          <cell r="U295"/>
          <cell r="V295"/>
          <cell r="W295"/>
          <cell r="X295"/>
          <cell r="Y295"/>
          <cell r="Z295"/>
          <cell r="AA295"/>
          <cell r="AB295"/>
          <cell r="AC295"/>
          <cell r="AD295"/>
          <cell r="AE295"/>
          <cell r="AF295"/>
          <cell r="AG295"/>
          <cell r="AH295"/>
          <cell r="AI295"/>
          <cell r="AJ295"/>
          <cell r="AK295"/>
          <cell r="AL295"/>
          <cell r="AM295"/>
          <cell r="AN295"/>
          <cell r="AO295"/>
          <cell r="AP295"/>
          <cell r="AQ295"/>
          <cell r="AR295"/>
          <cell r="AS295"/>
          <cell r="AT295"/>
          <cell r="AU295"/>
          <cell r="AV295"/>
          <cell r="AW295"/>
          <cell r="AX295"/>
          <cell r="AY295"/>
          <cell r="AZ295"/>
          <cell r="BA295"/>
          <cell r="BB295"/>
          <cell r="BC295"/>
          <cell r="BD295"/>
          <cell r="BE295"/>
          <cell r="BF295"/>
          <cell r="BG295"/>
          <cell r="BH295"/>
          <cell r="BI295"/>
          <cell r="BJ295"/>
          <cell r="BK295"/>
          <cell r="BL295"/>
          <cell r="BM295"/>
          <cell r="BN295"/>
          <cell r="BO295"/>
          <cell r="BP295"/>
          <cell r="BQ295"/>
          <cell r="BR295"/>
          <cell r="BS295"/>
          <cell r="BT295"/>
          <cell r="BU295"/>
          <cell r="BV295"/>
          <cell r="BW295"/>
          <cell r="BX295"/>
          <cell r="BY295"/>
        </row>
        <row r="296">
          <cell r="B296" t="str">
            <v>BP-21001-BD</v>
          </cell>
          <cell r="D296"/>
          <cell r="E296"/>
          <cell r="F296"/>
          <cell r="G296"/>
          <cell r="H296"/>
          <cell r="I296"/>
          <cell r="J296"/>
          <cell r="K296"/>
          <cell r="L296"/>
          <cell r="M296"/>
          <cell r="N296"/>
          <cell r="O296"/>
          <cell r="P296"/>
          <cell r="Q296"/>
          <cell r="R296"/>
          <cell r="S296"/>
          <cell r="T296"/>
          <cell r="U296"/>
          <cell r="V296"/>
          <cell r="W296"/>
          <cell r="X296"/>
          <cell r="Y296"/>
          <cell r="Z296"/>
          <cell r="AA296"/>
          <cell r="AB296"/>
          <cell r="AC296"/>
          <cell r="AD296"/>
          <cell r="AE296"/>
          <cell r="AF296"/>
          <cell r="AG296"/>
          <cell r="AH296"/>
          <cell r="AI296"/>
          <cell r="AJ296"/>
          <cell r="AK296"/>
          <cell r="AL296"/>
          <cell r="AM296"/>
          <cell r="AN296"/>
          <cell r="AO296"/>
          <cell r="AP296"/>
          <cell r="AQ296"/>
          <cell r="AR296"/>
          <cell r="AS296"/>
          <cell r="AT296"/>
          <cell r="AU296"/>
          <cell r="AV296"/>
          <cell r="AW296"/>
          <cell r="AX296"/>
          <cell r="AY296"/>
          <cell r="AZ296"/>
          <cell r="BA296"/>
          <cell r="BB296"/>
          <cell r="BC296"/>
          <cell r="BD296"/>
          <cell r="BE296"/>
          <cell r="BF296"/>
          <cell r="BG296"/>
          <cell r="BH296"/>
          <cell r="BI296"/>
          <cell r="BJ296"/>
          <cell r="BK296"/>
          <cell r="BL296"/>
          <cell r="BM296"/>
          <cell r="BN296"/>
          <cell r="BO296"/>
          <cell r="BP296"/>
          <cell r="BQ296"/>
          <cell r="BR296"/>
          <cell r="BS296"/>
          <cell r="BT296"/>
          <cell r="BU296"/>
          <cell r="BV296"/>
          <cell r="BW296"/>
          <cell r="BX296"/>
          <cell r="BY296"/>
        </row>
        <row r="297">
          <cell r="B297" t="str">
            <v>BP-21001-BI</v>
          </cell>
          <cell r="D297"/>
          <cell r="E297"/>
          <cell r="F297"/>
          <cell r="G297"/>
          <cell r="H297"/>
          <cell r="I297"/>
          <cell r="J297"/>
          <cell r="K297"/>
          <cell r="L297"/>
          <cell r="M297"/>
          <cell r="N297"/>
          <cell r="O297"/>
          <cell r="P297"/>
          <cell r="Q297"/>
          <cell r="R297"/>
          <cell r="S297"/>
          <cell r="T297"/>
          <cell r="U297"/>
          <cell r="V297"/>
          <cell r="W297"/>
          <cell r="X297"/>
          <cell r="Y297"/>
          <cell r="Z297"/>
          <cell r="AA297"/>
          <cell r="AB297"/>
          <cell r="AC297"/>
          <cell r="AD297"/>
          <cell r="AE297"/>
          <cell r="AF297"/>
          <cell r="AG297"/>
          <cell r="AH297"/>
          <cell r="AI297"/>
          <cell r="AJ297"/>
          <cell r="AK297"/>
          <cell r="AL297"/>
          <cell r="AM297"/>
          <cell r="AN297"/>
          <cell r="AO297"/>
          <cell r="AP297"/>
          <cell r="AQ297"/>
          <cell r="AR297"/>
          <cell r="AS297"/>
          <cell r="AT297"/>
          <cell r="AU297"/>
          <cell r="AV297"/>
          <cell r="AW297"/>
          <cell r="AX297"/>
          <cell r="AY297"/>
          <cell r="AZ297"/>
          <cell r="BA297"/>
          <cell r="BB297"/>
          <cell r="BC297"/>
          <cell r="BD297"/>
          <cell r="BE297"/>
          <cell r="BF297"/>
          <cell r="BG297"/>
          <cell r="BH297"/>
          <cell r="BI297"/>
          <cell r="BJ297"/>
          <cell r="BK297"/>
          <cell r="BL297"/>
          <cell r="BM297"/>
          <cell r="BN297"/>
          <cell r="BO297"/>
          <cell r="BP297"/>
          <cell r="BQ297"/>
          <cell r="BR297"/>
          <cell r="BS297"/>
          <cell r="BT297"/>
          <cell r="BU297"/>
          <cell r="BV297"/>
          <cell r="BW297"/>
          <cell r="BX297"/>
          <cell r="BY297"/>
        </row>
        <row r="298">
          <cell r="B298" t="str">
            <v>BP-13002</v>
          </cell>
          <cell r="D298"/>
          <cell r="E298"/>
          <cell r="F298"/>
          <cell r="G298"/>
          <cell r="H298"/>
          <cell r="I298"/>
          <cell r="J298"/>
          <cell r="K298"/>
          <cell r="L298"/>
          <cell r="M298"/>
          <cell r="N298"/>
          <cell r="O298"/>
          <cell r="P298"/>
          <cell r="Q298"/>
          <cell r="R298"/>
          <cell r="S298"/>
          <cell r="T298"/>
          <cell r="U298"/>
          <cell r="V298"/>
          <cell r="W298"/>
          <cell r="X298"/>
          <cell r="Y298"/>
          <cell r="Z298"/>
          <cell r="AA298"/>
          <cell r="AB298"/>
          <cell r="AC298"/>
          <cell r="AD298"/>
          <cell r="AE298"/>
          <cell r="AF298"/>
          <cell r="AG298"/>
          <cell r="AH298"/>
          <cell r="AI298"/>
          <cell r="AJ298"/>
          <cell r="AK298"/>
          <cell r="AL298"/>
          <cell r="AM298"/>
          <cell r="AN298"/>
          <cell r="AO298"/>
          <cell r="AP298"/>
          <cell r="AQ298"/>
          <cell r="AR298"/>
          <cell r="AS298"/>
          <cell r="AT298"/>
          <cell r="AU298"/>
          <cell r="AV298"/>
          <cell r="AW298"/>
          <cell r="AX298"/>
          <cell r="AY298"/>
          <cell r="AZ298"/>
          <cell r="BA298"/>
          <cell r="BB298"/>
          <cell r="BC298"/>
          <cell r="BD298"/>
          <cell r="BE298"/>
          <cell r="BF298"/>
          <cell r="BG298"/>
          <cell r="BH298"/>
          <cell r="BI298"/>
          <cell r="BJ298"/>
          <cell r="BK298"/>
          <cell r="BL298"/>
          <cell r="BM298"/>
          <cell r="BN298"/>
          <cell r="BO298"/>
          <cell r="BP298"/>
          <cell r="BQ298"/>
          <cell r="BR298"/>
          <cell r="BS298"/>
          <cell r="BT298"/>
          <cell r="BU298"/>
          <cell r="BV298"/>
          <cell r="BW298"/>
          <cell r="BX298"/>
          <cell r="BY298"/>
        </row>
        <row r="299">
          <cell r="B299" t="str">
            <v>32005-MX</v>
          </cell>
          <cell r="D299"/>
          <cell r="E299"/>
          <cell r="F299"/>
          <cell r="G299"/>
          <cell r="H299"/>
          <cell r="I299"/>
          <cell r="J299"/>
          <cell r="K299"/>
          <cell r="L299"/>
          <cell r="M299"/>
          <cell r="N299"/>
          <cell r="O299"/>
          <cell r="P299"/>
          <cell r="Q299"/>
          <cell r="R299"/>
          <cell r="S299"/>
          <cell r="T299"/>
          <cell r="U299"/>
          <cell r="V299"/>
          <cell r="W299"/>
          <cell r="X299"/>
          <cell r="Y299"/>
          <cell r="Z299"/>
          <cell r="AA299"/>
          <cell r="AB299"/>
          <cell r="AC299"/>
          <cell r="AD299"/>
          <cell r="AE299"/>
          <cell r="AF299"/>
          <cell r="AG299"/>
          <cell r="AH299"/>
          <cell r="AI299"/>
          <cell r="AJ299"/>
          <cell r="AK299"/>
          <cell r="AL299"/>
          <cell r="AM299"/>
          <cell r="AN299"/>
          <cell r="AO299"/>
          <cell r="AP299"/>
          <cell r="AQ299"/>
          <cell r="AR299"/>
          <cell r="AS299"/>
          <cell r="AT299"/>
          <cell r="AU299"/>
          <cell r="AV299"/>
          <cell r="AW299"/>
          <cell r="AX299"/>
          <cell r="AY299"/>
          <cell r="AZ299"/>
          <cell r="BA299"/>
          <cell r="BB299"/>
          <cell r="BC299"/>
          <cell r="BD299"/>
          <cell r="BE299"/>
          <cell r="BF299"/>
          <cell r="BG299"/>
          <cell r="BH299"/>
          <cell r="BI299"/>
          <cell r="BJ299"/>
          <cell r="BK299"/>
          <cell r="BL299"/>
          <cell r="BM299"/>
          <cell r="BN299"/>
          <cell r="BO299"/>
          <cell r="BP299"/>
          <cell r="BQ299"/>
          <cell r="BR299"/>
          <cell r="BS299"/>
          <cell r="BT299"/>
          <cell r="BU299"/>
          <cell r="BV299"/>
          <cell r="BW299"/>
          <cell r="BX299"/>
          <cell r="BY299"/>
        </row>
        <row r="300">
          <cell r="B300" t="str">
            <v>PB004761</v>
          </cell>
          <cell r="D300"/>
          <cell r="E300"/>
          <cell r="F300"/>
          <cell r="G300"/>
          <cell r="H300"/>
          <cell r="I300"/>
          <cell r="J300"/>
          <cell r="K300"/>
          <cell r="L300"/>
          <cell r="M300"/>
          <cell r="N300"/>
          <cell r="O300"/>
          <cell r="P300"/>
          <cell r="Q300"/>
          <cell r="R300"/>
          <cell r="S300"/>
          <cell r="T300"/>
          <cell r="U300"/>
          <cell r="V300"/>
          <cell r="W300"/>
          <cell r="X300"/>
          <cell r="Y300"/>
          <cell r="Z300"/>
          <cell r="AA300"/>
          <cell r="AB300"/>
          <cell r="AC300"/>
          <cell r="AD300"/>
          <cell r="AE300"/>
          <cell r="AF300"/>
          <cell r="AG300"/>
          <cell r="AH300"/>
          <cell r="AI300"/>
          <cell r="AJ300"/>
          <cell r="AK300"/>
          <cell r="AL300"/>
          <cell r="AM300"/>
          <cell r="AN300"/>
          <cell r="AO300"/>
          <cell r="AP300"/>
          <cell r="AQ300"/>
          <cell r="AR300"/>
          <cell r="AS300"/>
          <cell r="AT300"/>
          <cell r="AU300"/>
          <cell r="AV300"/>
          <cell r="AW300"/>
          <cell r="AX300"/>
          <cell r="AY300"/>
          <cell r="AZ300"/>
          <cell r="BA300"/>
          <cell r="BB300"/>
          <cell r="BC300"/>
          <cell r="BD300"/>
          <cell r="BE300"/>
          <cell r="BF300"/>
          <cell r="BG300"/>
          <cell r="BH300"/>
          <cell r="BI300"/>
          <cell r="BJ300"/>
          <cell r="BK300"/>
          <cell r="BL300"/>
          <cell r="BM300"/>
          <cell r="BN300"/>
          <cell r="BO300"/>
          <cell r="BP300"/>
          <cell r="BQ300"/>
          <cell r="BR300"/>
          <cell r="BS300"/>
          <cell r="BT300"/>
          <cell r="BU300"/>
          <cell r="BV300"/>
          <cell r="BW300"/>
          <cell r="BX300"/>
          <cell r="BY300"/>
        </row>
        <row r="301">
          <cell r="B301" t="str">
            <v>F-205</v>
          </cell>
          <cell r="D301"/>
          <cell r="E301"/>
          <cell r="F301"/>
          <cell r="G301"/>
          <cell r="H301"/>
          <cell r="I301"/>
          <cell r="J301"/>
          <cell r="K301"/>
          <cell r="L301"/>
          <cell r="M301"/>
          <cell r="N301"/>
          <cell r="O301"/>
          <cell r="P301"/>
          <cell r="Q301"/>
          <cell r="R301"/>
          <cell r="S301"/>
          <cell r="T301"/>
          <cell r="U301"/>
          <cell r="V301"/>
          <cell r="W301"/>
          <cell r="X301"/>
          <cell r="Y301"/>
          <cell r="Z301"/>
          <cell r="AA301"/>
          <cell r="AB301"/>
          <cell r="AC301"/>
          <cell r="AD301"/>
          <cell r="AE301"/>
          <cell r="AF301"/>
          <cell r="AG301"/>
          <cell r="AH301"/>
          <cell r="AI301"/>
          <cell r="AJ301"/>
          <cell r="AK301"/>
          <cell r="AL301"/>
          <cell r="AM301"/>
          <cell r="AN301"/>
          <cell r="AO301"/>
          <cell r="AP301"/>
          <cell r="AQ301"/>
          <cell r="AR301"/>
          <cell r="AS301"/>
          <cell r="AT301"/>
          <cell r="AU301"/>
          <cell r="AV301"/>
          <cell r="AW301"/>
          <cell r="AX301"/>
          <cell r="AY301"/>
          <cell r="AZ301"/>
          <cell r="BA301"/>
          <cell r="BB301"/>
          <cell r="BC301"/>
          <cell r="BD301"/>
          <cell r="BE301"/>
          <cell r="BF301"/>
          <cell r="BG301"/>
          <cell r="BH301"/>
          <cell r="BI301"/>
          <cell r="BJ301"/>
          <cell r="BK301"/>
          <cell r="BL301"/>
          <cell r="BM301"/>
          <cell r="BN301"/>
          <cell r="BO301"/>
          <cell r="BP301"/>
          <cell r="BQ301"/>
          <cell r="BR301"/>
          <cell r="BS301"/>
          <cell r="BT301"/>
          <cell r="BU301"/>
          <cell r="BV301"/>
          <cell r="BW301"/>
          <cell r="BX301"/>
          <cell r="BY301"/>
        </row>
        <row r="302">
          <cell r="B302" t="str">
            <v>ACL-207-23</v>
          </cell>
          <cell r="D302"/>
          <cell r="E302"/>
          <cell r="F302"/>
          <cell r="G302"/>
          <cell r="H302"/>
          <cell r="I302"/>
          <cell r="J302"/>
          <cell r="K302"/>
          <cell r="L302"/>
          <cell r="M302"/>
          <cell r="N302"/>
          <cell r="O302"/>
          <cell r="P302"/>
          <cell r="Q302"/>
          <cell r="R302"/>
          <cell r="S302"/>
          <cell r="T302"/>
          <cell r="U302"/>
          <cell r="V302"/>
          <cell r="W302"/>
          <cell r="X302"/>
          <cell r="Y302"/>
          <cell r="Z302"/>
          <cell r="AA302"/>
          <cell r="AB302"/>
          <cell r="AC302"/>
          <cell r="AD302"/>
          <cell r="AE302"/>
          <cell r="AF302"/>
          <cell r="AG302"/>
          <cell r="AH302"/>
          <cell r="AI302"/>
          <cell r="AJ302"/>
          <cell r="AK302"/>
          <cell r="AL302"/>
          <cell r="AM302"/>
          <cell r="AN302"/>
          <cell r="AO302"/>
          <cell r="AP302"/>
          <cell r="AQ302"/>
          <cell r="AR302"/>
          <cell r="AS302"/>
          <cell r="AT302"/>
          <cell r="AU302"/>
          <cell r="AV302"/>
          <cell r="AW302"/>
          <cell r="AX302"/>
          <cell r="AY302"/>
          <cell r="AZ302"/>
          <cell r="BA302"/>
          <cell r="BB302"/>
          <cell r="BC302"/>
          <cell r="BD302"/>
          <cell r="BE302"/>
          <cell r="BF302"/>
          <cell r="BG302"/>
          <cell r="BH302"/>
          <cell r="BI302"/>
          <cell r="BJ302"/>
          <cell r="BK302"/>
          <cell r="BL302"/>
          <cell r="BM302"/>
          <cell r="BN302"/>
          <cell r="BO302"/>
          <cell r="BP302"/>
          <cell r="BQ302"/>
          <cell r="BR302"/>
          <cell r="BS302"/>
          <cell r="BT302"/>
          <cell r="BU302"/>
          <cell r="BV302"/>
          <cell r="BW302"/>
          <cell r="BX302"/>
          <cell r="BY302"/>
        </row>
        <row r="303">
          <cell r="B303" t="str">
            <v>ECL-212-39-D</v>
          </cell>
          <cell r="D303"/>
          <cell r="E303"/>
          <cell r="F303"/>
          <cell r="G303"/>
          <cell r="H303"/>
          <cell r="I303"/>
          <cell r="J303"/>
          <cell r="K303"/>
          <cell r="L303"/>
          <cell r="M303"/>
          <cell r="N303"/>
          <cell r="O303"/>
          <cell r="P303"/>
          <cell r="Q303"/>
          <cell r="R303"/>
          <cell r="S303"/>
          <cell r="T303"/>
          <cell r="U303"/>
          <cell r="V303"/>
          <cell r="W303"/>
          <cell r="X303"/>
          <cell r="Y303"/>
          <cell r="Z303"/>
          <cell r="AA303"/>
          <cell r="AB303"/>
          <cell r="AC303"/>
          <cell r="AD303"/>
          <cell r="AE303"/>
          <cell r="AF303"/>
          <cell r="AG303"/>
          <cell r="AH303"/>
          <cell r="AI303"/>
          <cell r="AJ303"/>
          <cell r="AK303"/>
          <cell r="AL303"/>
          <cell r="AM303"/>
          <cell r="AN303"/>
          <cell r="AO303"/>
          <cell r="AP303"/>
          <cell r="AQ303"/>
          <cell r="AR303"/>
          <cell r="AS303"/>
          <cell r="AT303"/>
          <cell r="AU303"/>
          <cell r="AV303"/>
          <cell r="AW303"/>
          <cell r="AX303"/>
          <cell r="AY303"/>
          <cell r="AZ303"/>
          <cell r="BA303"/>
          <cell r="BB303"/>
          <cell r="BC303"/>
          <cell r="BD303"/>
          <cell r="BE303"/>
          <cell r="BF303"/>
          <cell r="BG303"/>
          <cell r="BH303"/>
          <cell r="BI303"/>
          <cell r="BJ303"/>
          <cell r="BK303"/>
          <cell r="BL303"/>
          <cell r="BM303"/>
          <cell r="BN303"/>
          <cell r="BO303"/>
          <cell r="BP303"/>
          <cell r="BQ303"/>
          <cell r="BR303"/>
          <cell r="BS303"/>
          <cell r="BT303"/>
          <cell r="BU303"/>
          <cell r="BV303"/>
          <cell r="BW303"/>
          <cell r="BX303"/>
          <cell r="BY303"/>
        </row>
        <row r="304">
          <cell r="B304" t="str">
            <v>ACLR205-14R</v>
          </cell>
          <cell r="D304"/>
          <cell r="E304"/>
          <cell r="F304"/>
          <cell r="G304"/>
          <cell r="H304"/>
          <cell r="I304"/>
          <cell r="J304"/>
          <cell r="K304"/>
          <cell r="L304"/>
          <cell r="M304"/>
          <cell r="N304"/>
          <cell r="O304"/>
          <cell r="P304"/>
          <cell r="Q304"/>
          <cell r="R304"/>
          <cell r="S304"/>
          <cell r="T304"/>
          <cell r="U304"/>
          <cell r="V304"/>
          <cell r="W304"/>
          <cell r="X304"/>
          <cell r="Y304"/>
          <cell r="Z304"/>
          <cell r="AA304"/>
          <cell r="AB304"/>
          <cell r="AC304"/>
          <cell r="AD304"/>
          <cell r="AE304"/>
          <cell r="AF304"/>
          <cell r="AG304"/>
          <cell r="AH304"/>
          <cell r="AI304"/>
          <cell r="AJ304"/>
          <cell r="AK304"/>
          <cell r="AL304"/>
          <cell r="AM304"/>
          <cell r="AN304"/>
          <cell r="AO304"/>
          <cell r="AP304"/>
          <cell r="AQ304"/>
          <cell r="AR304"/>
          <cell r="AS304"/>
          <cell r="AT304"/>
          <cell r="AU304"/>
          <cell r="AV304"/>
          <cell r="AW304"/>
          <cell r="AX304"/>
          <cell r="AY304"/>
          <cell r="AZ304"/>
          <cell r="BA304"/>
          <cell r="BB304"/>
          <cell r="BC304"/>
          <cell r="BD304"/>
          <cell r="BE304"/>
          <cell r="BF304"/>
          <cell r="BG304"/>
          <cell r="BH304"/>
          <cell r="BI304"/>
          <cell r="BJ304"/>
          <cell r="BK304"/>
          <cell r="BL304"/>
          <cell r="BM304"/>
          <cell r="BN304"/>
          <cell r="BO304"/>
          <cell r="BP304"/>
          <cell r="BQ304"/>
          <cell r="BR304"/>
          <cell r="BS304"/>
          <cell r="BT304"/>
          <cell r="BU304"/>
          <cell r="BV304"/>
          <cell r="BW304"/>
          <cell r="BX304"/>
          <cell r="BY304"/>
        </row>
        <row r="305">
          <cell r="B305" t="str">
            <v>MS03-D-C3</v>
          </cell>
          <cell r="D305"/>
          <cell r="E305"/>
          <cell r="F305"/>
          <cell r="G305"/>
          <cell r="H305"/>
          <cell r="I305"/>
          <cell r="J305"/>
          <cell r="K305"/>
          <cell r="L305"/>
          <cell r="M305"/>
          <cell r="N305"/>
          <cell r="O305"/>
          <cell r="P305"/>
          <cell r="Q305"/>
          <cell r="R305"/>
          <cell r="S305"/>
          <cell r="T305"/>
          <cell r="U305"/>
          <cell r="V305"/>
          <cell r="W305"/>
          <cell r="X305"/>
          <cell r="Y305"/>
          <cell r="Z305"/>
          <cell r="AA305"/>
          <cell r="AB305"/>
          <cell r="AC305"/>
          <cell r="AD305"/>
          <cell r="AE305"/>
          <cell r="AF305"/>
          <cell r="AG305"/>
          <cell r="AH305"/>
          <cell r="AI305"/>
          <cell r="AJ305"/>
          <cell r="AK305"/>
          <cell r="AL305"/>
          <cell r="AM305"/>
          <cell r="AN305"/>
          <cell r="AO305"/>
          <cell r="AP305"/>
          <cell r="AQ305"/>
          <cell r="AR305"/>
          <cell r="AS305"/>
          <cell r="AT305"/>
          <cell r="AU305"/>
          <cell r="AV305"/>
          <cell r="AW305"/>
          <cell r="AX305"/>
          <cell r="AY305"/>
          <cell r="AZ305"/>
          <cell r="BA305"/>
          <cell r="BB305"/>
          <cell r="BC305"/>
          <cell r="BD305"/>
          <cell r="BE305"/>
          <cell r="BF305"/>
          <cell r="BG305"/>
          <cell r="BH305"/>
          <cell r="BI305"/>
          <cell r="BJ305"/>
          <cell r="BK305"/>
          <cell r="BL305"/>
          <cell r="BM305"/>
          <cell r="BN305"/>
          <cell r="BO305"/>
          <cell r="BP305"/>
          <cell r="BQ305"/>
          <cell r="BR305"/>
          <cell r="BS305"/>
          <cell r="BT305"/>
          <cell r="BU305"/>
          <cell r="BV305"/>
          <cell r="BW305"/>
          <cell r="BX305"/>
          <cell r="BY305"/>
        </row>
        <row r="306">
          <cell r="B306" t="str">
            <v>CB6203-1450</v>
          </cell>
          <cell r="D306"/>
          <cell r="E306"/>
          <cell r="F306"/>
          <cell r="G306"/>
          <cell r="H306"/>
          <cell r="I306"/>
          <cell r="J306"/>
          <cell r="K306"/>
          <cell r="L306"/>
          <cell r="M306"/>
          <cell r="N306"/>
          <cell r="O306"/>
          <cell r="P306"/>
          <cell r="Q306"/>
          <cell r="R306"/>
          <cell r="S306"/>
          <cell r="T306"/>
          <cell r="U306"/>
          <cell r="V306"/>
          <cell r="W306"/>
          <cell r="X306"/>
          <cell r="Y306"/>
          <cell r="Z306"/>
          <cell r="AA306"/>
          <cell r="AB306"/>
          <cell r="AC306"/>
          <cell r="AD306"/>
          <cell r="AE306"/>
          <cell r="AF306"/>
          <cell r="AG306"/>
          <cell r="AH306"/>
          <cell r="AI306"/>
          <cell r="AJ306"/>
          <cell r="AK306"/>
          <cell r="AL306"/>
          <cell r="AM306"/>
          <cell r="AN306"/>
          <cell r="AO306"/>
          <cell r="AP306"/>
          <cell r="AQ306"/>
          <cell r="AR306"/>
          <cell r="AS306"/>
          <cell r="AT306"/>
          <cell r="AU306"/>
          <cell r="AV306"/>
          <cell r="AW306"/>
          <cell r="AX306"/>
          <cell r="AY306"/>
          <cell r="AZ306"/>
          <cell r="BA306"/>
          <cell r="BB306"/>
          <cell r="BC306"/>
          <cell r="BD306"/>
          <cell r="BE306"/>
          <cell r="BF306"/>
          <cell r="BG306"/>
          <cell r="BH306"/>
          <cell r="BI306"/>
          <cell r="BJ306"/>
          <cell r="BK306"/>
          <cell r="BL306"/>
          <cell r="BM306"/>
          <cell r="BN306"/>
          <cell r="BO306"/>
          <cell r="BP306"/>
          <cell r="BQ306"/>
          <cell r="BR306"/>
          <cell r="BS306"/>
          <cell r="BT306"/>
          <cell r="BU306"/>
          <cell r="BV306"/>
          <cell r="BW306"/>
          <cell r="BX306"/>
          <cell r="BY306"/>
        </row>
        <row r="307">
          <cell r="B307" t="str">
            <v>F-209-C</v>
          </cell>
          <cell r="D307"/>
          <cell r="E307"/>
          <cell r="F307"/>
          <cell r="G307"/>
          <cell r="H307"/>
          <cell r="I307"/>
          <cell r="J307"/>
          <cell r="K307"/>
          <cell r="L307"/>
          <cell r="M307"/>
          <cell r="N307"/>
          <cell r="O307"/>
          <cell r="P307"/>
          <cell r="Q307"/>
          <cell r="R307"/>
          <cell r="S307"/>
          <cell r="T307"/>
          <cell r="U307"/>
          <cell r="V307"/>
          <cell r="W307"/>
          <cell r="X307"/>
          <cell r="Y307"/>
          <cell r="Z307"/>
          <cell r="AA307"/>
          <cell r="AB307"/>
          <cell r="AC307"/>
          <cell r="AD307"/>
          <cell r="AE307"/>
          <cell r="AF307"/>
          <cell r="AG307"/>
          <cell r="AH307"/>
          <cell r="AI307"/>
          <cell r="AJ307"/>
          <cell r="AK307"/>
          <cell r="AL307"/>
          <cell r="AM307"/>
          <cell r="AN307"/>
          <cell r="AO307"/>
          <cell r="AP307"/>
          <cell r="AQ307"/>
          <cell r="AR307"/>
          <cell r="AS307"/>
          <cell r="AT307"/>
          <cell r="AU307"/>
          <cell r="AV307"/>
          <cell r="AW307"/>
          <cell r="AX307"/>
          <cell r="AY307"/>
          <cell r="AZ307"/>
          <cell r="BA307"/>
          <cell r="BB307"/>
          <cell r="BC307"/>
          <cell r="BD307"/>
          <cell r="BE307"/>
          <cell r="BF307"/>
          <cell r="BG307"/>
          <cell r="BH307"/>
          <cell r="BI307"/>
          <cell r="BJ307"/>
          <cell r="BK307"/>
          <cell r="BL307"/>
          <cell r="BM307"/>
          <cell r="BN307"/>
          <cell r="BO307"/>
          <cell r="BP307"/>
          <cell r="BQ307"/>
          <cell r="BR307"/>
          <cell r="BS307"/>
          <cell r="BT307"/>
          <cell r="BU307"/>
          <cell r="BV307"/>
          <cell r="BW307"/>
          <cell r="BX307"/>
          <cell r="BY307"/>
        </row>
        <row r="308">
          <cell r="B308" t="str">
            <v>33211-MX</v>
          </cell>
          <cell r="D308"/>
          <cell r="E308"/>
          <cell r="F308"/>
          <cell r="G308"/>
          <cell r="H308"/>
          <cell r="I308"/>
          <cell r="J308"/>
          <cell r="K308"/>
          <cell r="L308"/>
          <cell r="M308"/>
          <cell r="N308"/>
          <cell r="O308"/>
          <cell r="P308"/>
          <cell r="Q308"/>
          <cell r="R308"/>
          <cell r="S308"/>
          <cell r="T308"/>
          <cell r="U308"/>
          <cell r="V308"/>
          <cell r="W308"/>
          <cell r="X308"/>
          <cell r="Y308"/>
          <cell r="Z308"/>
          <cell r="AA308"/>
          <cell r="AB308"/>
          <cell r="AC308"/>
          <cell r="AD308"/>
          <cell r="AE308"/>
          <cell r="AF308"/>
          <cell r="AG308"/>
          <cell r="AH308"/>
          <cell r="AI308"/>
          <cell r="AJ308"/>
          <cell r="AK308"/>
          <cell r="AL308"/>
          <cell r="AM308"/>
          <cell r="AN308"/>
          <cell r="AO308"/>
          <cell r="AP308"/>
          <cell r="AQ308"/>
          <cell r="AR308"/>
          <cell r="AS308"/>
          <cell r="AT308"/>
          <cell r="AU308"/>
          <cell r="AV308"/>
          <cell r="AW308"/>
          <cell r="AX308"/>
          <cell r="AY308"/>
          <cell r="AZ308"/>
          <cell r="BA308"/>
          <cell r="BB308"/>
          <cell r="BC308"/>
          <cell r="BD308"/>
          <cell r="BE308"/>
          <cell r="BF308"/>
          <cell r="BG308"/>
          <cell r="BH308"/>
          <cell r="BI308"/>
          <cell r="BJ308"/>
          <cell r="BK308"/>
          <cell r="BL308"/>
          <cell r="BM308"/>
          <cell r="BN308"/>
          <cell r="BO308"/>
          <cell r="BP308"/>
          <cell r="BQ308"/>
          <cell r="BR308"/>
          <cell r="BS308"/>
          <cell r="BT308"/>
          <cell r="BU308"/>
          <cell r="BV308"/>
          <cell r="BW308"/>
          <cell r="BX308"/>
          <cell r="BY308"/>
        </row>
        <row r="309">
          <cell r="B309" t="str">
            <v>E080001004</v>
          </cell>
          <cell r="D309"/>
          <cell r="E309"/>
          <cell r="F309"/>
          <cell r="G309"/>
          <cell r="H309"/>
          <cell r="I309"/>
          <cell r="J309"/>
          <cell r="K309"/>
          <cell r="L309"/>
          <cell r="M309"/>
          <cell r="N309"/>
          <cell r="O309"/>
          <cell r="P309"/>
          <cell r="Q309"/>
          <cell r="R309"/>
          <cell r="S309"/>
          <cell r="T309"/>
          <cell r="U309"/>
          <cell r="V309"/>
          <cell r="W309"/>
          <cell r="X309"/>
          <cell r="Y309"/>
          <cell r="Z309"/>
          <cell r="AA309"/>
          <cell r="AB309"/>
          <cell r="AC309"/>
          <cell r="AD309"/>
          <cell r="AE309"/>
          <cell r="AF309"/>
          <cell r="AG309"/>
          <cell r="AH309"/>
          <cell r="AI309"/>
          <cell r="AJ309"/>
          <cell r="AK309"/>
          <cell r="AL309"/>
          <cell r="AM309"/>
          <cell r="AN309"/>
          <cell r="AO309"/>
          <cell r="AP309"/>
          <cell r="AQ309"/>
          <cell r="AR309"/>
          <cell r="AS309"/>
          <cell r="AT309"/>
          <cell r="AU309"/>
          <cell r="AV309"/>
          <cell r="AW309"/>
          <cell r="AX309"/>
          <cell r="AY309"/>
          <cell r="AZ309"/>
          <cell r="BA309"/>
          <cell r="BB309"/>
          <cell r="BC309"/>
          <cell r="BD309"/>
          <cell r="BE309"/>
          <cell r="BF309"/>
          <cell r="BG309"/>
          <cell r="BH309"/>
          <cell r="BI309"/>
          <cell r="BJ309"/>
          <cell r="BK309"/>
          <cell r="BL309"/>
          <cell r="BM309"/>
          <cell r="BN309"/>
          <cell r="BO309"/>
          <cell r="BP309"/>
          <cell r="BQ309"/>
          <cell r="BR309"/>
          <cell r="BS309"/>
          <cell r="BT309"/>
          <cell r="BU309"/>
          <cell r="BV309"/>
          <cell r="BW309"/>
          <cell r="BX309"/>
          <cell r="BY309"/>
        </row>
        <row r="310">
          <cell r="B310" t="str">
            <v>32315-MX</v>
          </cell>
          <cell r="D310"/>
          <cell r="E310"/>
          <cell r="F310"/>
          <cell r="G310"/>
          <cell r="H310"/>
          <cell r="I310"/>
          <cell r="J310"/>
          <cell r="K310"/>
          <cell r="L310"/>
          <cell r="M310"/>
          <cell r="N310"/>
          <cell r="O310"/>
          <cell r="P310"/>
          <cell r="Q310"/>
          <cell r="R310"/>
          <cell r="S310"/>
          <cell r="T310"/>
          <cell r="U310"/>
          <cell r="V310"/>
          <cell r="W310"/>
          <cell r="X310"/>
          <cell r="Y310"/>
          <cell r="Z310"/>
          <cell r="AA310"/>
          <cell r="AB310"/>
          <cell r="AC310"/>
          <cell r="AD310"/>
          <cell r="AE310"/>
          <cell r="AF310"/>
          <cell r="AG310"/>
          <cell r="AH310"/>
          <cell r="AI310"/>
          <cell r="AJ310"/>
          <cell r="AK310"/>
          <cell r="AL310"/>
          <cell r="AM310"/>
          <cell r="AN310"/>
          <cell r="AO310"/>
          <cell r="AP310"/>
          <cell r="AQ310"/>
          <cell r="AR310"/>
          <cell r="AS310"/>
          <cell r="AT310"/>
          <cell r="AU310"/>
          <cell r="AV310"/>
          <cell r="AW310"/>
          <cell r="AX310"/>
          <cell r="AY310"/>
          <cell r="AZ310"/>
          <cell r="BA310"/>
          <cell r="BB310"/>
          <cell r="BC310"/>
          <cell r="BD310"/>
          <cell r="BE310"/>
          <cell r="BF310"/>
          <cell r="BG310"/>
          <cell r="BH310"/>
          <cell r="BI310"/>
          <cell r="BJ310"/>
          <cell r="BK310"/>
          <cell r="BL310"/>
          <cell r="BM310"/>
          <cell r="BN310"/>
          <cell r="BO310"/>
          <cell r="BP310"/>
          <cell r="BQ310"/>
          <cell r="BR310"/>
          <cell r="BS310"/>
          <cell r="BT310"/>
          <cell r="BU310"/>
          <cell r="BV310"/>
          <cell r="BW310"/>
          <cell r="BX310"/>
          <cell r="BY310"/>
        </row>
        <row r="311">
          <cell r="B311" t="str">
            <v>51118</v>
          </cell>
          <cell r="D311"/>
          <cell r="E311"/>
          <cell r="F311"/>
          <cell r="G311"/>
          <cell r="H311"/>
          <cell r="I311"/>
          <cell r="J311"/>
          <cell r="K311"/>
          <cell r="L311"/>
          <cell r="M311"/>
          <cell r="N311"/>
          <cell r="O311"/>
          <cell r="P311"/>
          <cell r="Q311"/>
          <cell r="R311"/>
          <cell r="S311"/>
          <cell r="T311"/>
          <cell r="U311"/>
          <cell r="V311"/>
          <cell r="W311"/>
          <cell r="X311"/>
          <cell r="Y311"/>
          <cell r="Z311"/>
          <cell r="AA311"/>
          <cell r="AB311"/>
          <cell r="AC311"/>
          <cell r="AD311"/>
          <cell r="AE311"/>
          <cell r="AF311"/>
          <cell r="AG311"/>
          <cell r="AH311"/>
          <cell r="AI311"/>
          <cell r="AJ311"/>
          <cell r="AK311"/>
          <cell r="AL311"/>
          <cell r="AM311"/>
          <cell r="AN311"/>
          <cell r="AO311"/>
          <cell r="AP311"/>
          <cell r="AQ311"/>
          <cell r="AR311"/>
          <cell r="AS311"/>
          <cell r="AT311"/>
          <cell r="AU311"/>
          <cell r="AV311"/>
          <cell r="AW311"/>
          <cell r="AX311"/>
          <cell r="AY311"/>
          <cell r="AZ311"/>
          <cell r="BA311"/>
          <cell r="BB311"/>
          <cell r="BC311"/>
          <cell r="BD311"/>
          <cell r="BE311"/>
          <cell r="BF311"/>
          <cell r="BG311"/>
          <cell r="BH311"/>
          <cell r="BI311"/>
          <cell r="BJ311"/>
          <cell r="BK311"/>
          <cell r="BL311"/>
          <cell r="BM311"/>
          <cell r="BN311"/>
          <cell r="BO311"/>
          <cell r="BP311"/>
          <cell r="BQ311"/>
          <cell r="BR311"/>
          <cell r="BS311"/>
          <cell r="BT311"/>
          <cell r="BU311"/>
          <cell r="BV311"/>
          <cell r="BW311"/>
          <cell r="BX311"/>
          <cell r="BY311"/>
        </row>
        <row r="312">
          <cell r="B312" t="str">
            <v>MS00-2RST</v>
          </cell>
          <cell r="D312"/>
          <cell r="E312"/>
          <cell r="F312"/>
          <cell r="G312"/>
          <cell r="H312"/>
          <cell r="I312"/>
          <cell r="J312"/>
          <cell r="K312"/>
          <cell r="L312"/>
          <cell r="M312"/>
          <cell r="N312"/>
          <cell r="O312"/>
          <cell r="P312"/>
          <cell r="Q312"/>
          <cell r="R312"/>
          <cell r="S312"/>
          <cell r="T312"/>
          <cell r="U312"/>
          <cell r="V312"/>
          <cell r="W312"/>
          <cell r="X312"/>
          <cell r="Y312"/>
          <cell r="Z312"/>
          <cell r="AA312"/>
          <cell r="AB312"/>
          <cell r="AC312"/>
          <cell r="AD312"/>
          <cell r="AE312"/>
          <cell r="AF312"/>
          <cell r="AG312"/>
          <cell r="AH312"/>
          <cell r="AI312"/>
          <cell r="AJ312"/>
          <cell r="AK312"/>
          <cell r="AL312"/>
          <cell r="AM312"/>
          <cell r="AN312"/>
          <cell r="AO312"/>
          <cell r="AP312"/>
          <cell r="AQ312"/>
          <cell r="AR312"/>
          <cell r="AS312"/>
          <cell r="AT312"/>
          <cell r="AU312"/>
          <cell r="AV312"/>
          <cell r="AW312"/>
          <cell r="AX312"/>
          <cell r="AY312"/>
          <cell r="AZ312"/>
          <cell r="BA312"/>
          <cell r="BB312"/>
          <cell r="BC312"/>
          <cell r="BD312"/>
          <cell r="BE312"/>
          <cell r="BF312"/>
          <cell r="BG312"/>
          <cell r="BH312"/>
          <cell r="BI312"/>
          <cell r="BJ312"/>
          <cell r="BK312"/>
          <cell r="BL312"/>
          <cell r="BM312"/>
          <cell r="BN312"/>
          <cell r="BO312"/>
          <cell r="BP312"/>
          <cell r="BQ312"/>
          <cell r="BR312"/>
          <cell r="BS312"/>
          <cell r="BT312"/>
          <cell r="BU312"/>
          <cell r="BV312"/>
          <cell r="BW312"/>
          <cell r="BX312"/>
          <cell r="BY312"/>
        </row>
        <row r="313">
          <cell r="B313" t="str">
            <v>32314-MX</v>
          </cell>
          <cell r="D313"/>
          <cell r="E313"/>
          <cell r="F313"/>
          <cell r="G313"/>
          <cell r="H313"/>
          <cell r="I313"/>
          <cell r="J313"/>
          <cell r="K313"/>
          <cell r="L313"/>
          <cell r="M313"/>
          <cell r="N313"/>
          <cell r="O313"/>
          <cell r="P313"/>
          <cell r="Q313"/>
          <cell r="R313"/>
          <cell r="S313"/>
          <cell r="T313"/>
          <cell r="U313"/>
          <cell r="V313"/>
          <cell r="W313"/>
          <cell r="X313"/>
          <cell r="Y313"/>
          <cell r="Z313"/>
          <cell r="AA313"/>
          <cell r="AB313"/>
          <cell r="AC313"/>
          <cell r="AD313"/>
          <cell r="AE313"/>
          <cell r="AF313"/>
          <cell r="AG313"/>
          <cell r="AH313"/>
          <cell r="AI313"/>
          <cell r="AJ313"/>
          <cell r="AK313"/>
          <cell r="AL313"/>
          <cell r="AM313"/>
          <cell r="AN313"/>
          <cell r="AO313"/>
          <cell r="AP313"/>
          <cell r="AQ313"/>
          <cell r="AR313"/>
          <cell r="AS313"/>
          <cell r="AT313"/>
          <cell r="AU313"/>
          <cell r="AV313"/>
          <cell r="AW313"/>
          <cell r="AX313"/>
          <cell r="AY313"/>
          <cell r="AZ313"/>
          <cell r="BA313"/>
          <cell r="BB313"/>
          <cell r="BC313"/>
          <cell r="BD313"/>
          <cell r="BE313"/>
          <cell r="BF313"/>
          <cell r="BG313"/>
          <cell r="BH313"/>
          <cell r="BI313"/>
          <cell r="BJ313"/>
          <cell r="BK313"/>
          <cell r="BL313"/>
          <cell r="BM313"/>
          <cell r="BN313"/>
          <cell r="BO313"/>
          <cell r="BP313"/>
          <cell r="BQ313"/>
          <cell r="BR313"/>
          <cell r="BS313"/>
          <cell r="BT313"/>
          <cell r="BU313"/>
          <cell r="BV313"/>
          <cell r="BW313"/>
          <cell r="BX313"/>
          <cell r="BY313"/>
        </row>
        <row r="314">
          <cell r="B314" t="str">
            <v>ECL-208-40DG</v>
          </cell>
          <cell r="D314"/>
          <cell r="E314"/>
          <cell r="F314"/>
          <cell r="G314"/>
          <cell r="H314"/>
          <cell r="I314"/>
          <cell r="J314"/>
          <cell r="K314"/>
          <cell r="L314"/>
          <cell r="M314"/>
          <cell r="N314"/>
          <cell r="O314"/>
          <cell r="P314"/>
          <cell r="Q314"/>
          <cell r="R314"/>
          <cell r="S314"/>
          <cell r="T314"/>
          <cell r="U314"/>
          <cell r="V314"/>
          <cell r="W314"/>
          <cell r="X314"/>
          <cell r="Y314"/>
          <cell r="Z314"/>
          <cell r="AA314"/>
          <cell r="AB314"/>
          <cell r="AC314"/>
          <cell r="AD314"/>
          <cell r="AE314"/>
          <cell r="AF314"/>
          <cell r="AG314"/>
          <cell r="AH314"/>
          <cell r="AI314"/>
          <cell r="AJ314"/>
          <cell r="AK314"/>
          <cell r="AL314"/>
          <cell r="AM314"/>
          <cell r="AN314"/>
          <cell r="AO314"/>
          <cell r="AP314"/>
          <cell r="AQ314"/>
          <cell r="AR314"/>
          <cell r="AS314"/>
          <cell r="AT314"/>
          <cell r="AU314"/>
          <cell r="AV314"/>
          <cell r="AW314"/>
          <cell r="AX314"/>
          <cell r="AY314"/>
          <cell r="AZ314"/>
          <cell r="BA314"/>
          <cell r="BB314"/>
          <cell r="BC314"/>
          <cell r="BD314"/>
          <cell r="BE314"/>
          <cell r="BF314"/>
          <cell r="BG314"/>
          <cell r="BH314"/>
          <cell r="BI314"/>
          <cell r="BJ314"/>
          <cell r="BK314"/>
          <cell r="BL314"/>
          <cell r="BM314"/>
          <cell r="BN314"/>
          <cell r="BO314"/>
          <cell r="BP314"/>
          <cell r="BQ314"/>
          <cell r="BR314"/>
          <cell r="BS314"/>
          <cell r="BT314"/>
          <cell r="BU314"/>
          <cell r="BV314"/>
          <cell r="BW314"/>
          <cell r="BX314"/>
          <cell r="BY314"/>
        </row>
        <row r="315">
          <cell r="B315" t="str">
            <v>MS07-D-C3</v>
          </cell>
          <cell r="D315"/>
          <cell r="E315"/>
          <cell r="F315"/>
          <cell r="G315"/>
          <cell r="H315"/>
          <cell r="I315"/>
          <cell r="J315"/>
          <cell r="K315"/>
          <cell r="L315"/>
          <cell r="M315"/>
          <cell r="N315"/>
          <cell r="O315"/>
          <cell r="P315"/>
          <cell r="Q315"/>
          <cell r="R315"/>
          <cell r="S315"/>
          <cell r="T315"/>
          <cell r="U315"/>
          <cell r="V315"/>
          <cell r="W315"/>
          <cell r="X315"/>
          <cell r="Y315"/>
          <cell r="Z315"/>
          <cell r="AA315"/>
          <cell r="AB315"/>
          <cell r="AC315"/>
          <cell r="AD315"/>
          <cell r="AE315"/>
          <cell r="AF315"/>
          <cell r="AG315"/>
          <cell r="AH315"/>
          <cell r="AI315"/>
          <cell r="AJ315"/>
          <cell r="AK315"/>
          <cell r="AL315"/>
          <cell r="AM315"/>
          <cell r="AN315"/>
          <cell r="AO315"/>
          <cell r="AP315"/>
          <cell r="AQ315"/>
          <cell r="AR315"/>
          <cell r="AS315"/>
          <cell r="AT315"/>
          <cell r="AU315"/>
          <cell r="AV315"/>
          <cell r="AW315"/>
          <cell r="AX315"/>
          <cell r="AY315"/>
          <cell r="AZ315"/>
          <cell r="BA315"/>
          <cell r="BB315"/>
          <cell r="BC315"/>
          <cell r="BD315"/>
          <cell r="BE315"/>
          <cell r="BF315"/>
          <cell r="BG315"/>
          <cell r="BH315"/>
          <cell r="BI315"/>
          <cell r="BJ315"/>
          <cell r="BK315"/>
          <cell r="BL315"/>
          <cell r="BM315"/>
          <cell r="BN315"/>
          <cell r="BO315"/>
          <cell r="BP315"/>
          <cell r="BQ315"/>
          <cell r="BR315"/>
          <cell r="BS315"/>
          <cell r="BT315"/>
          <cell r="BU315"/>
          <cell r="BV315"/>
          <cell r="BW315"/>
          <cell r="BX315"/>
          <cell r="BY315"/>
        </row>
        <row r="316">
          <cell r="B316" t="str">
            <v>F-207-M</v>
          </cell>
          <cell r="D316"/>
          <cell r="E316"/>
          <cell r="F316"/>
          <cell r="G316"/>
          <cell r="H316"/>
          <cell r="I316"/>
          <cell r="J316"/>
          <cell r="K316"/>
          <cell r="L316"/>
          <cell r="M316"/>
          <cell r="N316"/>
          <cell r="O316"/>
          <cell r="P316"/>
          <cell r="Q316"/>
          <cell r="R316"/>
          <cell r="S316"/>
          <cell r="T316"/>
          <cell r="U316"/>
          <cell r="V316"/>
          <cell r="W316"/>
          <cell r="X316"/>
          <cell r="Y316"/>
          <cell r="Z316"/>
          <cell r="AA316"/>
          <cell r="AB316"/>
          <cell r="AC316"/>
          <cell r="AD316"/>
          <cell r="AE316"/>
          <cell r="AF316"/>
          <cell r="AG316"/>
          <cell r="AH316"/>
          <cell r="AI316"/>
          <cell r="AJ316"/>
          <cell r="AK316"/>
          <cell r="AL316"/>
          <cell r="AM316"/>
          <cell r="AN316"/>
          <cell r="AO316"/>
          <cell r="AP316"/>
          <cell r="AQ316"/>
          <cell r="AR316"/>
          <cell r="AS316"/>
          <cell r="AT316"/>
          <cell r="AU316"/>
          <cell r="AV316"/>
          <cell r="AW316"/>
          <cell r="AX316"/>
          <cell r="AY316"/>
          <cell r="AZ316"/>
          <cell r="BA316"/>
          <cell r="BB316"/>
          <cell r="BC316"/>
          <cell r="BD316"/>
          <cell r="BE316"/>
          <cell r="BF316"/>
          <cell r="BG316"/>
          <cell r="BH316"/>
          <cell r="BI316"/>
          <cell r="BJ316"/>
          <cell r="BK316"/>
          <cell r="BL316"/>
          <cell r="BM316"/>
          <cell r="BN316"/>
          <cell r="BO316"/>
          <cell r="BP316"/>
          <cell r="BQ316"/>
          <cell r="BR316"/>
          <cell r="BS316"/>
          <cell r="BT316"/>
          <cell r="BU316"/>
          <cell r="BV316"/>
          <cell r="BW316"/>
          <cell r="BX316"/>
          <cell r="BY316"/>
        </row>
        <row r="317">
          <cell r="B317" t="str">
            <v>F-209-M</v>
          </cell>
          <cell r="D317"/>
          <cell r="E317"/>
          <cell r="F317"/>
          <cell r="G317"/>
          <cell r="H317"/>
          <cell r="I317"/>
          <cell r="J317"/>
          <cell r="K317"/>
          <cell r="L317"/>
          <cell r="M317"/>
          <cell r="N317"/>
          <cell r="O317"/>
          <cell r="P317"/>
          <cell r="Q317"/>
          <cell r="R317"/>
          <cell r="S317"/>
          <cell r="T317"/>
          <cell r="U317"/>
          <cell r="V317"/>
          <cell r="W317"/>
          <cell r="X317"/>
          <cell r="Y317"/>
          <cell r="Z317"/>
          <cell r="AA317"/>
          <cell r="AB317"/>
          <cell r="AC317"/>
          <cell r="AD317"/>
          <cell r="AE317"/>
          <cell r="AF317"/>
          <cell r="AG317"/>
          <cell r="AH317"/>
          <cell r="AI317"/>
          <cell r="AJ317"/>
          <cell r="AK317"/>
          <cell r="AL317"/>
          <cell r="AM317"/>
          <cell r="AN317"/>
          <cell r="AO317"/>
          <cell r="AP317"/>
          <cell r="AQ317"/>
          <cell r="AR317"/>
          <cell r="AS317"/>
          <cell r="AT317"/>
          <cell r="AU317"/>
          <cell r="AV317"/>
          <cell r="AW317"/>
          <cell r="AX317"/>
          <cell r="AY317"/>
          <cell r="AZ317"/>
          <cell r="BA317"/>
          <cell r="BB317"/>
          <cell r="BC317"/>
          <cell r="BD317"/>
          <cell r="BE317"/>
          <cell r="BF317"/>
          <cell r="BG317"/>
          <cell r="BH317"/>
          <cell r="BI317"/>
          <cell r="BJ317"/>
          <cell r="BK317"/>
          <cell r="BL317"/>
          <cell r="BM317"/>
          <cell r="BN317"/>
          <cell r="BO317"/>
          <cell r="BP317"/>
          <cell r="BQ317"/>
          <cell r="BR317"/>
          <cell r="BS317"/>
          <cell r="BT317"/>
          <cell r="BU317"/>
          <cell r="BV317"/>
          <cell r="BW317"/>
          <cell r="BX317"/>
          <cell r="BY317"/>
        </row>
        <row r="318">
          <cell r="B318" t="str">
            <v>33112-MX</v>
          </cell>
          <cell r="D318"/>
          <cell r="E318"/>
          <cell r="F318"/>
          <cell r="G318"/>
          <cell r="H318"/>
          <cell r="I318"/>
          <cell r="J318"/>
          <cell r="K318"/>
          <cell r="L318"/>
          <cell r="M318"/>
          <cell r="N318"/>
          <cell r="O318"/>
          <cell r="P318"/>
          <cell r="Q318"/>
          <cell r="R318"/>
          <cell r="S318"/>
          <cell r="T318"/>
          <cell r="U318"/>
          <cell r="V318"/>
          <cell r="W318"/>
          <cell r="X318"/>
          <cell r="Y318"/>
          <cell r="Z318"/>
          <cell r="AA318"/>
          <cell r="AB318"/>
          <cell r="AC318"/>
          <cell r="AD318"/>
          <cell r="AE318"/>
          <cell r="AF318"/>
          <cell r="AG318"/>
          <cell r="AH318"/>
          <cell r="AI318"/>
          <cell r="AJ318"/>
          <cell r="AK318"/>
          <cell r="AL318"/>
          <cell r="AM318"/>
          <cell r="AN318"/>
          <cell r="AO318"/>
          <cell r="AP318"/>
          <cell r="AQ318"/>
          <cell r="AR318"/>
          <cell r="AS318"/>
          <cell r="AT318"/>
          <cell r="AU318"/>
          <cell r="AV318"/>
          <cell r="AW318"/>
          <cell r="AX318"/>
          <cell r="AY318"/>
          <cell r="AZ318"/>
          <cell r="BA318"/>
          <cell r="BB318"/>
          <cell r="BC318"/>
          <cell r="BD318"/>
          <cell r="BE318"/>
          <cell r="BF318"/>
          <cell r="BG318"/>
          <cell r="BH318"/>
          <cell r="BI318"/>
          <cell r="BJ318"/>
          <cell r="BK318"/>
          <cell r="BL318"/>
          <cell r="BM318"/>
          <cell r="BN318"/>
          <cell r="BO318"/>
          <cell r="BP318"/>
          <cell r="BQ318"/>
          <cell r="BR318"/>
          <cell r="BS318"/>
          <cell r="BT318"/>
          <cell r="BU318"/>
          <cell r="BV318"/>
          <cell r="BW318"/>
          <cell r="BX318"/>
          <cell r="BY318"/>
        </row>
        <row r="319">
          <cell r="B319" t="str">
            <v>CF5202-P</v>
          </cell>
          <cell r="D319"/>
          <cell r="E319"/>
          <cell r="F319"/>
          <cell r="G319"/>
          <cell r="H319"/>
          <cell r="I319"/>
          <cell r="J319"/>
          <cell r="K319"/>
          <cell r="L319"/>
          <cell r="M319"/>
          <cell r="N319"/>
          <cell r="O319"/>
          <cell r="P319"/>
          <cell r="Q319"/>
          <cell r="R319"/>
          <cell r="S319"/>
          <cell r="T319"/>
          <cell r="U319"/>
          <cell r="V319"/>
          <cell r="W319"/>
          <cell r="X319"/>
          <cell r="Y319"/>
          <cell r="Z319"/>
          <cell r="AA319"/>
          <cell r="AB319"/>
          <cell r="AC319"/>
          <cell r="AD319"/>
          <cell r="AE319"/>
          <cell r="AF319"/>
          <cell r="AG319"/>
          <cell r="AH319"/>
          <cell r="AI319"/>
          <cell r="AJ319"/>
          <cell r="AK319"/>
          <cell r="AL319"/>
          <cell r="AM319"/>
          <cell r="AN319"/>
          <cell r="AO319"/>
          <cell r="AP319"/>
          <cell r="AQ319"/>
          <cell r="AR319"/>
          <cell r="AS319"/>
          <cell r="AT319"/>
          <cell r="AU319"/>
          <cell r="AV319"/>
          <cell r="AW319"/>
          <cell r="AX319"/>
          <cell r="AY319"/>
          <cell r="AZ319"/>
          <cell r="BA319"/>
          <cell r="BB319"/>
          <cell r="BC319"/>
          <cell r="BD319"/>
          <cell r="BE319"/>
          <cell r="BF319"/>
          <cell r="BG319"/>
          <cell r="BH319"/>
          <cell r="BI319"/>
          <cell r="BJ319"/>
          <cell r="BK319"/>
          <cell r="BL319"/>
          <cell r="BM319"/>
          <cell r="BN319"/>
          <cell r="BO319"/>
          <cell r="BP319"/>
          <cell r="BQ319"/>
          <cell r="BR319"/>
          <cell r="BS319"/>
          <cell r="BT319"/>
          <cell r="BU319"/>
          <cell r="BV319"/>
          <cell r="BW319"/>
          <cell r="BX319"/>
          <cell r="BY319"/>
        </row>
        <row r="320">
          <cell r="B320" t="str">
            <v>32306-MX</v>
          </cell>
          <cell r="D320"/>
          <cell r="E320"/>
          <cell r="F320"/>
          <cell r="G320"/>
          <cell r="H320"/>
          <cell r="I320"/>
          <cell r="J320"/>
          <cell r="K320"/>
          <cell r="L320"/>
          <cell r="M320"/>
          <cell r="N320"/>
          <cell r="O320"/>
          <cell r="P320"/>
          <cell r="Q320"/>
          <cell r="R320"/>
          <cell r="S320"/>
          <cell r="T320"/>
          <cell r="U320"/>
          <cell r="V320"/>
          <cell r="W320"/>
          <cell r="X320"/>
          <cell r="Y320"/>
          <cell r="Z320"/>
          <cell r="AA320"/>
          <cell r="AB320"/>
          <cell r="AC320"/>
          <cell r="AD320"/>
          <cell r="AE320"/>
          <cell r="AF320"/>
          <cell r="AG320"/>
          <cell r="AH320"/>
          <cell r="AI320"/>
          <cell r="AJ320"/>
          <cell r="AK320"/>
          <cell r="AL320"/>
          <cell r="AM320"/>
          <cell r="AN320"/>
          <cell r="AO320"/>
          <cell r="AP320"/>
          <cell r="AQ320"/>
          <cell r="AR320"/>
          <cell r="AS320"/>
          <cell r="AT320"/>
          <cell r="AU320"/>
          <cell r="AV320"/>
          <cell r="AW320"/>
          <cell r="AX320"/>
          <cell r="AY320"/>
          <cell r="AZ320"/>
          <cell r="BA320"/>
          <cell r="BB320"/>
          <cell r="BC320"/>
          <cell r="BD320"/>
          <cell r="BE320"/>
          <cell r="BF320"/>
          <cell r="BG320"/>
          <cell r="BH320"/>
          <cell r="BI320"/>
          <cell r="BJ320"/>
          <cell r="BK320"/>
          <cell r="BL320"/>
          <cell r="BM320"/>
          <cell r="BN320"/>
          <cell r="BO320"/>
          <cell r="BP320"/>
          <cell r="BQ320"/>
          <cell r="BR320"/>
          <cell r="BS320"/>
          <cell r="BT320"/>
          <cell r="BU320"/>
          <cell r="BV320"/>
          <cell r="BW320"/>
          <cell r="BX320"/>
          <cell r="BY320"/>
        </row>
        <row r="321">
          <cell r="B321" t="str">
            <v>32316-MX</v>
          </cell>
          <cell r="D321"/>
          <cell r="E321"/>
          <cell r="F321"/>
          <cell r="G321"/>
          <cell r="H321"/>
          <cell r="I321"/>
          <cell r="J321"/>
          <cell r="K321"/>
          <cell r="L321"/>
          <cell r="M321"/>
          <cell r="N321"/>
          <cell r="O321"/>
          <cell r="P321"/>
          <cell r="Q321"/>
          <cell r="R321"/>
          <cell r="S321"/>
          <cell r="T321"/>
          <cell r="U321"/>
          <cell r="V321"/>
          <cell r="W321"/>
          <cell r="X321"/>
          <cell r="Y321"/>
          <cell r="Z321"/>
          <cell r="AA321"/>
          <cell r="AB321"/>
          <cell r="AC321"/>
          <cell r="AD321"/>
          <cell r="AE321"/>
          <cell r="AF321"/>
          <cell r="AG321"/>
          <cell r="AH321"/>
          <cell r="AI321"/>
          <cell r="AJ321"/>
          <cell r="AK321"/>
          <cell r="AL321"/>
          <cell r="AM321"/>
          <cell r="AN321"/>
          <cell r="AO321"/>
          <cell r="AP321"/>
          <cell r="AQ321"/>
          <cell r="AR321"/>
          <cell r="AS321"/>
          <cell r="AT321"/>
          <cell r="AU321"/>
          <cell r="AV321"/>
          <cell r="AW321"/>
          <cell r="AX321"/>
          <cell r="AY321"/>
          <cell r="AZ321"/>
          <cell r="BA321"/>
          <cell r="BB321"/>
          <cell r="BC321"/>
          <cell r="BD321"/>
          <cell r="BE321"/>
          <cell r="BF321"/>
          <cell r="BG321"/>
          <cell r="BH321"/>
          <cell r="BI321"/>
          <cell r="BJ321"/>
          <cell r="BK321"/>
          <cell r="BL321"/>
          <cell r="BM321"/>
          <cell r="BN321"/>
          <cell r="BO321"/>
          <cell r="BP321"/>
          <cell r="BQ321"/>
          <cell r="BR321"/>
          <cell r="BS321"/>
          <cell r="BT321"/>
          <cell r="BU321"/>
          <cell r="BV321"/>
          <cell r="BW321"/>
          <cell r="BX321"/>
          <cell r="BY321"/>
        </row>
        <row r="322">
          <cell r="B322" t="str">
            <v>29685-620</v>
          </cell>
          <cell r="D322"/>
          <cell r="E322"/>
          <cell r="F322"/>
          <cell r="G322"/>
          <cell r="H322"/>
          <cell r="I322"/>
          <cell r="J322"/>
          <cell r="K322"/>
          <cell r="L322"/>
          <cell r="M322"/>
          <cell r="N322"/>
          <cell r="O322"/>
          <cell r="P322"/>
          <cell r="Q322"/>
          <cell r="R322"/>
          <cell r="S322"/>
          <cell r="T322"/>
          <cell r="U322"/>
          <cell r="V322"/>
          <cell r="W322"/>
          <cell r="X322"/>
          <cell r="Y322"/>
          <cell r="Z322"/>
          <cell r="AA322"/>
          <cell r="AB322"/>
          <cell r="AC322"/>
          <cell r="AD322"/>
          <cell r="AE322"/>
          <cell r="AF322"/>
          <cell r="AG322"/>
          <cell r="AH322"/>
          <cell r="AI322"/>
          <cell r="AJ322"/>
          <cell r="AK322"/>
          <cell r="AL322"/>
          <cell r="AM322"/>
          <cell r="AN322"/>
          <cell r="AO322"/>
          <cell r="AP322"/>
          <cell r="AQ322"/>
          <cell r="AR322"/>
          <cell r="AS322"/>
          <cell r="AT322"/>
          <cell r="AU322"/>
          <cell r="AV322"/>
          <cell r="AW322"/>
          <cell r="AX322"/>
          <cell r="AY322"/>
          <cell r="AZ322"/>
          <cell r="BA322"/>
          <cell r="BB322"/>
          <cell r="BC322"/>
          <cell r="BD322"/>
          <cell r="BE322"/>
          <cell r="BF322"/>
          <cell r="BG322"/>
          <cell r="BH322"/>
          <cell r="BI322"/>
          <cell r="BJ322"/>
          <cell r="BK322"/>
          <cell r="BL322"/>
          <cell r="BM322"/>
          <cell r="BN322"/>
          <cell r="BO322"/>
          <cell r="BP322"/>
          <cell r="BQ322"/>
          <cell r="BR322"/>
          <cell r="BS322"/>
          <cell r="BT322"/>
          <cell r="BU322"/>
          <cell r="BV322"/>
          <cell r="BW322"/>
          <cell r="BX322"/>
          <cell r="BY322"/>
        </row>
        <row r="323">
          <cell r="B323" t="str">
            <v>7207-B</v>
          </cell>
          <cell r="D323"/>
          <cell r="E323"/>
          <cell r="F323"/>
          <cell r="G323"/>
          <cell r="H323"/>
          <cell r="I323"/>
          <cell r="J323"/>
          <cell r="K323"/>
          <cell r="L323"/>
          <cell r="M323"/>
          <cell r="N323"/>
          <cell r="O323"/>
          <cell r="P323"/>
          <cell r="Q323"/>
          <cell r="R323"/>
          <cell r="S323"/>
          <cell r="T323"/>
          <cell r="U323"/>
          <cell r="V323"/>
          <cell r="W323"/>
          <cell r="X323"/>
          <cell r="Y323"/>
          <cell r="Z323"/>
          <cell r="AA323"/>
          <cell r="AB323"/>
          <cell r="AC323"/>
          <cell r="AD323"/>
          <cell r="AE323"/>
          <cell r="AF323"/>
          <cell r="AG323"/>
          <cell r="AH323"/>
          <cell r="AI323"/>
          <cell r="AJ323"/>
          <cell r="AK323"/>
          <cell r="AL323"/>
          <cell r="AM323"/>
          <cell r="AN323"/>
          <cell r="AO323"/>
          <cell r="AP323"/>
          <cell r="AQ323"/>
          <cell r="AR323"/>
          <cell r="AS323"/>
          <cell r="AT323"/>
          <cell r="AU323"/>
          <cell r="AV323"/>
          <cell r="AW323"/>
          <cell r="AX323"/>
          <cell r="AY323"/>
          <cell r="AZ323"/>
          <cell r="BA323"/>
          <cell r="BB323"/>
          <cell r="BC323"/>
          <cell r="BD323"/>
          <cell r="BE323"/>
          <cell r="BF323"/>
          <cell r="BG323"/>
          <cell r="BH323"/>
          <cell r="BI323"/>
          <cell r="BJ323"/>
          <cell r="BK323"/>
          <cell r="BL323"/>
          <cell r="BM323"/>
          <cell r="BN323"/>
          <cell r="BO323"/>
          <cell r="BP323"/>
          <cell r="BQ323"/>
          <cell r="BR323"/>
          <cell r="BS323"/>
          <cell r="BT323"/>
          <cell r="BU323"/>
          <cell r="BV323"/>
          <cell r="BW323"/>
          <cell r="BX323"/>
          <cell r="BY323"/>
        </row>
        <row r="324">
          <cell r="B324" t="str">
            <v>ASLR205-16</v>
          </cell>
          <cell r="D324"/>
          <cell r="E324"/>
          <cell r="F324"/>
          <cell r="G324"/>
          <cell r="H324"/>
          <cell r="I324"/>
          <cell r="J324"/>
          <cell r="K324"/>
          <cell r="L324"/>
          <cell r="M324"/>
          <cell r="N324"/>
          <cell r="O324"/>
          <cell r="P324"/>
          <cell r="Q324"/>
          <cell r="R324"/>
          <cell r="S324"/>
          <cell r="T324"/>
          <cell r="U324"/>
          <cell r="V324"/>
          <cell r="W324"/>
          <cell r="X324"/>
          <cell r="Y324"/>
          <cell r="Z324"/>
          <cell r="AA324"/>
          <cell r="AB324"/>
          <cell r="AC324"/>
          <cell r="AD324"/>
          <cell r="AE324"/>
          <cell r="AF324"/>
          <cell r="AG324"/>
          <cell r="AH324"/>
          <cell r="AI324"/>
          <cell r="AJ324"/>
          <cell r="AK324"/>
          <cell r="AL324"/>
          <cell r="AM324"/>
          <cell r="AN324"/>
          <cell r="AO324"/>
          <cell r="AP324"/>
          <cell r="AQ324"/>
          <cell r="AR324"/>
          <cell r="AS324"/>
          <cell r="AT324"/>
          <cell r="AU324"/>
          <cell r="AV324"/>
          <cell r="AW324"/>
          <cell r="AX324"/>
          <cell r="AY324"/>
          <cell r="AZ324"/>
          <cell r="BA324"/>
          <cell r="BB324"/>
          <cell r="BC324"/>
          <cell r="BD324"/>
          <cell r="BE324"/>
          <cell r="BF324"/>
          <cell r="BG324"/>
          <cell r="BH324"/>
          <cell r="BI324"/>
          <cell r="BJ324"/>
          <cell r="BK324"/>
          <cell r="BL324"/>
          <cell r="BM324"/>
          <cell r="BN324"/>
          <cell r="BO324"/>
          <cell r="BP324"/>
          <cell r="BQ324"/>
          <cell r="BR324"/>
          <cell r="BS324"/>
          <cell r="BT324"/>
          <cell r="BU324"/>
          <cell r="BV324"/>
          <cell r="BW324"/>
          <cell r="BX324"/>
          <cell r="BY324"/>
        </row>
        <row r="325">
          <cell r="B325" t="str">
            <v>1WW30</v>
          </cell>
          <cell r="D325"/>
          <cell r="E325"/>
          <cell r="F325"/>
          <cell r="G325"/>
          <cell r="H325"/>
          <cell r="I325"/>
          <cell r="J325"/>
          <cell r="K325"/>
          <cell r="L325"/>
          <cell r="M325"/>
          <cell r="N325"/>
          <cell r="O325"/>
          <cell r="P325"/>
          <cell r="Q325"/>
          <cell r="R325"/>
          <cell r="S325"/>
          <cell r="T325"/>
          <cell r="U325"/>
          <cell r="V325"/>
          <cell r="W325"/>
          <cell r="X325"/>
          <cell r="Y325"/>
          <cell r="Z325"/>
          <cell r="AA325"/>
          <cell r="AB325"/>
          <cell r="AC325"/>
          <cell r="AD325"/>
          <cell r="AE325"/>
          <cell r="AF325"/>
          <cell r="AG325"/>
          <cell r="AH325"/>
          <cell r="AI325"/>
          <cell r="AJ325"/>
          <cell r="AK325"/>
          <cell r="AL325"/>
          <cell r="AM325"/>
          <cell r="AN325"/>
          <cell r="AO325"/>
          <cell r="AP325"/>
          <cell r="AQ325"/>
          <cell r="AR325"/>
          <cell r="AS325"/>
          <cell r="AT325"/>
          <cell r="AU325"/>
          <cell r="AV325"/>
          <cell r="AW325"/>
          <cell r="AX325"/>
          <cell r="AY325"/>
          <cell r="AZ325"/>
          <cell r="BA325"/>
          <cell r="BB325"/>
          <cell r="BC325"/>
          <cell r="BD325"/>
          <cell r="BE325"/>
          <cell r="BF325"/>
          <cell r="BG325"/>
          <cell r="BH325"/>
          <cell r="BI325"/>
          <cell r="BJ325"/>
          <cell r="BK325"/>
          <cell r="BL325"/>
          <cell r="BM325"/>
          <cell r="BN325"/>
          <cell r="BO325"/>
          <cell r="BP325"/>
          <cell r="BQ325"/>
          <cell r="BR325"/>
          <cell r="BS325"/>
          <cell r="BT325"/>
          <cell r="BU325"/>
          <cell r="BV325"/>
          <cell r="BW325"/>
          <cell r="BX325"/>
          <cell r="BY325"/>
        </row>
        <row r="326">
          <cell r="B326" t="str">
            <v>MS03-2Z</v>
          </cell>
          <cell r="D326"/>
          <cell r="E326"/>
          <cell r="F326"/>
          <cell r="G326"/>
          <cell r="H326"/>
          <cell r="I326"/>
          <cell r="J326"/>
          <cell r="K326"/>
          <cell r="L326"/>
          <cell r="M326"/>
          <cell r="N326"/>
          <cell r="O326"/>
          <cell r="P326"/>
          <cell r="Q326"/>
          <cell r="R326"/>
          <cell r="S326"/>
          <cell r="T326"/>
          <cell r="U326"/>
          <cell r="V326"/>
          <cell r="W326"/>
          <cell r="X326"/>
          <cell r="Y326"/>
          <cell r="Z326"/>
          <cell r="AA326"/>
          <cell r="AB326"/>
          <cell r="AC326"/>
          <cell r="AD326"/>
          <cell r="AE326"/>
          <cell r="AF326"/>
          <cell r="AG326"/>
          <cell r="AH326"/>
          <cell r="AI326"/>
          <cell r="AJ326"/>
          <cell r="AK326"/>
          <cell r="AL326"/>
          <cell r="AM326"/>
          <cell r="AN326"/>
          <cell r="AO326"/>
          <cell r="AP326"/>
          <cell r="AQ326"/>
          <cell r="AR326"/>
          <cell r="AS326"/>
          <cell r="AT326"/>
          <cell r="AU326"/>
          <cell r="AV326"/>
          <cell r="AW326"/>
          <cell r="AX326"/>
          <cell r="AY326"/>
          <cell r="AZ326"/>
          <cell r="BA326"/>
          <cell r="BB326"/>
          <cell r="BC326"/>
          <cell r="BD326"/>
          <cell r="BE326"/>
          <cell r="BF326"/>
          <cell r="BG326"/>
          <cell r="BH326"/>
          <cell r="BI326"/>
          <cell r="BJ326"/>
          <cell r="BK326"/>
          <cell r="BL326"/>
          <cell r="BM326"/>
          <cell r="BN326"/>
          <cell r="BO326"/>
          <cell r="BP326"/>
          <cell r="BQ326"/>
          <cell r="BR326"/>
          <cell r="BS326"/>
          <cell r="BT326"/>
          <cell r="BU326"/>
          <cell r="BV326"/>
          <cell r="BW326"/>
          <cell r="BX326"/>
          <cell r="BY326"/>
        </row>
        <row r="327">
          <cell r="B327" t="str">
            <v>30311-MX</v>
          </cell>
          <cell r="D327"/>
          <cell r="E327"/>
          <cell r="F327"/>
          <cell r="G327"/>
          <cell r="H327"/>
          <cell r="I327"/>
          <cell r="J327"/>
          <cell r="K327"/>
          <cell r="L327"/>
          <cell r="M327"/>
          <cell r="N327"/>
          <cell r="O327"/>
          <cell r="P327"/>
          <cell r="Q327"/>
          <cell r="R327"/>
          <cell r="S327"/>
          <cell r="T327"/>
          <cell r="U327"/>
          <cell r="V327"/>
          <cell r="W327"/>
          <cell r="X327"/>
          <cell r="Y327"/>
          <cell r="Z327"/>
          <cell r="AA327"/>
          <cell r="AB327"/>
          <cell r="AC327"/>
          <cell r="AD327"/>
          <cell r="AE327"/>
          <cell r="AF327"/>
          <cell r="AG327"/>
          <cell r="AH327"/>
          <cell r="AI327"/>
          <cell r="AJ327"/>
          <cell r="AK327"/>
          <cell r="AL327"/>
          <cell r="AM327"/>
          <cell r="AN327"/>
          <cell r="AO327"/>
          <cell r="AP327"/>
          <cell r="AQ327"/>
          <cell r="AR327"/>
          <cell r="AS327"/>
          <cell r="AT327"/>
          <cell r="AU327"/>
          <cell r="AV327"/>
          <cell r="AW327"/>
          <cell r="AX327"/>
          <cell r="AY327"/>
          <cell r="AZ327"/>
          <cell r="BA327"/>
          <cell r="BB327"/>
          <cell r="BC327"/>
          <cell r="BD327"/>
          <cell r="BE327"/>
          <cell r="BF327"/>
          <cell r="BG327"/>
          <cell r="BH327"/>
          <cell r="BI327"/>
          <cell r="BJ327"/>
          <cell r="BK327"/>
          <cell r="BL327"/>
          <cell r="BM327"/>
          <cell r="BN327"/>
          <cell r="BO327"/>
          <cell r="BP327"/>
          <cell r="BQ327"/>
          <cell r="BR327"/>
          <cell r="BS327"/>
          <cell r="BT327"/>
          <cell r="BU327"/>
          <cell r="BV327"/>
          <cell r="BW327"/>
          <cell r="BX327"/>
          <cell r="BY327"/>
        </row>
        <row r="328">
          <cell r="B328" t="str">
            <v>ENG458053CHS</v>
          </cell>
          <cell r="D328"/>
          <cell r="E328"/>
          <cell r="F328"/>
          <cell r="G328"/>
          <cell r="H328"/>
          <cell r="I328"/>
          <cell r="J328"/>
          <cell r="K328"/>
          <cell r="L328"/>
          <cell r="M328"/>
          <cell r="N328"/>
          <cell r="O328"/>
          <cell r="P328"/>
          <cell r="Q328"/>
          <cell r="R328"/>
          <cell r="S328"/>
          <cell r="T328"/>
          <cell r="U328"/>
          <cell r="V328"/>
          <cell r="W328"/>
          <cell r="X328"/>
          <cell r="Y328"/>
          <cell r="Z328"/>
          <cell r="AA328"/>
          <cell r="AB328"/>
          <cell r="AC328"/>
          <cell r="AD328"/>
          <cell r="AE328"/>
          <cell r="AF328"/>
          <cell r="AG328"/>
          <cell r="AH328"/>
          <cell r="AI328"/>
          <cell r="AJ328"/>
          <cell r="AK328"/>
          <cell r="AL328"/>
          <cell r="AM328"/>
          <cell r="AN328"/>
          <cell r="AO328"/>
          <cell r="AP328"/>
          <cell r="AQ328"/>
          <cell r="AR328"/>
          <cell r="AS328"/>
          <cell r="AT328"/>
          <cell r="AU328"/>
          <cell r="AV328"/>
          <cell r="AW328"/>
          <cell r="AX328"/>
          <cell r="AY328"/>
          <cell r="AZ328"/>
          <cell r="BA328"/>
          <cell r="BB328"/>
          <cell r="BC328"/>
          <cell r="BD328"/>
          <cell r="BE328"/>
          <cell r="BF328"/>
          <cell r="BG328"/>
          <cell r="BH328"/>
          <cell r="BI328"/>
          <cell r="BJ328"/>
          <cell r="BK328"/>
          <cell r="BL328"/>
          <cell r="BM328"/>
          <cell r="BN328"/>
          <cell r="BO328"/>
          <cell r="BP328"/>
          <cell r="BQ328"/>
          <cell r="BR328"/>
          <cell r="BS328"/>
          <cell r="BT328"/>
          <cell r="BU328"/>
          <cell r="BV328"/>
          <cell r="BW328"/>
          <cell r="BX328"/>
          <cell r="BY328"/>
        </row>
        <row r="329">
          <cell r="B329" t="str">
            <v>ECL-207-22-D</v>
          </cell>
          <cell r="D329"/>
          <cell r="E329"/>
          <cell r="F329"/>
          <cell r="G329"/>
          <cell r="H329"/>
          <cell r="I329"/>
          <cell r="J329"/>
          <cell r="K329"/>
          <cell r="L329"/>
          <cell r="M329"/>
          <cell r="N329"/>
          <cell r="O329"/>
          <cell r="P329"/>
          <cell r="Q329"/>
          <cell r="R329"/>
          <cell r="S329"/>
          <cell r="T329"/>
          <cell r="U329"/>
          <cell r="V329"/>
          <cell r="W329"/>
          <cell r="X329"/>
          <cell r="Y329"/>
          <cell r="Z329"/>
          <cell r="AA329"/>
          <cell r="AB329"/>
          <cell r="AC329"/>
          <cell r="AD329"/>
          <cell r="AE329"/>
          <cell r="AF329"/>
          <cell r="AG329"/>
          <cell r="AH329"/>
          <cell r="AI329"/>
          <cell r="AJ329"/>
          <cell r="AK329"/>
          <cell r="AL329"/>
          <cell r="AM329"/>
          <cell r="AN329"/>
          <cell r="AO329"/>
          <cell r="AP329"/>
          <cell r="AQ329"/>
          <cell r="AR329"/>
          <cell r="AS329"/>
          <cell r="AT329"/>
          <cell r="AU329"/>
          <cell r="AV329"/>
          <cell r="AW329"/>
          <cell r="AX329"/>
          <cell r="AY329"/>
          <cell r="AZ329"/>
          <cell r="BA329"/>
          <cell r="BB329"/>
          <cell r="BC329"/>
          <cell r="BD329"/>
          <cell r="BE329"/>
          <cell r="BF329"/>
          <cell r="BG329"/>
          <cell r="BH329"/>
          <cell r="BI329"/>
          <cell r="BJ329"/>
          <cell r="BK329"/>
          <cell r="BL329"/>
          <cell r="BM329"/>
          <cell r="BN329"/>
          <cell r="BO329"/>
          <cell r="BP329"/>
          <cell r="BQ329"/>
          <cell r="BR329"/>
          <cell r="BS329"/>
          <cell r="BT329"/>
          <cell r="BU329"/>
          <cell r="BV329"/>
          <cell r="BW329"/>
          <cell r="BX329"/>
          <cell r="BY329"/>
        </row>
        <row r="330">
          <cell r="B330" t="str">
            <v>F-206</v>
          </cell>
          <cell r="D330"/>
          <cell r="E330"/>
          <cell r="F330"/>
          <cell r="G330"/>
          <cell r="H330"/>
          <cell r="I330"/>
          <cell r="J330"/>
          <cell r="K330"/>
          <cell r="L330"/>
          <cell r="M330"/>
          <cell r="N330"/>
          <cell r="O330"/>
          <cell r="P330"/>
          <cell r="Q330"/>
          <cell r="R330"/>
          <cell r="S330"/>
          <cell r="T330"/>
          <cell r="U330"/>
          <cell r="V330"/>
          <cell r="W330"/>
          <cell r="X330"/>
          <cell r="Y330"/>
          <cell r="Z330"/>
          <cell r="AA330"/>
          <cell r="AB330"/>
          <cell r="AC330"/>
          <cell r="AD330"/>
          <cell r="AE330"/>
          <cell r="AF330"/>
          <cell r="AG330"/>
          <cell r="AH330"/>
          <cell r="AI330"/>
          <cell r="AJ330"/>
          <cell r="AK330"/>
          <cell r="AL330"/>
          <cell r="AM330"/>
          <cell r="AN330"/>
          <cell r="AO330"/>
          <cell r="AP330"/>
          <cell r="AQ330"/>
          <cell r="AR330"/>
          <cell r="AS330"/>
          <cell r="AT330"/>
          <cell r="AU330"/>
          <cell r="AV330"/>
          <cell r="AW330"/>
          <cell r="AX330"/>
          <cell r="AY330"/>
          <cell r="AZ330"/>
          <cell r="BA330"/>
          <cell r="BB330"/>
          <cell r="BC330"/>
          <cell r="BD330"/>
          <cell r="BE330"/>
          <cell r="BF330"/>
          <cell r="BG330"/>
          <cell r="BH330"/>
          <cell r="BI330"/>
          <cell r="BJ330"/>
          <cell r="BK330"/>
          <cell r="BL330"/>
          <cell r="BM330"/>
          <cell r="BN330"/>
          <cell r="BO330"/>
          <cell r="BP330"/>
          <cell r="BQ330"/>
          <cell r="BR330"/>
          <cell r="BS330"/>
          <cell r="BT330"/>
          <cell r="BU330"/>
          <cell r="BV330"/>
          <cell r="BW330"/>
          <cell r="BX330"/>
          <cell r="BY330"/>
        </row>
        <row r="331">
          <cell r="B331" t="str">
            <v>FD-205</v>
          </cell>
          <cell r="D331"/>
          <cell r="E331"/>
          <cell r="F331"/>
          <cell r="G331"/>
          <cell r="H331"/>
          <cell r="I331"/>
          <cell r="J331"/>
          <cell r="K331"/>
          <cell r="L331"/>
          <cell r="M331"/>
          <cell r="N331"/>
          <cell r="O331"/>
          <cell r="P331"/>
          <cell r="Q331"/>
          <cell r="R331"/>
          <cell r="S331"/>
          <cell r="T331"/>
          <cell r="U331"/>
          <cell r="V331"/>
          <cell r="W331"/>
          <cell r="X331"/>
          <cell r="Y331"/>
          <cell r="Z331"/>
          <cell r="AA331"/>
          <cell r="AB331"/>
          <cell r="AC331"/>
          <cell r="AD331"/>
          <cell r="AE331"/>
          <cell r="AF331"/>
          <cell r="AG331"/>
          <cell r="AH331"/>
          <cell r="AI331"/>
          <cell r="AJ331"/>
          <cell r="AK331"/>
          <cell r="AL331"/>
          <cell r="AM331"/>
          <cell r="AN331"/>
          <cell r="AO331"/>
          <cell r="AP331"/>
          <cell r="AQ331"/>
          <cell r="AR331"/>
          <cell r="AS331"/>
          <cell r="AT331"/>
          <cell r="AU331"/>
          <cell r="AV331"/>
          <cell r="AW331"/>
          <cell r="AX331"/>
          <cell r="AY331"/>
          <cell r="AZ331"/>
          <cell r="BA331"/>
          <cell r="BB331"/>
          <cell r="BC331"/>
          <cell r="BD331"/>
          <cell r="BE331"/>
          <cell r="BF331"/>
          <cell r="BG331"/>
          <cell r="BH331"/>
          <cell r="BI331"/>
          <cell r="BJ331"/>
          <cell r="BK331"/>
          <cell r="BL331"/>
          <cell r="BM331"/>
          <cell r="BN331"/>
          <cell r="BO331"/>
          <cell r="BP331"/>
          <cell r="BQ331"/>
          <cell r="BR331"/>
          <cell r="BS331"/>
          <cell r="BT331"/>
          <cell r="BU331"/>
          <cell r="BV331"/>
          <cell r="BW331"/>
          <cell r="BX331"/>
          <cell r="BY331"/>
        </row>
        <row r="332">
          <cell r="B332" t="str">
            <v>206-KYY6</v>
          </cell>
          <cell r="D332"/>
          <cell r="E332"/>
          <cell r="F332"/>
          <cell r="G332"/>
          <cell r="H332"/>
          <cell r="I332"/>
          <cell r="J332"/>
          <cell r="K332"/>
          <cell r="L332"/>
          <cell r="M332"/>
          <cell r="N332"/>
          <cell r="O332"/>
          <cell r="P332"/>
          <cell r="Q332"/>
          <cell r="R332"/>
          <cell r="S332"/>
          <cell r="T332"/>
          <cell r="U332"/>
          <cell r="V332"/>
          <cell r="W332"/>
          <cell r="X332"/>
          <cell r="Y332"/>
          <cell r="Z332"/>
          <cell r="AA332"/>
          <cell r="AB332"/>
          <cell r="AC332"/>
          <cell r="AD332"/>
          <cell r="AE332"/>
          <cell r="AF332"/>
          <cell r="AG332"/>
          <cell r="AH332"/>
          <cell r="AI332"/>
          <cell r="AJ332"/>
          <cell r="AK332"/>
          <cell r="AL332"/>
          <cell r="AM332"/>
          <cell r="AN332"/>
          <cell r="AO332"/>
          <cell r="AP332"/>
          <cell r="AQ332"/>
          <cell r="AR332"/>
          <cell r="AS332"/>
          <cell r="AT332"/>
          <cell r="AU332"/>
          <cell r="AV332"/>
          <cell r="AW332"/>
          <cell r="AX332"/>
          <cell r="AY332"/>
          <cell r="AZ332"/>
          <cell r="BA332"/>
          <cell r="BB332"/>
          <cell r="BC332"/>
          <cell r="BD332"/>
          <cell r="BE332"/>
          <cell r="BF332"/>
          <cell r="BG332"/>
          <cell r="BH332"/>
          <cell r="BI332"/>
          <cell r="BJ332"/>
          <cell r="BK332"/>
          <cell r="BL332"/>
          <cell r="BM332"/>
          <cell r="BN332"/>
          <cell r="BO332"/>
          <cell r="BP332"/>
          <cell r="BQ332"/>
          <cell r="BR332"/>
          <cell r="BS332"/>
          <cell r="BT332"/>
          <cell r="BU332"/>
          <cell r="BV332"/>
          <cell r="BW332"/>
          <cell r="BX332"/>
          <cell r="BY332"/>
        </row>
        <row r="333">
          <cell r="B333" t="str">
            <v>PB008775</v>
          </cell>
          <cell r="D333"/>
          <cell r="E333"/>
          <cell r="F333"/>
          <cell r="G333"/>
          <cell r="H333"/>
          <cell r="I333"/>
          <cell r="J333"/>
          <cell r="K333"/>
          <cell r="L333"/>
          <cell r="M333"/>
          <cell r="N333"/>
          <cell r="O333"/>
          <cell r="P333"/>
          <cell r="Q333"/>
          <cell r="R333"/>
          <cell r="S333"/>
          <cell r="T333"/>
          <cell r="U333"/>
          <cell r="V333"/>
          <cell r="W333"/>
          <cell r="X333"/>
          <cell r="Y333"/>
          <cell r="Z333"/>
          <cell r="AA333"/>
          <cell r="AB333"/>
          <cell r="AC333"/>
          <cell r="AD333"/>
          <cell r="AE333"/>
          <cell r="AF333"/>
          <cell r="AG333"/>
          <cell r="AH333"/>
          <cell r="AI333"/>
          <cell r="AJ333"/>
          <cell r="AK333"/>
          <cell r="AL333"/>
          <cell r="AM333"/>
          <cell r="AN333"/>
          <cell r="AO333"/>
          <cell r="AP333"/>
          <cell r="AQ333"/>
          <cell r="AR333"/>
          <cell r="AS333"/>
          <cell r="AT333"/>
          <cell r="AU333"/>
          <cell r="AV333"/>
          <cell r="AW333"/>
          <cell r="AX333"/>
          <cell r="AY333"/>
          <cell r="AZ333"/>
          <cell r="BA333"/>
          <cell r="BB333"/>
          <cell r="BC333"/>
          <cell r="BD333"/>
          <cell r="BE333"/>
          <cell r="BF333"/>
          <cell r="BG333"/>
          <cell r="BH333"/>
          <cell r="BI333"/>
          <cell r="BJ333"/>
          <cell r="BK333"/>
          <cell r="BL333"/>
          <cell r="BM333"/>
          <cell r="BN333"/>
          <cell r="BO333"/>
          <cell r="BP333"/>
          <cell r="BQ333"/>
          <cell r="BR333"/>
          <cell r="BS333"/>
          <cell r="BT333"/>
          <cell r="BU333"/>
          <cell r="BV333"/>
          <cell r="BW333"/>
          <cell r="BX333"/>
          <cell r="BY333"/>
        </row>
        <row r="334">
          <cell r="B334" t="str">
            <v>MS02-D-C3</v>
          </cell>
          <cell r="D334"/>
          <cell r="E334"/>
          <cell r="F334"/>
          <cell r="G334"/>
          <cell r="H334"/>
          <cell r="I334"/>
          <cell r="J334"/>
          <cell r="K334"/>
          <cell r="L334"/>
          <cell r="M334"/>
          <cell r="N334"/>
          <cell r="O334"/>
          <cell r="P334"/>
          <cell r="Q334"/>
          <cell r="R334"/>
          <cell r="S334"/>
          <cell r="T334"/>
          <cell r="U334"/>
          <cell r="V334"/>
          <cell r="W334"/>
          <cell r="X334"/>
          <cell r="Y334"/>
          <cell r="Z334"/>
          <cell r="AA334"/>
          <cell r="AB334"/>
          <cell r="AC334"/>
          <cell r="AD334"/>
          <cell r="AE334"/>
          <cell r="AF334"/>
          <cell r="AG334"/>
          <cell r="AH334"/>
          <cell r="AI334"/>
          <cell r="AJ334"/>
          <cell r="AK334"/>
          <cell r="AL334"/>
          <cell r="AM334"/>
          <cell r="AN334"/>
          <cell r="AO334"/>
          <cell r="AP334"/>
          <cell r="AQ334"/>
          <cell r="AR334"/>
          <cell r="AS334"/>
          <cell r="AT334"/>
          <cell r="AU334"/>
          <cell r="AV334"/>
          <cell r="AW334"/>
          <cell r="AX334"/>
          <cell r="AY334"/>
          <cell r="AZ334"/>
          <cell r="BA334"/>
          <cell r="BB334"/>
          <cell r="BC334"/>
          <cell r="BD334"/>
          <cell r="BE334"/>
          <cell r="BF334"/>
          <cell r="BG334"/>
          <cell r="BH334"/>
          <cell r="BI334"/>
          <cell r="BJ334"/>
          <cell r="BK334"/>
          <cell r="BL334"/>
          <cell r="BM334"/>
          <cell r="BN334"/>
          <cell r="BO334"/>
          <cell r="BP334"/>
          <cell r="BQ334"/>
          <cell r="BR334"/>
          <cell r="BS334"/>
          <cell r="BT334"/>
          <cell r="BU334"/>
          <cell r="BV334"/>
          <cell r="BW334"/>
          <cell r="BX334"/>
          <cell r="BY334"/>
        </row>
        <row r="335">
          <cell r="B335" t="str">
            <v>AG-1235-B</v>
          </cell>
          <cell r="D335"/>
          <cell r="E335"/>
          <cell r="F335"/>
          <cell r="G335"/>
          <cell r="H335"/>
          <cell r="I335"/>
          <cell r="J335"/>
          <cell r="K335"/>
          <cell r="L335"/>
          <cell r="M335"/>
          <cell r="N335"/>
          <cell r="O335"/>
          <cell r="P335"/>
          <cell r="Q335"/>
          <cell r="R335"/>
          <cell r="S335"/>
          <cell r="T335"/>
          <cell r="U335"/>
          <cell r="V335"/>
          <cell r="W335"/>
          <cell r="X335"/>
          <cell r="Y335"/>
          <cell r="Z335"/>
          <cell r="AA335"/>
          <cell r="AB335"/>
          <cell r="AC335"/>
          <cell r="AD335"/>
          <cell r="AE335"/>
          <cell r="AF335"/>
          <cell r="AG335"/>
          <cell r="AH335"/>
          <cell r="AI335"/>
          <cell r="AJ335"/>
          <cell r="AK335"/>
          <cell r="AL335"/>
          <cell r="AM335"/>
          <cell r="AN335"/>
          <cell r="AO335"/>
          <cell r="AP335"/>
          <cell r="AQ335"/>
          <cell r="AR335"/>
          <cell r="AS335"/>
          <cell r="AT335"/>
          <cell r="AU335"/>
          <cell r="AV335"/>
          <cell r="AW335"/>
          <cell r="AX335"/>
          <cell r="AY335"/>
          <cell r="AZ335"/>
          <cell r="BA335"/>
          <cell r="BB335"/>
          <cell r="BC335"/>
          <cell r="BD335"/>
          <cell r="BE335"/>
          <cell r="BF335"/>
          <cell r="BG335"/>
          <cell r="BH335"/>
          <cell r="BI335"/>
          <cell r="BJ335"/>
          <cell r="BK335"/>
          <cell r="BL335"/>
          <cell r="BM335"/>
          <cell r="BN335"/>
          <cell r="BO335"/>
          <cell r="BP335"/>
          <cell r="BQ335"/>
          <cell r="BR335"/>
          <cell r="BS335"/>
          <cell r="BT335"/>
          <cell r="BU335"/>
          <cell r="BV335"/>
          <cell r="BW335"/>
          <cell r="BX335"/>
          <cell r="BY335"/>
        </row>
        <row r="336">
          <cell r="B336" t="str">
            <v>PB001098</v>
          </cell>
          <cell r="D336"/>
          <cell r="E336"/>
          <cell r="F336"/>
          <cell r="G336"/>
          <cell r="H336"/>
          <cell r="I336"/>
          <cell r="J336"/>
          <cell r="K336"/>
          <cell r="L336"/>
          <cell r="M336"/>
          <cell r="N336"/>
          <cell r="O336"/>
          <cell r="P336"/>
          <cell r="Q336"/>
          <cell r="R336"/>
          <cell r="S336"/>
          <cell r="T336"/>
          <cell r="U336"/>
          <cell r="V336"/>
          <cell r="W336"/>
          <cell r="X336"/>
          <cell r="Y336"/>
          <cell r="Z336"/>
          <cell r="AA336"/>
          <cell r="AB336"/>
          <cell r="AC336"/>
          <cell r="AD336"/>
          <cell r="AE336"/>
          <cell r="AF336"/>
          <cell r="AG336"/>
          <cell r="AH336"/>
          <cell r="AI336"/>
          <cell r="AJ336"/>
          <cell r="AK336"/>
          <cell r="AL336"/>
          <cell r="AM336"/>
          <cell r="AN336"/>
          <cell r="AO336"/>
          <cell r="AP336"/>
          <cell r="AQ336"/>
          <cell r="AR336"/>
          <cell r="AS336"/>
          <cell r="AT336"/>
          <cell r="AU336"/>
          <cell r="AV336"/>
          <cell r="AW336"/>
          <cell r="AX336"/>
          <cell r="AY336"/>
          <cell r="AZ336"/>
          <cell r="BA336"/>
          <cell r="BB336"/>
          <cell r="BC336"/>
          <cell r="BD336"/>
          <cell r="BE336"/>
          <cell r="BF336"/>
          <cell r="BG336"/>
          <cell r="BH336"/>
          <cell r="BI336"/>
          <cell r="BJ336"/>
          <cell r="BK336"/>
          <cell r="BL336"/>
          <cell r="BM336"/>
          <cell r="BN336"/>
          <cell r="BO336"/>
          <cell r="BP336"/>
          <cell r="BQ336"/>
          <cell r="BR336"/>
          <cell r="BS336"/>
          <cell r="BT336"/>
          <cell r="BU336"/>
          <cell r="BV336"/>
          <cell r="BW336"/>
          <cell r="BX336"/>
          <cell r="BY336"/>
        </row>
        <row r="337">
          <cell r="B337" t="str">
            <v>6212-2RS</v>
          </cell>
          <cell r="D337"/>
          <cell r="E337"/>
          <cell r="F337"/>
          <cell r="G337"/>
          <cell r="H337"/>
          <cell r="I337"/>
          <cell r="J337"/>
          <cell r="K337"/>
          <cell r="L337"/>
          <cell r="M337"/>
          <cell r="N337"/>
          <cell r="O337"/>
          <cell r="P337"/>
          <cell r="Q337"/>
          <cell r="R337"/>
          <cell r="S337"/>
          <cell r="T337"/>
          <cell r="U337"/>
          <cell r="V337"/>
          <cell r="W337"/>
          <cell r="X337"/>
          <cell r="Y337"/>
          <cell r="Z337"/>
          <cell r="AA337"/>
          <cell r="AB337"/>
          <cell r="AC337"/>
          <cell r="AD337"/>
          <cell r="AE337"/>
          <cell r="AF337"/>
          <cell r="AG337"/>
          <cell r="AH337"/>
          <cell r="AI337"/>
          <cell r="AJ337"/>
          <cell r="AK337"/>
          <cell r="AL337"/>
          <cell r="AM337"/>
          <cell r="AN337"/>
          <cell r="AO337"/>
          <cell r="AP337"/>
          <cell r="AQ337"/>
          <cell r="AR337"/>
          <cell r="AS337"/>
          <cell r="AT337"/>
          <cell r="AU337"/>
          <cell r="AV337"/>
          <cell r="AW337"/>
          <cell r="AX337"/>
          <cell r="AY337"/>
          <cell r="AZ337"/>
          <cell r="BA337"/>
          <cell r="BB337"/>
          <cell r="BC337"/>
          <cell r="BD337"/>
          <cell r="BE337"/>
          <cell r="BF337"/>
          <cell r="BG337"/>
          <cell r="BH337"/>
          <cell r="BI337"/>
          <cell r="BJ337"/>
          <cell r="BK337"/>
          <cell r="BL337"/>
          <cell r="BM337"/>
          <cell r="BN337"/>
          <cell r="BO337"/>
          <cell r="BP337"/>
          <cell r="BQ337"/>
          <cell r="BR337"/>
          <cell r="BS337"/>
          <cell r="BT337"/>
          <cell r="BU337"/>
          <cell r="BV337"/>
          <cell r="BW337"/>
          <cell r="BX337"/>
          <cell r="BY337"/>
        </row>
        <row r="338">
          <cell r="B338" t="str">
            <v>PB001027</v>
          </cell>
          <cell r="D338"/>
          <cell r="E338"/>
          <cell r="F338"/>
          <cell r="G338"/>
          <cell r="H338"/>
          <cell r="I338"/>
          <cell r="J338"/>
          <cell r="K338"/>
          <cell r="L338"/>
          <cell r="M338"/>
          <cell r="N338"/>
          <cell r="O338"/>
          <cell r="P338"/>
          <cell r="Q338"/>
          <cell r="R338"/>
          <cell r="S338"/>
          <cell r="T338"/>
          <cell r="U338"/>
          <cell r="V338"/>
          <cell r="W338"/>
          <cell r="X338"/>
          <cell r="Y338"/>
          <cell r="Z338"/>
          <cell r="AA338"/>
          <cell r="AB338"/>
          <cell r="AC338"/>
          <cell r="AD338"/>
          <cell r="AE338"/>
          <cell r="AF338"/>
          <cell r="AG338"/>
          <cell r="AH338"/>
          <cell r="AI338"/>
          <cell r="AJ338"/>
          <cell r="AK338"/>
          <cell r="AL338"/>
          <cell r="AM338"/>
          <cell r="AN338"/>
          <cell r="AO338"/>
          <cell r="AP338"/>
          <cell r="AQ338"/>
          <cell r="AR338"/>
          <cell r="AS338"/>
          <cell r="AT338"/>
          <cell r="AU338"/>
          <cell r="AV338"/>
          <cell r="AW338"/>
          <cell r="AX338"/>
          <cell r="AY338"/>
          <cell r="AZ338"/>
          <cell r="BA338"/>
          <cell r="BB338"/>
          <cell r="BC338"/>
          <cell r="BD338"/>
          <cell r="BE338"/>
          <cell r="BF338"/>
          <cell r="BG338"/>
          <cell r="BH338"/>
          <cell r="BI338"/>
          <cell r="BJ338"/>
          <cell r="BK338"/>
          <cell r="BL338"/>
          <cell r="BM338"/>
          <cell r="BN338"/>
          <cell r="BO338"/>
          <cell r="BP338"/>
          <cell r="BQ338"/>
          <cell r="BR338"/>
          <cell r="BS338"/>
          <cell r="BT338"/>
          <cell r="BU338"/>
          <cell r="BV338"/>
          <cell r="BW338"/>
          <cell r="BX338"/>
          <cell r="BY338"/>
        </row>
        <row r="339">
          <cell r="B339" t="str">
            <v>F-211</v>
          </cell>
          <cell r="D339"/>
          <cell r="E339"/>
          <cell r="F339"/>
          <cell r="G339"/>
          <cell r="H339"/>
          <cell r="I339"/>
          <cell r="J339"/>
          <cell r="K339"/>
          <cell r="L339"/>
          <cell r="M339"/>
          <cell r="N339"/>
          <cell r="O339"/>
          <cell r="P339"/>
          <cell r="Q339"/>
          <cell r="R339"/>
          <cell r="S339"/>
          <cell r="T339"/>
          <cell r="U339"/>
          <cell r="V339"/>
          <cell r="W339"/>
          <cell r="X339"/>
          <cell r="Y339"/>
          <cell r="Z339"/>
          <cell r="AA339"/>
          <cell r="AB339"/>
          <cell r="AC339"/>
          <cell r="AD339"/>
          <cell r="AE339"/>
          <cell r="AF339"/>
          <cell r="AG339"/>
          <cell r="AH339"/>
          <cell r="AI339"/>
          <cell r="AJ339"/>
          <cell r="AK339"/>
          <cell r="AL339"/>
          <cell r="AM339"/>
          <cell r="AN339"/>
          <cell r="AO339"/>
          <cell r="AP339"/>
          <cell r="AQ339"/>
          <cell r="AR339"/>
          <cell r="AS339"/>
          <cell r="AT339"/>
          <cell r="AU339"/>
          <cell r="AV339"/>
          <cell r="AW339"/>
          <cell r="AX339"/>
          <cell r="AY339"/>
          <cell r="AZ339"/>
          <cell r="BA339"/>
          <cell r="BB339"/>
          <cell r="BC339"/>
          <cell r="BD339"/>
          <cell r="BE339"/>
          <cell r="BF339"/>
          <cell r="BG339"/>
          <cell r="BH339"/>
          <cell r="BI339"/>
          <cell r="BJ339"/>
          <cell r="BK339"/>
          <cell r="BL339"/>
          <cell r="BM339"/>
          <cell r="BN339"/>
          <cell r="BO339"/>
          <cell r="BP339"/>
          <cell r="BQ339"/>
          <cell r="BR339"/>
          <cell r="BS339"/>
          <cell r="BT339"/>
          <cell r="BU339"/>
          <cell r="BV339"/>
          <cell r="BW339"/>
          <cell r="BX339"/>
          <cell r="BY339"/>
        </row>
        <row r="340">
          <cell r="B340" t="str">
            <v>PB003312</v>
          </cell>
          <cell r="D340"/>
          <cell r="E340"/>
          <cell r="F340"/>
          <cell r="G340"/>
          <cell r="H340"/>
          <cell r="I340"/>
          <cell r="J340"/>
          <cell r="K340"/>
          <cell r="L340"/>
          <cell r="M340"/>
          <cell r="N340"/>
          <cell r="O340"/>
          <cell r="P340"/>
          <cell r="Q340"/>
          <cell r="R340"/>
          <cell r="S340"/>
          <cell r="T340"/>
          <cell r="U340"/>
          <cell r="V340"/>
          <cell r="W340"/>
          <cell r="X340"/>
          <cell r="Y340"/>
          <cell r="Z340"/>
          <cell r="AA340"/>
          <cell r="AB340"/>
          <cell r="AC340"/>
          <cell r="AD340"/>
          <cell r="AE340"/>
          <cell r="AF340"/>
          <cell r="AG340"/>
          <cell r="AH340"/>
          <cell r="AI340"/>
          <cell r="AJ340"/>
          <cell r="AK340"/>
          <cell r="AL340"/>
          <cell r="AM340"/>
          <cell r="AN340"/>
          <cell r="AO340"/>
          <cell r="AP340"/>
          <cell r="AQ340"/>
          <cell r="AR340"/>
          <cell r="AS340"/>
          <cell r="AT340"/>
          <cell r="AU340"/>
          <cell r="AV340"/>
          <cell r="AW340"/>
          <cell r="AX340"/>
          <cell r="AY340"/>
          <cell r="AZ340"/>
          <cell r="BA340"/>
          <cell r="BB340"/>
          <cell r="BC340"/>
          <cell r="BD340"/>
          <cell r="BE340"/>
          <cell r="BF340"/>
          <cell r="BG340"/>
          <cell r="BH340"/>
          <cell r="BI340"/>
          <cell r="BJ340"/>
          <cell r="BK340"/>
          <cell r="BL340"/>
          <cell r="BM340"/>
          <cell r="BN340"/>
          <cell r="BO340"/>
          <cell r="BP340"/>
          <cell r="BQ340"/>
          <cell r="BR340"/>
          <cell r="BS340"/>
          <cell r="BT340"/>
          <cell r="BU340"/>
          <cell r="BV340"/>
          <cell r="BW340"/>
          <cell r="BX340"/>
          <cell r="BY340"/>
        </row>
        <row r="341">
          <cell r="B341" t="str">
            <v>BP-18013</v>
          </cell>
          <cell r="D341"/>
          <cell r="E341"/>
          <cell r="F341"/>
          <cell r="G341"/>
          <cell r="H341"/>
          <cell r="I341"/>
          <cell r="J341"/>
          <cell r="K341"/>
          <cell r="L341"/>
          <cell r="M341"/>
          <cell r="N341"/>
          <cell r="O341"/>
          <cell r="P341"/>
          <cell r="Q341"/>
          <cell r="R341"/>
          <cell r="S341"/>
          <cell r="T341"/>
          <cell r="U341"/>
          <cell r="V341"/>
          <cell r="W341"/>
          <cell r="X341"/>
          <cell r="Y341"/>
          <cell r="Z341"/>
          <cell r="AA341"/>
          <cell r="AB341"/>
          <cell r="AC341"/>
          <cell r="AD341"/>
          <cell r="AE341"/>
          <cell r="AF341"/>
          <cell r="AG341"/>
          <cell r="AH341"/>
          <cell r="AI341"/>
          <cell r="AJ341"/>
          <cell r="AK341"/>
          <cell r="AL341"/>
          <cell r="AM341"/>
          <cell r="AN341"/>
          <cell r="AO341"/>
          <cell r="AP341"/>
          <cell r="AQ341"/>
          <cell r="AR341"/>
          <cell r="AS341"/>
          <cell r="AT341"/>
          <cell r="AU341"/>
          <cell r="AV341"/>
          <cell r="AW341"/>
          <cell r="AX341"/>
          <cell r="AY341"/>
          <cell r="AZ341"/>
          <cell r="BA341"/>
          <cell r="BB341"/>
          <cell r="BC341"/>
          <cell r="BD341"/>
          <cell r="BE341"/>
          <cell r="BF341"/>
          <cell r="BG341"/>
          <cell r="BH341"/>
          <cell r="BI341"/>
          <cell r="BJ341"/>
          <cell r="BK341"/>
          <cell r="BL341"/>
          <cell r="BM341"/>
          <cell r="BN341"/>
          <cell r="BO341"/>
          <cell r="BP341"/>
          <cell r="BQ341"/>
          <cell r="BR341"/>
          <cell r="BS341"/>
          <cell r="BT341"/>
          <cell r="BU341"/>
          <cell r="BV341"/>
          <cell r="BW341"/>
          <cell r="BX341"/>
          <cell r="BY341"/>
        </row>
        <row r="342">
          <cell r="B342" t="str">
            <v>ACL205-16RG</v>
          </cell>
          <cell r="D342"/>
          <cell r="E342"/>
          <cell r="F342"/>
          <cell r="G342"/>
          <cell r="H342"/>
          <cell r="I342"/>
          <cell r="J342"/>
          <cell r="K342"/>
          <cell r="L342"/>
          <cell r="M342"/>
          <cell r="N342"/>
          <cell r="O342"/>
          <cell r="P342"/>
          <cell r="Q342"/>
          <cell r="R342"/>
          <cell r="S342"/>
          <cell r="T342"/>
          <cell r="U342"/>
          <cell r="V342"/>
          <cell r="W342"/>
          <cell r="X342"/>
          <cell r="Y342"/>
          <cell r="Z342"/>
          <cell r="AA342"/>
          <cell r="AB342"/>
          <cell r="AC342"/>
          <cell r="AD342"/>
          <cell r="AE342"/>
          <cell r="AF342"/>
          <cell r="AG342"/>
          <cell r="AH342"/>
          <cell r="AI342"/>
          <cell r="AJ342"/>
          <cell r="AK342"/>
          <cell r="AL342"/>
          <cell r="AM342"/>
          <cell r="AN342"/>
          <cell r="AO342"/>
          <cell r="AP342"/>
          <cell r="AQ342"/>
          <cell r="AR342"/>
          <cell r="AS342"/>
          <cell r="AT342"/>
          <cell r="AU342"/>
          <cell r="AV342"/>
          <cell r="AW342"/>
          <cell r="AX342"/>
          <cell r="AY342"/>
          <cell r="AZ342"/>
          <cell r="BA342"/>
          <cell r="BB342"/>
          <cell r="BC342"/>
          <cell r="BD342"/>
          <cell r="BE342"/>
          <cell r="BF342"/>
          <cell r="BG342"/>
          <cell r="BH342"/>
          <cell r="BI342"/>
          <cell r="BJ342"/>
          <cell r="BK342"/>
          <cell r="BL342"/>
          <cell r="BM342"/>
          <cell r="BN342"/>
          <cell r="BO342"/>
          <cell r="BP342"/>
          <cell r="BQ342"/>
          <cell r="BR342"/>
          <cell r="BS342"/>
          <cell r="BT342"/>
          <cell r="BU342"/>
          <cell r="BV342"/>
          <cell r="BW342"/>
          <cell r="BX342"/>
          <cell r="BY342"/>
        </row>
        <row r="343">
          <cell r="B343" t="str">
            <v>ENG256553CHS</v>
          </cell>
          <cell r="D343"/>
          <cell r="E343"/>
          <cell r="F343"/>
          <cell r="G343"/>
          <cell r="H343"/>
          <cell r="I343"/>
          <cell r="J343"/>
          <cell r="K343"/>
          <cell r="L343"/>
          <cell r="M343"/>
          <cell r="N343"/>
          <cell r="O343"/>
          <cell r="P343"/>
          <cell r="Q343"/>
          <cell r="R343"/>
          <cell r="S343"/>
          <cell r="T343"/>
          <cell r="U343"/>
          <cell r="V343"/>
          <cell r="W343"/>
          <cell r="X343"/>
          <cell r="Y343"/>
          <cell r="Z343"/>
          <cell r="AA343"/>
          <cell r="AB343"/>
          <cell r="AC343"/>
          <cell r="AD343"/>
          <cell r="AE343"/>
          <cell r="AF343"/>
          <cell r="AG343"/>
          <cell r="AH343"/>
          <cell r="AI343"/>
          <cell r="AJ343"/>
          <cell r="AK343"/>
          <cell r="AL343"/>
          <cell r="AM343"/>
          <cell r="AN343"/>
          <cell r="AO343"/>
          <cell r="AP343"/>
          <cell r="AQ343"/>
          <cell r="AR343"/>
          <cell r="AS343"/>
          <cell r="AT343"/>
          <cell r="AU343"/>
          <cell r="AV343"/>
          <cell r="AW343"/>
          <cell r="AX343"/>
          <cell r="AY343"/>
          <cell r="AZ343"/>
          <cell r="BA343"/>
          <cell r="BB343"/>
          <cell r="BC343"/>
          <cell r="BD343"/>
          <cell r="BE343"/>
          <cell r="BF343"/>
          <cell r="BG343"/>
          <cell r="BH343"/>
          <cell r="BI343"/>
          <cell r="BJ343"/>
          <cell r="BK343"/>
          <cell r="BL343"/>
          <cell r="BM343"/>
          <cell r="BN343"/>
          <cell r="BO343"/>
          <cell r="BP343"/>
          <cell r="BQ343"/>
          <cell r="BR343"/>
          <cell r="BS343"/>
          <cell r="BT343"/>
          <cell r="BU343"/>
          <cell r="BV343"/>
          <cell r="BW343"/>
          <cell r="BX343"/>
          <cell r="BY343"/>
        </row>
        <row r="344">
          <cell r="B344" t="str">
            <v>PB001028</v>
          </cell>
          <cell r="D344"/>
          <cell r="E344"/>
          <cell r="F344"/>
          <cell r="G344"/>
          <cell r="H344"/>
          <cell r="I344"/>
          <cell r="J344"/>
          <cell r="K344"/>
          <cell r="L344"/>
          <cell r="M344"/>
          <cell r="N344"/>
          <cell r="O344"/>
          <cell r="P344"/>
          <cell r="Q344"/>
          <cell r="R344"/>
          <cell r="S344"/>
          <cell r="T344"/>
          <cell r="U344"/>
          <cell r="V344"/>
          <cell r="W344"/>
          <cell r="X344"/>
          <cell r="Y344"/>
          <cell r="Z344"/>
          <cell r="AA344"/>
          <cell r="AB344"/>
          <cell r="AC344"/>
          <cell r="AD344"/>
          <cell r="AE344"/>
          <cell r="AF344"/>
          <cell r="AG344"/>
          <cell r="AH344"/>
          <cell r="AI344"/>
          <cell r="AJ344"/>
          <cell r="AK344"/>
          <cell r="AL344"/>
          <cell r="AM344"/>
          <cell r="AN344"/>
          <cell r="AO344"/>
          <cell r="AP344"/>
          <cell r="AQ344"/>
          <cell r="AR344"/>
          <cell r="AS344"/>
          <cell r="AT344"/>
          <cell r="AU344"/>
          <cell r="AV344"/>
          <cell r="AW344"/>
          <cell r="AX344"/>
          <cell r="AY344"/>
          <cell r="AZ344"/>
          <cell r="BA344"/>
          <cell r="BB344"/>
          <cell r="BC344"/>
          <cell r="BD344"/>
          <cell r="BE344"/>
          <cell r="BF344"/>
          <cell r="BG344"/>
          <cell r="BH344"/>
          <cell r="BI344"/>
          <cell r="BJ344"/>
          <cell r="BK344"/>
          <cell r="BL344"/>
          <cell r="BM344"/>
          <cell r="BN344"/>
          <cell r="BO344"/>
          <cell r="BP344"/>
          <cell r="BQ344"/>
          <cell r="BR344"/>
          <cell r="BS344"/>
          <cell r="BT344"/>
          <cell r="BU344"/>
          <cell r="BV344"/>
          <cell r="BW344"/>
          <cell r="BX344"/>
          <cell r="BY344"/>
        </row>
        <row r="345">
          <cell r="B345" t="str">
            <v>PB001055</v>
          </cell>
          <cell r="D345"/>
          <cell r="E345"/>
          <cell r="F345"/>
          <cell r="G345"/>
          <cell r="H345"/>
          <cell r="I345"/>
          <cell r="J345"/>
          <cell r="K345"/>
          <cell r="L345"/>
          <cell r="M345"/>
          <cell r="N345"/>
          <cell r="O345"/>
          <cell r="P345"/>
          <cell r="Q345"/>
          <cell r="R345"/>
          <cell r="S345"/>
          <cell r="T345"/>
          <cell r="U345"/>
          <cell r="V345"/>
          <cell r="W345"/>
          <cell r="X345"/>
          <cell r="Y345"/>
          <cell r="Z345"/>
          <cell r="AA345"/>
          <cell r="AB345"/>
          <cell r="AC345"/>
          <cell r="AD345"/>
          <cell r="AE345"/>
          <cell r="AF345"/>
          <cell r="AG345"/>
          <cell r="AH345"/>
          <cell r="AI345"/>
          <cell r="AJ345"/>
          <cell r="AK345"/>
          <cell r="AL345"/>
          <cell r="AM345"/>
          <cell r="AN345"/>
          <cell r="AO345"/>
          <cell r="AP345"/>
          <cell r="AQ345"/>
          <cell r="AR345"/>
          <cell r="AS345"/>
          <cell r="AT345"/>
          <cell r="AU345"/>
          <cell r="AV345"/>
          <cell r="AW345"/>
          <cell r="AX345"/>
          <cell r="AY345"/>
          <cell r="AZ345"/>
          <cell r="BA345"/>
          <cell r="BB345"/>
          <cell r="BC345"/>
          <cell r="BD345"/>
          <cell r="BE345"/>
          <cell r="BF345"/>
          <cell r="BG345"/>
          <cell r="BH345"/>
          <cell r="BI345"/>
          <cell r="BJ345"/>
          <cell r="BK345"/>
          <cell r="BL345"/>
          <cell r="BM345"/>
          <cell r="BN345"/>
          <cell r="BO345"/>
          <cell r="BP345"/>
          <cell r="BQ345"/>
          <cell r="BR345"/>
          <cell r="BS345"/>
          <cell r="BT345"/>
          <cell r="BU345"/>
          <cell r="BV345"/>
          <cell r="BW345"/>
          <cell r="BX345"/>
          <cell r="BY345"/>
        </row>
        <row r="346">
          <cell r="B346" t="str">
            <v>204-KRR2</v>
          </cell>
          <cell r="D346"/>
          <cell r="E346"/>
          <cell r="F346"/>
          <cell r="G346"/>
          <cell r="H346"/>
          <cell r="I346"/>
          <cell r="J346"/>
          <cell r="K346"/>
          <cell r="L346"/>
          <cell r="M346"/>
          <cell r="N346"/>
          <cell r="O346"/>
          <cell r="P346"/>
          <cell r="Q346"/>
          <cell r="R346"/>
          <cell r="S346"/>
          <cell r="T346"/>
          <cell r="U346"/>
          <cell r="V346"/>
          <cell r="W346"/>
          <cell r="X346"/>
          <cell r="Y346"/>
          <cell r="Z346"/>
          <cell r="AA346"/>
          <cell r="AB346"/>
          <cell r="AC346"/>
          <cell r="AD346"/>
          <cell r="AE346"/>
          <cell r="AF346"/>
          <cell r="AG346"/>
          <cell r="AH346"/>
          <cell r="AI346"/>
          <cell r="AJ346"/>
          <cell r="AK346"/>
          <cell r="AL346"/>
          <cell r="AM346"/>
          <cell r="AN346"/>
          <cell r="AO346"/>
          <cell r="AP346"/>
          <cell r="AQ346"/>
          <cell r="AR346"/>
          <cell r="AS346"/>
          <cell r="AT346"/>
          <cell r="AU346"/>
          <cell r="AV346"/>
          <cell r="AW346"/>
          <cell r="AX346"/>
          <cell r="AY346"/>
          <cell r="AZ346"/>
          <cell r="BA346"/>
          <cell r="BB346"/>
          <cell r="BC346"/>
          <cell r="BD346"/>
          <cell r="BE346"/>
          <cell r="BF346"/>
          <cell r="BG346"/>
          <cell r="BH346"/>
          <cell r="BI346"/>
          <cell r="BJ346"/>
          <cell r="BK346"/>
          <cell r="BL346"/>
          <cell r="BM346"/>
          <cell r="BN346"/>
          <cell r="BO346"/>
          <cell r="BP346"/>
          <cell r="BQ346"/>
          <cell r="BR346"/>
          <cell r="BS346"/>
          <cell r="BT346"/>
          <cell r="BU346"/>
          <cell r="BV346"/>
          <cell r="BW346"/>
          <cell r="BX346"/>
          <cell r="BY346"/>
        </row>
        <row r="347">
          <cell r="B347" t="str">
            <v>PB006212</v>
          </cell>
          <cell r="D347"/>
          <cell r="E347"/>
          <cell r="F347"/>
          <cell r="G347"/>
          <cell r="H347"/>
          <cell r="I347"/>
          <cell r="J347"/>
          <cell r="K347"/>
          <cell r="L347"/>
          <cell r="M347"/>
          <cell r="N347"/>
          <cell r="O347"/>
          <cell r="P347"/>
          <cell r="Q347"/>
          <cell r="R347"/>
          <cell r="S347"/>
          <cell r="T347"/>
          <cell r="U347"/>
          <cell r="V347"/>
          <cell r="W347"/>
          <cell r="X347"/>
          <cell r="Y347"/>
          <cell r="Z347"/>
          <cell r="AA347"/>
          <cell r="AB347"/>
          <cell r="AC347"/>
          <cell r="AD347"/>
          <cell r="AE347"/>
          <cell r="AF347"/>
          <cell r="AG347"/>
          <cell r="AH347"/>
          <cell r="AI347"/>
          <cell r="AJ347"/>
          <cell r="AK347"/>
          <cell r="AL347"/>
          <cell r="AM347"/>
          <cell r="AN347"/>
          <cell r="AO347"/>
          <cell r="AP347"/>
          <cell r="AQ347"/>
          <cell r="AR347"/>
          <cell r="AS347"/>
          <cell r="AT347"/>
          <cell r="AU347"/>
          <cell r="AV347"/>
          <cell r="AW347"/>
          <cell r="AX347"/>
          <cell r="AY347"/>
          <cell r="AZ347"/>
          <cell r="BA347"/>
          <cell r="BB347"/>
          <cell r="BC347"/>
          <cell r="BD347"/>
          <cell r="BE347"/>
          <cell r="BF347"/>
          <cell r="BG347"/>
          <cell r="BH347"/>
          <cell r="BI347"/>
          <cell r="BJ347"/>
          <cell r="BK347"/>
          <cell r="BL347"/>
          <cell r="BM347"/>
          <cell r="BN347"/>
          <cell r="BO347"/>
          <cell r="BP347"/>
          <cell r="BQ347"/>
          <cell r="BR347"/>
          <cell r="BS347"/>
          <cell r="BT347"/>
          <cell r="BU347"/>
          <cell r="BV347"/>
          <cell r="BW347"/>
          <cell r="BX347"/>
          <cell r="BY347"/>
        </row>
        <row r="348">
          <cell r="B348" t="str">
            <v>DTR2552-RG</v>
          </cell>
          <cell r="D348"/>
          <cell r="E348"/>
          <cell r="F348"/>
          <cell r="G348"/>
          <cell r="H348"/>
          <cell r="I348"/>
          <cell r="J348"/>
          <cell r="K348"/>
          <cell r="L348"/>
          <cell r="M348"/>
          <cell r="N348"/>
          <cell r="O348"/>
          <cell r="P348"/>
          <cell r="Q348"/>
          <cell r="R348"/>
          <cell r="S348"/>
          <cell r="T348"/>
          <cell r="U348"/>
          <cell r="V348"/>
          <cell r="W348"/>
          <cell r="X348"/>
          <cell r="Y348"/>
          <cell r="Z348"/>
          <cell r="AA348"/>
          <cell r="AB348"/>
          <cell r="AC348"/>
          <cell r="AD348"/>
          <cell r="AE348"/>
          <cell r="AF348"/>
          <cell r="AG348"/>
          <cell r="AH348"/>
          <cell r="AI348"/>
          <cell r="AJ348"/>
          <cell r="AK348"/>
          <cell r="AL348"/>
          <cell r="AM348"/>
          <cell r="AN348"/>
          <cell r="AO348"/>
          <cell r="AP348"/>
          <cell r="AQ348"/>
          <cell r="AR348"/>
          <cell r="AS348"/>
          <cell r="AT348"/>
          <cell r="AU348"/>
          <cell r="AV348"/>
          <cell r="AW348"/>
          <cell r="AX348"/>
          <cell r="AY348"/>
          <cell r="AZ348"/>
          <cell r="BA348"/>
          <cell r="BB348"/>
          <cell r="BC348"/>
          <cell r="BD348"/>
          <cell r="BE348"/>
          <cell r="BF348"/>
          <cell r="BG348"/>
          <cell r="BH348"/>
          <cell r="BI348"/>
          <cell r="BJ348"/>
          <cell r="BK348"/>
          <cell r="BL348"/>
          <cell r="BM348"/>
          <cell r="BN348"/>
          <cell r="BO348"/>
          <cell r="BP348"/>
          <cell r="BQ348"/>
          <cell r="BR348"/>
          <cell r="BS348"/>
          <cell r="BT348"/>
          <cell r="BU348"/>
          <cell r="BV348"/>
          <cell r="BW348"/>
          <cell r="BX348"/>
          <cell r="BY348"/>
        </row>
        <row r="349">
          <cell r="B349"/>
          <cell r="D349"/>
          <cell r="E349"/>
          <cell r="F349"/>
          <cell r="G349"/>
          <cell r="H349"/>
          <cell r="I349"/>
          <cell r="J349"/>
          <cell r="K349"/>
          <cell r="L349"/>
          <cell r="M349"/>
          <cell r="N349"/>
          <cell r="O349"/>
          <cell r="P349"/>
          <cell r="Q349"/>
          <cell r="R349"/>
          <cell r="S349"/>
          <cell r="T349"/>
          <cell r="U349"/>
          <cell r="V349"/>
          <cell r="W349"/>
          <cell r="X349"/>
          <cell r="Y349"/>
          <cell r="Z349"/>
          <cell r="AA349"/>
          <cell r="AB349"/>
          <cell r="AC349"/>
          <cell r="AD349"/>
          <cell r="AE349"/>
          <cell r="AF349"/>
          <cell r="AG349"/>
          <cell r="AH349"/>
          <cell r="AI349"/>
          <cell r="AJ349"/>
          <cell r="AK349"/>
          <cell r="AL349"/>
          <cell r="AM349"/>
          <cell r="AN349"/>
          <cell r="AO349"/>
          <cell r="AP349"/>
          <cell r="AQ349"/>
          <cell r="AR349"/>
          <cell r="AS349"/>
          <cell r="AT349"/>
          <cell r="AU349"/>
          <cell r="AV349"/>
          <cell r="AW349"/>
          <cell r="AX349"/>
          <cell r="AY349"/>
          <cell r="AZ349"/>
          <cell r="BA349"/>
          <cell r="BB349"/>
          <cell r="BC349"/>
          <cell r="BD349"/>
          <cell r="BE349"/>
          <cell r="BF349"/>
          <cell r="BG349"/>
          <cell r="BH349"/>
          <cell r="BI349"/>
          <cell r="BJ349"/>
          <cell r="BK349"/>
          <cell r="BL349"/>
          <cell r="BM349"/>
          <cell r="BN349"/>
          <cell r="BO349"/>
          <cell r="BP349"/>
          <cell r="BQ349"/>
          <cell r="BR349"/>
          <cell r="BS349"/>
          <cell r="BT349"/>
          <cell r="BU349"/>
          <cell r="BV349"/>
          <cell r="BW349"/>
          <cell r="BX349"/>
          <cell r="BY349"/>
        </row>
        <row r="350">
          <cell r="B350"/>
          <cell r="D350"/>
          <cell r="E350"/>
          <cell r="F350"/>
          <cell r="G350"/>
          <cell r="H350"/>
          <cell r="I350"/>
          <cell r="J350"/>
          <cell r="K350"/>
          <cell r="L350"/>
          <cell r="M350"/>
          <cell r="N350"/>
          <cell r="O350"/>
          <cell r="P350"/>
          <cell r="Q350"/>
          <cell r="R350"/>
          <cell r="S350"/>
          <cell r="T350"/>
          <cell r="U350"/>
          <cell r="V350"/>
          <cell r="W350"/>
          <cell r="X350"/>
          <cell r="Y350"/>
          <cell r="Z350"/>
          <cell r="AA350"/>
          <cell r="AB350"/>
          <cell r="AC350"/>
          <cell r="AD350"/>
          <cell r="AE350"/>
          <cell r="AF350"/>
          <cell r="AG350"/>
          <cell r="AH350"/>
          <cell r="AI350"/>
          <cell r="AJ350"/>
          <cell r="AK350"/>
          <cell r="AL350"/>
          <cell r="AM350"/>
          <cell r="AN350"/>
          <cell r="AO350"/>
          <cell r="AP350"/>
          <cell r="AQ350"/>
          <cell r="AR350"/>
          <cell r="AS350"/>
          <cell r="AT350"/>
          <cell r="AU350"/>
          <cell r="AV350"/>
          <cell r="AW350"/>
          <cell r="AX350"/>
          <cell r="AY350"/>
          <cell r="AZ350"/>
          <cell r="BA350"/>
          <cell r="BB350"/>
          <cell r="BC350"/>
          <cell r="BD350"/>
          <cell r="BE350"/>
          <cell r="BF350"/>
          <cell r="BG350"/>
          <cell r="BH350"/>
          <cell r="BI350"/>
          <cell r="BJ350"/>
          <cell r="BK350"/>
          <cell r="BL350"/>
          <cell r="BM350"/>
          <cell r="BN350"/>
          <cell r="BO350"/>
          <cell r="BP350"/>
          <cell r="BQ350"/>
          <cell r="BR350"/>
          <cell r="BS350"/>
          <cell r="BT350"/>
          <cell r="BU350"/>
          <cell r="BV350"/>
          <cell r="BW350"/>
          <cell r="BX350"/>
          <cell r="BY350"/>
        </row>
        <row r="351">
          <cell r="B351"/>
          <cell r="D351"/>
          <cell r="E351"/>
          <cell r="F351"/>
          <cell r="G351"/>
          <cell r="H351"/>
          <cell r="I351"/>
          <cell r="J351"/>
          <cell r="K351"/>
          <cell r="L351"/>
          <cell r="M351"/>
          <cell r="N351"/>
          <cell r="O351"/>
          <cell r="P351"/>
          <cell r="Q351"/>
          <cell r="R351"/>
          <cell r="S351"/>
          <cell r="T351"/>
          <cell r="U351"/>
          <cell r="V351"/>
          <cell r="W351"/>
          <cell r="X351"/>
          <cell r="Y351"/>
          <cell r="Z351"/>
          <cell r="AA351"/>
          <cell r="AB351"/>
          <cell r="AC351"/>
          <cell r="AD351"/>
          <cell r="AE351"/>
          <cell r="AF351"/>
          <cell r="AG351"/>
          <cell r="AH351"/>
          <cell r="AI351"/>
          <cell r="AJ351"/>
          <cell r="AK351"/>
          <cell r="AL351"/>
          <cell r="AM351"/>
          <cell r="AN351"/>
          <cell r="AO351"/>
          <cell r="AP351"/>
          <cell r="AQ351"/>
          <cell r="AR351"/>
          <cell r="AS351"/>
          <cell r="AT351"/>
          <cell r="AU351"/>
          <cell r="AV351"/>
          <cell r="AW351"/>
          <cell r="AX351"/>
          <cell r="AY351"/>
          <cell r="AZ351"/>
          <cell r="BA351"/>
          <cell r="BB351"/>
          <cell r="BC351"/>
          <cell r="BD351"/>
          <cell r="BE351"/>
          <cell r="BF351"/>
          <cell r="BG351"/>
          <cell r="BH351"/>
          <cell r="BI351"/>
          <cell r="BJ351"/>
          <cell r="BK351"/>
          <cell r="BL351"/>
          <cell r="BM351"/>
          <cell r="BN351"/>
          <cell r="BO351"/>
          <cell r="BP351"/>
          <cell r="BQ351"/>
          <cell r="BR351"/>
          <cell r="BS351"/>
          <cell r="BT351"/>
          <cell r="BU351"/>
          <cell r="BV351"/>
          <cell r="BW351"/>
          <cell r="BX351"/>
          <cell r="BY351"/>
        </row>
        <row r="352">
          <cell r="B352"/>
          <cell r="D352"/>
          <cell r="E352"/>
          <cell r="F352"/>
          <cell r="G352"/>
          <cell r="H352"/>
          <cell r="I352"/>
          <cell r="J352"/>
          <cell r="K352"/>
          <cell r="L352"/>
          <cell r="M352"/>
          <cell r="N352"/>
          <cell r="O352"/>
          <cell r="P352"/>
          <cell r="Q352"/>
          <cell r="R352"/>
          <cell r="S352"/>
          <cell r="T352"/>
          <cell r="U352"/>
          <cell r="V352"/>
          <cell r="W352"/>
          <cell r="X352"/>
          <cell r="Y352"/>
          <cell r="Z352"/>
          <cell r="AA352"/>
          <cell r="AB352"/>
          <cell r="AC352"/>
          <cell r="AD352"/>
          <cell r="AE352"/>
          <cell r="AF352"/>
          <cell r="AG352"/>
          <cell r="AH352"/>
          <cell r="AI352"/>
          <cell r="AJ352"/>
          <cell r="AK352"/>
          <cell r="AL352"/>
          <cell r="AM352"/>
          <cell r="AN352"/>
          <cell r="AO352"/>
          <cell r="AP352"/>
          <cell r="AQ352"/>
          <cell r="AR352"/>
          <cell r="AS352"/>
          <cell r="AT352"/>
          <cell r="AU352"/>
          <cell r="AV352"/>
          <cell r="AW352"/>
          <cell r="AX352"/>
          <cell r="AY352"/>
          <cell r="AZ352"/>
          <cell r="BA352"/>
          <cell r="BB352"/>
          <cell r="BC352"/>
          <cell r="BD352"/>
          <cell r="BE352"/>
          <cell r="BF352"/>
          <cell r="BG352"/>
          <cell r="BH352"/>
          <cell r="BI352"/>
          <cell r="BJ352"/>
          <cell r="BK352"/>
          <cell r="BL352"/>
          <cell r="BM352"/>
          <cell r="BN352"/>
          <cell r="BO352"/>
          <cell r="BP352"/>
          <cell r="BQ352"/>
          <cell r="BR352"/>
          <cell r="BS352"/>
          <cell r="BT352"/>
          <cell r="BU352"/>
          <cell r="BV352"/>
          <cell r="BW352"/>
          <cell r="BX352"/>
          <cell r="BY352"/>
        </row>
        <row r="353">
          <cell r="B353"/>
          <cell r="D353"/>
          <cell r="E353"/>
          <cell r="F353"/>
          <cell r="G353"/>
          <cell r="H353"/>
          <cell r="I353"/>
          <cell r="J353"/>
          <cell r="K353"/>
          <cell r="L353"/>
          <cell r="M353"/>
          <cell r="N353"/>
          <cell r="O353"/>
          <cell r="P353"/>
          <cell r="Q353"/>
          <cell r="R353"/>
          <cell r="S353"/>
          <cell r="T353"/>
          <cell r="U353"/>
          <cell r="V353"/>
          <cell r="W353"/>
          <cell r="X353"/>
          <cell r="Y353"/>
          <cell r="Z353"/>
          <cell r="AA353"/>
          <cell r="AB353"/>
          <cell r="AC353"/>
          <cell r="AD353"/>
          <cell r="AE353"/>
          <cell r="AF353"/>
          <cell r="AG353"/>
          <cell r="AH353"/>
          <cell r="AI353"/>
          <cell r="AJ353"/>
          <cell r="AK353"/>
          <cell r="AL353"/>
          <cell r="AM353"/>
          <cell r="AN353"/>
          <cell r="AO353"/>
          <cell r="AP353"/>
          <cell r="AQ353"/>
          <cell r="AR353"/>
          <cell r="AS353"/>
          <cell r="AT353"/>
          <cell r="AU353"/>
          <cell r="AV353"/>
          <cell r="AW353"/>
          <cell r="AX353"/>
          <cell r="AY353"/>
          <cell r="AZ353"/>
          <cell r="BA353"/>
          <cell r="BB353"/>
          <cell r="BC353"/>
          <cell r="BD353"/>
          <cell r="BE353"/>
          <cell r="BF353"/>
          <cell r="BG353"/>
          <cell r="BH353"/>
          <cell r="BI353"/>
          <cell r="BJ353"/>
          <cell r="BK353"/>
          <cell r="BL353"/>
          <cell r="BM353"/>
          <cell r="BN353"/>
          <cell r="BO353"/>
          <cell r="BP353"/>
          <cell r="BQ353"/>
          <cell r="BR353"/>
          <cell r="BS353"/>
          <cell r="BT353"/>
          <cell r="BU353"/>
          <cell r="BV353"/>
          <cell r="BW353"/>
          <cell r="BX353"/>
          <cell r="BY353"/>
        </row>
        <row r="354">
          <cell r="B354"/>
          <cell r="D354"/>
          <cell r="E354"/>
          <cell r="F354"/>
          <cell r="G354"/>
          <cell r="H354"/>
          <cell r="I354"/>
          <cell r="J354"/>
          <cell r="K354"/>
          <cell r="L354"/>
          <cell r="M354"/>
          <cell r="N354"/>
          <cell r="O354"/>
          <cell r="P354"/>
          <cell r="Q354"/>
          <cell r="R354"/>
          <cell r="S354"/>
          <cell r="T354"/>
          <cell r="U354"/>
          <cell r="V354"/>
          <cell r="W354"/>
          <cell r="X354"/>
          <cell r="Y354"/>
          <cell r="Z354"/>
          <cell r="AA354"/>
          <cell r="AB354"/>
          <cell r="AC354"/>
          <cell r="AD354"/>
          <cell r="AE354"/>
          <cell r="AF354"/>
          <cell r="AG354"/>
          <cell r="AH354"/>
          <cell r="AI354"/>
          <cell r="AJ354"/>
          <cell r="AK354"/>
          <cell r="AL354"/>
          <cell r="AM354"/>
          <cell r="AN354"/>
          <cell r="AO354"/>
          <cell r="AP354"/>
          <cell r="AQ354"/>
          <cell r="AR354"/>
          <cell r="AS354"/>
          <cell r="AT354"/>
          <cell r="AU354"/>
          <cell r="AV354"/>
          <cell r="AW354"/>
          <cell r="AX354"/>
          <cell r="AY354"/>
          <cell r="AZ354"/>
          <cell r="BA354"/>
          <cell r="BB354"/>
          <cell r="BC354"/>
          <cell r="BD354"/>
          <cell r="BE354"/>
          <cell r="BF354"/>
          <cell r="BG354"/>
          <cell r="BH354"/>
          <cell r="BI354"/>
          <cell r="BJ354"/>
          <cell r="BK354"/>
          <cell r="BL354"/>
          <cell r="BM354"/>
          <cell r="BN354"/>
          <cell r="BO354"/>
          <cell r="BP354"/>
          <cell r="BQ354"/>
          <cell r="BR354"/>
          <cell r="BS354"/>
          <cell r="BT354"/>
          <cell r="BU354"/>
          <cell r="BV354"/>
          <cell r="BW354"/>
          <cell r="BX354"/>
          <cell r="BY354"/>
        </row>
        <row r="355">
          <cell r="B355" t="str">
            <v>APROBADO POR:</v>
          </cell>
          <cell r="D355"/>
          <cell r="E355" t="str">
            <v xml:space="preserve">NOTAS: </v>
          </cell>
          <cell r="F355"/>
          <cell r="G355"/>
          <cell r="H355"/>
          <cell r="I355"/>
          <cell r="J355"/>
          <cell r="K355"/>
          <cell r="L355"/>
          <cell r="M355"/>
          <cell r="N355"/>
          <cell r="O355"/>
          <cell r="P355"/>
          <cell r="Q355"/>
          <cell r="R355"/>
          <cell r="S355"/>
          <cell r="T355"/>
          <cell r="U355"/>
          <cell r="V355"/>
          <cell r="W355"/>
          <cell r="X355"/>
          <cell r="Y355"/>
          <cell r="Z355"/>
          <cell r="AA355"/>
          <cell r="AB355"/>
          <cell r="AC355"/>
          <cell r="AD355"/>
          <cell r="AE355"/>
          <cell r="AF355"/>
          <cell r="AG355"/>
          <cell r="AH355"/>
          <cell r="AI355"/>
          <cell r="AJ355"/>
          <cell r="AK355"/>
          <cell r="AL355"/>
          <cell r="AM355"/>
          <cell r="AN355"/>
          <cell r="AO355"/>
          <cell r="AP355"/>
          <cell r="AQ355"/>
          <cell r="AR355"/>
          <cell r="AS355"/>
          <cell r="AT355"/>
          <cell r="AU355"/>
          <cell r="AV355"/>
          <cell r="AW355"/>
          <cell r="AX355"/>
          <cell r="AY355"/>
          <cell r="AZ355"/>
          <cell r="BA355"/>
          <cell r="BB355"/>
          <cell r="BC355"/>
          <cell r="BD355"/>
          <cell r="BE355"/>
          <cell r="BF355"/>
          <cell r="BG355"/>
          <cell r="BH355"/>
          <cell r="BI355"/>
          <cell r="BJ355"/>
          <cell r="BK355"/>
          <cell r="BL355"/>
          <cell r="BM355"/>
          <cell r="BN355"/>
          <cell r="BO355"/>
          <cell r="BP355"/>
          <cell r="BQ355"/>
          <cell r="BR355"/>
          <cell r="BS355"/>
          <cell r="BT355"/>
          <cell r="BU355"/>
          <cell r="BV355"/>
          <cell r="BW355"/>
          <cell r="BX355"/>
          <cell r="BY355"/>
        </row>
        <row r="356">
          <cell r="B356"/>
          <cell r="D356"/>
          <cell r="E356"/>
          <cell r="F356"/>
          <cell r="G356"/>
          <cell r="H356"/>
          <cell r="I356"/>
          <cell r="J356"/>
          <cell r="K356"/>
          <cell r="L356"/>
          <cell r="M356"/>
          <cell r="N356"/>
          <cell r="O356"/>
          <cell r="P356"/>
          <cell r="Q356"/>
          <cell r="R356"/>
          <cell r="S356"/>
          <cell r="T356"/>
          <cell r="U356"/>
          <cell r="V356"/>
          <cell r="W356"/>
          <cell r="X356"/>
          <cell r="Y356"/>
          <cell r="Z356"/>
          <cell r="AA356"/>
          <cell r="AB356"/>
          <cell r="AC356"/>
          <cell r="AD356"/>
          <cell r="AE356"/>
          <cell r="AF356"/>
          <cell r="AG356"/>
          <cell r="AH356"/>
          <cell r="AI356"/>
          <cell r="AJ356"/>
          <cell r="AK356"/>
          <cell r="AL356"/>
          <cell r="AM356"/>
          <cell r="AN356"/>
          <cell r="AO356"/>
          <cell r="AP356"/>
          <cell r="AQ356"/>
          <cell r="AR356"/>
          <cell r="AS356"/>
          <cell r="AT356"/>
          <cell r="AU356"/>
          <cell r="AV356"/>
          <cell r="AW356"/>
          <cell r="AX356"/>
          <cell r="AY356"/>
          <cell r="AZ356"/>
          <cell r="BA356"/>
          <cell r="BB356"/>
          <cell r="BC356"/>
          <cell r="BD356"/>
          <cell r="BE356"/>
          <cell r="BF356"/>
          <cell r="BG356"/>
          <cell r="BH356"/>
          <cell r="BI356"/>
          <cell r="BJ356"/>
          <cell r="BK356"/>
          <cell r="BL356"/>
          <cell r="BM356"/>
          <cell r="BN356"/>
          <cell r="BO356"/>
          <cell r="BP356"/>
          <cell r="BQ356"/>
          <cell r="BR356"/>
          <cell r="BS356"/>
          <cell r="BT356"/>
          <cell r="BU356"/>
          <cell r="BV356"/>
          <cell r="BW356"/>
          <cell r="BX356"/>
          <cell r="BY356"/>
        </row>
        <row r="357">
          <cell r="B357"/>
          <cell r="D357"/>
          <cell r="E357"/>
          <cell r="F357"/>
          <cell r="G357"/>
          <cell r="H357"/>
          <cell r="I357"/>
        </row>
        <row r="358">
          <cell r="B358"/>
        </row>
        <row r="359">
          <cell r="B359"/>
        </row>
        <row r="360">
          <cell r="B360"/>
        </row>
        <row r="361">
          <cell r="B361"/>
        </row>
        <row r="362">
          <cell r="B362"/>
        </row>
        <row r="363">
          <cell r="B363"/>
        </row>
        <row r="364">
          <cell r="B364"/>
        </row>
        <row r="365">
          <cell r="B365"/>
        </row>
      </sheetData>
      <sheetData sheetId="3"/>
      <sheetData sheetId="4">
        <row r="9">
          <cell r="E9" t="str">
            <v>Corte por Laser</v>
          </cell>
          <cell r="F9" t="str">
            <v>Corte por Agua</v>
          </cell>
          <cell r="G9" t="str">
            <v>TORNO RIFA RFCZ12</v>
          </cell>
          <cell r="H9" t="str">
            <v>TORNO Microcut LT65</v>
          </cell>
          <cell r="I9" t="str">
            <v>TORNO HWACHEON CUTEX 240B</v>
          </cell>
          <cell r="J9" t="str">
            <v>CM RIFA RFVM60</v>
          </cell>
          <cell r="K9" t="str">
            <v>CM HWACHEON SIRIUS 550</v>
          </cell>
          <cell r="L9" t="str">
            <v>CM Mitsubishi</v>
          </cell>
          <cell r="M9" t="str">
            <v>CM RIFA 4 Ejes</v>
          </cell>
          <cell r="N9" t="str">
            <v>Agujereadora</v>
          </cell>
          <cell r="O9" t="str">
            <v>Roscadora</v>
          </cell>
          <cell r="P9" t="str">
            <v>Torno Paralelo Chico</v>
          </cell>
          <cell r="Q9" t="str">
            <v>Torno Paralelo Grande</v>
          </cell>
          <cell r="R9" t="str">
            <v>Piedra de Banco</v>
          </cell>
          <cell r="S9" t="str">
            <v>Maquina Corta Cadenas</v>
          </cell>
          <cell r="T9" t="str">
            <v>Serrucho</v>
          </cell>
          <cell r="U9" t="str">
            <v>Sierra Sensitiva</v>
          </cell>
          <cell r="V9" t="str">
            <v>Soldadora</v>
          </cell>
          <cell r="W9" t="str">
            <v>Agujereadora (Taller)</v>
          </cell>
          <cell r="X9"/>
          <cell r="Y9"/>
          <cell r="Z9"/>
          <cell r="AD9" t="str">
            <v>Listado Crudo</v>
          </cell>
          <cell r="AE9" t="str">
            <v>Listado Pulido</v>
          </cell>
        </row>
      </sheetData>
      <sheetData sheetId="5">
        <row r="11">
          <cell r="D11" t="str">
            <v>Compresor</v>
          </cell>
        </row>
        <row r="12">
          <cell r="D12"/>
        </row>
      </sheetData>
      <sheetData sheetId="6">
        <row r="9">
          <cell r="D9" t="str">
            <v>Bateria Control CNC</v>
          </cell>
        </row>
        <row r="10">
          <cell r="D10" t="str">
            <v>Pila para Control de Ejes CNC</v>
          </cell>
        </row>
        <row r="11">
          <cell r="D11" t="str">
            <v>Rodamientos centro mec hwacheon</v>
          </cell>
        </row>
        <row r="12">
          <cell r="D12" t="str">
            <v>Rodamiento husillo centro mec rifa rfm60</v>
          </cell>
        </row>
        <row r="13">
          <cell r="D13"/>
        </row>
        <row r="14">
          <cell r="D14"/>
        </row>
        <row r="15">
          <cell r="D15"/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</sheetData>
      <sheetData sheetId="7">
        <row r="9">
          <cell r="N9" t="str">
            <v>Corte por Laser</v>
          </cell>
          <cell r="O9" t="str">
            <v>Produccion</v>
          </cell>
        </row>
        <row r="10">
          <cell r="N10" t="str">
            <v>Corte por Agua</v>
          </cell>
          <cell r="O10" t="str">
            <v>Ensamble</v>
          </cell>
        </row>
        <row r="11">
          <cell r="N11" t="str">
            <v>TORNO RIFA RFCZ12</v>
          </cell>
          <cell r="O11" t="str">
            <v>Administración y Comercialización</v>
          </cell>
        </row>
        <row r="12">
          <cell r="N12" t="str">
            <v>TORNO Microcut LT65</v>
          </cell>
          <cell r="O12" t="str">
            <v>Depósito</v>
          </cell>
        </row>
        <row r="13">
          <cell r="N13" t="str">
            <v>TORNO HWACHEON CUTEX 240B</v>
          </cell>
          <cell r="O13" t="str">
            <v>Embalaje</v>
          </cell>
        </row>
        <row r="14">
          <cell r="N14" t="str">
            <v>CM RIFA RFVM60</v>
          </cell>
          <cell r="O14" t="str">
            <v/>
          </cell>
        </row>
        <row r="15">
          <cell r="N15" t="str">
            <v>CM HWACHEON SIRIUS 550</v>
          </cell>
          <cell r="O15" t="str">
            <v/>
          </cell>
        </row>
        <row r="16">
          <cell r="N16" t="str">
            <v>CM Mitsubishi</v>
          </cell>
          <cell r="O16" t="str">
            <v/>
          </cell>
        </row>
        <row r="17">
          <cell r="N17" t="str">
            <v>CM RIFA 4 Ejes</v>
          </cell>
          <cell r="O17" t="str">
            <v/>
          </cell>
        </row>
        <row r="18">
          <cell r="N18" t="str">
            <v>Sierra Sensitiva</v>
          </cell>
          <cell r="O18" t="str">
            <v/>
          </cell>
        </row>
        <row r="19">
          <cell r="N19" t="str">
            <v>Agujereadora</v>
          </cell>
          <cell r="O19" t="str">
            <v/>
          </cell>
        </row>
        <row r="20">
          <cell r="N20" t="str">
            <v>Roscadora</v>
          </cell>
          <cell r="O20" t="str">
            <v/>
          </cell>
        </row>
        <row r="21">
          <cell r="N21" t="str">
            <v>Torno Paralelo Chico</v>
          </cell>
          <cell r="O21" t="str">
            <v/>
          </cell>
        </row>
        <row r="22">
          <cell r="N22" t="str">
            <v>Torno Paralelo Grande</v>
          </cell>
          <cell r="O22" t="str">
            <v/>
          </cell>
        </row>
        <row r="23">
          <cell r="N23" t="str">
            <v>Piedra de Banco</v>
          </cell>
          <cell r="O23" t="str">
            <v/>
          </cell>
        </row>
        <row r="24">
          <cell r="N24" t="str">
            <v>Maquina Corta Cadenas</v>
          </cell>
          <cell r="O24" t="str">
            <v/>
          </cell>
        </row>
        <row r="25">
          <cell r="N25" t="str">
            <v>Serrucho</v>
          </cell>
          <cell r="O25" t="str">
            <v/>
          </cell>
        </row>
        <row r="26">
          <cell r="N26" t="str">
            <v>Soldadora</v>
          </cell>
          <cell r="O26" t="str">
            <v/>
          </cell>
        </row>
        <row r="27">
          <cell r="N27" t="str">
            <v>Agujereadora (Taller)</v>
          </cell>
          <cell r="O27" t="str">
            <v/>
          </cell>
        </row>
        <row r="28">
          <cell r="N28" t="str">
            <v/>
          </cell>
          <cell r="O28" t="str">
            <v/>
          </cell>
        </row>
        <row r="29">
          <cell r="N29" t="str">
            <v/>
          </cell>
          <cell r="O29" t="str">
            <v/>
          </cell>
        </row>
        <row r="30">
          <cell r="N30" t="str">
            <v/>
          </cell>
          <cell r="O30" t="str">
            <v/>
          </cell>
        </row>
        <row r="31">
          <cell r="N31" t="str">
            <v/>
          </cell>
          <cell r="O31" t="str">
            <v/>
          </cell>
        </row>
        <row r="32">
          <cell r="N32" t="str">
            <v/>
          </cell>
          <cell r="O32" t="str">
            <v/>
          </cell>
        </row>
        <row r="33">
          <cell r="N33" t="str">
            <v/>
          </cell>
          <cell r="O33" t="str">
            <v/>
          </cell>
        </row>
        <row r="34">
          <cell r="N34" t="str">
            <v/>
          </cell>
          <cell r="O34" t="str">
            <v/>
          </cell>
        </row>
        <row r="35">
          <cell r="N35" t="str">
            <v/>
          </cell>
          <cell r="O35" t="str">
            <v/>
          </cell>
        </row>
        <row r="36">
          <cell r="N36" t="str">
            <v/>
          </cell>
          <cell r="O36" t="str">
            <v/>
          </cell>
        </row>
        <row r="37">
          <cell r="N37" t="str">
            <v/>
          </cell>
          <cell r="O37" t="str">
            <v/>
          </cell>
        </row>
        <row r="38">
          <cell r="N38" t="str">
            <v/>
          </cell>
          <cell r="O38" t="str">
            <v/>
          </cell>
        </row>
        <row r="39">
          <cell r="N39" t="str">
            <v/>
          </cell>
          <cell r="O39" t="str">
            <v/>
          </cell>
        </row>
        <row r="40">
          <cell r="N40" t="str">
            <v/>
          </cell>
          <cell r="O40" t="str">
            <v/>
          </cell>
        </row>
        <row r="41">
          <cell r="N41" t="str">
            <v/>
          </cell>
          <cell r="O41" t="str">
            <v/>
          </cell>
        </row>
        <row r="42">
          <cell r="N42" t="str">
            <v/>
          </cell>
          <cell r="O42" t="str">
            <v/>
          </cell>
        </row>
        <row r="43">
          <cell r="N43" t="str">
            <v/>
          </cell>
          <cell r="O43" t="str">
            <v/>
          </cell>
        </row>
        <row r="44">
          <cell r="N44" t="str">
            <v/>
          </cell>
          <cell r="O44" t="str">
            <v/>
          </cell>
        </row>
        <row r="45">
          <cell r="N45" t="str">
            <v/>
          </cell>
          <cell r="O45" t="str">
            <v/>
          </cell>
        </row>
        <row r="46">
          <cell r="N46" t="str">
            <v/>
          </cell>
          <cell r="O46" t="str">
            <v/>
          </cell>
        </row>
        <row r="47">
          <cell r="N47" t="str">
            <v/>
          </cell>
          <cell r="O47" t="str">
            <v/>
          </cell>
        </row>
        <row r="48">
          <cell r="N48" t="str">
            <v/>
          </cell>
          <cell r="O48" t="str">
            <v/>
          </cell>
        </row>
        <row r="49">
          <cell r="N49" t="str">
            <v/>
          </cell>
          <cell r="O49" t="str">
            <v/>
          </cell>
        </row>
        <row r="50">
          <cell r="N50" t="str">
            <v/>
          </cell>
          <cell r="O50" t="str">
            <v/>
          </cell>
        </row>
        <row r="51">
          <cell r="N51" t="str">
            <v/>
          </cell>
          <cell r="O51" t="str">
            <v/>
          </cell>
        </row>
        <row r="52">
          <cell r="N52" t="str">
            <v/>
          </cell>
          <cell r="O52" t="str">
            <v/>
          </cell>
        </row>
        <row r="53">
          <cell r="N53" t="str">
            <v/>
          </cell>
          <cell r="O53" t="str">
            <v/>
          </cell>
        </row>
        <row r="54">
          <cell r="N54" t="str">
            <v/>
          </cell>
          <cell r="O54" t="str">
            <v/>
          </cell>
        </row>
        <row r="55">
          <cell r="N55" t="str">
            <v/>
          </cell>
          <cell r="O55" t="str">
            <v/>
          </cell>
        </row>
        <row r="56">
          <cell r="N56" t="str">
            <v/>
          </cell>
          <cell r="O56" t="str">
            <v/>
          </cell>
        </row>
        <row r="57">
          <cell r="N57" t="str">
            <v/>
          </cell>
          <cell r="O57" t="str">
            <v/>
          </cell>
        </row>
        <row r="58">
          <cell r="N58" t="str">
            <v/>
          </cell>
          <cell r="O58" t="str">
            <v/>
          </cell>
        </row>
        <row r="59">
          <cell r="N59" t="str">
            <v/>
          </cell>
          <cell r="O59" t="str">
            <v/>
          </cell>
        </row>
        <row r="60">
          <cell r="N60" t="str">
            <v/>
          </cell>
          <cell r="O60" t="str">
            <v/>
          </cell>
        </row>
        <row r="61">
          <cell r="N61" t="str">
            <v/>
          </cell>
          <cell r="O61" t="str">
            <v/>
          </cell>
        </row>
        <row r="62">
          <cell r="N62" t="str">
            <v/>
          </cell>
          <cell r="O62" t="str">
            <v/>
          </cell>
        </row>
        <row r="63">
          <cell r="N63" t="str">
            <v/>
          </cell>
          <cell r="O63" t="str">
            <v/>
          </cell>
        </row>
        <row r="64">
          <cell r="N64" t="str">
            <v/>
          </cell>
          <cell r="O64" t="str">
            <v/>
          </cell>
        </row>
        <row r="65">
          <cell r="N65" t="str">
            <v/>
          </cell>
          <cell r="O65" t="str">
            <v/>
          </cell>
        </row>
        <row r="66">
          <cell r="N66" t="str">
            <v/>
          </cell>
          <cell r="O66" t="str">
            <v/>
          </cell>
        </row>
        <row r="67">
          <cell r="N67" t="str">
            <v/>
          </cell>
          <cell r="O67" t="str">
            <v/>
          </cell>
        </row>
        <row r="68">
          <cell r="N68" t="str">
            <v/>
          </cell>
          <cell r="O68" t="str">
            <v/>
          </cell>
        </row>
        <row r="69">
          <cell r="N69" t="str">
            <v/>
          </cell>
          <cell r="O69" t="str">
            <v/>
          </cell>
        </row>
        <row r="70">
          <cell r="N70" t="str">
            <v/>
          </cell>
          <cell r="O70" t="str">
            <v/>
          </cell>
        </row>
        <row r="71">
          <cell r="N71" t="str">
            <v/>
          </cell>
          <cell r="O71" t="str">
            <v/>
          </cell>
        </row>
        <row r="72">
          <cell r="N72" t="str">
            <v/>
          </cell>
          <cell r="O72" t="str">
            <v/>
          </cell>
        </row>
        <row r="73">
          <cell r="N73" t="str">
            <v/>
          </cell>
          <cell r="O73" t="str">
            <v/>
          </cell>
        </row>
        <row r="74">
          <cell r="N74" t="str">
            <v/>
          </cell>
          <cell r="O74" t="str">
            <v/>
          </cell>
        </row>
        <row r="75">
          <cell r="N75" t="str">
            <v/>
          </cell>
          <cell r="O75" t="str">
            <v/>
          </cell>
        </row>
        <row r="76">
          <cell r="N76" t="str">
            <v/>
          </cell>
          <cell r="O76" t="str">
            <v/>
          </cell>
        </row>
        <row r="77">
          <cell r="N77" t="str">
            <v/>
          </cell>
          <cell r="O77" t="str">
            <v/>
          </cell>
        </row>
        <row r="78">
          <cell r="N78" t="str">
            <v/>
          </cell>
          <cell r="O78" t="str">
            <v/>
          </cell>
        </row>
        <row r="79">
          <cell r="N79" t="str">
            <v/>
          </cell>
          <cell r="O79" t="str">
            <v/>
          </cell>
        </row>
        <row r="80">
          <cell r="N80" t="str">
            <v/>
          </cell>
          <cell r="O80" t="str">
            <v/>
          </cell>
        </row>
        <row r="81">
          <cell r="N81" t="str">
            <v/>
          </cell>
          <cell r="O81" t="str">
            <v/>
          </cell>
        </row>
        <row r="82">
          <cell r="N82" t="str">
            <v/>
          </cell>
          <cell r="O82" t="str">
            <v/>
          </cell>
        </row>
        <row r="83">
          <cell r="N83" t="str">
            <v/>
          </cell>
          <cell r="O83" t="str">
            <v/>
          </cell>
        </row>
        <row r="84">
          <cell r="N84" t="str">
            <v/>
          </cell>
          <cell r="O84" t="str">
            <v/>
          </cell>
        </row>
        <row r="85">
          <cell r="N85" t="str">
            <v/>
          </cell>
          <cell r="O85" t="str">
            <v/>
          </cell>
        </row>
        <row r="86">
          <cell r="N86" t="str">
            <v/>
          </cell>
          <cell r="O86" t="str">
            <v/>
          </cell>
        </row>
        <row r="87">
          <cell r="N87" t="str">
            <v/>
          </cell>
          <cell r="O87" t="str">
            <v/>
          </cell>
        </row>
        <row r="88">
          <cell r="N88" t="str">
            <v/>
          </cell>
          <cell r="O88" t="str">
            <v/>
          </cell>
        </row>
        <row r="89">
          <cell r="N89" t="str">
            <v/>
          </cell>
          <cell r="O89" t="str">
            <v/>
          </cell>
        </row>
        <row r="90">
          <cell r="N90" t="str">
            <v/>
          </cell>
          <cell r="O90" t="str">
            <v/>
          </cell>
        </row>
        <row r="91">
          <cell r="N91" t="str">
            <v/>
          </cell>
          <cell r="O91" t="str">
            <v/>
          </cell>
        </row>
        <row r="92">
          <cell r="N92" t="str">
            <v/>
          </cell>
          <cell r="O92" t="str">
            <v/>
          </cell>
        </row>
        <row r="93">
          <cell r="N93" t="str">
            <v/>
          </cell>
          <cell r="O93" t="str">
            <v/>
          </cell>
        </row>
        <row r="94">
          <cell r="N94" t="str">
            <v/>
          </cell>
          <cell r="O94" t="str">
            <v/>
          </cell>
        </row>
        <row r="95">
          <cell r="N95" t="str">
            <v/>
          </cell>
          <cell r="O95" t="str">
            <v/>
          </cell>
        </row>
        <row r="96">
          <cell r="N96" t="str">
            <v/>
          </cell>
          <cell r="O96" t="str">
            <v/>
          </cell>
        </row>
        <row r="97">
          <cell r="N97" t="str">
            <v/>
          </cell>
          <cell r="O97" t="str">
            <v/>
          </cell>
        </row>
        <row r="98">
          <cell r="N98" t="str">
            <v/>
          </cell>
          <cell r="O98" t="str">
            <v/>
          </cell>
        </row>
        <row r="99">
          <cell r="N99" t="str">
            <v/>
          </cell>
          <cell r="O99" t="str">
            <v/>
          </cell>
        </row>
        <row r="100">
          <cell r="N100" t="str">
            <v/>
          </cell>
          <cell r="O100" t="str">
            <v/>
          </cell>
        </row>
        <row r="101">
          <cell r="N101" t="str">
            <v/>
          </cell>
          <cell r="O101" t="str">
            <v/>
          </cell>
        </row>
        <row r="102">
          <cell r="N102" t="str">
            <v/>
          </cell>
          <cell r="O102" t="str">
            <v/>
          </cell>
        </row>
        <row r="103">
          <cell r="N103" t="str">
            <v/>
          </cell>
          <cell r="O103" t="str">
            <v/>
          </cell>
        </row>
        <row r="104">
          <cell r="N104" t="str">
            <v/>
          </cell>
          <cell r="O104" t="str">
            <v/>
          </cell>
        </row>
        <row r="105">
          <cell r="N105" t="str">
            <v/>
          </cell>
          <cell r="O105" t="str">
            <v/>
          </cell>
        </row>
        <row r="106">
          <cell r="N106" t="str">
            <v/>
          </cell>
          <cell r="O106" t="str">
            <v/>
          </cell>
        </row>
        <row r="107">
          <cell r="N107" t="str">
            <v/>
          </cell>
          <cell r="O107" t="str">
            <v/>
          </cell>
        </row>
        <row r="108">
          <cell r="N108" t="str">
            <v/>
          </cell>
          <cell r="O108" t="str">
            <v/>
          </cell>
        </row>
        <row r="109">
          <cell r="N109" t="str">
            <v/>
          </cell>
          <cell r="O109" t="str">
            <v/>
          </cell>
        </row>
        <row r="110">
          <cell r="N110" t="str">
            <v/>
          </cell>
          <cell r="O110" t="str">
            <v/>
          </cell>
        </row>
        <row r="111">
          <cell r="N111" t="str">
            <v/>
          </cell>
          <cell r="O111" t="str">
            <v/>
          </cell>
        </row>
        <row r="112">
          <cell r="N112" t="str">
            <v/>
          </cell>
          <cell r="O112" t="str">
            <v/>
          </cell>
        </row>
        <row r="113">
          <cell r="N113" t="str">
            <v/>
          </cell>
          <cell r="O113" t="str">
            <v/>
          </cell>
        </row>
        <row r="114">
          <cell r="N114" t="str">
            <v/>
          </cell>
          <cell r="O114" t="str">
            <v/>
          </cell>
        </row>
        <row r="115">
          <cell r="N115" t="str">
            <v/>
          </cell>
          <cell r="O115" t="str">
            <v/>
          </cell>
        </row>
        <row r="116">
          <cell r="N116" t="str">
            <v/>
          </cell>
          <cell r="O116" t="str">
            <v/>
          </cell>
        </row>
        <row r="117">
          <cell r="N117" t="str">
            <v/>
          </cell>
          <cell r="O117" t="str">
            <v/>
          </cell>
        </row>
        <row r="118">
          <cell r="N118" t="str">
            <v/>
          </cell>
          <cell r="O118" t="str">
            <v/>
          </cell>
        </row>
        <row r="119">
          <cell r="N119" t="str">
            <v/>
          </cell>
          <cell r="O119" t="str">
            <v/>
          </cell>
        </row>
        <row r="120">
          <cell r="N120" t="str">
            <v/>
          </cell>
          <cell r="O120" t="str">
            <v/>
          </cell>
        </row>
        <row r="121">
          <cell r="N121" t="str">
            <v/>
          </cell>
          <cell r="O121" t="str">
            <v/>
          </cell>
        </row>
        <row r="122">
          <cell r="N122" t="str">
            <v/>
          </cell>
          <cell r="O122" t="str">
            <v/>
          </cell>
        </row>
        <row r="124">
          <cell r="N124" t="str">
            <v>Compresor</v>
          </cell>
        </row>
        <row r="125">
          <cell r="N125" t="str">
            <v>Herraminta 2</v>
          </cell>
        </row>
        <row r="126">
          <cell r="N126" t="str">
            <v>Herraminta 3</v>
          </cell>
        </row>
        <row r="127">
          <cell r="N127" t="str">
            <v>Herraminta 4</v>
          </cell>
        </row>
        <row r="128">
          <cell r="N128" t="str">
            <v>Herraminta 5</v>
          </cell>
        </row>
        <row r="129">
          <cell r="N129" t="str">
            <v>Herraminta 6</v>
          </cell>
        </row>
        <row r="130">
          <cell r="N130" t="str">
            <v>Herraminta 7</v>
          </cell>
        </row>
        <row r="131">
          <cell r="N131" t="str">
            <v/>
          </cell>
        </row>
        <row r="132">
          <cell r="N132" t="str">
            <v/>
          </cell>
        </row>
        <row r="133">
          <cell r="N133" t="str">
            <v/>
          </cell>
        </row>
        <row r="134">
          <cell r="N134" t="str">
            <v/>
          </cell>
        </row>
        <row r="135">
          <cell r="N135" t="str">
            <v/>
          </cell>
        </row>
        <row r="136">
          <cell r="N136" t="str">
            <v/>
          </cell>
        </row>
        <row r="137">
          <cell r="N137" t="str">
            <v/>
          </cell>
        </row>
        <row r="138">
          <cell r="N138" t="str">
            <v/>
          </cell>
        </row>
        <row r="139">
          <cell r="N139" t="str">
            <v/>
          </cell>
        </row>
        <row r="140">
          <cell r="N140" t="str">
            <v/>
          </cell>
        </row>
        <row r="141">
          <cell r="N141" t="str">
            <v/>
          </cell>
        </row>
        <row r="142">
          <cell r="N142" t="str">
            <v/>
          </cell>
        </row>
        <row r="143">
          <cell r="N143" t="str">
            <v/>
          </cell>
        </row>
        <row r="144">
          <cell r="N144" t="str">
            <v/>
          </cell>
        </row>
        <row r="145">
          <cell r="N145" t="str">
            <v/>
          </cell>
        </row>
        <row r="146">
          <cell r="N146" t="str">
            <v/>
          </cell>
        </row>
        <row r="147">
          <cell r="N147" t="str">
            <v/>
          </cell>
        </row>
        <row r="148">
          <cell r="N148" t="str">
            <v/>
          </cell>
        </row>
        <row r="149">
          <cell r="N149" t="str">
            <v/>
          </cell>
        </row>
        <row r="150">
          <cell r="N150" t="str">
            <v/>
          </cell>
        </row>
        <row r="151">
          <cell r="N151" t="str">
            <v/>
          </cell>
        </row>
        <row r="152">
          <cell r="N152" t="str">
            <v/>
          </cell>
        </row>
        <row r="153">
          <cell r="N153" t="str">
            <v/>
          </cell>
        </row>
        <row r="154">
          <cell r="N154" t="str">
            <v/>
          </cell>
        </row>
        <row r="155">
          <cell r="N155" t="str">
            <v/>
          </cell>
        </row>
        <row r="156">
          <cell r="N156" t="str">
            <v/>
          </cell>
        </row>
        <row r="157">
          <cell r="N157" t="str">
            <v/>
          </cell>
        </row>
        <row r="158">
          <cell r="N158" t="str">
            <v/>
          </cell>
        </row>
        <row r="159">
          <cell r="N159" t="str">
            <v/>
          </cell>
        </row>
        <row r="160">
          <cell r="N160" t="str">
            <v/>
          </cell>
        </row>
        <row r="161">
          <cell r="N161" t="str">
            <v/>
          </cell>
        </row>
        <row r="162">
          <cell r="N162" t="str">
            <v/>
          </cell>
        </row>
        <row r="163">
          <cell r="N163" t="str">
            <v/>
          </cell>
        </row>
        <row r="164">
          <cell r="N164" t="str">
            <v/>
          </cell>
        </row>
        <row r="165">
          <cell r="N165" t="str">
            <v/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-OEE"/>
      <sheetName val="INFO-Personal"/>
      <sheetName val="INFO-Direc"/>
      <sheetName val="INFO-Mant"/>
      <sheetName val="INFO-INSUMOS-P"/>
      <sheetName val="INFO-Pos"/>
      <sheetName val="ENGRASADORA MANUAL"/>
      <sheetName val="PRENSA QY-10-1"/>
      <sheetName val="PRENSA QY-10-2"/>
      <sheetName val="PRENSA QY-10-3"/>
      <sheetName val="LAVADORA 0448"/>
      <sheetName val="TB-SCAMRIVT-40120 CONICO 518"/>
      <sheetName val="TE-SCAMRIVT-2060 CONICO 30207"/>
      <sheetName val="HERMANADORA MANUAL IM247"/>
      <sheetName val="HER. AUT MS03 DP 02HTQJ2"/>
      <sheetName val="HER. AUT JAULA-MS03 BCJL02A"/>
      <sheetName val="ENGRASADORA MS03 0510-5120051"/>
      <sheetName val="HER. AUT MS04 DP 03TQJ3"/>
      <sheetName val="HER. AUT JAULA-MS04 BCJL02A"/>
      <sheetName val="ENGRASADORA AUTOM MS04 ZYJ3H "/>
      <sheetName val="LASER CHICO 30"/>
      <sheetName val="LASER GRANDE 50"/>
      <sheetName val="PRENSA QY-16"/>
      <sheetName val="LAVADORA QXC-1-2 MS03"/>
      <sheetName val="LAVADORA QXC-1 MS04"/>
      <sheetName val="ANDEROMETRO IM-250"/>
      <sheetName val="ANDEROMETRO IM251"/>
      <sheetName val="HERMANADORA AUT MS05 LHT90"/>
      <sheetName val="HER. AUT JAULA MS05 BCJT03"/>
      <sheetName val="PD52 POACHER"/>
      <sheetName val="RADIAL X095B"/>
      <sheetName val="LAVADO MANUAL PMT25-36"/>
      <sheetName val="HERMANADORA MANUAL IM248"/>
      <sheetName val="RADIAL X095A"/>
      <sheetName val="DESIMANTADOR NS-400-B1"/>
      <sheetName val="LAVADORA GRANDE PMD-SJ"/>
    </sheetNames>
    <sheetDataSet>
      <sheetData sheetId="0">
        <row r="6">
          <cell r="C6" t="str">
            <v>INFO-OEE</v>
          </cell>
          <cell r="D6" t="str">
            <v xml:space="preserve"> - </v>
          </cell>
        </row>
        <row r="7">
          <cell r="C7" t="str">
            <v>INFO-Personal</v>
          </cell>
          <cell r="D7" t="str">
            <v xml:space="preserve"> - </v>
          </cell>
        </row>
        <row r="8">
          <cell r="C8" t="str">
            <v>INFO-Direc</v>
          </cell>
          <cell r="D8" t="str">
            <v xml:space="preserve"> - </v>
          </cell>
        </row>
        <row r="9">
          <cell r="C9" t="str">
            <v>INFO-Mant</v>
          </cell>
          <cell r="D9" t="str">
            <v xml:space="preserve"> - </v>
          </cell>
        </row>
        <row r="10">
          <cell r="C10" t="str">
            <v>INFO-INSUMOS-P</v>
          </cell>
          <cell r="D10" t="str">
            <v xml:space="preserve"> - </v>
          </cell>
        </row>
        <row r="11">
          <cell r="C11" t="str">
            <v>INFO-Pos</v>
          </cell>
          <cell r="D11" t="str">
            <v xml:space="preserve"> - </v>
          </cell>
        </row>
        <row r="12">
          <cell r="C12" t="str">
            <v>ENGRASADORA MANUAL</v>
          </cell>
          <cell r="D12">
            <v>9.358740948398129</v>
          </cell>
        </row>
        <row r="13">
          <cell r="C13" t="str">
            <v>PRENSA QY-10-1</v>
          </cell>
          <cell r="D13">
            <v>7.2900488737442828</v>
          </cell>
        </row>
        <row r="14">
          <cell r="C14" t="str">
            <v>PRENSA QY-10-2</v>
          </cell>
          <cell r="D14">
            <v>6.1974914051214185</v>
          </cell>
        </row>
        <row r="15">
          <cell r="C15" t="str">
            <v>PRENSA QY-10-3</v>
          </cell>
          <cell r="D15">
            <v>6.1974914051214185</v>
          </cell>
        </row>
        <row r="16">
          <cell r="C16" t="str">
            <v>LAVADORA 0448</v>
          </cell>
          <cell r="D16">
            <v>4.3671573951676104</v>
          </cell>
        </row>
        <row r="17">
          <cell r="C17" t="str">
            <v>TB-SCAMRIVT-40120 CONICO 518</v>
          </cell>
          <cell r="D17">
            <v>8.2025737221945896</v>
          </cell>
        </row>
        <row r="18">
          <cell r="C18" t="str">
            <v>TE-SCAMRIVT-2060 CONICO 30207</v>
          </cell>
          <cell r="D18">
            <v>7.515319634057116</v>
          </cell>
        </row>
        <row r="19">
          <cell r="C19" t="str">
            <v>HERMANADORA MANUAL IM247</v>
          </cell>
          <cell r="D19">
            <v>7.4142457209275632</v>
          </cell>
        </row>
        <row r="20">
          <cell r="C20" t="str">
            <v>HER. AUT MS03 DP 02HTQJ2</v>
          </cell>
          <cell r="D20">
            <v>7.127123170459738</v>
          </cell>
        </row>
        <row r="21">
          <cell r="C21" t="str">
            <v>HER. AUT JAULA-MS03 BCJL02A</v>
          </cell>
          <cell r="D21">
            <v>7.127123170459738</v>
          </cell>
        </row>
        <row r="22">
          <cell r="C22" t="str">
            <v>ENGRASADORA MS03 0510-5120051</v>
          </cell>
          <cell r="D22">
            <v>7.127123170459738</v>
          </cell>
        </row>
        <row r="23">
          <cell r="C23" t="str">
            <v>HER. AUT MS04 DP 03TQJ3</v>
          </cell>
          <cell r="D23">
            <v>5.2967891605059298</v>
          </cell>
        </row>
        <row r="24">
          <cell r="C24" t="str">
            <v>HER. AUT JAULA-MS04 BCJL02A</v>
          </cell>
          <cell r="D24">
            <v>7.127123170459738</v>
          </cell>
        </row>
        <row r="25">
          <cell r="C25" t="str">
            <v xml:space="preserve">ENGRASADORA AUTOM MS04 ZYJ3H </v>
          </cell>
          <cell r="D25">
            <v>2.0805691436938214</v>
          </cell>
        </row>
        <row r="26">
          <cell r="C26" t="str">
            <v>LASER CHICO 30</v>
          </cell>
          <cell r="D26">
            <v>4.7338831332252838</v>
          </cell>
        </row>
        <row r="27">
          <cell r="C27" t="str">
            <v>LASER GRANDE 50</v>
          </cell>
          <cell r="D27">
            <v>0</v>
          </cell>
        </row>
        <row r="28">
          <cell r="C28" t="str">
            <v>PRENSA QY-16</v>
          </cell>
          <cell r="D28">
            <v>7.3348110075256114</v>
          </cell>
        </row>
        <row r="29">
          <cell r="C29" t="str">
            <v>LAVADORA QXC-1-2 MS03</v>
          </cell>
          <cell r="D29">
            <v>0</v>
          </cell>
        </row>
        <row r="30">
          <cell r="C30" t="str">
            <v>LAVADORA QXC-1 MS04</v>
          </cell>
          <cell r="D30">
            <v>0</v>
          </cell>
        </row>
        <row r="31">
          <cell r="C31" t="str">
            <v>ANDEROMETRO IM-250</v>
          </cell>
          <cell r="D31">
            <v>2.0358070099124923</v>
          </cell>
        </row>
        <row r="32">
          <cell r="C32" t="str">
            <v>ANDEROMETRO IM251</v>
          </cell>
          <cell r="D32">
            <v>2.0358070099124923</v>
          </cell>
        </row>
        <row r="33">
          <cell r="C33" t="str">
            <v>HERMANADORA AUT MS05 LHT90</v>
          </cell>
          <cell r="D33">
            <v>7.3637087643627863</v>
          </cell>
        </row>
        <row r="34">
          <cell r="C34" t="str">
            <v>HER. AUT JAULA MS05 BCJT03</v>
          </cell>
          <cell r="D34">
            <v>2.0805691436938214</v>
          </cell>
        </row>
        <row r="35">
          <cell r="C35" t="str">
            <v>PD52 POACHER</v>
          </cell>
          <cell r="D35">
            <v>5.1220795968226618</v>
          </cell>
        </row>
        <row r="36">
          <cell r="C36" t="str">
            <v>RADIAL X095B</v>
          </cell>
          <cell r="D36">
            <v>7.3637087643627863</v>
          </cell>
        </row>
        <row r="37">
          <cell r="C37" t="str">
            <v>LAVADO MANUAL PMT25-36</v>
          </cell>
          <cell r="D37">
            <v>5.1220795968226618</v>
          </cell>
        </row>
        <row r="38">
          <cell r="C38" t="str">
            <v>HERMANADORA MANUAL IM248</v>
          </cell>
          <cell r="D38">
            <v>1.8303340099538083</v>
          </cell>
        </row>
        <row r="39">
          <cell r="C39" t="str">
            <v>RADIAL X095A</v>
          </cell>
          <cell r="D39">
            <v>1.8303340099538083</v>
          </cell>
        </row>
        <row r="40">
          <cell r="C40" t="str">
            <v>DESIMANTADOR NS-400-B1</v>
          </cell>
          <cell r="D40">
            <v>0</v>
          </cell>
        </row>
        <row r="41">
          <cell r="C41" t="str">
            <v>LAVADORA GRANDE PMD-SJ</v>
          </cell>
          <cell r="D41">
            <v>0</v>
          </cell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  <row r="69">
          <cell r="C69"/>
          <cell r="D69"/>
        </row>
        <row r="70">
          <cell r="C70"/>
          <cell r="D70"/>
        </row>
        <row r="71">
          <cell r="C71"/>
          <cell r="D71"/>
        </row>
        <row r="72">
          <cell r="C72"/>
          <cell r="D72"/>
        </row>
        <row r="73">
          <cell r="C73"/>
          <cell r="D73"/>
        </row>
        <row r="74">
          <cell r="C74"/>
          <cell r="D74"/>
        </row>
        <row r="75">
          <cell r="C75"/>
          <cell r="D75"/>
        </row>
        <row r="76">
          <cell r="C76"/>
          <cell r="D76"/>
        </row>
        <row r="77">
          <cell r="C77"/>
          <cell r="D77"/>
        </row>
        <row r="78">
          <cell r="C78"/>
          <cell r="D78"/>
        </row>
        <row r="79">
          <cell r="C79"/>
          <cell r="D79"/>
        </row>
        <row r="80">
          <cell r="C80"/>
          <cell r="D80"/>
        </row>
        <row r="81">
          <cell r="C81"/>
          <cell r="D81"/>
        </row>
      </sheetData>
      <sheetData sheetId="1"/>
      <sheetData sheetId="2">
        <row r="9">
          <cell r="E9" t="str">
            <v>ENGRASADORA MANUAL</v>
          </cell>
          <cell r="F9" t="str">
            <v>PRENSA QY-10-1</v>
          </cell>
          <cell r="G9" t="str">
            <v>PRENSA QY-10-2</v>
          </cell>
          <cell r="H9" t="str">
            <v>PRENSA QY-10-3</v>
          </cell>
          <cell r="I9" t="str">
            <v>LAVADORA 0448</v>
          </cell>
          <cell r="J9" t="str">
            <v>TB-SCAMRIVT-40120 CONICO 518</v>
          </cell>
          <cell r="K9" t="str">
            <v>TE-SCAMRIVT-2060 CONICO 30207</v>
          </cell>
          <cell r="L9" t="str">
            <v>HERMANADORA MANUAL IM247</v>
          </cell>
          <cell r="M9" t="str">
            <v>HER. AUT MS03 DP 02HTQJ2</v>
          </cell>
          <cell r="N9" t="str">
            <v>HER. AUT JAULA MS03 BCJL02A</v>
          </cell>
          <cell r="O9" t="str">
            <v>ENGRASADORA MS03 0510-5120051</v>
          </cell>
          <cell r="P9" t="str">
            <v>HER. AUT MS04 DP 03TQJ3</v>
          </cell>
          <cell r="Q9" t="str">
            <v>HER. AUT JAULA MS04 BCJL02A</v>
          </cell>
          <cell r="R9" t="str">
            <v>ENGRASADORA AUTOMATICA MS04 ZYJ3H</v>
          </cell>
          <cell r="S9" t="str">
            <v>LASER CHICO 30</v>
          </cell>
          <cell r="T9" t="str">
            <v>LASER GRANDE 50</v>
          </cell>
          <cell r="U9" t="str">
            <v>PRENSA QY-16</v>
          </cell>
          <cell r="V9" t="str">
            <v>LAVADORA QXC-1-2 MS03</v>
          </cell>
          <cell r="W9" t="str">
            <v>LAVADORA QXC-1 MS04</v>
          </cell>
          <cell r="X9" t="str">
            <v>ANDEROMETRO IM-250</v>
          </cell>
          <cell r="Y9" t="str">
            <v>ANDEROMETRO IM251</v>
          </cell>
          <cell r="Z9" t="str">
            <v>HERMANADORA AUT MS05 LHT90</v>
          </cell>
          <cell r="AA9" t="str">
            <v>HER. AUT JAULA MS05 BCJT03</v>
          </cell>
          <cell r="AB9" t="str">
            <v>PD52 POACHER</v>
          </cell>
          <cell r="AC9" t="str">
            <v>RADIAL X095B</v>
          </cell>
          <cell r="AD9" t="str">
            <v>LAVADO MANUAL PMT25-36</v>
          </cell>
          <cell r="AE9" t="str">
            <v>HERMANADORA MANUAL IM248</v>
          </cell>
          <cell r="AF9" t="str">
            <v>RADIAL X095A</v>
          </cell>
          <cell r="AG9" t="str">
            <v>DESIMANTADOR NS-400-B1</v>
          </cell>
          <cell r="AH9" t="str">
            <v>LAVADORA GRANDE PMD-SJ</v>
          </cell>
          <cell r="AI9"/>
          <cell r="AJ9"/>
          <cell r="AK9"/>
          <cell r="AL9"/>
          <cell r="AM9"/>
          <cell r="AN9"/>
          <cell r="AO9"/>
          <cell r="AP9"/>
          <cell r="AQ9"/>
          <cell r="AR9"/>
          <cell r="AV9" t="str">
            <v>Listado Crudo</v>
          </cell>
          <cell r="AW9" t="str">
            <v>Listado Pulido</v>
          </cell>
        </row>
        <row r="10">
          <cell r="AV10" t="str">
            <v/>
          </cell>
          <cell r="AW10" t="str">
            <v>Guardia Jonatan Dario</v>
          </cell>
        </row>
        <row r="11">
          <cell r="AV11" t="str">
            <v/>
          </cell>
          <cell r="AW11" t="str">
            <v>Ferro Juan Manuel</v>
          </cell>
        </row>
        <row r="12">
          <cell r="AV12" t="str">
            <v/>
          </cell>
          <cell r="AW12" t="str">
            <v>D'olivo Gaston Fernando</v>
          </cell>
        </row>
        <row r="13">
          <cell r="AV13" t="str">
            <v/>
          </cell>
          <cell r="AW13" t="str">
            <v>Barrios Ortiz Ignacio</v>
          </cell>
        </row>
        <row r="14">
          <cell r="AV14" t="str">
            <v>Guardia Jonatan Dario</v>
          </cell>
          <cell r="AW14" t="str">
            <v>Deheza Pambosian Fernando</v>
          </cell>
        </row>
        <row r="15">
          <cell r="AV15" t="str">
            <v>Ferro Juan Manuel</v>
          </cell>
          <cell r="AW15" t="str">
            <v>Agüero Juan Pablo</v>
          </cell>
        </row>
        <row r="16">
          <cell r="AV16" t="str">
            <v/>
          </cell>
          <cell r="AW16" t="str">
            <v>Roda Gabriel Cesar</v>
          </cell>
        </row>
        <row r="17">
          <cell r="AV17" t="str">
            <v/>
          </cell>
          <cell r="AW17" t="str">
            <v/>
          </cell>
        </row>
        <row r="18">
          <cell r="AV18" t="str">
            <v>D'olivo Gaston Fernando</v>
          </cell>
          <cell r="AW18" t="str">
            <v/>
          </cell>
        </row>
        <row r="19">
          <cell r="AV19" t="str">
            <v/>
          </cell>
          <cell r="AW19" t="str">
            <v/>
          </cell>
        </row>
        <row r="20">
          <cell r="AV20" t="str">
            <v/>
          </cell>
          <cell r="AW20" t="str">
            <v/>
          </cell>
        </row>
        <row r="21">
          <cell r="AV21" t="str">
            <v/>
          </cell>
          <cell r="AW21" t="str">
            <v/>
          </cell>
        </row>
        <row r="22">
          <cell r="AV22" t="str">
            <v/>
          </cell>
          <cell r="AW22" t="str">
            <v/>
          </cell>
        </row>
        <row r="23">
          <cell r="AV23" t="str">
            <v/>
          </cell>
          <cell r="AW23" t="str">
            <v/>
          </cell>
        </row>
        <row r="24">
          <cell r="AV24" t="str">
            <v/>
          </cell>
          <cell r="AW24" t="str">
            <v/>
          </cell>
        </row>
        <row r="25">
          <cell r="AV25" t="str">
            <v>Barrios Ortiz Ignacio</v>
          </cell>
          <cell r="AW25" t="str">
            <v/>
          </cell>
        </row>
        <row r="26">
          <cell r="C26" t="str">
            <v>Operarios</v>
          </cell>
          <cell r="AV26" t="str">
            <v>Deheza Pambosian Fernando</v>
          </cell>
          <cell r="AW26" t="str">
            <v/>
          </cell>
        </row>
        <row r="27">
          <cell r="C27" t="str">
            <v>Supervisores</v>
          </cell>
          <cell r="AV27" t="str">
            <v>Agüero Juan Pablo</v>
          </cell>
          <cell r="AW27" t="str">
            <v/>
          </cell>
        </row>
        <row r="28">
          <cell r="C28" t="str">
            <v>Mantenimiento Preventivo</v>
          </cell>
          <cell r="AV28" t="str">
            <v>Roda Gabriel Cesar</v>
          </cell>
          <cell r="AW28" t="str">
            <v/>
          </cell>
        </row>
        <row r="29">
          <cell r="C29" t="str">
            <v>Mantenimiento Correctivo</v>
          </cell>
          <cell r="AV29" t="str">
            <v/>
          </cell>
          <cell r="AW29" t="str">
            <v/>
          </cell>
        </row>
        <row r="30">
          <cell r="AV30" t="str">
            <v/>
          </cell>
          <cell r="AW30" t="str">
            <v/>
          </cell>
        </row>
        <row r="31">
          <cell r="AV31" t="str">
            <v/>
          </cell>
          <cell r="AW31" t="str">
            <v/>
          </cell>
        </row>
        <row r="32">
          <cell r="AV32" t="str">
            <v/>
          </cell>
          <cell r="AW32" t="str">
            <v/>
          </cell>
        </row>
        <row r="33">
          <cell r="AV33" t="str">
            <v/>
          </cell>
          <cell r="AW33" t="str">
            <v/>
          </cell>
        </row>
        <row r="34">
          <cell r="AV34" t="str">
            <v/>
          </cell>
          <cell r="AW34" t="str">
            <v/>
          </cell>
        </row>
        <row r="35">
          <cell r="AV35" t="str">
            <v/>
          </cell>
          <cell r="AW35" t="str">
            <v/>
          </cell>
        </row>
        <row r="36">
          <cell r="AV36" t="str">
            <v/>
          </cell>
          <cell r="AW36" t="str">
            <v/>
          </cell>
        </row>
        <row r="37">
          <cell r="AV37" t="str">
            <v/>
          </cell>
          <cell r="AW37" t="str">
            <v/>
          </cell>
        </row>
        <row r="38">
          <cell r="AV38" t="str">
            <v/>
          </cell>
          <cell r="AW38" t="str">
            <v/>
          </cell>
        </row>
        <row r="39">
          <cell r="AV39" t="str">
            <v/>
          </cell>
          <cell r="AW39" t="str">
            <v/>
          </cell>
        </row>
        <row r="40">
          <cell r="AV40" t="str">
            <v/>
          </cell>
          <cell r="AW40" t="str">
            <v/>
          </cell>
        </row>
        <row r="41">
          <cell r="AV41" t="str">
            <v/>
          </cell>
          <cell r="AW41" t="str">
            <v/>
          </cell>
        </row>
        <row r="42">
          <cell r="AV42" t="str">
            <v/>
          </cell>
          <cell r="AW42" t="str">
            <v/>
          </cell>
        </row>
        <row r="43">
          <cell r="AV43" t="str">
            <v/>
          </cell>
          <cell r="AW43" t="str">
            <v/>
          </cell>
        </row>
        <row r="44">
          <cell r="AV44" t="str">
            <v/>
          </cell>
          <cell r="AW44" t="str">
            <v/>
          </cell>
        </row>
        <row r="45">
          <cell r="AV45" t="str">
            <v/>
          </cell>
          <cell r="AW45" t="str">
            <v/>
          </cell>
        </row>
        <row r="46">
          <cell r="AV46" t="str">
            <v/>
          </cell>
          <cell r="AW46" t="str">
            <v/>
          </cell>
        </row>
        <row r="47">
          <cell r="AV47" t="str">
            <v/>
          </cell>
          <cell r="AW47" t="str">
            <v/>
          </cell>
        </row>
        <row r="48">
          <cell r="AV48" t="str">
            <v/>
          </cell>
          <cell r="AW48" t="str">
            <v/>
          </cell>
        </row>
        <row r="49">
          <cell r="AV49" t="str">
            <v/>
          </cell>
          <cell r="AW49" t="str">
            <v/>
          </cell>
        </row>
        <row r="50">
          <cell r="AV50" t="str">
            <v/>
          </cell>
          <cell r="AW50" t="str">
            <v/>
          </cell>
        </row>
        <row r="51">
          <cell r="AV51" t="str">
            <v/>
          </cell>
          <cell r="AW51" t="str">
            <v/>
          </cell>
        </row>
        <row r="52">
          <cell r="AV52" t="str">
            <v/>
          </cell>
          <cell r="AW52" t="str">
            <v/>
          </cell>
        </row>
        <row r="53">
          <cell r="AV53" t="str">
            <v/>
          </cell>
          <cell r="AW53" t="str">
            <v/>
          </cell>
        </row>
        <row r="54">
          <cell r="AV54" t="str">
            <v/>
          </cell>
          <cell r="AW54" t="str">
            <v/>
          </cell>
        </row>
        <row r="55">
          <cell r="AV55" t="str">
            <v/>
          </cell>
          <cell r="AW55" t="str">
            <v/>
          </cell>
        </row>
        <row r="56">
          <cell r="AV56" t="str">
            <v/>
          </cell>
          <cell r="AW56" t="str">
            <v/>
          </cell>
        </row>
        <row r="57">
          <cell r="AV57" t="str">
            <v/>
          </cell>
          <cell r="AW57" t="str">
            <v/>
          </cell>
        </row>
        <row r="58">
          <cell r="AV58" t="str">
            <v/>
          </cell>
          <cell r="AW58" t="str">
            <v/>
          </cell>
        </row>
        <row r="59">
          <cell r="AV59" t="str">
            <v/>
          </cell>
          <cell r="AW59" t="str">
            <v/>
          </cell>
        </row>
        <row r="60">
          <cell r="AV60" t="str">
            <v/>
          </cell>
          <cell r="AW60" t="str">
            <v/>
          </cell>
        </row>
        <row r="61">
          <cell r="AV61" t="str">
            <v/>
          </cell>
          <cell r="AW61" t="str">
            <v/>
          </cell>
        </row>
        <row r="62">
          <cell r="AV62" t="str">
            <v/>
          </cell>
          <cell r="AW62" t="str">
            <v/>
          </cell>
        </row>
        <row r="63">
          <cell r="AV63" t="str">
            <v/>
          </cell>
          <cell r="AW63" t="str">
            <v/>
          </cell>
        </row>
        <row r="64">
          <cell r="AV64" t="str">
            <v/>
          </cell>
          <cell r="AW64" t="str">
            <v/>
          </cell>
        </row>
        <row r="65">
          <cell r="AV65" t="str">
            <v/>
          </cell>
          <cell r="AW65" t="str">
            <v/>
          </cell>
        </row>
        <row r="66">
          <cell r="AV66" t="str">
            <v/>
          </cell>
          <cell r="AW66" t="str">
            <v/>
          </cell>
        </row>
        <row r="67">
          <cell r="AV67" t="str">
            <v/>
          </cell>
          <cell r="AW67" t="str">
            <v/>
          </cell>
        </row>
        <row r="68">
          <cell r="AV68" t="str">
            <v/>
          </cell>
          <cell r="AW68" t="str">
            <v/>
          </cell>
        </row>
        <row r="69">
          <cell r="AV69" t="str">
            <v/>
          </cell>
          <cell r="AW69" t="str">
            <v/>
          </cell>
        </row>
        <row r="70">
          <cell r="AV70" t="str">
            <v/>
          </cell>
          <cell r="AW70" t="str">
            <v/>
          </cell>
        </row>
        <row r="71">
          <cell r="AV71" t="str">
            <v/>
          </cell>
          <cell r="AW71" t="str">
            <v/>
          </cell>
        </row>
        <row r="72">
          <cell r="AV72" t="str">
            <v/>
          </cell>
          <cell r="AW72" t="str">
            <v/>
          </cell>
        </row>
        <row r="73">
          <cell r="AV73" t="str">
            <v/>
          </cell>
          <cell r="AW73" t="str">
            <v/>
          </cell>
        </row>
        <row r="74">
          <cell r="AV74" t="str">
            <v/>
          </cell>
          <cell r="AW74" t="str">
            <v/>
          </cell>
        </row>
        <row r="75">
          <cell r="AV75" t="str">
            <v/>
          </cell>
          <cell r="AW75" t="str">
            <v/>
          </cell>
        </row>
        <row r="76">
          <cell r="AV76" t="str">
            <v/>
          </cell>
          <cell r="AW76" t="str">
            <v/>
          </cell>
        </row>
        <row r="77">
          <cell r="AV77" t="str">
            <v/>
          </cell>
          <cell r="AW77" t="str">
            <v/>
          </cell>
        </row>
        <row r="78">
          <cell r="AV78" t="str">
            <v/>
          </cell>
          <cell r="AW78" t="str">
            <v/>
          </cell>
        </row>
        <row r="79">
          <cell r="AV79" t="str">
            <v/>
          </cell>
          <cell r="AW79" t="str">
            <v/>
          </cell>
        </row>
        <row r="80">
          <cell r="AV80" t="str">
            <v/>
          </cell>
          <cell r="AW80" t="str">
            <v/>
          </cell>
        </row>
        <row r="81">
          <cell r="AV81" t="str">
            <v/>
          </cell>
          <cell r="AW81" t="str">
            <v/>
          </cell>
        </row>
        <row r="82">
          <cell r="AV82" t="str">
            <v/>
          </cell>
          <cell r="AW82" t="str">
            <v/>
          </cell>
        </row>
        <row r="83">
          <cell r="AV83" t="str">
            <v/>
          </cell>
          <cell r="AW83" t="str">
            <v/>
          </cell>
        </row>
        <row r="84">
          <cell r="AV84" t="str">
            <v/>
          </cell>
          <cell r="AW84" t="str">
            <v/>
          </cell>
        </row>
        <row r="85">
          <cell r="AV85" t="str">
            <v/>
          </cell>
          <cell r="AW85" t="str">
            <v/>
          </cell>
        </row>
        <row r="86">
          <cell r="AV86" t="str">
            <v/>
          </cell>
          <cell r="AW86" t="str">
            <v/>
          </cell>
        </row>
        <row r="87">
          <cell r="AV87" t="str">
            <v/>
          </cell>
          <cell r="AW87" t="str">
            <v/>
          </cell>
        </row>
        <row r="88">
          <cell r="AV88" t="str">
            <v/>
          </cell>
          <cell r="AW88" t="str">
            <v/>
          </cell>
        </row>
        <row r="89">
          <cell r="AV89" t="str">
            <v/>
          </cell>
          <cell r="AW89" t="str">
            <v/>
          </cell>
        </row>
        <row r="90">
          <cell r="AV90" t="str">
            <v/>
          </cell>
          <cell r="AW90" t="str">
            <v/>
          </cell>
        </row>
        <row r="91">
          <cell r="AV91" t="str">
            <v/>
          </cell>
          <cell r="AW91" t="str">
            <v/>
          </cell>
        </row>
        <row r="92">
          <cell r="AV92" t="str">
            <v/>
          </cell>
          <cell r="AW92" t="str">
            <v/>
          </cell>
        </row>
        <row r="93">
          <cell r="AV93" t="str">
            <v/>
          </cell>
          <cell r="AW93" t="str">
            <v/>
          </cell>
        </row>
        <row r="94">
          <cell r="AV94" t="str">
            <v/>
          </cell>
          <cell r="AW94" t="str">
            <v/>
          </cell>
        </row>
        <row r="95">
          <cell r="AV95" t="str">
            <v/>
          </cell>
          <cell r="AW95" t="str">
            <v/>
          </cell>
        </row>
        <row r="96">
          <cell r="AV96" t="str">
            <v/>
          </cell>
          <cell r="AW96" t="str">
            <v/>
          </cell>
        </row>
        <row r="97">
          <cell r="AV97" t="str">
            <v/>
          </cell>
          <cell r="AW97" t="str">
            <v/>
          </cell>
        </row>
        <row r="98">
          <cell r="AV98" t="str">
            <v/>
          </cell>
          <cell r="AW98" t="str">
            <v/>
          </cell>
        </row>
        <row r="99">
          <cell r="AV99" t="str">
            <v/>
          </cell>
          <cell r="AW99" t="str">
            <v/>
          </cell>
        </row>
        <row r="100">
          <cell r="AV100" t="str">
            <v/>
          </cell>
          <cell r="AW100" t="str">
            <v/>
          </cell>
        </row>
      </sheetData>
      <sheetData sheetId="3">
        <row r="11">
          <cell r="D11" t="str">
            <v>Compresor</v>
          </cell>
        </row>
        <row r="12">
          <cell r="D12"/>
        </row>
        <row r="13">
          <cell r="D13" t="str">
            <v>Aceite Hidraulico BP68</v>
          </cell>
        </row>
        <row r="14">
          <cell r="D14" t="str">
            <v>Aceite Hidraulico BP32</v>
          </cell>
        </row>
        <row r="15">
          <cell r="D15"/>
        </row>
        <row r="16">
          <cell r="D16"/>
        </row>
        <row r="17">
          <cell r="D17" t="str">
            <v>Mobil Polyrex EM103</v>
          </cell>
        </row>
        <row r="18">
          <cell r="D18"/>
        </row>
        <row r="19">
          <cell r="D19"/>
        </row>
        <row r="20">
          <cell r="D20" t="str">
            <v>TRA SM 502 Soluble semi p/rectif</v>
          </cell>
        </row>
        <row r="21">
          <cell r="D21"/>
        </row>
        <row r="22">
          <cell r="D22"/>
        </row>
        <row r="23">
          <cell r="D23" t="str">
            <v>Solvente 261</v>
          </cell>
        </row>
        <row r="24">
          <cell r="D24"/>
        </row>
        <row r="25">
          <cell r="D25"/>
        </row>
      </sheetData>
      <sheetData sheetId="4">
        <row r="9">
          <cell r="D9" t="str">
            <v>Repuesto 1</v>
          </cell>
        </row>
        <row r="10">
          <cell r="D10" t="str">
            <v>Repuesto 2</v>
          </cell>
        </row>
        <row r="11">
          <cell r="D11" t="str">
            <v>Repuesto 3</v>
          </cell>
        </row>
        <row r="12">
          <cell r="D12" t="str">
            <v>Repuesto 4</v>
          </cell>
        </row>
        <row r="13">
          <cell r="D13" t="str">
            <v>Repuesto 5</v>
          </cell>
        </row>
        <row r="14">
          <cell r="D14" t="str">
            <v>Repuesto 6</v>
          </cell>
        </row>
        <row r="15">
          <cell r="D15" t="str">
            <v>Repuesto 7</v>
          </cell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</sheetData>
      <sheetData sheetId="5">
        <row r="9">
          <cell r="B9" t="str">
            <v>Fijadores</v>
          </cell>
          <cell r="D9" t="str">
            <v>Loctite 609</v>
          </cell>
          <cell r="G9">
            <v>16.084700000000002</v>
          </cell>
        </row>
        <row r="10">
          <cell r="B10"/>
          <cell r="D10"/>
          <cell r="G10"/>
        </row>
        <row r="11">
          <cell r="B11"/>
          <cell r="D11"/>
          <cell r="G11"/>
        </row>
        <row r="12">
          <cell r="B12"/>
          <cell r="D12"/>
          <cell r="G12"/>
        </row>
        <row r="13">
          <cell r="B13" t="str">
            <v>Grasa</v>
          </cell>
          <cell r="D13" t="str">
            <v>Renolit Poliplex 2</v>
          </cell>
          <cell r="G13">
            <v>126.74621276595744</v>
          </cell>
        </row>
        <row r="14">
          <cell r="B14"/>
          <cell r="D14"/>
          <cell r="G14"/>
        </row>
        <row r="15">
          <cell r="B15"/>
          <cell r="D15"/>
          <cell r="G15"/>
        </row>
        <row r="16">
          <cell r="B16"/>
          <cell r="G16"/>
        </row>
        <row r="17">
          <cell r="B17"/>
          <cell r="D17"/>
          <cell r="G17"/>
        </row>
        <row r="18">
          <cell r="B18"/>
          <cell r="D18"/>
          <cell r="G18"/>
        </row>
        <row r="19">
          <cell r="B19"/>
          <cell r="D19"/>
          <cell r="G19"/>
        </row>
        <row r="20">
          <cell r="B20" t="str">
            <v>ANTICORROSIVO</v>
          </cell>
          <cell r="D20" t="str">
            <v xml:space="preserve">PROTENOLD 261 </v>
          </cell>
          <cell r="G20">
            <v>5.5147368421052629</v>
          </cell>
        </row>
        <row r="21">
          <cell r="B21"/>
          <cell r="D21"/>
          <cell r="G21"/>
        </row>
        <row r="22">
          <cell r="B22"/>
          <cell r="D22"/>
          <cell r="G22"/>
        </row>
        <row r="23">
          <cell r="B23"/>
          <cell r="D23"/>
          <cell r="G23"/>
        </row>
        <row r="24">
          <cell r="B24"/>
          <cell r="D24"/>
          <cell r="G24"/>
        </row>
        <row r="25">
          <cell r="B25"/>
          <cell r="D25"/>
          <cell r="G25"/>
        </row>
        <row r="26">
          <cell r="B26" t="str">
            <v>APROBADO POR:</v>
          </cell>
          <cell r="D26"/>
          <cell r="G26"/>
        </row>
        <row r="27">
          <cell r="B27"/>
          <cell r="D27"/>
          <cell r="G27"/>
        </row>
        <row r="28">
          <cell r="B28"/>
          <cell r="D28"/>
          <cell r="G28"/>
        </row>
        <row r="29">
          <cell r="B29"/>
        </row>
        <row r="30">
          <cell r="B30"/>
        </row>
        <row r="31">
          <cell r="B31"/>
        </row>
        <row r="32">
          <cell r="B32"/>
        </row>
        <row r="33">
          <cell r="B33"/>
        </row>
        <row r="34">
          <cell r="B34"/>
        </row>
        <row r="35">
          <cell r="B35"/>
        </row>
        <row r="36">
          <cell r="B36"/>
        </row>
      </sheetData>
      <sheetData sheetId="6">
        <row r="9">
          <cell r="N9" t="str">
            <v>ENGRASADORA MANUAL</v>
          </cell>
          <cell r="O9" t="str">
            <v>Produccion</v>
          </cell>
        </row>
        <row r="10">
          <cell r="N10" t="str">
            <v>PRENSA QY-10-1</v>
          </cell>
          <cell r="O10" t="str">
            <v>Ensamble</v>
          </cell>
        </row>
        <row r="11">
          <cell r="N11" t="str">
            <v>PRENSA QY-10-2</v>
          </cell>
          <cell r="O11" t="str">
            <v>Administración y Comercialización</v>
          </cell>
        </row>
        <row r="12">
          <cell r="N12" t="str">
            <v>PRENSA QY-10-3</v>
          </cell>
          <cell r="O12" t="str">
            <v>Depósito</v>
          </cell>
        </row>
        <row r="13">
          <cell r="N13" t="str">
            <v>LAVADORA 0448</v>
          </cell>
          <cell r="O13" t="str">
            <v>Embalaje</v>
          </cell>
        </row>
        <row r="14">
          <cell r="N14" t="str">
            <v>TB-SCAMRIVT-40120 CONICO 518</v>
          </cell>
          <cell r="O14" t="str">
            <v/>
          </cell>
        </row>
        <row r="15">
          <cell r="N15" t="str">
            <v>TE-SCAMRIVT-2060 CONICO 30207</v>
          </cell>
          <cell r="O15" t="str">
            <v/>
          </cell>
        </row>
        <row r="16">
          <cell r="N16" t="str">
            <v>HERMANADORA MANUAL IM247</v>
          </cell>
          <cell r="O16" t="str">
            <v/>
          </cell>
        </row>
        <row r="17">
          <cell r="N17" t="str">
            <v>HER. AUT MS03 DP 02HTQJ2</v>
          </cell>
          <cell r="O17" t="str">
            <v/>
          </cell>
        </row>
        <row r="18">
          <cell r="N18" t="str">
            <v>HER. AUT JAULA MS03 BCJL02A</v>
          </cell>
          <cell r="O18" t="str">
            <v/>
          </cell>
        </row>
        <row r="19">
          <cell r="N19" t="str">
            <v>ENGRASADORA MS03 0510-5120051</v>
          </cell>
          <cell r="O19" t="str">
            <v/>
          </cell>
        </row>
        <row r="20">
          <cell r="N20" t="str">
            <v>HER. AUT MS04 DP 03TQJ3</v>
          </cell>
          <cell r="O20" t="str">
            <v/>
          </cell>
        </row>
        <row r="21">
          <cell r="N21" t="str">
            <v>HER. AUT JAULA MS04 BCJL02A</v>
          </cell>
          <cell r="O21" t="str">
            <v/>
          </cell>
        </row>
        <row r="22">
          <cell r="N22" t="str">
            <v>ENGRASADORA AUTOMATICA MS04 ZYJ3H</v>
          </cell>
          <cell r="O22" t="str">
            <v/>
          </cell>
        </row>
        <row r="23">
          <cell r="N23" t="str">
            <v>LASER CHICO 30</v>
          </cell>
          <cell r="O23" t="str">
            <v/>
          </cell>
        </row>
        <row r="24">
          <cell r="N24" t="str">
            <v>LASER GRANDE 50</v>
          </cell>
          <cell r="O24" t="str">
            <v/>
          </cell>
        </row>
        <row r="25">
          <cell r="N25" t="str">
            <v>PRENSA QY-16</v>
          </cell>
          <cell r="O25" t="str">
            <v/>
          </cell>
        </row>
        <row r="26">
          <cell r="N26" t="str">
            <v>LAVADORA QXC-1-2 MS03</v>
          </cell>
          <cell r="O26" t="str">
            <v/>
          </cell>
        </row>
        <row r="27">
          <cell r="N27" t="str">
            <v>LAVADORA QXC-1 MS04</v>
          </cell>
          <cell r="O27" t="str">
            <v/>
          </cell>
        </row>
        <row r="28">
          <cell r="N28" t="str">
            <v>ANDEROMETRO IM-250</v>
          </cell>
          <cell r="O28" t="str">
            <v/>
          </cell>
        </row>
        <row r="29">
          <cell r="N29" t="str">
            <v>ANDEROMETRO IM251</v>
          </cell>
          <cell r="O29" t="str">
            <v/>
          </cell>
        </row>
        <row r="30">
          <cell r="N30" t="str">
            <v>HERMANADORA AUT MS05 LHT90</v>
          </cell>
          <cell r="O30" t="str">
            <v/>
          </cell>
        </row>
        <row r="31">
          <cell r="N31" t="str">
            <v>HER. AUT JAULA MS05 BCJT03</v>
          </cell>
          <cell r="O31" t="str">
            <v/>
          </cell>
        </row>
        <row r="32">
          <cell r="N32" t="str">
            <v>PD52 POACHER</v>
          </cell>
          <cell r="O32" t="str">
            <v/>
          </cell>
        </row>
        <row r="33">
          <cell r="N33" t="str">
            <v>RADIAL X095B</v>
          </cell>
          <cell r="O33" t="str">
            <v/>
          </cell>
        </row>
        <row r="34">
          <cell r="N34" t="str">
            <v>LAVADO MANUAL PMT25-36</v>
          </cell>
          <cell r="O34" t="str">
            <v/>
          </cell>
        </row>
        <row r="35">
          <cell r="N35" t="str">
            <v>HERMANADORA MANUAL IM248</v>
          </cell>
          <cell r="O35" t="str">
            <v/>
          </cell>
        </row>
        <row r="36">
          <cell r="N36" t="str">
            <v>RADIAL X095A</v>
          </cell>
          <cell r="O36" t="str">
            <v/>
          </cell>
        </row>
        <row r="37">
          <cell r="N37" t="str">
            <v>DESIMANTADOR NS-400-B1</v>
          </cell>
          <cell r="O37" t="str">
            <v/>
          </cell>
        </row>
        <row r="38">
          <cell r="N38" t="str">
            <v>LAVADORA GRANDE PMD-SJ</v>
          </cell>
          <cell r="O38" t="str">
            <v/>
          </cell>
        </row>
        <row r="39">
          <cell r="N39" t="str">
            <v/>
          </cell>
          <cell r="O39" t="str">
            <v/>
          </cell>
        </row>
        <row r="40">
          <cell r="N40" t="str">
            <v/>
          </cell>
          <cell r="O40" t="str">
            <v/>
          </cell>
        </row>
        <row r="41">
          <cell r="N41" t="str">
            <v/>
          </cell>
          <cell r="O41" t="str">
            <v/>
          </cell>
        </row>
        <row r="42">
          <cell r="N42" t="str">
            <v/>
          </cell>
          <cell r="O42" t="str">
            <v/>
          </cell>
        </row>
        <row r="43">
          <cell r="N43" t="str">
            <v/>
          </cell>
          <cell r="O43" t="str">
            <v/>
          </cell>
        </row>
        <row r="44">
          <cell r="N44" t="str">
            <v/>
          </cell>
          <cell r="O44" t="str">
            <v/>
          </cell>
        </row>
        <row r="45">
          <cell r="N45" t="str">
            <v/>
          </cell>
          <cell r="O45" t="str">
            <v/>
          </cell>
        </row>
        <row r="46">
          <cell r="N46" t="str">
            <v/>
          </cell>
          <cell r="O46" t="str">
            <v/>
          </cell>
        </row>
        <row r="47">
          <cell r="N47" t="str">
            <v/>
          </cell>
          <cell r="O47" t="str">
            <v/>
          </cell>
        </row>
        <row r="48">
          <cell r="N48" t="str">
            <v/>
          </cell>
          <cell r="O48" t="str">
            <v/>
          </cell>
        </row>
        <row r="49">
          <cell r="N49" t="str">
            <v/>
          </cell>
          <cell r="O49" t="str">
            <v/>
          </cell>
        </row>
        <row r="50">
          <cell r="N50" t="str">
            <v/>
          </cell>
          <cell r="O50" t="str">
            <v/>
          </cell>
        </row>
        <row r="51">
          <cell r="N51" t="str">
            <v/>
          </cell>
          <cell r="O51" t="str">
            <v/>
          </cell>
        </row>
        <row r="52">
          <cell r="N52" t="str">
            <v/>
          </cell>
          <cell r="O52" t="str">
            <v/>
          </cell>
        </row>
        <row r="53">
          <cell r="N53" t="str">
            <v/>
          </cell>
          <cell r="O53" t="str">
            <v/>
          </cell>
        </row>
        <row r="54">
          <cell r="N54" t="str">
            <v/>
          </cell>
          <cell r="O54" t="str">
            <v/>
          </cell>
        </row>
        <row r="55">
          <cell r="N55" t="str">
            <v/>
          </cell>
          <cell r="O55" t="str">
            <v/>
          </cell>
        </row>
        <row r="56">
          <cell r="N56" t="str">
            <v/>
          </cell>
          <cell r="O56" t="str">
            <v/>
          </cell>
        </row>
        <row r="57">
          <cell r="N57" t="str">
            <v/>
          </cell>
          <cell r="O57" t="str">
            <v/>
          </cell>
        </row>
        <row r="58">
          <cell r="N58" t="str">
            <v/>
          </cell>
          <cell r="O58" t="str">
            <v/>
          </cell>
        </row>
        <row r="59">
          <cell r="N59" t="str">
            <v/>
          </cell>
          <cell r="O59" t="str">
            <v/>
          </cell>
        </row>
        <row r="60">
          <cell r="N60" t="str">
            <v/>
          </cell>
          <cell r="O60" t="str">
            <v/>
          </cell>
        </row>
        <row r="61">
          <cell r="N61" t="str">
            <v/>
          </cell>
          <cell r="O61" t="str">
            <v/>
          </cell>
        </row>
        <row r="62">
          <cell r="N62" t="str">
            <v/>
          </cell>
          <cell r="O62" t="str">
            <v/>
          </cell>
        </row>
        <row r="63">
          <cell r="N63" t="str">
            <v/>
          </cell>
          <cell r="O63" t="str">
            <v/>
          </cell>
        </row>
        <row r="64">
          <cell r="N64" t="str">
            <v/>
          </cell>
          <cell r="O64" t="str">
            <v/>
          </cell>
        </row>
        <row r="65">
          <cell r="N65" t="str">
            <v/>
          </cell>
          <cell r="O65" t="str">
            <v/>
          </cell>
        </row>
        <row r="66">
          <cell r="N66" t="str">
            <v/>
          </cell>
          <cell r="O66" t="str">
            <v/>
          </cell>
        </row>
        <row r="67">
          <cell r="N67" t="str">
            <v/>
          </cell>
          <cell r="O67" t="str">
            <v/>
          </cell>
        </row>
        <row r="68">
          <cell r="N68" t="str">
            <v/>
          </cell>
          <cell r="O68" t="str">
            <v/>
          </cell>
        </row>
        <row r="69">
          <cell r="N69" t="str">
            <v/>
          </cell>
          <cell r="O69" t="str">
            <v/>
          </cell>
        </row>
        <row r="70">
          <cell r="N70" t="str">
            <v/>
          </cell>
          <cell r="O70" t="str">
            <v/>
          </cell>
        </row>
        <row r="71">
          <cell r="N71" t="str">
            <v/>
          </cell>
          <cell r="O71" t="str">
            <v/>
          </cell>
        </row>
        <row r="72">
          <cell r="N72" t="str">
            <v/>
          </cell>
          <cell r="O72" t="str">
            <v/>
          </cell>
        </row>
        <row r="73">
          <cell r="N73" t="str">
            <v/>
          </cell>
          <cell r="O73" t="str">
            <v/>
          </cell>
        </row>
        <row r="74">
          <cell r="N74" t="str">
            <v/>
          </cell>
          <cell r="O74" t="str">
            <v/>
          </cell>
        </row>
        <row r="75">
          <cell r="N75" t="str">
            <v/>
          </cell>
          <cell r="O75" t="str">
            <v/>
          </cell>
        </row>
        <row r="76">
          <cell r="N76" t="str">
            <v/>
          </cell>
          <cell r="O76" t="str">
            <v/>
          </cell>
        </row>
        <row r="77">
          <cell r="N77" t="str">
            <v/>
          </cell>
          <cell r="O77" t="str">
            <v/>
          </cell>
        </row>
        <row r="78">
          <cell r="N78" t="str">
            <v/>
          </cell>
          <cell r="O78" t="str">
            <v/>
          </cell>
        </row>
        <row r="79">
          <cell r="N79" t="str">
            <v/>
          </cell>
          <cell r="O79" t="str">
            <v/>
          </cell>
        </row>
        <row r="80">
          <cell r="N80" t="str">
            <v/>
          </cell>
          <cell r="O80" t="str">
            <v/>
          </cell>
        </row>
        <row r="81">
          <cell r="N81" t="str">
            <v/>
          </cell>
          <cell r="O81" t="str">
            <v/>
          </cell>
        </row>
        <row r="82">
          <cell r="N82" t="str">
            <v/>
          </cell>
          <cell r="O82" t="str">
            <v/>
          </cell>
        </row>
        <row r="83">
          <cell r="N83" t="str">
            <v/>
          </cell>
          <cell r="O83" t="str">
            <v/>
          </cell>
        </row>
        <row r="84">
          <cell r="N84" t="str">
            <v/>
          </cell>
          <cell r="O84" t="str">
            <v/>
          </cell>
        </row>
        <row r="85">
          <cell r="N85" t="str">
            <v/>
          </cell>
          <cell r="O85" t="str">
            <v/>
          </cell>
        </row>
        <row r="86">
          <cell r="N86" t="str">
            <v/>
          </cell>
          <cell r="O86" t="str">
            <v/>
          </cell>
        </row>
        <row r="87">
          <cell r="N87" t="str">
            <v/>
          </cell>
          <cell r="O87" t="str">
            <v/>
          </cell>
        </row>
        <row r="88">
          <cell r="N88" t="str">
            <v/>
          </cell>
          <cell r="O88" t="str">
            <v/>
          </cell>
        </row>
        <row r="89">
          <cell r="N89" t="str">
            <v/>
          </cell>
          <cell r="O89" t="str">
            <v/>
          </cell>
        </row>
        <row r="90">
          <cell r="N90" t="str">
            <v/>
          </cell>
          <cell r="O90" t="str">
            <v/>
          </cell>
        </row>
        <row r="91">
          <cell r="N91" t="str">
            <v/>
          </cell>
          <cell r="O91" t="str">
            <v/>
          </cell>
        </row>
        <row r="92">
          <cell r="N92" t="str">
            <v/>
          </cell>
          <cell r="O92" t="str">
            <v/>
          </cell>
        </row>
        <row r="93">
          <cell r="N93" t="str">
            <v/>
          </cell>
          <cell r="O93" t="str">
            <v/>
          </cell>
        </row>
        <row r="94">
          <cell r="N94" t="str">
            <v/>
          </cell>
          <cell r="O94" t="str">
            <v/>
          </cell>
        </row>
        <row r="95">
          <cell r="N95" t="str">
            <v/>
          </cell>
          <cell r="O95" t="str">
            <v/>
          </cell>
        </row>
        <row r="96">
          <cell r="N96" t="str">
            <v/>
          </cell>
          <cell r="O96" t="str">
            <v/>
          </cell>
        </row>
        <row r="97">
          <cell r="N97" t="str">
            <v/>
          </cell>
          <cell r="O97" t="str">
            <v/>
          </cell>
        </row>
        <row r="98">
          <cell r="N98" t="str">
            <v/>
          </cell>
          <cell r="O98" t="str">
            <v/>
          </cell>
        </row>
        <row r="99">
          <cell r="N99" t="str">
            <v/>
          </cell>
          <cell r="O99" t="str">
            <v/>
          </cell>
        </row>
        <row r="100">
          <cell r="N100" t="str">
            <v/>
          </cell>
          <cell r="O100" t="str">
            <v/>
          </cell>
        </row>
        <row r="101">
          <cell r="N101" t="str">
            <v/>
          </cell>
          <cell r="O101" t="str">
            <v/>
          </cell>
        </row>
        <row r="102">
          <cell r="N102" t="str">
            <v/>
          </cell>
          <cell r="O102" t="str">
            <v/>
          </cell>
        </row>
        <row r="103">
          <cell r="N103" t="str">
            <v/>
          </cell>
          <cell r="O103" t="str">
            <v/>
          </cell>
        </row>
        <row r="104">
          <cell r="N104" t="str">
            <v/>
          </cell>
          <cell r="O104" t="str">
            <v/>
          </cell>
        </row>
        <row r="105">
          <cell r="N105" t="str">
            <v/>
          </cell>
          <cell r="O105" t="str">
            <v/>
          </cell>
        </row>
        <row r="106">
          <cell r="N106" t="str">
            <v/>
          </cell>
          <cell r="O106" t="str">
            <v/>
          </cell>
        </row>
        <row r="107">
          <cell r="N107" t="str">
            <v/>
          </cell>
          <cell r="O107" t="str">
            <v/>
          </cell>
        </row>
        <row r="108">
          <cell r="N108" t="str">
            <v/>
          </cell>
          <cell r="O108" t="str">
            <v/>
          </cell>
        </row>
        <row r="109">
          <cell r="N109" t="str">
            <v/>
          </cell>
          <cell r="O109" t="str">
            <v/>
          </cell>
        </row>
        <row r="110">
          <cell r="N110" t="str">
            <v/>
          </cell>
          <cell r="O110" t="str">
            <v/>
          </cell>
        </row>
        <row r="111">
          <cell r="N111" t="str">
            <v/>
          </cell>
          <cell r="O111" t="str">
            <v/>
          </cell>
        </row>
        <row r="112">
          <cell r="N112" t="str">
            <v/>
          </cell>
          <cell r="O112" t="str">
            <v/>
          </cell>
        </row>
        <row r="113">
          <cell r="N113" t="str">
            <v/>
          </cell>
          <cell r="O113" t="str">
            <v/>
          </cell>
        </row>
        <row r="114">
          <cell r="N114" t="str">
            <v/>
          </cell>
          <cell r="O114" t="str">
            <v/>
          </cell>
        </row>
        <row r="115">
          <cell r="N115" t="str">
            <v/>
          </cell>
          <cell r="O115" t="str">
            <v/>
          </cell>
        </row>
        <row r="116">
          <cell r="N116" t="str">
            <v/>
          </cell>
          <cell r="O116" t="str">
            <v/>
          </cell>
        </row>
        <row r="117">
          <cell r="N117" t="str">
            <v/>
          </cell>
          <cell r="O117" t="str">
            <v/>
          </cell>
        </row>
        <row r="118">
          <cell r="N118" t="str">
            <v/>
          </cell>
          <cell r="O118" t="str">
            <v/>
          </cell>
        </row>
        <row r="119">
          <cell r="N119" t="str">
            <v/>
          </cell>
          <cell r="O119" t="str">
            <v/>
          </cell>
        </row>
        <row r="120">
          <cell r="N120" t="str">
            <v/>
          </cell>
          <cell r="O120" t="str">
            <v/>
          </cell>
        </row>
        <row r="121">
          <cell r="N121" t="str">
            <v/>
          </cell>
          <cell r="O121" t="str">
            <v/>
          </cell>
        </row>
        <row r="122">
          <cell r="N122" t="str">
            <v/>
          </cell>
          <cell r="O122" t="str">
            <v/>
          </cell>
        </row>
        <row r="123">
          <cell r="N123" t="str">
            <v/>
          </cell>
        </row>
        <row r="124">
          <cell r="N124" t="str">
            <v/>
          </cell>
        </row>
        <row r="125">
          <cell r="N125" t="str">
            <v/>
          </cell>
        </row>
        <row r="126">
          <cell r="N126" t="str">
            <v/>
          </cell>
        </row>
        <row r="127">
          <cell r="N127" t="str">
            <v/>
          </cell>
        </row>
        <row r="128">
          <cell r="N128" t="str">
            <v/>
          </cell>
        </row>
        <row r="129">
          <cell r="N129" t="str">
            <v/>
          </cell>
        </row>
        <row r="130">
          <cell r="N130" t="str">
            <v/>
          </cell>
        </row>
        <row r="131">
          <cell r="N131" t="str">
            <v/>
          </cell>
        </row>
        <row r="132">
          <cell r="N132" t="str">
            <v/>
          </cell>
        </row>
        <row r="133">
          <cell r="N133" t="str">
            <v/>
          </cell>
        </row>
        <row r="134">
          <cell r="N134" t="str">
            <v/>
          </cell>
        </row>
        <row r="135">
          <cell r="N135" t="str">
            <v/>
          </cell>
        </row>
        <row r="136">
          <cell r="N136" t="str">
            <v/>
          </cell>
        </row>
        <row r="137">
          <cell r="N137" t="str">
            <v/>
          </cell>
        </row>
        <row r="138">
          <cell r="N138" t="str">
            <v/>
          </cell>
        </row>
        <row r="139">
          <cell r="N139" t="str">
            <v/>
          </cell>
        </row>
        <row r="140">
          <cell r="N140" t="str">
            <v/>
          </cell>
        </row>
        <row r="141">
          <cell r="N141" t="str">
            <v/>
          </cell>
        </row>
        <row r="142">
          <cell r="N142" t="str">
            <v/>
          </cell>
        </row>
        <row r="143">
          <cell r="N143" t="str">
            <v/>
          </cell>
        </row>
        <row r="144">
          <cell r="N144" t="str">
            <v/>
          </cell>
        </row>
        <row r="145">
          <cell r="N145" t="str">
            <v/>
          </cell>
        </row>
        <row r="146">
          <cell r="N146" t="str">
            <v/>
          </cell>
        </row>
        <row r="147">
          <cell r="N147" t="str">
            <v/>
          </cell>
        </row>
        <row r="148">
          <cell r="N148" t="str">
            <v/>
          </cell>
        </row>
        <row r="149">
          <cell r="N149" t="str">
            <v/>
          </cell>
        </row>
        <row r="150">
          <cell r="N150" t="str">
            <v/>
          </cell>
        </row>
        <row r="151">
          <cell r="N151" t="str">
            <v/>
          </cell>
        </row>
        <row r="152">
          <cell r="N152" t="str">
            <v/>
          </cell>
        </row>
        <row r="153">
          <cell r="N153" t="str">
            <v/>
          </cell>
        </row>
        <row r="154">
          <cell r="N154" t="str">
            <v/>
          </cell>
        </row>
        <row r="155">
          <cell r="N155" t="str">
            <v/>
          </cell>
        </row>
        <row r="156">
          <cell r="N156" t="str">
            <v/>
          </cell>
        </row>
        <row r="157">
          <cell r="N157" t="str">
            <v/>
          </cell>
        </row>
        <row r="158">
          <cell r="N158" t="str">
            <v/>
          </cell>
        </row>
        <row r="159">
          <cell r="N159" t="str">
            <v/>
          </cell>
        </row>
        <row r="160">
          <cell r="N160" t="str">
            <v/>
          </cell>
        </row>
        <row r="161">
          <cell r="N161" t="str">
            <v/>
          </cell>
        </row>
        <row r="162">
          <cell r="N162" t="str">
            <v/>
          </cell>
        </row>
        <row r="163">
          <cell r="N163" t="str">
            <v/>
          </cell>
        </row>
        <row r="164">
          <cell r="N164" t="str">
            <v/>
          </cell>
        </row>
        <row r="165">
          <cell r="N165" t="str">
            <v/>
          </cell>
        </row>
        <row r="166">
          <cell r="N166" t="str">
            <v/>
          </cell>
        </row>
        <row r="167">
          <cell r="N167" t="str">
            <v/>
          </cell>
        </row>
        <row r="168">
          <cell r="N168" t="str">
            <v/>
          </cell>
        </row>
        <row r="169">
          <cell r="N169" t="str">
            <v/>
          </cell>
        </row>
        <row r="170">
          <cell r="N170" t="str">
            <v/>
          </cell>
        </row>
        <row r="171">
          <cell r="N171" t="str">
            <v/>
          </cell>
        </row>
        <row r="172">
          <cell r="N172" t="str">
            <v/>
          </cell>
        </row>
        <row r="173">
          <cell r="N173" t="str">
            <v/>
          </cell>
        </row>
        <row r="174">
          <cell r="N174" t="str">
            <v/>
          </cell>
        </row>
        <row r="175">
          <cell r="N175" t="str">
            <v/>
          </cell>
        </row>
        <row r="176">
          <cell r="N176" t="str">
            <v/>
          </cell>
        </row>
        <row r="177">
          <cell r="N177" t="str">
            <v/>
          </cell>
        </row>
        <row r="178">
          <cell r="N178" t="str">
            <v/>
          </cell>
        </row>
        <row r="179">
          <cell r="N179" t="str">
            <v/>
          </cell>
        </row>
        <row r="180">
          <cell r="N180" t="str">
            <v/>
          </cell>
        </row>
        <row r="181">
          <cell r="N181" t="str">
            <v/>
          </cell>
        </row>
        <row r="182">
          <cell r="N182" t="str">
            <v/>
          </cell>
        </row>
        <row r="183">
          <cell r="N183" t="str">
            <v/>
          </cell>
        </row>
        <row r="184">
          <cell r="N184" t="str">
            <v/>
          </cell>
        </row>
        <row r="185">
          <cell r="N185" t="str">
            <v/>
          </cell>
        </row>
        <row r="186">
          <cell r="N186" t="str">
            <v/>
          </cell>
        </row>
        <row r="187">
          <cell r="N187" t="str">
            <v/>
          </cell>
        </row>
        <row r="188">
          <cell r="N188" t="str">
            <v/>
          </cell>
        </row>
        <row r="190">
          <cell r="N190" t="str">
            <v>Compresor</v>
          </cell>
        </row>
        <row r="192">
          <cell r="N192" t="str">
            <v>Caja de Herramientas</v>
          </cell>
        </row>
        <row r="193">
          <cell r="N193" t="str">
            <v>Herramienta 3</v>
          </cell>
        </row>
        <row r="194">
          <cell r="N194" t="str">
            <v>Herramienta 4</v>
          </cell>
        </row>
        <row r="195">
          <cell r="N195" t="str">
            <v>Herramienta 5</v>
          </cell>
        </row>
        <row r="196">
          <cell r="N196" t="str">
            <v/>
          </cell>
        </row>
        <row r="198">
          <cell r="N198" t="str">
            <v/>
          </cell>
        </row>
        <row r="199">
          <cell r="N199" t="str">
            <v/>
          </cell>
        </row>
        <row r="200">
          <cell r="N200" t="str">
            <v/>
          </cell>
        </row>
        <row r="201">
          <cell r="N201" t="str">
            <v/>
          </cell>
        </row>
        <row r="202">
          <cell r="N202" t="str">
            <v/>
          </cell>
        </row>
        <row r="204">
          <cell r="N204" t="str">
            <v/>
          </cell>
        </row>
        <row r="205">
          <cell r="N205" t="str">
            <v/>
          </cell>
        </row>
        <row r="206">
          <cell r="N206" t="str">
            <v/>
          </cell>
        </row>
        <row r="207">
          <cell r="N207" t="str">
            <v/>
          </cell>
        </row>
        <row r="208">
          <cell r="N208" t="str">
            <v/>
          </cell>
        </row>
        <row r="210">
          <cell r="N210" t="str">
            <v/>
          </cell>
        </row>
        <row r="211">
          <cell r="N211" t="str">
            <v/>
          </cell>
        </row>
        <row r="212">
          <cell r="N212" t="str">
            <v/>
          </cell>
        </row>
        <row r="213">
          <cell r="N213" t="str">
            <v/>
          </cell>
        </row>
        <row r="214">
          <cell r="N214" t="str">
            <v/>
          </cell>
        </row>
        <row r="216">
          <cell r="N216" t="str">
            <v/>
          </cell>
        </row>
        <row r="217">
          <cell r="N217" t="str">
            <v/>
          </cell>
        </row>
        <row r="218">
          <cell r="N218" t="str">
            <v/>
          </cell>
        </row>
        <row r="219">
          <cell r="N219" t="str">
            <v/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 a Pedir"/>
      <sheetName val="INFO-Personal"/>
      <sheetName val="INFO-OEE"/>
      <sheetName val="INFO-Pos"/>
      <sheetName val="INFO-Mant"/>
      <sheetName val="INFO-Direc"/>
      <sheetName val="INFO-E"/>
      <sheetName val="INFO-F"/>
      <sheetName val="INFO-C"/>
      <sheetName val="INFO-P"/>
      <sheetName val="INFO-I"/>
      <sheetName val="INFO-Embalaje"/>
      <sheetName val="Embalaje Manual Expedición"/>
      <sheetName val="Embaladora de Pallets"/>
      <sheetName val="Embalaje Manual Planta"/>
      <sheetName val="Embaladora Auto G QD-450X"/>
      <sheetName val="Embaladora Auto. C. QD-250X"/>
    </sheetNames>
    <sheetDataSet>
      <sheetData sheetId="0">
        <row r="6">
          <cell r="C6" t="str">
            <v>INFO a Pedir</v>
          </cell>
          <cell r="D6" t="str">
            <v xml:space="preserve"> - </v>
          </cell>
        </row>
        <row r="7">
          <cell r="C7" t="str">
            <v>INFO-Personal</v>
          </cell>
          <cell r="D7" t="str">
            <v xml:space="preserve"> - </v>
          </cell>
        </row>
        <row r="8">
          <cell r="C8" t="str">
            <v>INFO-OEE</v>
          </cell>
          <cell r="D8" t="str">
            <v xml:space="preserve"> - </v>
          </cell>
        </row>
        <row r="9">
          <cell r="C9" t="str">
            <v>INFO-Pos</v>
          </cell>
          <cell r="D9" t="str">
            <v xml:space="preserve"> - </v>
          </cell>
        </row>
        <row r="10">
          <cell r="C10" t="str">
            <v>INFO-Mant</v>
          </cell>
          <cell r="D10" t="str">
            <v xml:space="preserve"> - </v>
          </cell>
        </row>
        <row r="11">
          <cell r="C11" t="str">
            <v>INFO-Direc</v>
          </cell>
          <cell r="D11" t="str">
            <v xml:space="preserve"> - </v>
          </cell>
        </row>
        <row r="12">
          <cell r="C12" t="str">
            <v>INFO-E</v>
          </cell>
          <cell r="D12" t="str">
            <v xml:space="preserve"> - </v>
          </cell>
        </row>
        <row r="13">
          <cell r="C13" t="str">
            <v>INFO-F</v>
          </cell>
          <cell r="D13" t="str">
            <v xml:space="preserve"> - </v>
          </cell>
        </row>
        <row r="14">
          <cell r="C14" t="str">
            <v>INFO-C</v>
          </cell>
          <cell r="D14" t="str">
            <v xml:space="preserve"> - </v>
          </cell>
        </row>
        <row r="15">
          <cell r="C15" t="str">
            <v>INFO-P</v>
          </cell>
          <cell r="D15" t="str">
            <v xml:space="preserve"> - </v>
          </cell>
        </row>
        <row r="16">
          <cell r="C16" t="str">
            <v>INFO-I</v>
          </cell>
          <cell r="D16" t="str">
            <v xml:space="preserve"> - </v>
          </cell>
        </row>
        <row r="17">
          <cell r="C17" t="str">
            <v>INFO-Embalaje</v>
          </cell>
          <cell r="D17" t="str">
            <v xml:space="preserve"> - </v>
          </cell>
        </row>
        <row r="18">
          <cell r="C18" t="str">
            <v>Embalaje Manual Expedición</v>
          </cell>
          <cell r="D18">
            <v>16.022491012373369</v>
          </cell>
        </row>
        <row r="19">
          <cell r="C19" t="str">
            <v>Embaladora de Pallets</v>
          </cell>
          <cell r="D19">
            <v>11.790790534753075</v>
          </cell>
        </row>
        <row r="20">
          <cell r="C20" t="str">
            <v>Embalaje Manual Planta</v>
          </cell>
          <cell r="D20">
            <v>7.5835692494651346</v>
          </cell>
        </row>
        <row r="21">
          <cell r="C21" t="str">
            <v>Embaladora Automatica Grande</v>
          </cell>
          <cell r="D21">
            <v>10.66878736079091</v>
          </cell>
        </row>
        <row r="22">
          <cell r="C22" t="str">
            <v>Embaladora Automatica Chica</v>
          </cell>
          <cell r="D22">
            <v>11.315153666074803</v>
          </cell>
        </row>
        <row r="23">
          <cell r="C23"/>
          <cell r="D23"/>
        </row>
        <row r="24">
          <cell r="C24"/>
          <cell r="D24"/>
        </row>
        <row r="25">
          <cell r="C25"/>
          <cell r="D25"/>
        </row>
        <row r="26">
          <cell r="C26"/>
          <cell r="D26"/>
        </row>
        <row r="27">
          <cell r="C27"/>
          <cell r="D27"/>
        </row>
        <row r="28">
          <cell r="C28"/>
          <cell r="D28"/>
        </row>
        <row r="29">
          <cell r="C29"/>
          <cell r="D29"/>
        </row>
        <row r="30">
          <cell r="C30"/>
          <cell r="D30"/>
        </row>
        <row r="31">
          <cell r="C31"/>
          <cell r="D31"/>
        </row>
        <row r="32">
          <cell r="C32"/>
          <cell r="D32"/>
        </row>
        <row r="33">
          <cell r="C33"/>
          <cell r="D33"/>
        </row>
        <row r="34">
          <cell r="C34"/>
          <cell r="D34"/>
        </row>
        <row r="35">
          <cell r="C35"/>
          <cell r="D35"/>
        </row>
        <row r="36">
          <cell r="C36"/>
          <cell r="D36"/>
        </row>
        <row r="37">
          <cell r="C37"/>
          <cell r="D37"/>
        </row>
        <row r="38">
          <cell r="C38"/>
          <cell r="D38"/>
        </row>
        <row r="39">
          <cell r="C39"/>
          <cell r="D39"/>
        </row>
        <row r="40">
          <cell r="C40"/>
          <cell r="D40"/>
        </row>
        <row r="41">
          <cell r="C41"/>
          <cell r="D41"/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  <row r="69">
          <cell r="C69"/>
          <cell r="D69"/>
        </row>
        <row r="70">
          <cell r="C70"/>
          <cell r="D70"/>
        </row>
        <row r="71">
          <cell r="C71"/>
          <cell r="D71"/>
        </row>
      </sheetData>
      <sheetData sheetId="1"/>
      <sheetData sheetId="2">
        <row r="9">
          <cell r="E9" t="str">
            <v>Embalaje Manual Expedición</v>
          </cell>
          <cell r="F9" t="str">
            <v>Embaladora de Pallets</v>
          </cell>
          <cell r="G9" t="str">
            <v>Logistica de Embalaje</v>
          </cell>
          <cell r="H9" t="str">
            <v>Embaladora Auto. G. QD-450X</v>
          </cell>
          <cell r="I9" t="str">
            <v>Embaladora Auto. C. QD-250X</v>
          </cell>
          <cell r="J9" t="str">
            <v>Embalaje Manual Planta</v>
          </cell>
          <cell r="K9" t="str">
            <v>CHICA ZEBRA ZD421</v>
          </cell>
          <cell r="L9" t="str">
            <v>GRANDE ZEBRA ZT230</v>
          </cell>
          <cell r="M9"/>
          <cell r="N9"/>
          <cell r="O9"/>
          <cell r="P9"/>
          <cell r="Q9"/>
          <cell r="R9"/>
          <cell r="S9"/>
          <cell r="T9"/>
          <cell r="U9"/>
          <cell r="V9"/>
          <cell r="W9"/>
          <cell r="X9"/>
          <cell r="AB9" t="str">
            <v>Listado Crudo</v>
          </cell>
          <cell r="AC9" t="str">
            <v>Listado Pulido</v>
          </cell>
        </row>
      </sheetData>
      <sheetData sheetId="3"/>
      <sheetData sheetId="4"/>
      <sheetData sheetId="5"/>
      <sheetData sheetId="6"/>
      <sheetData sheetId="7">
        <row r="10">
          <cell r="B10" t="str">
            <v>E101</v>
          </cell>
          <cell r="C10" t="str">
            <v>Bolsa unitaria -  8x11cm BPB</v>
          </cell>
          <cell r="O10" t="str">
            <v>E101</v>
          </cell>
        </row>
        <row r="11">
          <cell r="B11"/>
          <cell r="C11"/>
          <cell r="O11" t="str">
            <v>E102</v>
          </cell>
        </row>
        <row r="12">
          <cell r="B12"/>
          <cell r="C12"/>
          <cell r="O12" t="str">
            <v>E103</v>
          </cell>
        </row>
        <row r="13">
          <cell r="B13" t="str">
            <v>E102</v>
          </cell>
          <cell r="C13" t="str">
            <v>Bolsa unitaria - 11x15cm BPB</v>
          </cell>
          <cell r="O13" t="str">
            <v>E201</v>
          </cell>
        </row>
        <row r="14">
          <cell r="B14"/>
          <cell r="C14"/>
          <cell r="O14" t="str">
            <v>E202</v>
          </cell>
        </row>
        <row r="15">
          <cell r="B15"/>
          <cell r="C15"/>
          <cell r="O15" t="str">
            <v>E203</v>
          </cell>
        </row>
        <row r="16">
          <cell r="B16" t="str">
            <v>E103</v>
          </cell>
          <cell r="C16" t="str">
            <v>Bolsa - 55x40cm BPB</v>
          </cell>
          <cell r="O16" t="str">
            <v>E204</v>
          </cell>
        </row>
        <row r="17">
          <cell r="B17"/>
          <cell r="C17"/>
          <cell r="O17" t="str">
            <v>E205</v>
          </cell>
        </row>
        <row r="18">
          <cell r="B18"/>
          <cell r="C18"/>
          <cell r="O18" t="str">
            <v>E206</v>
          </cell>
        </row>
        <row r="19">
          <cell r="B19" t="str">
            <v>E201</v>
          </cell>
          <cell r="C19" t="str">
            <v xml:space="preserve">Lamina para Embaladora - 300mm2 </v>
          </cell>
          <cell r="O19" t="str">
            <v/>
          </cell>
        </row>
        <row r="20">
          <cell r="B20"/>
          <cell r="C20"/>
          <cell r="O20" t="str">
            <v/>
          </cell>
        </row>
        <row r="21">
          <cell r="B21"/>
          <cell r="C21"/>
          <cell r="O21" t="str">
            <v/>
          </cell>
        </row>
        <row r="22">
          <cell r="B22"/>
          <cell r="C22"/>
          <cell r="O22" t="str">
            <v/>
          </cell>
        </row>
        <row r="23">
          <cell r="B23" t="str">
            <v>E202</v>
          </cell>
          <cell r="C23" t="str">
            <v xml:space="preserve">Lamina para Embaladora - 250mm2 </v>
          </cell>
          <cell r="O23" t="str">
            <v/>
          </cell>
        </row>
        <row r="24">
          <cell r="B24"/>
          <cell r="C24"/>
          <cell r="O24" t="str">
            <v/>
          </cell>
        </row>
        <row r="25">
          <cell r="B25"/>
          <cell r="C25"/>
          <cell r="O25" t="str">
            <v/>
          </cell>
        </row>
        <row r="26">
          <cell r="B26"/>
          <cell r="C26"/>
          <cell r="O26" t="str">
            <v/>
          </cell>
        </row>
        <row r="27">
          <cell r="B27" t="str">
            <v>E203</v>
          </cell>
          <cell r="C27" t="str">
            <v xml:space="preserve">Lamina para Embaladora - 180mm2 </v>
          </cell>
          <cell r="O27" t="str">
            <v/>
          </cell>
        </row>
        <row r="28">
          <cell r="B28"/>
          <cell r="C28"/>
          <cell r="O28" t="str">
            <v/>
          </cell>
        </row>
        <row r="29">
          <cell r="B29"/>
          <cell r="C29"/>
          <cell r="O29" t="str">
            <v/>
          </cell>
        </row>
        <row r="30">
          <cell r="B30"/>
          <cell r="C30"/>
          <cell r="O30" t="str">
            <v/>
          </cell>
        </row>
        <row r="31">
          <cell r="B31" t="str">
            <v>E204</v>
          </cell>
          <cell r="C31" t="str">
            <v xml:space="preserve">Lamina para Embaladora - 140mm2 </v>
          </cell>
          <cell r="O31" t="str">
            <v/>
          </cell>
        </row>
        <row r="32">
          <cell r="B32"/>
          <cell r="C32"/>
          <cell r="O32" t="str">
            <v/>
          </cell>
        </row>
        <row r="33">
          <cell r="B33"/>
          <cell r="C33"/>
          <cell r="O33" t="str">
            <v/>
          </cell>
        </row>
        <row r="34">
          <cell r="B34"/>
          <cell r="C34"/>
          <cell r="O34" t="str">
            <v/>
          </cell>
        </row>
        <row r="35">
          <cell r="B35" t="str">
            <v>E205</v>
          </cell>
          <cell r="C35"/>
          <cell r="O35" t="str">
            <v/>
          </cell>
        </row>
        <row r="36">
          <cell r="B36"/>
          <cell r="C36"/>
          <cell r="O36" t="str">
            <v/>
          </cell>
        </row>
        <row r="37">
          <cell r="B37"/>
          <cell r="C37"/>
          <cell r="O37" t="str">
            <v/>
          </cell>
        </row>
        <row r="38">
          <cell r="B38"/>
          <cell r="C38"/>
          <cell r="O38" t="str">
            <v/>
          </cell>
        </row>
        <row r="39">
          <cell r="B39" t="str">
            <v>E206</v>
          </cell>
          <cell r="C39"/>
          <cell r="O39" t="str">
            <v/>
          </cell>
        </row>
        <row r="40">
          <cell r="B40"/>
          <cell r="C40"/>
          <cell r="O40" t="str">
            <v/>
          </cell>
        </row>
        <row r="41">
          <cell r="B41"/>
          <cell r="C41"/>
          <cell r="O41" t="str">
            <v/>
          </cell>
        </row>
        <row r="42">
          <cell r="B42"/>
          <cell r="C42"/>
          <cell r="O42" t="str">
            <v/>
          </cell>
        </row>
      </sheetData>
      <sheetData sheetId="8">
        <row r="10">
          <cell r="O10" t="str">
            <v>F101</v>
          </cell>
        </row>
        <row r="11">
          <cell r="O11" t="str">
            <v>F102</v>
          </cell>
        </row>
        <row r="12">
          <cell r="O12" t="str">
            <v>F103</v>
          </cell>
        </row>
        <row r="13">
          <cell r="O13" t="str">
            <v>F104</v>
          </cell>
        </row>
        <row r="14">
          <cell r="O14" t="str">
            <v/>
          </cell>
        </row>
        <row r="15">
          <cell r="O15" t="str">
            <v/>
          </cell>
        </row>
        <row r="16">
          <cell r="O16" t="str">
            <v/>
          </cell>
        </row>
        <row r="17">
          <cell r="O17" t="str">
            <v/>
          </cell>
        </row>
        <row r="18">
          <cell r="O18" t="str">
            <v/>
          </cell>
        </row>
        <row r="19">
          <cell r="O19" t="str">
            <v/>
          </cell>
        </row>
        <row r="20">
          <cell r="O20" t="str">
            <v/>
          </cell>
        </row>
        <row r="21">
          <cell r="O21" t="str">
            <v/>
          </cell>
        </row>
        <row r="22">
          <cell r="O22" t="str">
            <v/>
          </cell>
        </row>
        <row r="23">
          <cell r="O23" t="str">
            <v/>
          </cell>
        </row>
        <row r="24">
          <cell r="O24" t="str">
            <v/>
          </cell>
        </row>
        <row r="25">
          <cell r="O25" t="str">
            <v/>
          </cell>
        </row>
      </sheetData>
      <sheetData sheetId="9">
        <row r="10">
          <cell r="R10" t="str">
            <v>C101</v>
          </cell>
        </row>
        <row r="11">
          <cell r="R11" t="str">
            <v>C102</v>
          </cell>
        </row>
        <row r="12">
          <cell r="R12" t="str">
            <v>C103</v>
          </cell>
        </row>
        <row r="13">
          <cell r="R13" t="str">
            <v>C104</v>
          </cell>
        </row>
        <row r="14">
          <cell r="R14" t="str">
            <v>C105</v>
          </cell>
        </row>
        <row r="15">
          <cell r="R15" t="str">
            <v>C106</v>
          </cell>
        </row>
        <row r="16">
          <cell r="R16" t="str">
            <v>C107</v>
          </cell>
        </row>
        <row r="17">
          <cell r="R17" t="str">
            <v>C108</v>
          </cell>
        </row>
        <row r="18">
          <cell r="R18" t="str">
            <v>C109</v>
          </cell>
        </row>
        <row r="19">
          <cell r="R19" t="str">
            <v>C110</v>
          </cell>
        </row>
        <row r="20">
          <cell r="R20" t="str">
            <v>C111</v>
          </cell>
        </row>
        <row r="21">
          <cell r="R21" t="str">
            <v>C112</v>
          </cell>
        </row>
        <row r="22">
          <cell r="R22" t="str">
            <v>C122</v>
          </cell>
        </row>
        <row r="23">
          <cell r="R23" t="str">
            <v>C123</v>
          </cell>
        </row>
        <row r="24">
          <cell r="R24" t="str">
            <v>C124</v>
          </cell>
        </row>
        <row r="25">
          <cell r="R25" t="str">
            <v>C125</v>
          </cell>
        </row>
        <row r="26">
          <cell r="R26" t="str">
            <v>C126</v>
          </cell>
        </row>
        <row r="27">
          <cell r="R27" t="str">
            <v>C128</v>
          </cell>
        </row>
        <row r="28">
          <cell r="R28" t="str">
            <v>C131</v>
          </cell>
        </row>
        <row r="29">
          <cell r="R29" t="str">
            <v>C132</v>
          </cell>
        </row>
        <row r="30">
          <cell r="R30" t="str">
            <v>C133</v>
          </cell>
        </row>
        <row r="31">
          <cell r="R31" t="str">
            <v>C134</v>
          </cell>
        </row>
        <row r="32">
          <cell r="R32" t="str">
            <v>C137</v>
          </cell>
        </row>
        <row r="33">
          <cell r="R33" t="str">
            <v>C137-B</v>
          </cell>
        </row>
        <row r="34">
          <cell r="R34" t="str">
            <v>C138</v>
          </cell>
        </row>
        <row r="35">
          <cell r="R35" t="str">
            <v>C139</v>
          </cell>
        </row>
        <row r="36">
          <cell r="R36" t="str">
            <v>C140</v>
          </cell>
        </row>
        <row r="37">
          <cell r="R37" t="str">
            <v>C141</v>
          </cell>
        </row>
        <row r="38">
          <cell r="R38" t="str">
            <v>C142</v>
          </cell>
        </row>
        <row r="39">
          <cell r="R39" t="str">
            <v>C201-S</v>
          </cell>
        </row>
        <row r="40">
          <cell r="R40" t="str">
            <v>C202-M</v>
          </cell>
        </row>
        <row r="41">
          <cell r="R41" t="str">
            <v>C203-L</v>
          </cell>
        </row>
        <row r="42">
          <cell r="R42" t="str">
            <v>C204-V6</v>
          </cell>
        </row>
        <row r="43">
          <cell r="R43" t="str">
            <v/>
          </cell>
        </row>
        <row r="44">
          <cell r="R44" t="str">
            <v/>
          </cell>
        </row>
        <row r="45">
          <cell r="R45" t="str">
            <v/>
          </cell>
        </row>
        <row r="46">
          <cell r="R46" t="str">
            <v/>
          </cell>
        </row>
        <row r="47">
          <cell r="R47" t="str">
            <v/>
          </cell>
        </row>
        <row r="48">
          <cell r="R48" t="str">
            <v/>
          </cell>
        </row>
        <row r="49">
          <cell r="R49" t="str">
            <v/>
          </cell>
        </row>
        <row r="50">
          <cell r="R50" t="str">
            <v/>
          </cell>
        </row>
        <row r="51">
          <cell r="R51" t="str">
            <v/>
          </cell>
        </row>
        <row r="52">
          <cell r="R52" t="str">
            <v/>
          </cell>
        </row>
        <row r="53">
          <cell r="R53" t="str">
            <v/>
          </cell>
        </row>
        <row r="54">
          <cell r="R54" t="str">
            <v/>
          </cell>
        </row>
        <row r="55">
          <cell r="R55" t="str">
            <v/>
          </cell>
        </row>
        <row r="56">
          <cell r="R56" t="str">
            <v/>
          </cell>
        </row>
        <row r="57">
          <cell r="R57" t="str">
            <v/>
          </cell>
        </row>
        <row r="58">
          <cell r="R58" t="str">
            <v/>
          </cell>
        </row>
        <row r="59">
          <cell r="R59" t="str">
            <v/>
          </cell>
        </row>
        <row r="60">
          <cell r="R60" t="str">
            <v/>
          </cell>
        </row>
        <row r="61">
          <cell r="R61" t="str">
            <v/>
          </cell>
        </row>
        <row r="62">
          <cell r="R62" t="str">
            <v/>
          </cell>
        </row>
        <row r="63">
          <cell r="R63" t="str">
            <v/>
          </cell>
        </row>
        <row r="64">
          <cell r="R64" t="str">
            <v/>
          </cell>
        </row>
        <row r="65">
          <cell r="R65" t="str">
            <v/>
          </cell>
        </row>
        <row r="66">
          <cell r="R66" t="str">
            <v/>
          </cell>
        </row>
        <row r="67">
          <cell r="R67" t="str">
            <v/>
          </cell>
        </row>
        <row r="68">
          <cell r="R68" t="str">
            <v/>
          </cell>
        </row>
        <row r="69">
          <cell r="R69" t="str">
            <v/>
          </cell>
        </row>
        <row r="70">
          <cell r="R70" t="str">
            <v/>
          </cell>
        </row>
        <row r="71">
          <cell r="R71" t="str">
            <v/>
          </cell>
        </row>
        <row r="72">
          <cell r="R72" t="str">
            <v/>
          </cell>
        </row>
        <row r="73">
          <cell r="R73" t="str">
            <v/>
          </cell>
        </row>
        <row r="74">
          <cell r="R74" t="str">
            <v/>
          </cell>
        </row>
        <row r="75">
          <cell r="R75" t="str">
            <v/>
          </cell>
        </row>
        <row r="76">
          <cell r="R76" t="str">
            <v/>
          </cell>
        </row>
        <row r="77">
          <cell r="R77" t="str">
            <v/>
          </cell>
        </row>
        <row r="78">
          <cell r="R78" t="str">
            <v/>
          </cell>
        </row>
        <row r="79">
          <cell r="R79" t="str">
            <v/>
          </cell>
        </row>
        <row r="80">
          <cell r="R80" t="str">
            <v/>
          </cell>
        </row>
        <row r="81">
          <cell r="R81" t="str">
            <v/>
          </cell>
        </row>
        <row r="82">
          <cell r="R82" t="str">
            <v/>
          </cell>
        </row>
        <row r="83">
          <cell r="R83" t="str">
            <v/>
          </cell>
        </row>
        <row r="84">
          <cell r="R84" t="str">
            <v/>
          </cell>
        </row>
        <row r="85">
          <cell r="R85" t="str">
            <v/>
          </cell>
        </row>
        <row r="86">
          <cell r="R86" t="str">
            <v/>
          </cell>
        </row>
        <row r="87">
          <cell r="R87" t="str">
            <v/>
          </cell>
        </row>
        <row r="88">
          <cell r="R88" t="str">
            <v/>
          </cell>
        </row>
        <row r="89">
          <cell r="R89" t="str">
            <v/>
          </cell>
        </row>
        <row r="90">
          <cell r="R90" t="str">
            <v/>
          </cell>
        </row>
        <row r="91">
          <cell r="R91" t="str">
            <v/>
          </cell>
        </row>
        <row r="92">
          <cell r="R92" t="str">
            <v/>
          </cell>
        </row>
        <row r="93">
          <cell r="R93" t="str">
            <v/>
          </cell>
        </row>
        <row r="94">
          <cell r="R94" t="str">
            <v/>
          </cell>
        </row>
        <row r="95">
          <cell r="R95" t="str">
            <v/>
          </cell>
        </row>
        <row r="96">
          <cell r="R96" t="str">
            <v/>
          </cell>
        </row>
        <row r="97">
          <cell r="R97" t="str">
            <v/>
          </cell>
        </row>
        <row r="98">
          <cell r="R98" t="str">
            <v/>
          </cell>
        </row>
        <row r="99">
          <cell r="R99" t="str">
            <v/>
          </cell>
        </row>
        <row r="100">
          <cell r="R100" t="str">
            <v/>
          </cell>
        </row>
        <row r="101">
          <cell r="R101" t="str">
            <v/>
          </cell>
        </row>
        <row r="102">
          <cell r="R102" t="str">
            <v/>
          </cell>
        </row>
        <row r="103">
          <cell r="R103" t="str">
            <v/>
          </cell>
        </row>
        <row r="104">
          <cell r="R104" t="str">
            <v/>
          </cell>
        </row>
        <row r="105">
          <cell r="R105" t="str">
            <v/>
          </cell>
        </row>
        <row r="106">
          <cell r="R106" t="str">
            <v/>
          </cell>
        </row>
        <row r="107">
          <cell r="R107" t="str">
            <v/>
          </cell>
        </row>
        <row r="108">
          <cell r="R108" t="str">
            <v/>
          </cell>
        </row>
        <row r="109">
          <cell r="R109" t="str">
            <v/>
          </cell>
        </row>
        <row r="110">
          <cell r="R110" t="str">
            <v/>
          </cell>
        </row>
        <row r="111">
          <cell r="R111" t="str">
            <v/>
          </cell>
        </row>
        <row r="112">
          <cell r="R112" t="str">
            <v/>
          </cell>
        </row>
        <row r="113">
          <cell r="R113" t="str">
            <v/>
          </cell>
        </row>
        <row r="114">
          <cell r="R114" t="str">
            <v/>
          </cell>
        </row>
        <row r="115">
          <cell r="R115" t="str">
            <v/>
          </cell>
        </row>
        <row r="116">
          <cell r="R116" t="str">
            <v/>
          </cell>
        </row>
        <row r="117">
          <cell r="R117" t="str">
            <v/>
          </cell>
        </row>
        <row r="118">
          <cell r="R118" t="str">
            <v/>
          </cell>
        </row>
        <row r="119">
          <cell r="R119" t="str">
            <v/>
          </cell>
        </row>
        <row r="120">
          <cell r="R120" t="str">
            <v/>
          </cell>
        </row>
        <row r="121">
          <cell r="R121" t="str">
            <v/>
          </cell>
        </row>
        <row r="122">
          <cell r="R122" t="str">
            <v/>
          </cell>
        </row>
        <row r="123">
          <cell r="R123" t="str">
            <v/>
          </cell>
        </row>
        <row r="124">
          <cell r="R124" t="str">
            <v/>
          </cell>
        </row>
        <row r="125">
          <cell r="R125" t="str">
            <v/>
          </cell>
        </row>
        <row r="126">
          <cell r="R126" t="str">
            <v/>
          </cell>
        </row>
        <row r="127">
          <cell r="R127" t="str">
            <v/>
          </cell>
        </row>
        <row r="128">
          <cell r="R128" t="str">
            <v/>
          </cell>
        </row>
        <row r="129">
          <cell r="R129" t="str">
            <v/>
          </cell>
        </row>
        <row r="130">
          <cell r="R130" t="str">
            <v/>
          </cell>
        </row>
        <row r="131">
          <cell r="R131" t="str">
            <v/>
          </cell>
        </row>
        <row r="132">
          <cell r="R132" t="str">
            <v/>
          </cell>
        </row>
        <row r="133">
          <cell r="R133" t="str">
            <v/>
          </cell>
        </row>
        <row r="134">
          <cell r="R134" t="str">
            <v/>
          </cell>
        </row>
        <row r="135">
          <cell r="R135" t="str">
            <v/>
          </cell>
        </row>
        <row r="136">
          <cell r="R136" t="str">
            <v/>
          </cell>
        </row>
        <row r="137">
          <cell r="R137" t="str">
            <v/>
          </cell>
        </row>
        <row r="138">
          <cell r="R138" t="str">
            <v/>
          </cell>
        </row>
        <row r="139">
          <cell r="R139" t="str">
            <v/>
          </cell>
        </row>
        <row r="140">
          <cell r="R140" t="str">
            <v/>
          </cell>
        </row>
        <row r="141">
          <cell r="R141" t="str">
            <v/>
          </cell>
        </row>
        <row r="142">
          <cell r="R142" t="str">
            <v/>
          </cell>
        </row>
        <row r="143">
          <cell r="R143" t="str">
            <v/>
          </cell>
        </row>
        <row r="144">
          <cell r="R144" t="str">
            <v/>
          </cell>
        </row>
        <row r="145">
          <cell r="R145" t="str">
            <v/>
          </cell>
        </row>
        <row r="146">
          <cell r="R146" t="str">
            <v/>
          </cell>
        </row>
        <row r="147">
          <cell r="R147" t="str">
            <v/>
          </cell>
        </row>
        <row r="148">
          <cell r="R148" t="str">
            <v/>
          </cell>
        </row>
        <row r="149">
          <cell r="R149" t="str">
            <v/>
          </cell>
        </row>
        <row r="150">
          <cell r="R150" t="str">
            <v/>
          </cell>
        </row>
        <row r="151">
          <cell r="R151" t="str">
            <v/>
          </cell>
        </row>
        <row r="152">
          <cell r="R152" t="str">
            <v/>
          </cell>
        </row>
        <row r="153">
          <cell r="R153" t="str">
            <v/>
          </cell>
        </row>
        <row r="154">
          <cell r="R154" t="str">
            <v/>
          </cell>
        </row>
        <row r="155">
          <cell r="R155" t="str">
            <v/>
          </cell>
        </row>
        <row r="156">
          <cell r="R156" t="str">
            <v/>
          </cell>
        </row>
        <row r="157">
          <cell r="R157" t="str">
            <v/>
          </cell>
        </row>
        <row r="158">
          <cell r="R158" t="str">
            <v/>
          </cell>
        </row>
        <row r="159">
          <cell r="R159" t="str">
            <v/>
          </cell>
        </row>
        <row r="160">
          <cell r="R160" t="str">
            <v/>
          </cell>
        </row>
        <row r="161">
          <cell r="R161" t="str">
            <v/>
          </cell>
        </row>
        <row r="162">
          <cell r="R162" t="str">
            <v/>
          </cell>
        </row>
        <row r="163">
          <cell r="R163" t="str">
            <v/>
          </cell>
        </row>
        <row r="164">
          <cell r="R164" t="str">
            <v/>
          </cell>
        </row>
        <row r="165">
          <cell r="R165" t="str">
            <v/>
          </cell>
        </row>
        <row r="166">
          <cell r="R166" t="str">
            <v/>
          </cell>
        </row>
        <row r="167">
          <cell r="R167" t="str">
            <v/>
          </cell>
        </row>
        <row r="168">
          <cell r="R168" t="str">
            <v/>
          </cell>
        </row>
        <row r="169">
          <cell r="R169" t="str">
            <v/>
          </cell>
        </row>
        <row r="170">
          <cell r="R170" t="str">
            <v/>
          </cell>
        </row>
        <row r="171">
          <cell r="R171" t="str">
            <v/>
          </cell>
        </row>
        <row r="172">
          <cell r="R172" t="str">
            <v/>
          </cell>
        </row>
        <row r="173">
          <cell r="R173" t="str">
            <v/>
          </cell>
        </row>
        <row r="174">
          <cell r="R174" t="str">
            <v/>
          </cell>
        </row>
        <row r="175">
          <cell r="R175" t="str">
            <v/>
          </cell>
        </row>
        <row r="176">
          <cell r="R176" t="str">
            <v/>
          </cell>
        </row>
        <row r="177">
          <cell r="R177" t="str">
            <v/>
          </cell>
        </row>
        <row r="178">
          <cell r="R178" t="str">
            <v/>
          </cell>
        </row>
        <row r="179">
          <cell r="R179" t="str">
            <v/>
          </cell>
        </row>
        <row r="180">
          <cell r="R180" t="str">
            <v/>
          </cell>
        </row>
        <row r="181">
          <cell r="R181" t="str">
            <v/>
          </cell>
        </row>
        <row r="182">
          <cell r="R182" t="str">
            <v/>
          </cell>
        </row>
        <row r="183">
          <cell r="R183" t="str">
            <v/>
          </cell>
        </row>
        <row r="184">
          <cell r="R184" t="str">
            <v/>
          </cell>
        </row>
        <row r="185">
          <cell r="R185" t="str">
            <v/>
          </cell>
        </row>
        <row r="186">
          <cell r="R186" t="str">
            <v/>
          </cell>
        </row>
        <row r="187">
          <cell r="R187" t="str">
            <v/>
          </cell>
        </row>
        <row r="188">
          <cell r="R188" t="str">
            <v/>
          </cell>
        </row>
        <row r="189">
          <cell r="R189" t="str">
            <v/>
          </cell>
        </row>
        <row r="190">
          <cell r="R190" t="str">
            <v/>
          </cell>
        </row>
        <row r="191">
          <cell r="R191" t="str">
            <v/>
          </cell>
        </row>
        <row r="192">
          <cell r="R192" t="str">
            <v/>
          </cell>
        </row>
        <row r="193">
          <cell r="R193" t="str">
            <v/>
          </cell>
        </row>
        <row r="194">
          <cell r="R194" t="str">
            <v/>
          </cell>
        </row>
        <row r="195">
          <cell r="R195" t="str">
            <v/>
          </cell>
        </row>
        <row r="196">
          <cell r="R196" t="str">
            <v/>
          </cell>
        </row>
        <row r="197">
          <cell r="R197" t="str">
            <v/>
          </cell>
        </row>
        <row r="198">
          <cell r="R198" t="str">
            <v/>
          </cell>
        </row>
        <row r="199">
          <cell r="R199" t="str">
            <v/>
          </cell>
        </row>
        <row r="200">
          <cell r="R200" t="str">
            <v/>
          </cell>
        </row>
        <row r="201">
          <cell r="R201" t="str">
            <v/>
          </cell>
        </row>
        <row r="202">
          <cell r="R202" t="str">
            <v/>
          </cell>
        </row>
        <row r="203">
          <cell r="R203" t="str">
            <v/>
          </cell>
        </row>
        <row r="204">
          <cell r="R204" t="str">
            <v/>
          </cell>
        </row>
        <row r="205">
          <cell r="R205" t="str">
            <v/>
          </cell>
        </row>
        <row r="206">
          <cell r="R206" t="str">
            <v/>
          </cell>
        </row>
        <row r="207">
          <cell r="R207" t="str">
            <v/>
          </cell>
        </row>
        <row r="208">
          <cell r="R208" t="str">
            <v/>
          </cell>
        </row>
        <row r="209">
          <cell r="R209" t="str">
            <v/>
          </cell>
        </row>
        <row r="210">
          <cell r="R210" t="str">
            <v/>
          </cell>
        </row>
        <row r="211">
          <cell r="R211" t="str">
            <v/>
          </cell>
        </row>
        <row r="212">
          <cell r="R212" t="str">
            <v/>
          </cell>
        </row>
        <row r="213">
          <cell r="R213" t="str">
            <v/>
          </cell>
        </row>
        <row r="214">
          <cell r="R214" t="str">
            <v/>
          </cell>
        </row>
        <row r="215">
          <cell r="R215" t="str">
            <v/>
          </cell>
        </row>
        <row r="216">
          <cell r="R216" t="str">
            <v/>
          </cell>
        </row>
        <row r="217">
          <cell r="R217" t="str">
            <v/>
          </cell>
        </row>
        <row r="218">
          <cell r="R218" t="str">
            <v/>
          </cell>
        </row>
        <row r="219">
          <cell r="R219" t="str">
            <v/>
          </cell>
        </row>
        <row r="220">
          <cell r="R220" t="str">
            <v/>
          </cell>
        </row>
        <row r="221">
          <cell r="R221" t="str">
            <v/>
          </cell>
        </row>
        <row r="222">
          <cell r="R222" t="str">
            <v/>
          </cell>
        </row>
        <row r="223">
          <cell r="R223" t="str">
            <v/>
          </cell>
        </row>
        <row r="224">
          <cell r="R224" t="str">
            <v/>
          </cell>
        </row>
        <row r="225">
          <cell r="R225" t="str">
            <v/>
          </cell>
        </row>
      </sheetData>
      <sheetData sheetId="10">
        <row r="10">
          <cell r="R10" t="str">
            <v>P101</v>
          </cell>
        </row>
        <row r="11">
          <cell r="R11" t="str">
            <v>P102</v>
          </cell>
        </row>
        <row r="12">
          <cell r="R12" t="str">
            <v>P103</v>
          </cell>
        </row>
        <row r="13">
          <cell r="R13" t="str">
            <v/>
          </cell>
        </row>
        <row r="15">
          <cell r="R15" t="str">
            <v/>
          </cell>
        </row>
        <row r="16">
          <cell r="R16" t="str">
            <v/>
          </cell>
        </row>
        <row r="17">
          <cell r="R17" t="str">
            <v/>
          </cell>
        </row>
        <row r="18">
          <cell r="R18" t="str">
            <v/>
          </cell>
        </row>
        <row r="19">
          <cell r="R19" t="str">
            <v/>
          </cell>
        </row>
        <row r="20">
          <cell r="R20" t="str">
            <v/>
          </cell>
        </row>
        <row r="22">
          <cell r="R22" t="str">
            <v/>
          </cell>
        </row>
        <row r="23">
          <cell r="R23" t="str">
            <v/>
          </cell>
        </row>
        <row r="24">
          <cell r="R24" t="str">
            <v/>
          </cell>
        </row>
        <row r="25">
          <cell r="R25" t="str">
            <v/>
          </cell>
        </row>
        <row r="26">
          <cell r="R26" t="str">
            <v/>
          </cell>
        </row>
        <row r="27">
          <cell r="R27" t="str">
            <v/>
          </cell>
        </row>
      </sheetData>
      <sheetData sheetId="11">
        <row r="10">
          <cell r="O10" t="str">
            <v>I101</v>
          </cell>
        </row>
        <row r="11">
          <cell r="O11" t="str">
            <v>I102</v>
          </cell>
        </row>
        <row r="12">
          <cell r="O12" t="str">
            <v>I103</v>
          </cell>
        </row>
        <row r="13">
          <cell r="O13" t="str">
            <v>I104</v>
          </cell>
        </row>
        <row r="14">
          <cell r="O14" t="str">
            <v>I105</v>
          </cell>
        </row>
        <row r="15">
          <cell r="O15" t="str">
            <v/>
          </cell>
        </row>
        <row r="16">
          <cell r="O16" t="str">
            <v/>
          </cell>
        </row>
        <row r="17">
          <cell r="O17" t="str">
            <v/>
          </cell>
        </row>
        <row r="18">
          <cell r="O18" t="str">
            <v/>
          </cell>
        </row>
        <row r="19">
          <cell r="O19" t="str">
            <v/>
          </cell>
        </row>
        <row r="20">
          <cell r="O20" t="str">
            <v/>
          </cell>
        </row>
        <row r="21">
          <cell r="O21" t="str">
            <v/>
          </cell>
        </row>
        <row r="22">
          <cell r="O22" t="str">
            <v/>
          </cell>
        </row>
        <row r="23">
          <cell r="O23" t="str">
            <v/>
          </cell>
        </row>
        <row r="24">
          <cell r="O24" t="str">
            <v/>
          </cell>
        </row>
        <row r="25">
          <cell r="O25" t="str">
            <v/>
          </cell>
        </row>
        <row r="26">
          <cell r="O26" t="str">
            <v/>
          </cell>
        </row>
        <row r="27">
          <cell r="O27" t="str">
            <v/>
          </cell>
        </row>
        <row r="28">
          <cell r="O28" t="str">
            <v/>
          </cell>
        </row>
        <row r="29">
          <cell r="O29" t="str">
            <v/>
          </cell>
        </row>
        <row r="30">
          <cell r="O30" t="str">
            <v/>
          </cell>
        </row>
        <row r="31">
          <cell r="O31" t="str">
            <v/>
          </cell>
        </row>
        <row r="32">
          <cell r="O32" t="str">
            <v/>
          </cell>
        </row>
        <row r="33">
          <cell r="O33" t="str">
            <v/>
          </cell>
        </row>
        <row r="34">
          <cell r="O34" t="str">
            <v/>
          </cell>
        </row>
        <row r="35">
          <cell r="O35" t="str">
            <v/>
          </cell>
        </row>
        <row r="36">
          <cell r="O36" t="str">
            <v/>
          </cell>
        </row>
        <row r="37">
          <cell r="O37" t="str">
            <v/>
          </cell>
        </row>
        <row r="38">
          <cell r="O38" t="str">
            <v/>
          </cell>
        </row>
        <row r="39">
          <cell r="O39" t="str">
            <v/>
          </cell>
        </row>
        <row r="40">
          <cell r="O40" t="str">
            <v/>
          </cell>
        </row>
        <row r="41">
          <cell r="O41" t="str">
            <v/>
          </cell>
        </row>
        <row r="42">
          <cell r="O42" t="str">
            <v/>
          </cell>
        </row>
        <row r="43">
          <cell r="O43" t="str">
            <v/>
          </cell>
        </row>
        <row r="44">
          <cell r="O44" t="str">
            <v/>
          </cell>
        </row>
        <row r="45">
          <cell r="O45" t="str">
            <v/>
          </cell>
        </row>
        <row r="46">
          <cell r="O46" t="str">
            <v/>
          </cell>
        </row>
        <row r="47">
          <cell r="O47" t="str">
            <v/>
          </cell>
        </row>
        <row r="48">
          <cell r="O48" t="str">
            <v/>
          </cell>
        </row>
        <row r="49">
          <cell r="O49" t="str">
            <v/>
          </cell>
        </row>
        <row r="50">
          <cell r="O50" t="str">
            <v/>
          </cell>
        </row>
      </sheetData>
      <sheetData sheetId="12">
        <row r="13">
          <cell r="B13" t="str">
            <v>CA627-M40A-9</v>
          </cell>
          <cell r="DB13">
            <v>0</v>
          </cell>
          <cell r="DC13">
            <v>0</v>
          </cell>
        </row>
        <row r="14">
          <cell r="B14" t="str">
            <v>204-RP7</v>
          </cell>
          <cell r="DB14">
            <v>0</v>
          </cell>
          <cell r="DC14">
            <v>0</v>
          </cell>
        </row>
        <row r="15">
          <cell r="B15" t="str">
            <v>AG-353040CHS</v>
          </cell>
          <cell r="DB15">
            <v>0</v>
          </cell>
          <cell r="DC15">
            <v>0</v>
          </cell>
        </row>
        <row r="16">
          <cell r="B16" t="str">
            <v>BP-12011-01</v>
          </cell>
          <cell r="DB16">
            <v>0</v>
          </cell>
          <cell r="DC16">
            <v>0</v>
          </cell>
        </row>
        <row r="17">
          <cell r="B17" t="str">
            <v>BP-17010</v>
          </cell>
          <cell r="DB17">
            <v>0</v>
          </cell>
          <cell r="DC17">
            <v>0</v>
          </cell>
        </row>
        <row r="18">
          <cell r="B18" t="str">
            <v>LS06-2RST</v>
          </cell>
          <cell r="DB18">
            <v>0</v>
          </cell>
          <cell r="DC18">
            <v>0</v>
          </cell>
        </row>
        <row r="19">
          <cell r="B19" t="str">
            <v>AG-2565-CHS</v>
          </cell>
          <cell r="DB19">
            <v>0.19204384705882352</v>
          </cell>
          <cell r="DC19">
            <v>0.22010517055048967</v>
          </cell>
        </row>
        <row r="20">
          <cell r="B20" t="str">
            <v>5203-KYY2</v>
          </cell>
          <cell r="DB20">
            <v>0</v>
          </cell>
          <cell r="DC20">
            <v>0</v>
          </cell>
        </row>
        <row r="21">
          <cell r="B21" t="str">
            <v>CA555R-QX48M</v>
          </cell>
          <cell r="DB21">
            <v>0</v>
          </cell>
          <cell r="DC21">
            <v>0</v>
          </cell>
        </row>
        <row r="22">
          <cell r="B22" t="str">
            <v>M040000075</v>
          </cell>
          <cell r="DB22">
            <v>0</v>
          </cell>
          <cell r="DC22">
            <v>4.7199999999999999E-2</v>
          </cell>
        </row>
        <row r="23">
          <cell r="B23" t="str">
            <v>MS04-2RST</v>
          </cell>
          <cell r="DB23">
            <v>7.2340441379310352E-2</v>
          </cell>
          <cell r="DC23">
            <v>3.3245848765432094E-2</v>
          </cell>
        </row>
        <row r="24">
          <cell r="B24" t="str">
            <v>HM-518445-41</v>
          </cell>
          <cell r="DB24">
            <v>0</v>
          </cell>
          <cell r="DC24">
            <v>0</v>
          </cell>
        </row>
        <row r="25">
          <cell r="B25" t="str">
            <v>CA555R-QX48P</v>
          </cell>
          <cell r="DB25">
            <v>0</v>
          </cell>
          <cell r="DC25">
            <v>0</v>
          </cell>
        </row>
        <row r="26">
          <cell r="B26" t="str">
            <v>MG-206-RR3</v>
          </cell>
          <cell r="DB26">
            <v>0</v>
          </cell>
          <cell r="DC26">
            <v>1.8944747474747475E-2</v>
          </cell>
        </row>
        <row r="27">
          <cell r="B27" t="str">
            <v>MS09-2RS</v>
          </cell>
          <cell r="DB27">
            <v>0</v>
          </cell>
          <cell r="DC27">
            <v>0</v>
          </cell>
        </row>
        <row r="28">
          <cell r="B28" t="str">
            <v>ASA80-1H-REE</v>
          </cell>
          <cell r="DB28">
            <v>0</v>
          </cell>
          <cell r="DC28">
            <v>0</v>
          </cell>
        </row>
        <row r="29">
          <cell r="B29" t="str">
            <v>DS2565C25CHS</v>
          </cell>
          <cell r="DB29">
            <v>0</v>
          </cell>
          <cell r="DC29">
            <v>0</v>
          </cell>
        </row>
        <row r="30">
          <cell r="B30" t="str">
            <v>MS03-2RST</v>
          </cell>
          <cell r="DB30">
            <v>0</v>
          </cell>
          <cell r="DC30">
            <v>0</v>
          </cell>
        </row>
        <row r="31">
          <cell r="B31" t="str">
            <v>MS04-2RS</v>
          </cell>
          <cell r="DB31">
            <v>7.2340441379310352E-2</v>
          </cell>
          <cell r="DC31">
            <v>3.3245848765432094E-2</v>
          </cell>
        </row>
        <row r="32">
          <cell r="B32" t="str">
            <v>112-CB</v>
          </cell>
          <cell r="DB32">
            <v>0</v>
          </cell>
          <cell r="DC32">
            <v>0</v>
          </cell>
        </row>
        <row r="33">
          <cell r="B33" t="str">
            <v>MS05-2RST</v>
          </cell>
          <cell r="DB33">
            <v>0</v>
          </cell>
          <cell r="DC33">
            <v>0</v>
          </cell>
        </row>
        <row r="34">
          <cell r="B34" t="str">
            <v>MS04-2RSTX</v>
          </cell>
          <cell r="DB34">
            <v>7.2340441379310352E-2</v>
          </cell>
          <cell r="DC34">
            <v>3.3245848765432094E-2</v>
          </cell>
        </row>
        <row r="35">
          <cell r="B35" t="str">
            <v>CA555R-C5E-M</v>
          </cell>
          <cell r="DB35">
            <v>0</v>
          </cell>
          <cell r="DC35">
            <v>0</v>
          </cell>
        </row>
        <row r="36">
          <cell r="B36" t="str">
            <v>FT-205-KYYB5</v>
          </cell>
          <cell r="DB36">
            <v>0</v>
          </cell>
          <cell r="DC36">
            <v>0</v>
          </cell>
        </row>
        <row r="37">
          <cell r="B37" t="str">
            <v>CA555-C6E-52</v>
          </cell>
          <cell r="DB37">
            <v>0</v>
          </cell>
          <cell r="DC37">
            <v>0</v>
          </cell>
        </row>
        <row r="38">
          <cell r="B38" t="str">
            <v>SFC-85-M</v>
          </cell>
          <cell r="DB38">
            <v>0</v>
          </cell>
          <cell r="DC38">
            <v>0</v>
          </cell>
        </row>
        <row r="39">
          <cell r="B39" t="str">
            <v>30208-MX</v>
          </cell>
          <cell r="DB39">
            <v>0</v>
          </cell>
          <cell r="DC39">
            <v>0</v>
          </cell>
        </row>
        <row r="40">
          <cell r="B40" t="str">
            <v>30207-MX</v>
          </cell>
          <cell r="DB40">
            <v>0</v>
          </cell>
          <cell r="DC40">
            <v>0</v>
          </cell>
        </row>
        <row r="41">
          <cell r="B41" t="str">
            <v>SAB-207-35DG</v>
          </cell>
          <cell r="DB41">
            <v>0</v>
          </cell>
          <cell r="DC41">
            <v>0</v>
          </cell>
        </row>
        <row r="42">
          <cell r="B42" t="str">
            <v>SAB207-P</v>
          </cell>
          <cell r="DB42">
            <v>0</v>
          </cell>
          <cell r="DC42">
            <v>0</v>
          </cell>
        </row>
        <row r="43">
          <cell r="B43" t="str">
            <v>BB203-KRR2FD</v>
          </cell>
          <cell r="DB43">
            <v>0</v>
          </cell>
          <cell r="DC43">
            <v>0</v>
          </cell>
        </row>
        <row r="44">
          <cell r="B44" t="str">
            <v>FDECL211-55</v>
          </cell>
          <cell r="DB44">
            <v>0</v>
          </cell>
          <cell r="DC44">
            <v>0</v>
          </cell>
        </row>
        <row r="45">
          <cell r="B45" t="str">
            <v>SP205-AL</v>
          </cell>
          <cell r="DB45">
            <v>0</v>
          </cell>
          <cell r="DC45">
            <v>0</v>
          </cell>
        </row>
        <row r="46">
          <cell r="B46" t="str">
            <v>30206-MX</v>
          </cell>
          <cell r="DB46">
            <v>0</v>
          </cell>
          <cell r="DC46">
            <v>0</v>
          </cell>
        </row>
        <row r="47">
          <cell r="B47" t="str">
            <v>ECL207-35DD</v>
          </cell>
          <cell r="DB47">
            <v>0</v>
          </cell>
          <cell r="DC47">
            <v>0</v>
          </cell>
        </row>
        <row r="48">
          <cell r="B48" t="str">
            <v>DS4575C25CHS</v>
          </cell>
          <cell r="DB48">
            <v>0</v>
          </cell>
          <cell r="DC48">
            <v>0</v>
          </cell>
        </row>
        <row r="49">
          <cell r="B49" t="str">
            <v>MS05-2RSTX</v>
          </cell>
          <cell r="DB49">
            <v>0</v>
          </cell>
          <cell r="DC49">
            <v>0</v>
          </cell>
        </row>
        <row r="50">
          <cell r="B50" t="str">
            <v>30209-MX</v>
          </cell>
          <cell r="DB50">
            <v>0</v>
          </cell>
          <cell r="DC50">
            <v>0</v>
          </cell>
        </row>
        <row r="51">
          <cell r="B51" t="str">
            <v>MS05-2RS</v>
          </cell>
          <cell r="DB51">
            <v>0</v>
          </cell>
          <cell r="DC51">
            <v>0</v>
          </cell>
        </row>
        <row r="52">
          <cell r="B52" t="str">
            <v>205-KRR2</v>
          </cell>
          <cell r="DB52">
            <v>0</v>
          </cell>
          <cell r="DC52">
            <v>0</v>
          </cell>
        </row>
        <row r="53">
          <cell r="B53" t="str">
            <v>MS06-2RST</v>
          </cell>
          <cell r="DB53">
            <v>0</v>
          </cell>
          <cell r="DC53">
            <v>0</v>
          </cell>
        </row>
        <row r="54">
          <cell r="B54" t="str">
            <v>MS03-2RS</v>
          </cell>
          <cell r="DB54">
            <v>0</v>
          </cell>
          <cell r="DC54">
            <v>0</v>
          </cell>
        </row>
        <row r="55">
          <cell r="B55" t="str">
            <v>5203-KYY5</v>
          </cell>
          <cell r="DB55">
            <v>0</v>
          </cell>
          <cell r="DC55">
            <v>0</v>
          </cell>
        </row>
        <row r="56">
          <cell r="B56" t="str">
            <v>SAB-208-40DG</v>
          </cell>
          <cell r="DB56">
            <v>0</v>
          </cell>
          <cell r="DC56">
            <v>0</v>
          </cell>
        </row>
        <row r="57">
          <cell r="B57" t="str">
            <v>AG307516-CHS</v>
          </cell>
          <cell r="DB57">
            <v>0</v>
          </cell>
          <cell r="DC57">
            <v>0</v>
          </cell>
        </row>
        <row r="58">
          <cell r="B58" t="str">
            <v>5206-2RST</v>
          </cell>
          <cell r="DB58">
            <v>0</v>
          </cell>
          <cell r="DC58">
            <v>0</v>
          </cell>
        </row>
        <row r="59">
          <cell r="B59" t="str">
            <v>S41211-DTR</v>
          </cell>
          <cell r="DB59">
            <v>0</v>
          </cell>
          <cell r="DC59">
            <v>0</v>
          </cell>
        </row>
        <row r="60">
          <cell r="B60" t="str">
            <v>DTR2549-FM</v>
          </cell>
          <cell r="DB60">
            <v>0</v>
          </cell>
          <cell r="DC60">
            <v>0</v>
          </cell>
        </row>
        <row r="61">
          <cell r="B61" t="str">
            <v>ASA-140-1H</v>
          </cell>
          <cell r="DB61">
            <v>0</v>
          </cell>
          <cell r="DC61">
            <v>0</v>
          </cell>
        </row>
        <row r="62">
          <cell r="B62" t="str">
            <v>DS3075C25CHS</v>
          </cell>
          <cell r="DB62">
            <v>0</v>
          </cell>
          <cell r="DC62">
            <v>0</v>
          </cell>
        </row>
        <row r="63">
          <cell r="B63" t="str">
            <v>DTR3062-FM</v>
          </cell>
          <cell r="DB63">
            <v>0</v>
          </cell>
          <cell r="DC63">
            <v>0</v>
          </cell>
        </row>
        <row r="64">
          <cell r="B64" t="str">
            <v>ECL-209-45DG</v>
          </cell>
          <cell r="DB64">
            <v>0</v>
          </cell>
          <cell r="DC64">
            <v>0</v>
          </cell>
        </row>
        <row r="65">
          <cell r="B65" t="str">
            <v>SAB-205-25DG</v>
          </cell>
          <cell r="DB65">
            <v>0</v>
          </cell>
          <cell r="DC65">
            <v>0</v>
          </cell>
        </row>
        <row r="66">
          <cell r="B66" t="str">
            <v>5209-KRRB2</v>
          </cell>
          <cell r="DB66">
            <v>0</v>
          </cell>
          <cell r="DC66">
            <v>0</v>
          </cell>
        </row>
        <row r="67">
          <cell r="B67" t="str">
            <v>SER-51</v>
          </cell>
          <cell r="DB67">
            <v>0</v>
          </cell>
          <cell r="DC67">
            <v>0</v>
          </cell>
        </row>
        <row r="68">
          <cell r="B68" t="str">
            <v>CA627-M40A</v>
          </cell>
          <cell r="DB68">
            <v>0</v>
          </cell>
          <cell r="DC68">
            <v>0</v>
          </cell>
        </row>
        <row r="69">
          <cell r="B69" t="str">
            <v>BP-24005</v>
          </cell>
          <cell r="DB69">
            <v>0</v>
          </cell>
          <cell r="DC69">
            <v>0</v>
          </cell>
        </row>
        <row r="70">
          <cell r="B70" t="str">
            <v>ASA60-1H-REE</v>
          </cell>
          <cell r="DB70">
            <v>0</v>
          </cell>
          <cell r="DC70">
            <v>0</v>
          </cell>
        </row>
        <row r="71">
          <cell r="B71" t="str">
            <v>BP-18030</v>
          </cell>
          <cell r="DB71">
            <v>0</v>
          </cell>
          <cell r="DC71">
            <v>0</v>
          </cell>
        </row>
        <row r="72">
          <cell r="B72" t="str">
            <v>BP-13014</v>
          </cell>
          <cell r="DB72">
            <v>0</v>
          </cell>
          <cell r="DC72">
            <v>0</v>
          </cell>
        </row>
        <row r="73">
          <cell r="B73" t="str">
            <v>ECL-207-35DG</v>
          </cell>
          <cell r="DB73">
            <v>0</v>
          </cell>
          <cell r="DC73">
            <v>0</v>
          </cell>
        </row>
        <row r="74">
          <cell r="B74" t="str">
            <v>CA555-C2E-48</v>
          </cell>
          <cell r="DB74">
            <v>0</v>
          </cell>
          <cell r="DC74">
            <v>0</v>
          </cell>
        </row>
        <row r="75">
          <cell r="B75" t="str">
            <v>30204-MX</v>
          </cell>
          <cell r="DB75">
            <v>0</v>
          </cell>
          <cell r="DC75">
            <v>0</v>
          </cell>
        </row>
        <row r="76">
          <cell r="B76" t="str">
            <v>SAB-206-30DG</v>
          </cell>
          <cell r="DB76">
            <v>0</v>
          </cell>
          <cell r="DC76">
            <v>0</v>
          </cell>
        </row>
        <row r="77">
          <cell r="B77" t="str">
            <v>MG-5306-KRR3</v>
          </cell>
          <cell r="DB77">
            <v>0</v>
          </cell>
          <cell r="DC77">
            <v>0</v>
          </cell>
        </row>
        <row r="78">
          <cell r="B78" t="str">
            <v>207-KRRB12</v>
          </cell>
          <cell r="DB78">
            <v>0</v>
          </cell>
          <cell r="DC78">
            <v>0</v>
          </cell>
        </row>
        <row r="79">
          <cell r="B79" t="str">
            <v>30205-MX</v>
          </cell>
          <cell r="DB79">
            <v>0</v>
          </cell>
          <cell r="DC79">
            <v>0</v>
          </cell>
        </row>
        <row r="80">
          <cell r="B80" t="str">
            <v>ACLR208-40RG</v>
          </cell>
          <cell r="DB80">
            <v>0</v>
          </cell>
          <cell r="DC80">
            <v>0</v>
          </cell>
        </row>
        <row r="81">
          <cell r="B81" t="str">
            <v>MS07-2RST1</v>
          </cell>
          <cell r="DB81">
            <v>0</v>
          </cell>
          <cell r="DC81">
            <v>0</v>
          </cell>
        </row>
        <row r="82">
          <cell r="B82" t="str">
            <v>205-KYYB5</v>
          </cell>
          <cell r="DB82">
            <v>0</v>
          </cell>
          <cell r="DC82">
            <v>0</v>
          </cell>
        </row>
        <row r="83">
          <cell r="B83" t="str">
            <v>AG25H1-CH</v>
          </cell>
          <cell r="DB83">
            <v>0</v>
          </cell>
          <cell r="DC83">
            <v>0</v>
          </cell>
        </row>
        <row r="84">
          <cell r="B84" t="str">
            <v>30212-MX</v>
          </cell>
          <cell r="DB84">
            <v>0</v>
          </cell>
          <cell r="DC84">
            <v>0</v>
          </cell>
        </row>
        <row r="85">
          <cell r="B85" t="str">
            <v>BP-24002</v>
          </cell>
          <cell r="DB85">
            <v>0</v>
          </cell>
          <cell r="DC85">
            <v>0</v>
          </cell>
        </row>
        <row r="86">
          <cell r="B86" t="str">
            <v>ASA-80-1H</v>
          </cell>
          <cell r="DB86">
            <v>0</v>
          </cell>
          <cell r="DC86">
            <v>0</v>
          </cell>
        </row>
        <row r="87">
          <cell r="B87" t="str">
            <v>32218-MX</v>
          </cell>
          <cell r="DB87">
            <v>0</v>
          </cell>
          <cell r="DC87">
            <v>0</v>
          </cell>
        </row>
        <row r="88">
          <cell r="B88" t="str">
            <v>SAB209-45DG</v>
          </cell>
          <cell r="DB88">
            <v>0</v>
          </cell>
          <cell r="DC88">
            <v>0</v>
          </cell>
        </row>
        <row r="89">
          <cell r="B89" t="str">
            <v>203-KRR3-E2</v>
          </cell>
          <cell r="DB89">
            <v>0</v>
          </cell>
          <cell r="DC89">
            <v>0</v>
          </cell>
        </row>
        <row r="90">
          <cell r="B90" t="str">
            <v>AG-1235-B</v>
          </cell>
          <cell r="DB90">
            <v>0</v>
          </cell>
          <cell r="DC90">
            <v>0</v>
          </cell>
        </row>
        <row r="91">
          <cell r="B91" t="str">
            <v>MS08-2RS</v>
          </cell>
          <cell r="DB91">
            <v>0</v>
          </cell>
          <cell r="DC91">
            <v>0</v>
          </cell>
        </row>
        <row r="92">
          <cell r="B92" t="str">
            <v>CA550K-19SE4</v>
          </cell>
          <cell r="DB92">
            <v>0</v>
          </cell>
          <cell r="DC92">
            <v>0</v>
          </cell>
        </row>
        <row r="93">
          <cell r="B93" t="str">
            <v>CF5202-2RST-</v>
          </cell>
          <cell r="DB93">
            <v>0</v>
          </cell>
          <cell r="DC93">
            <v>0</v>
          </cell>
        </row>
        <row r="94">
          <cell r="B94" t="str">
            <v>SAB-209-45DG</v>
          </cell>
          <cell r="DB94">
            <v>0</v>
          </cell>
          <cell r="DC94">
            <v>0</v>
          </cell>
        </row>
        <row r="95">
          <cell r="B95" t="str">
            <v>59196</v>
          </cell>
          <cell r="DB95">
            <v>0</v>
          </cell>
          <cell r="DC95">
            <v>0</v>
          </cell>
        </row>
        <row r="96">
          <cell r="B96" t="str">
            <v>MS03-2RSTX</v>
          </cell>
          <cell r="DB96">
            <v>0</v>
          </cell>
          <cell r="DC96">
            <v>0</v>
          </cell>
        </row>
        <row r="97">
          <cell r="B97" t="str">
            <v>J91-B</v>
          </cell>
          <cell r="DB97">
            <v>0</v>
          </cell>
          <cell r="DC97">
            <v>0</v>
          </cell>
        </row>
        <row r="98">
          <cell r="B98" t="str">
            <v>ECL-208-40DG</v>
          </cell>
          <cell r="DB98">
            <v>0</v>
          </cell>
          <cell r="DC98">
            <v>0</v>
          </cell>
        </row>
        <row r="99">
          <cell r="B99" t="str">
            <v>MS06-2RS</v>
          </cell>
          <cell r="DB99">
            <v>0</v>
          </cell>
          <cell r="DC99">
            <v>0</v>
          </cell>
        </row>
        <row r="100">
          <cell r="B100" t="str">
            <v>CA550KL19SE4</v>
          </cell>
          <cell r="DB100">
            <v>0</v>
          </cell>
          <cell r="DC100">
            <v>0</v>
          </cell>
        </row>
        <row r="101">
          <cell r="B101" t="str">
            <v>FC-207</v>
          </cell>
          <cell r="DB101">
            <v>0</v>
          </cell>
          <cell r="DC101">
            <v>0</v>
          </cell>
        </row>
        <row r="102">
          <cell r="B102" t="str">
            <v>AG-3565-CH9</v>
          </cell>
          <cell r="DB102">
            <v>0</v>
          </cell>
          <cell r="DC102">
            <v>0</v>
          </cell>
        </row>
        <row r="103">
          <cell r="B103" t="str">
            <v>12025-P</v>
          </cell>
          <cell r="DB103">
            <v>0</v>
          </cell>
          <cell r="DC103">
            <v>0</v>
          </cell>
        </row>
        <row r="104">
          <cell r="B104" t="str">
            <v>LS05-2RST</v>
          </cell>
          <cell r="DB104">
            <v>0</v>
          </cell>
          <cell r="DC104">
            <v>0</v>
          </cell>
        </row>
        <row r="105">
          <cell r="B105" t="str">
            <v>32211-MX</v>
          </cell>
          <cell r="DB105">
            <v>0</v>
          </cell>
          <cell r="DC105">
            <v>0</v>
          </cell>
        </row>
        <row r="106">
          <cell r="B106" t="str">
            <v>CF18</v>
          </cell>
          <cell r="DB106">
            <v>0</v>
          </cell>
          <cell r="DC106">
            <v>0</v>
          </cell>
        </row>
        <row r="107">
          <cell r="B107" t="str">
            <v>CA555-C6E-46</v>
          </cell>
          <cell r="DB107">
            <v>0</v>
          </cell>
          <cell r="DC107">
            <v>0</v>
          </cell>
        </row>
        <row r="108">
          <cell r="B108" t="str">
            <v>SAB-210-50DG</v>
          </cell>
          <cell r="DB108">
            <v>0</v>
          </cell>
          <cell r="DC108">
            <v>0</v>
          </cell>
        </row>
        <row r="109">
          <cell r="B109" t="str">
            <v>ASA180-1H-RE</v>
          </cell>
          <cell r="DB109">
            <v>0</v>
          </cell>
          <cell r="DC109">
            <v>0</v>
          </cell>
        </row>
        <row r="110">
          <cell r="B110" t="str">
            <v>DAC-35720034</v>
          </cell>
          <cell r="DB110">
            <v>0</v>
          </cell>
          <cell r="DC110">
            <v>0</v>
          </cell>
        </row>
        <row r="111">
          <cell r="B111" t="str">
            <v>BP-22001</v>
          </cell>
          <cell r="DB111">
            <v>0</v>
          </cell>
          <cell r="DC111">
            <v>0</v>
          </cell>
        </row>
        <row r="112">
          <cell r="B112" t="str">
            <v>LS07-2RST</v>
          </cell>
          <cell r="DB112">
            <v>0</v>
          </cell>
          <cell r="DC112">
            <v>0</v>
          </cell>
        </row>
        <row r="113">
          <cell r="B113" t="str">
            <v>59190-16</v>
          </cell>
          <cell r="DB113">
            <v>0</v>
          </cell>
          <cell r="DC113">
            <v>0</v>
          </cell>
        </row>
        <row r="114">
          <cell r="B114" t="str">
            <v>30210-MX</v>
          </cell>
          <cell r="DB114">
            <v>0</v>
          </cell>
          <cell r="DC114">
            <v>0</v>
          </cell>
        </row>
        <row r="115">
          <cell r="B115" t="str">
            <v>SAB208-40DG</v>
          </cell>
          <cell r="DB115">
            <v>0</v>
          </cell>
          <cell r="DC115">
            <v>0</v>
          </cell>
        </row>
        <row r="116">
          <cell r="B116" t="str">
            <v>PF-7-Z</v>
          </cell>
          <cell r="DB116">
            <v>0</v>
          </cell>
          <cell r="DC116">
            <v>0</v>
          </cell>
        </row>
        <row r="117">
          <cell r="B117" t="str">
            <v>30211-MX</v>
          </cell>
          <cell r="DB117">
            <v>0</v>
          </cell>
          <cell r="DC117">
            <v>0</v>
          </cell>
        </row>
        <row r="118">
          <cell r="B118" t="str">
            <v>MS02-2RS</v>
          </cell>
          <cell r="DB118">
            <v>0</v>
          </cell>
          <cell r="DC118">
            <v>0</v>
          </cell>
        </row>
        <row r="119">
          <cell r="B119" t="str">
            <v>LS03-2RST</v>
          </cell>
          <cell r="DB119">
            <v>0</v>
          </cell>
          <cell r="DC119">
            <v>0</v>
          </cell>
        </row>
        <row r="120">
          <cell r="B120" t="str">
            <v>DTR3565-FM</v>
          </cell>
          <cell r="DB120">
            <v>0</v>
          </cell>
          <cell r="DC120">
            <v>0</v>
          </cell>
        </row>
        <row r="121">
          <cell r="B121" t="str">
            <v>ECL-205-25DG</v>
          </cell>
          <cell r="DB121">
            <v>0</v>
          </cell>
          <cell r="DC121">
            <v>0</v>
          </cell>
        </row>
        <row r="122">
          <cell r="B122" t="str">
            <v>BALLS-5/32</v>
          </cell>
          <cell r="DB122">
            <v>0</v>
          </cell>
          <cell r="DC122">
            <v>0</v>
          </cell>
        </row>
        <row r="123">
          <cell r="B123" t="str">
            <v>ECL-206-30DG</v>
          </cell>
          <cell r="DB123">
            <v>0</v>
          </cell>
          <cell r="DC123">
            <v>0</v>
          </cell>
        </row>
        <row r="124">
          <cell r="B124" t="str">
            <v>PE-207</v>
          </cell>
          <cell r="DB124">
            <v>0</v>
          </cell>
          <cell r="DC124">
            <v>0</v>
          </cell>
        </row>
        <row r="125">
          <cell r="B125" t="str">
            <v>ECL210-50D-3</v>
          </cell>
          <cell r="DB125">
            <v>0</v>
          </cell>
          <cell r="DC125">
            <v>0</v>
          </cell>
        </row>
        <row r="126">
          <cell r="B126" t="str">
            <v>TS06-2RS</v>
          </cell>
          <cell r="DB126">
            <v>0</v>
          </cell>
          <cell r="DC126">
            <v>0</v>
          </cell>
        </row>
        <row r="127">
          <cell r="B127" t="str">
            <v>ASA-60-1H</v>
          </cell>
          <cell r="DB127">
            <v>0</v>
          </cell>
          <cell r="DC127">
            <v>0</v>
          </cell>
        </row>
        <row r="128">
          <cell r="B128" t="str">
            <v>ASA-100-2</v>
          </cell>
          <cell r="DB128">
            <v>0</v>
          </cell>
          <cell r="DC128">
            <v>0</v>
          </cell>
        </row>
        <row r="129">
          <cell r="B129" t="str">
            <v>ECL-210-50DG</v>
          </cell>
          <cell r="DB129">
            <v>0</v>
          </cell>
          <cell r="DC129">
            <v>0</v>
          </cell>
        </row>
        <row r="130">
          <cell r="B130" t="str">
            <v>W-208-YYB22</v>
          </cell>
          <cell r="DB130">
            <v>0</v>
          </cell>
          <cell r="DC130">
            <v>0</v>
          </cell>
        </row>
        <row r="131">
          <cell r="B131" t="str">
            <v>32209-MX</v>
          </cell>
          <cell r="DB131">
            <v>0</v>
          </cell>
          <cell r="DC131">
            <v>0</v>
          </cell>
        </row>
        <row r="132">
          <cell r="B132" t="str">
            <v>625-2Z-C3P62</v>
          </cell>
          <cell r="DB132">
            <v>0</v>
          </cell>
          <cell r="DC132">
            <v>0</v>
          </cell>
        </row>
        <row r="133">
          <cell r="B133" t="str">
            <v>FB-209</v>
          </cell>
          <cell r="DB133">
            <v>0</v>
          </cell>
          <cell r="DC133">
            <v>0</v>
          </cell>
        </row>
        <row r="134">
          <cell r="B134" t="str">
            <v>59196-20</v>
          </cell>
          <cell r="DB134">
            <v>0</v>
          </cell>
          <cell r="DC134">
            <v>0</v>
          </cell>
        </row>
        <row r="135">
          <cell r="B135" t="str">
            <v>BP-23002</v>
          </cell>
          <cell r="DB135">
            <v>0</v>
          </cell>
          <cell r="DC135">
            <v>0</v>
          </cell>
        </row>
        <row r="136">
          <cell r="B136" t="str">
            <v>CA627-M40AY</v>
          </cell>
          <cell r="DB136">
            <v>0</v>
          </cell>
          <cell r="DC136">
            <v>0</v>
          </cell>
        </row>
        <row r="137">
          <cell r="B137" t="str">
            <v>ASA50-1-REEL</v>
          </cell>
          <cell r="DB137">
            <v>0</v>
          </cell>
          <cell r="DC137">
            <v>0</v>
          </cell>
        </row>
        <row r="138">
          <cell r="B138" t="str">
            <v>DTR-1742-FM</v>
          </cell>
          <cell r="DB138">
            <v>0</v>
          </cell>
          <cell r="DC138">
            <v>0</v>
          </cell>
        </row>
        <row r="139">
          <cell r="B139" t="str">
            <v>207-KYYB2</v>
          </cell>
          <cell r="DB139">
            <v>0</v>
          </cell>
          <cell r="DC139">
            <v>0</v>
          </cell>
        </row>
        <row r="140">
          <cell r="B140" t="str">
            <v>32213-MX</v>
          </cell>
          <cell r="DB140">
            <v>0</v>
          </cell>
          <cell r="DC140">
            <v>0</v>
          </cell>
        </row>
        <row r="141">
          <cell r="B141" t="str">
            <v>5204-KPP3</v>
          </cell>
          <cell r="DB141">
            <v>0</v>
          </cell>
          <cell r="DC141">
            <v>0</v>
          </cell>
        </row>
        <row r="142">
          <cell r="B142" t="str">
            <v>30203-MX</v>
          </cell>
          <cell r="DB142">
            <v>0</v>
          </cell>
          <cell r="DC142">
            <v>0</v>
          </cell>
        </row>
        <row r="143">
          <cell r="B143" t="str">
            <v>BP-18020</v>
          </cell>
          <cell r="DB143">
            <v>0</v>
          </cell>
          <cell r="DC143">
            <v>0</v>
          </cell>
        </row>
        <row r="144">
          <cell r="B144" t="str">
            <v>F-207</v>
          </cell>
          <cell r="DB144">
            <v>0</v>
          </cell>
          <cell r="DC144">
            <v>0</v>
          </cell>
        </row>
        <row r="145">
          <cell r="B145" t="str">
            <v>PE-210</v>
          </cell>
          <cell r="DB145">
            <v>0</v>
          </cell>
          <cell r="DC145">
            <v>0</v>
          </cell>
        </row>
        <row r="146">
          <cell r="B146" t="str">
            <v>MS06-2RSTX</v>
          </cell>
          <cell r="DB146">
            <v>0</v>
          </cell>
          <cell r="DC146">
            <v>0</v>
          </cell>
        </row>
        <row r="147">
          <cell r="B147" t="str">
            <v>ASA-80-1</v>
          </cell>
          <cell r="DB147">
            <v>0</v>
          </cell>
          <cell r="DC147">
            <v>0</v>
          </cell>
        </row>
        <row r="148">
          <cell r="B148" t="str">
            <v>W-208-PP21-N</v>
          </cell>
          <cell r="DB148">
            <v>0</v>
          </cell>
          <cell r="DC148">
            <v>0</v>
          </cell>
        </row>
        <row r="149">
          <cell r="B149" t="str">
            <v>CA-550-A1</v>
          </cell>
          <cell r="DB149">
            <v>0</v>
          </cell>
          <cell r="DC149">
            <v>0</v>
          </cell>
        </row>
        <row r="150">
          <cell r="B150" t="str">
            <v>ACL-207-35DG</v>
          </cell>
          <cell r="DB150">
            <v>0</v>
          </cell>
          <cell r="DC150">
            <v>0</v>
          </cell>
        </row>
        <row r="151">
          <cell r="B151" t="str">
            <v>ASA80-2-REEL</v>
          </cell>
          <cell r="DB151">
            <v>0</v>
          </cell>
          <cell r="DC151">
            <v>0</v>
          </cell>
        </row>
        <row r="152">
          <cell r="B152" t="str">
            <v>205-KRRB2</v>
          </cell>
          <cell r="DB152">
            <v>0</v>
          </cell>
          <cell r="DC152">
            <v>0</v>
          </cell>
        </row>
        <row r="153">
          <cell r="B153" t="str">
            <v>209-KYYB2</v>
          </cell>
          <cell r="DB153">
            <v>0</v>
          </cell>
          <cell r="DC153">
            <v>0</v>
          </cell>
        </row>
        <row r="154">
          <cell r="B154" t="str">
            <v>ASA-50-1</v>
          </cell>
          <cell r="DB154">
            <v>0</v>
          </cell>
          <cell r="DC154">
            <v>0</v>
          </cell>
        </row>
        <row r="155">
          <cell r="B155" t="str">
            <v>BP-18019-I</v>
          </cell>
          <cell r="DB155">
            <v>0</v>
          </cell>
          <cell r="DC155">
            <v>0</v>
          </cell>
        </row>
        <row r="156">
          <cell r="B156" t="str">
            <v>BP-18019-D</v>
          </cell>
          <cell r="DB156">
            <v>0</v>
          </cell>
          <cell r="DC156">
            <v>0</v>
          </cell>
        </row>
        <row r="157">
          <cell r="B157" t="str">
            <v>SER-47</v>
          </cell>
          <cell r="DB157">
            <v>0</v>
          </cell>
          <cell r="DC157">
            <v>0</v>
          </cell>
        </row>
        <row r="158">
          <cell r="B158" t="str">
            <v>SAB-212-60DG</v>
          </cell>
          <cell r="DB158">
            <v>0</v>
          </cell>
          <cell r="DC158">
            <v>0</v>
          </cell>
        </row>
        <row r="159">
          <cell r="B159" t="str">
            <v>207-KRRB17</v>
          </cell>
          <cell r="DB159">
            <v>0</v>
          </cell>
          <cell r="DC159">
            <v>0</v>
          </cell>
        </row>
        <row r="160">
          <cell r="B160" t="str">
            <v>ECL211-35D</v>
          </cell>
          <cell r="DB160">
            <v>0</v>
          </cell>
          <cell r="DC160">
            <v>0</v>
          </cell>
        </row>
        <row r="161">
          <cell r="B161" t="str">
            <v>205KYR2</v>
          </cell>
          <cell r="DB161">
            <v>0</v>
          </cell>
          <cell r="DC161">
            <v>0</v>
          </cell>
        </row>
        <row r="162">
          <cell r="B162" t="str">
            <v>F-209</v>
          </cell>
          <cell r="DB162">
            <v>0</v>
          </cell>
          <cell r="DC162">
            <v>0</v>
          </cell>
        </row>
        <row r="163">
          <cell r="B163" t="str">
            <v>ASA80-1-REEL</v>
          </cell>
          <cell r="DB163">
            <v>0</v>
          </cell>
          <cell r="DC163">
            <v>0</v>
          </cell>
        </row>
        <row r="164">
          <cell r="B164" t="str">
            <v>F-209-A</v>
          </cell>
          <cell r="DB164">
            <v>0</v>
          </cell>
          <cell r="DC164">
            <v>0</v>
          </cell>
        </row>
        <row r="165">
          <cell r="B165" t="str">
            <v>CA550KL19SE2</v>
          </cell>
          <cell r="DB165">
            <v>0</v>
          </cell>
          <cell r="DC165">
            <v>0</v>
          </cell>
        </row>
        <row r="166">
          <cell r="B166" t="str">
            <v>32212-MX</v>
          </cell>
          <cell r="DB166">
            <v>0</v>
          </cell>
          <cell r="DC166">
            <v>0</v>
          </cell>
        </row>
        <row r="167">
          <cell r="B167" t="str">
            <v>22222-CW33C3</v>
          </cell>
          <cell r="DB167">
            <v>0</v>
          </cell>
          <cell r="DC167">
            <v>0</v>
          </cell>
        </row>
        <row r="168">
          <cell r="B168" t="str">
            <v>J91-C</v>
          </cell>
          <cell r="DB168">
            <v>0</v>
          </cell>
          <cell r="DC168">
            <v>0</v>
          </cell>
        </row>
        <row r="169">
          <cell r="B169" t="str">
            <v>ASA60-1-REEL</v>
          </cell>
          <cell r="DB169">
            <v>0</v>
          </cell>
          <cell r="DC169">
            <v>0</v>
          </cell>
        </row>
        <row r="170">
          <cell r="B170" t="str">
            <v>FD211-112SQ</v>
          </cell>
          <cell r="DB170">
            <v>0</v>
          </cell>
          <cell r="DC170">
            <v>0</v>
          </cell>
        </row>
        <row r="171">
          <cell r="B171" t="str">
            <v>1310-TN-C3</v>
          </cell>
          <cell r="DB171">
            <v>0</v>
          </cell>
          <cell r="DC171">
            <v>0</v>
          </cell>
        </row>
        <row r="172">
          <cell r="B172" t="str">
            <v>W-211KRRB50</v>
          </cell>
          <cell r="DB172">
            <v>0</v>
          </cell>
          <cell r="DC172">
            <v>0</v>
          </cell>
        </row>
        <row r="173">
          <cell r="B173" t="str">
            <v>HD09-2RS</v>
          </cell>
          <cell r="DB173">
            <v>0</v>
          </cell>
          <cell r="DC173">
            <v>0</v>
          </cell>
        </row>
        <row r="174">
          <cell r="B174" t="str">
            <v>MS07-2RS</v>
          </cell>
          <cell r="DB174">
            <v>0</v>
          </cell>
          <cell r="DC174">
            <v>0</v>
          </cell>
        </row>
        <row r="175">
          <cell r="B175" t="str">
            <v>SAB-211-55DG</v>
          </cell>
          <cell r="DB175">
            <v>0</v>
          </cell>
          <cell r="DC175">
            <v>0</v>
          </cell>
        </row>
        <row r="176">
          <cell r="B176" t="str">
            <v>206-K14</v>
          </cell>
          <cell r="DB176">
            <v>0</v>
          </cell>
          <cell r="DC176">
            <v>0</v>
          </cell>
        </row>
        <row r="177">
          <cell r="B177" t="str">
            <v>6204-2RS-RC</v>
          </cell>
          <cell r="DB177">
            <v>0</v>
          </cell>
          <cell r="DC177">
            <v>0</v>
          </cell>
        </row>
        <row r="178">
          <cell r="B178" t="str">
            <v>ASA-60-1</v>
          </cell>
          <cell r="DB178">
            <v>0</v>
          </cell>
          <cell r="DC178">
            <v>0</v>
          </cell>
        </row>
        <row r="179">
          <cell r="B179" t="str">
            <v>ASA-60-2</v>
          </cell>
          <cell r="DB179">
            <v>0</v>
          </cell>
          <cell r="DC179">
            <v>0</v>
          </cell>
        </row>
        <row r="180">
          <cell r="B180" t="str">
            <v>32010-MX</v>
          </cell>
          <cell r="DB180">
            <v>0</v>
          </cell>
          <cell r="DC180">
            <v>0</v>
          </cell>
        </row>
        <row r="181">
          <cell r="B181" t="str">
            <v>PE-206</v>
          </cell>
          <cell r="DB181">
            <v>0</v>
          </cell>
          <cell r="DC181">
            <v>0</v>
          </cell>
        </row>
        <row r="182">
          <cell r="B182" t="str">
            <v>CA550K-19SE2</v>
          </cell>
          <cell r="DB182">
            <v>0</v>
          </cell>
          <cell r="DC182">
            <v>0</v>
          </cell>
        </row>
        <row r="183">
          <cell r="B183" t="str">
            <v>F-210</v>
          </cell>
          <cell r="DB183">
            <v>0</v>
          </cell>
          <cell r="DC183">
            <v>0</v>
          </cell>
        </row>
        <row r="184">
          <cell r="B184" t="str">
            <v>204-KYY7</v>
          </cell>
          <cell r="DB184">
            <v>0</v>
          </cell>
          <cell r="DC184">
            <v>0</v>
          </cell>
        </row>
        <row r="185">
          <cell r="B185" t="str">
            <v>MS08-2RSTX</v>
          </cell>
          <cell r="DB185">
            <v>0</v>
          </cell>
          <cell r="DC185">
            <v>0</v>
          </cell>
        </row>
        <row r="186">
          <cell r="B186" t="str">
            <v>ECL205-16DG</v>
          </cell>
          <cell r="DB186">
            <v>0</v>
          </cell>
          <cell r="DC186">
            <v>0</v>
          </cell>
        </row>
        <row r="187">
          <cell r="B187" t="str">
            <v>ASA160-1H-RE</v>
          </cell>
          <cell r="DB187">
            <v>0</v>
          </cell>
          <cell r="DC187">
            <v>0</v>
          </cell>
        </row>
        <row r="188">
          <cell r="B188" t="str">
            <v>NTB1613-2RST</v>
          </cell>
          <cell r="DB188">
            <v>0</v>
          </cell>
          <cell r="DC188">
            <v>0</v>
          </cell>
        </row>
        <row r="189">
          <cell r="B189" t="str">
            <v>PE-208</v>
          </cell>
          <cell r="DB189">
            <v>0</v>
          </cell>
          <cell r="DC189">
            <v>0</v>
          </cell>
        </row>
        <row r="190">
          <cell r="B190" t="str">
            <v>ASA-50-1H</v>
          </cell>
          <cell r="DB190">
            <v>0</v>
          </cell>
          <cell r="DC190">
            <v>0</v>
          </cell>
        </row>
        <row r="191">
          <cell r="B191" t="str">
            <v>ENG-04.039.1</v>
          </cell>
          <cell r="DB191">
            <v>0</v>
          </cell>
          <cell r="DC191">
            <v>0</v>
          </cell>
        </row>
        <row r="192">
          <cell r="B192" t="str">
            <v>ACL205-16RR</v>
          </cell>
          <cell r="DB192">
            <v>0</v>
          </cell>
          <cell r="DC192">
            <v>0</v>
          </cell>
        </row>
        <row r="193">
          <cell r="B193" t="str">
            <v>MS06-D-C3</v>
          </cell>
          <cell r="DB193">
            <v>0</v>
          </cell>
          <cell r="DC193">
            <v>0</v>
          </cell>
        </row>
        <row r="194">
          <cell r="B194" t="str">
            <v>206-KRRB6</v>
          </cell>
          <cell r="DB194">
            <v>0</v>
          </cell>
          <cell r="DC194">
            <v>0</v>
          </cell>
        </row>
        <row r="195">
          <cell r="B195" t="str">
            <v>AG-3565-CH</v>
          </cell>
          <cell r="DB195">
            <v>0</v>
          </cell>
          <cell r="DC195">
            <v>0</v>
          </cell>
        </row>
        <row r="196">
          <cell r="B196" t="str">
            <v>32216-MX</v>
          </cell>
          <cell r="DB196">
            <v>0</v>
          </cell>
          <cell r="DC196">
            <v>0</v>
          </cell>
        </row>
        <row r="197">
          <cell r="B197" t="str">
            <v>SAB207-35DG</v>
          </cell>
          <cell r="DB197">
            <v>0</v>
          </cell>
          <cell r="DC197">
            <v>0</v>
          </cell>
        </row>
        <row r="198">
          <cell r="B198" t="str">
            <v>SAB-216-80DG</v>
          </cell>
          <cell r="DB198">
            <v>0</v>
          </cell>
          <cell r="DC198">
            <v>0</v>
          </cell>
        </row>
        <row r="199">
          <cell r="B199" t="str">
            <v>ASA-40-1</v>
          </cell>
          <cell r="DB199">
            <v>0</v>
          </cell>
          <cell r="DC199">
            <v>0</v>
          </cell>
        </row>
        <row r="200">
          <cell r="B200" t="str">
            <v>ECL-211-55DG</v>
          </cell>
          <cell r="DB200">
            <v>0</v>
          </cell>
          <cell r="DC200">
            <v>0</v>
          </cell>
        </row>
        <row r="201">
          <cell r="B201" t="str">
            <v>PE-209</v>
          </cell>
          <cell r="DB201">
            <v>0</v>
          </cell>
          <cell r="DC201">
            <v>0</v>
          </cell>
        </row>
        <row r="202">
          <cell r="B202" t="str">
            <v>W59190-TS</v>
          </cell>
          <cell r="DB202">
            <v>0</v>
          </cell>
          <cell r="DC202">
            <v>0</v>
          </cell>
        </row>
        <row r="203">
          <cell r="B203" t="str">
            <v>PFF-8-Z</v>
          </cell>
          <cell r="DB203">
            <v>0</v>
          </cell>
          <cell r="DC203">
            <v>0</v>
          </cell>
        </row>
        <row r="204">
          <cell r="B204" t="str">
            <v>ECL209-28DG</v>
          </cell>
          <cell r="DB204">
            <v>0</v>
          </cell>
          <cell r="DC204">
            <v>0</v>
          </cell>
        </row>
        <row r="205">
          <cell r="B205" t="str">
            <v>205KRP2-6PF</v>
          </cell>
          <cell r="DB205">
            <v>0</v>
          </cell>
          <cell r="DC205">
            <v>0</v>
          </cell>
        </row>
        <row r="206">
          <cell r="B206" t="str">
            <v>SFC-80-M</v>
          </cell>
          <cell r="DB206">
            <v>0</v>
          </cell>
          <cell r="DC206">
            <v>0</v>
          </cell>
        </row>
        <row r="207">
          <cell r="B207" t="str">
            <v>5207-KRRB19</v>
          </cell>
          <cell r="DB207">
            <v>0</v>
          </cell>
          <cell r="DC207">
            <v>0</v>
          </cell>
        </row>
        <row r="208">
          <cell r="B208" t="str">
            <v>205-KYY5</v>
          </cell>
          <cell r="DB208">
            <v>0</v>
          </cell>
          <cell r="DC208">
            <v>0</v>
          </cell>
        </row>
        <row r="209">
          <cell r="B209" t="str">
            <v>PFF-9-M</v>
          </cell>
          <cell r="DB209">
            <v>0</v>
          </cell>
          <cell r="DC209">
            <v>0</v>
          </cell>
        </row>
        <row r="210">
          <cell r="B210" t="str">
            <v>HD08-2RST</v>
          </cell>
          <cell r="DB210">
            <v>0</v>
          </cell>
          <cell r="DC210">
            <v>0</v>
          </cell>
        </row>
        <row r="211">
          <cell r="B211" t="str">
            <v>PFL-5-Z</v>
          </cell>
          <cell r="DB211">
            <v>0</v>
          </cell>
          <cell r="DC211">
            <v>0</v>
          </cell>
        </row>
        <row r="212">
          <cell r="B212" t="str">
            <v>ECL-206-30MM</v>
          </cell>
          <cell r="DB212">
            <v>0</v>
          </cell>
          <cell r="DC212">
            <v>0</v>
          </cell>
        </row>
        <row r="213">
          <cell r="B213" t="str">
            <v>ACL207-23RG</v>
          </cell>
          <cell r="DB213">
            <v>0</v>
          </cell>
          <cell r="DC213">
            <v>0</v>
          </cell>
        </row>
        <row r="214">
          <cell r="B214" t="str">
            <v>SAB5209-45RR</v>
          </cell>
          <cell r="DB214">
            <v>0</v>
          </cell>
          <cell r="DC214">
            <v>0</v>
          </cell>
        </row>
        <row r="215">
          <cell r="B215" t="str">
            <v>MS07-D-C3</v>
          </cell>
          <cell r="DB215">
            <v>0</v>
          </cell>
          <cell r="DC215">
            <v>0</v>
          </cell>
        </row>
        <row r="216">
          <cell r="B216" t="str">
            <v>ACL206-30RR1</v>
          </cell>
          <cell r="DB216">
            <v>0</v>
          </cell>
          <cell r="DC216">
            <v>0</v>
          </cell>
        </row>
        <row r="217">
          <cell r="B217" t="str">
            <v>32214-MX</v>
          </cell>
          <cell r="DB217">
            <v>0</v>
          </cell>
          <cell r="DC217">
            <v>0</v>
          </cell>
        </row>
        <row r="218">
          <cell r="B218" t="str">
            <v>AG-04.038.1</v>
          </cell>
          <cell r="DB218">
            <v>0</v>
          </cell>
          <cell r="DC218">
            <v>0</v>
          </cell>
        </row>
        <row r="219">
          <cell r="B219" t="str">
            <v>1207-TN-C3</v>
          </cell>
          <cell r="DB219">
            <v>0</v>
          </cell>
          <cell r="DC219">
            <v>0</v>
          </cell>
        </row>
        <row r="220">
          <cell r="B220" t="str">
            <v>SAB208-40DD</v>
          </cell>
          <cell r="DB220">
            <v>0</v>
          </cell>
          <cell r="DC220">
            <v>0</v>
          </cell>
        </row>
        <row r="221">
          <cell r="B221" t="str">
            <v>CA627-M5A-24</v>
          </cell>
          <cell r="DB221">
            <v>0</v>
          </cell>
          <cell r="DC221">
            <v>0</v>
          </cell>
        </row>
        <row r="222">
          <cell r="B222" t="str">
            <v>ECL-212-60DG</v>
          </cell>
          <cell r="DB222">
            <v>0</v>
          </cell>
          <cell r="DC222">
            <v>0</v>
          </cell>
        </row>
        <row r="223">
          <cell r="B223" t="str">
            <v>BP-16003</v>
          </cell>
          <cell r="DB223">
            <v>0</v>
          </cell>
          <cell r="DC223">
            <v>0</v>
          </cell>
        </row>
        <row r="224">
          <cell r="B224" t="str">
            <v>MS01-2RS</v>
          </cell>
          <cell r="DB224">
            <v>0</v>
          </cell>
          <cell r="DC224">
            <v>0</v>
          </cell>
        </row>
        <row r="225">
          <cell r="B225" t="str">
            <v>FT-205-H</v>
          </cell>
          <cell r="DB225">
            <v>0</v>
          </cell>
          <cell r="DC225">
            <v>0</v>
          </cell>
        </row>
        <row r="226">
          <cell r="B226" t="str">
            <v>F-216</v>
          </cell>
          <cell r="DB226">
            <v>0</v>
          </cell>
          <cell r="DC226">
            <v>0</v>
          </cell>
        </row>
        <row r="227">
          <cell r="B227" t="str">
            <v>PE-211</v>
          </cell>
          <cell r="DB227">
            <v>0</v>
          </cell>
          <cell r="DC227">
            <v>0</v>
          </cell>
        </row>
        <row r="228">
          <cell r="B228" t="str">
            <v>T-205-13</v>
          </cell>
          <cell r="DB228">
            <v>0</v>
          </cell>
          <cell r="DC228">
            <v>0</v>
          </cell>
        </row>
        <row r="229">
          <cell r="B229" t="str">
            <v>ECL207-23DG</v>
          </cell>
          <cell r="DB229">
            <v>0</v>
          </cell>
          <cell r="DC229">
            <v>0</v>
          </cell>
        </row>
        <row r="230">
          <cell r="B230" t="str">
            <v>MS12-2RS</v>
          </cell>
          <cell r="DB230">
            <v>0</v>
          </cell>
          <cell r="DC230">
            <v>0</v>
          </cell>
        </row>
        <row r="231">
          <cell r="B231" t="str">
            <v>LS06-2RS</v>
          </cell>
          <cell r="DB231">
            <v>0</v>
          </cell>
          <cell r="DC231">
            <v>0</v>
          </cell>
        </row>
        <row r="232">
          <cell r="B232" t="str">
            <v>22214-CW33C3</v>
          </cell>
          <cell r="DB232">
            <v>0</v>
          </cell>
          <cell r="DC232">
            <v>0</v>
          </cell>
        </row>
        <row r="233">
          <cell r="B233" t="str">
            <v>ASA-80-2-12</v>
          </cell>
          <cell r="DB233">
            <v>0</v>
          </cell>
          <cell r="DC233">
            <v>0</v>
          </cell>
        </row>
        <row r="234">
          <cell r="B234" t="str">
            <v>HD07-2RS</v>
          </cell>
          <cell r="DB234">
            <v>0</v>
          </cell>
          <cell r="DC234">
            <v>0</v>
          </cell>
        </row>
        <row r="235">
          <cell r="B235" t="str">
            <v>ACL208-24RG</v>
          </cell>
          <cell r="DB235">
            <v>0</v>
          </cell>
          <cell r="DC235">
            <v>0</v>
          </cell>
        </row>
        <row r="236">
          <cell r="B236" t="str">
            <v>ASA-50-2</v>
          </cell>
          <cell r="DB236">
            <v>0</v>
          </cell>
          <cell r="DC236">
            <v>0</v>
          </cell>
        </row>
        <row r="237">
          <cell r="B237" t="str">
            <v>PFF-11-Z</v>
          </cell>
          <cell r="DB237">
            <v>0</v>
          </cell>
          <cell r="DC237">
            <v>0</v>
          </cell>
        </row>
        <row r="238">
          <cell r="B238" t="str">
            <v>ECL205-16DD</v>
          </cell>
          <cell r="DB238">
            <v>0</v>
          </cell>
          <cell r="DC238">
            <v>0</v>
          </cell>
        </row>
        <row r="239">
          <cell r="B239" t="str">
            <v>BP-18013</v>
          </cell>
          <cell r="DB239">
            <v>0</v>
          </cell>
          <cell r="DC239">
            <v>0</v>
          </cell>
        </row>
        <row r="240">
          <cell r="B240" t="str">
            <v>F-212</v>
          </cell>
          <cell r="DB240">
            <v>0</v>
          </cell>
          <cell r="DC240">
            <v>0</v>
          </cell>
        </row>
        <row r="241">
          <cell r="B241" t="str">
            <v>F-206</v>
          </cell>
          <cell r="DB241">
            <v>0</v>
          </cell>
          <cell r="DC241">
            <v>0</v>
          </cell>
        </row>
        <row r="242">
          <cell r="B242" t="str">
            <v>ASA40-1-REEL</v>
          </cell>
          <cell r="DB242">
            <v>0</v>
          </cell>
          <cell r="DC242">
            <v>0</v>
          </cell>
        </row>
        <row r="243">
          <cell r="B243" t="str">
            <v>SER-55-MX</v>
          </cell>
          <cell r="DB243">
            <v>0</v>
          </cell>
          <cell r="DC243">
            <v>0</v>
          </cell>
        </row>
        <row r="244">
          <cell r="B244" t="str">
            <v>BHA-2020-ZO</v>
          </cell>
          <cell r="DB244">
            <v>0</v>
          </cell>
          <cell r="DC244">
            <v>0</v>
          </cell>
        </row>
        <row r="245">
          <cell r="B245" t="str">
            <v>ECL209-27DG</v>
          </cell>
          <cell r="DB245">
            <v>0</v>
          </cell>
          <cell r="DC245">
            <v>0</v>
          </cell>
        </row>
        <row r="246">
          <cell r="B246" t="str">
            <v>HD06-2RST1</v>
          </cell>
          <cell r="DB246">
            <v>0</v>
          </cell>
          <cell r="DC246">
            <v>0</v>
          </cell>
        </row>
        <row r="247">
          <cell r="B247" t="str">
            <v>22215-CW33C3</v>
          </cell>
          <cell r="DB247">
            <v>0</v>
          </cell>
          <cell r="DC247">
            <v>0</v>
          </cell>
        </row>
        <row r="248">
          <cell r="B248" t="str">
            <v>BP-20005-BI</v>
          </cell>
          <cell r="DB248">
            <v>0</v>
          </cell>
          <cell r="DC248">
            <v>0</v>
          </cell>
        </row>
        <row r="249">
          <cell r="B249" t="str">
            <v>BP-20005-BD</v>
          </cell>
          <cell r="DB249">
            <v>0</v>
          </cell>
          <cell r="DC249">
            <v>0</v>
          </cell>
        </row>
        <row r="250">
          <cell r="B250" t="str">
            <v>PE209-M</v>
          </cell>
          <cell r="DB250">
            <v>0</v>
          </cell>
          <cell r="DC250">
            <v>0</v>
          </cell>
        </row>
        <row r="251">
          <cell r="B251" t="str">
            <v>ECL212-39D</v>
          </cell>
          <cell r="DB251">
            <v>0</v>
          </cell>
          <cell r="DC251">
            <v>0</v>
          </cell>
        </row>
        <row r="252">
          <cell r="B252" t="str">
            <v>32219-MX</v>
          </cell>
          <cell r="DB252">
            <v>0</v>
          </cell>
          <cell r="DC252">
            <v>0</v>
          </cell>
        </row>
        <row r="253">
          <cell r="B253" t="str">
            <v>204KYY2</v>
          </cell>
          <cell r="DB253">
            <v>0</v>
          </cell>
          <cell r="DC253">
            <v>0</v>
          </cell>
        </row>
        <row r="254">
          <cell r="B254" t="str">
            <v>59190</v>
          </cell>
          <cell r="DB254">
            <v>0</v>
          </cell>
          <cell r="DC254">
            <v>0</v>
          </cell>
        </row>
        <row r="255">
          <cell r="B255" t="str">
            <v>MS10-2RS</v>
          </cell>
          <cell r="DB255">
            <v>0</v>
          </cell>
          <cell r="DC255">
            <v>0</v>
          </cell>
        </row>
        <row r="256">
          <cell r="B256" t="str">
            <v>F-208</v>
          </cell>
          <cell r="DB256">
            <v>0</v>
          </cell>
          <cell r="DC256">
            <v>0</v>
          </cell>
        </row>
        <row r="257">
          <cell r="B257" t="str">
            <v>SAB-204-20DG</v>
          </cell>
          <cell r="DB257">
            <v>0</v>
          </cell>
          <cell r="DC257">
            <v>0</v>
          </cell>
        </row>
        <row r="258">
          <cell r="B258" t="str">
            <v>ASA-80-2</v>
          </cell>
          <cell r="DB258">
            <v>0</v>
          </cell>
          <cell r="DC258">
            <v>0</v>
          </cell>
        </row>
        <row r="259">
          <cell r="B259" t="str">
            <v>MS11-2RS</v>
          </cell>
          <cell r="DB259">
            <v>0</v>
          </cell>
          <cell r="DC259">
            <v>0</v>
          </cell>
        </row>
        <row r="260">
          <cell r="B260" t="str">
            <v>BA-3616-ZOH</v>
          </cell>
          <cell r="DB260">
            <v>0</v>
          </cell>
          <cell r="DC260">
            <v>0</v>
          </cell>
        </row>
        <row r="261">
          <cell r="B261" t="str">
            <v>22218-CKW33C</v>
          </cell>
          <cell r="DB261">
            <v>0</v>
          </cell>
          <cell r="DC261">
            <v>0</v>
          </cell>
        </row>
        <row r="262">
          <cell r="B262" t="str">
            <v>PB002452</v>
          </cell>
          <cell r="DB262">
            <v>0</v>
          </cell>
          <cell r="DC262">
            <v>0</v>
          </cell>
        </row>
        <row r="263">
          <cell r="B263" t="str">
            <v>207-KRRB9</v>
          </cell>
          <cell r="DB263">
            <v>0</v>
          </cell>
          <cell r="DC263">
            <v>0</v>
          </cell>
        </row>
        <row r="264">
          <cell r="B264" t="str">
            <v>ASA-100-1H</v>
          </cell>
          <cell r="DB264">
            <v>0</v>
          </cell>
          <cell r="DC264">
            <v>0</v>
          </cell>
        </row>
        <row r="265">
          <cell r="B265" t="str">
            <v>SAB208-40LG</v>
          </cell>
          <cell r="DB265">
            <v>0</v>
          </cell>
          <cell r="DC265">
            <v>0</v>
          </cell>
        </row>
        <row r="266">
          <cell r="B266" t="str">
            <v>AG-1235-PPZ9</v>
          </cell>
          <cell r="DB266">
            <v>0</v>
          </cell>
          <cell r="DC266">
            <v>0</v>
          </cell>
        </row>
        <row r="267">
          <cell r="B267" t="str">
            <v>ACL205-16RG</v>
          </cell>
          <cell r="DB267">
            <v>0</v>
          </cell>
          <cell r="DC267">
            <v>0</v>
          </cell>
        </row>
        <row r="268">
          <cell r="B268" t="str">
            <v>SAB205-16DG</v>
          </cell>
          <cell r="DB268">
            <v>0</v>
          </cell>
          <cell r="DC268">
            <v>0</v>
          </cell>
        </row>
        <row r="269">
          <cell r="B269" t="str">
            <v>204-KRR2</v>
          </cell>
          <cell r="DB269">
            <v>0</v>
          </cell>
          <cell r="DC269">
            <v>0</v>
          </cell>
        </row>
        <row r="270">
          <cell r="B270" t="str">
            <v>TS05-2RS</v>
          </cell>
          <cell r="DB270">
            <v>0</v>
          </cell>
          <cell r="DC270">
            <v>0</v>
          </cell>
        </row>
        <row r="271">
          <cell r="B271" t="str">
            <v>PB000864</v>
          </cell>
          <cell r="DB271">
            <v>0</v>
          </cell>
          <cell r="DC271">
            <v>0</v>
          </cell>
        </row>
        <row r="272">
          <cell r="B272" t="str">
            <v>ACL206-19RG</v>
          </cell>
          <cell r="DB272">
            <v>0</v>
          </cell>
          <cell r="DC272">
            <v>0</v>
          </cell>
        </row>
        <row r="273">
          <cell r="B273" t="str">
            <v>SBX-1706</v>
          </cell>
          <cell r="DB273">
            <v>0</v>
          </cell>
          <cell r="DC273">
            <v>0</v>
          </cell>
        </row>
        <row r="274">
          <cell r="B274" t="str">
            <v>SAB211-55DG</v>
          </cell>
          <cell r="DB274">
            <v>0</v>
          </cell>
          <cell r="DC274">
            <v>0</v>
          </cell>
        </row>
        <row r="275">
          <cell r="B275" t="str">
            <v>ACL206-20</v>
          </cell>
          <cell r="DB275">
            <v>0</v>
          </cell>
          <cell r="DC275">
            <v>0</v>
          </cell>
        </row>
        <row r="276">
          <cell r="B276" t="str">
            <v>LS10-2RS</v>
          </cell>
          <cell r="DB276">
            <v>0</v>
          </cell>
          <cell r="DC276">
            <v>0</v>
          </cell>
        </row>
        <row r="277">
          <cell r="B277" t="str">
            <v>ASLLF205-14R</v>
          </cell>
          <cell r="DB277">
            <v>0</v>
          </cell>
          <cell r="DC277">
            <v>0</v>
          </cell>
        </row>
        <row r="278">
          <cell r="B278" t="str">
            <v>22310CKW33C3</v>
          </cell>
          <cell r="DB278">
            <v>0</v>
          </cell>
          <cell r="DC278">
            <v>0</v>
          </cell>
        </row>
        <row r="279">
          <cell r="B279" t="str">
            <v>SAB206-30DG</v>
          </cell>
          <cell r="DB279">
            <v>0</v>
          </cell>
          <cell r="DC279">
            <v>0</v>
          </cell>
        </row>
        <row r="280">
          <cell r="B280" t="str">
            <v>DS2565C25-08</v>
          </cell>
          <cell r="DB280">
            <v>0</v>
          </cell>
          <cell r="DC280">
            <v>0</v>
          </cell>
        </row>
        <row r="281">
          <cell r="B281" t="str">
            <v>ACL-209-45DG</v>
          </cell>
          <cell r="DB281">
            <v>0</v>
          </cell>
          <cell r="DC281">
            <v>0</v>
          </cell>
        </row>
        <row r="282">
          <cell r="B282" t="str">
            <v>320-32X</v>
          </cell>
          <cell r="DB282">
            <v>0</v>
          </cell>
          <cell r="DC282">
            <v>0</v>
          </cell>
        </row>
        <row r="283">
          <cell r="B283" t="str">
            <v>HD05-2RST</v>
          </cell>
          <cell r="DB283">
            <v>0</v>
          </cell>
          <cell r="DC283">
            <v>0</v>
          </cell>
        </row>
        <row r="284">
          <cell r="B284" t="str">
            <v>51217</v>
          </cell>
          <cell r="DB284">
            <v>0</v>
          </cell>
          <cell r="DC284">
            <v>0</v>
          </cell>
        </row>
        <row r="285">
          <cell r="B285" t="str">
            <v>PE-205</v>
          </cell>
          <cell r="DB285">
            <v>0</v>
          </cell>
          <cell r="DC285">
            <v>0</v>
          </cell>
        </row>
        <row r="286">
          <cell r="B286" t="str">
            <v>ASA415-H-REE</v>
          </cell>
          <cell r="DB286">
            <v>0</v>
          </cell>
          <cell r="DC286">
            <v>0</v>
          </cell>
        </row>
        <row r="287">
          <cell r="B287" t="str">
            <v>208KPPB52</v>
          </cell>
          <cell r="DB287">
            <v>0</v>
          </cell>
          <cell r="DC287">
            <v>0</v>
          </cell>
        </row>
        <row r="288">
          <cell r="B288" t="str">
            <v>FB-211</v>
          </cell>
          <cell r="DB288">
            <v>0</v>
          </cell>
          <cell r="DC288">
            <v>0</v>
          </cell>
        </row>
        <row r="289">
          <cell r="B289" t="str">
            <v>ASA-80-2-10</v>
          </cell>
          <cell r="DB289">
            <v>0</v>
          </cell>
          <cell r="DC289">
            <v>0</v>
          </cell>
        </row>
        <row r="290">
          <cell r="B290" t="str">
            <v>5205-2RST</v>
          </cell>
          <cell r="DB290">
            <v>0</v>
          </cell>
          <cell r="DC290">
            <v>0</v>
          </cell>
        </row>
        <row r="291">
          <cell r="B291" t="str">
            <v>ECL208-24DG</v>
          </cell>
          <cell r="DB291">
            <v>0</v>
          </cell>
          <cell r="DC291">
            <v>0</v>
          </cell>
        </row>
        <row r="292">
          <cell r="B292" t="str">
            <v>ACL-208-40mm</v>
          </cell>
          <cell r="DB292">
            <v>0</v>
          </cell>
          <cell r="DC292">
            <v>0</v>
          </cell>
        </row>
        <row r="293">
          <cell r="B293" t="str">
            <v>ACL-205-25MM</v>
          </cell>
          <cell r="DB293">
            <v>0</v>
          </cell>
          <cell r="DC293">
            <v>0</v>
          </cell>
        </row>
        <row r="294">
          <cell r="B294" t="str">
            <v>04330121-01</v>
          </cell>
          <cell r="DB294">
            <v>0</v>
          </cell>
          <cell r="DC294">
            <v>0</v>
          </cell>
        </row>
        <row r="295">
          <cell r="B295" t="str">
            <v>LS04-2RS</v>
          </cell>
          <cell r="DB295">
            <v>0</v>
          </cell>
          <cell r="DC295">
            <v>0</v>
          </cell>
        </row>
        <row r="296">
          <cell r="B296" t="str">
            <v>LS05-2RLD</v>
          </cell>
          <cell r="DB296">
            <v>0</v>
          </cell>
          <cell r="DC296">
            <v>0</v>
          </cell>
        </row>
        <row r="297">
          <cell r="B297" t="str">
            <v>32217-MX</v>
          </cell>
          <cell r="DB297">
            <v>0</v>
          </cell>
          <cell r="DC297">
            <v>0</v>
          </cell>
        </row>
        <row r="298">
          <cell r="B298" t="str">
            <v>PE-212</v>
          </cell>
          <cell r="DB298">
            <v>0</v>
          </cell>
          <cell r="DC298">
            <v>0</v>
          </cell>
        </row>
        <row r="299">
          <cell r="B299" t="str">
            <v>ACL206-30RG</v>
          </cell>
          <cell r="DB299">
            <v>0</v>
          </cell>
          <cell r="DC299">
            <v>0</v>
          </cell>
        </row>
        <row r="300">
          <cell r="B300" t="str">
            <v>51114</v>
          </cell>
          <cell r="DB300">
            <v>0</v>
          </cell>
          <cell r="DC300">
            <v>0</v>
          </cell>
        </row>
        <row r="301">
          <cell r="B301" t="str">
            <v>SAB5207-35</v>
          </cell>
          <cell r="DB301">
            <v>0</v>
          </cell>
          <cell r="DC301">
            <v>0</v>
          </cell>
        </row>
        <row r="302">
          <cell r="B302" t="str">
            <v>FT-207</v>
          </cell>
          <cell r="DB302">
            <v>0</v>
          </cell>
          <cell r="DC302">
            <v>0</v>
          </cell>
        </row>
        <row r="303">
          <cell r="B303" t="str">
            <v>F-205</v>
          </cell>
          <cell r="DB303">
            <v>0</v>
          </cell>
          <cell r="DC303">
            <v>0</v>
          </cell>
        </row>
        <row r="304">
          <cell r="B304" t="str">
            <v>33110-MX</v>
          </cell>
          <cell r="DB304">
            <v>0</v>
          </cell>
          <cell r="DC304">
            <v>0</v>
          </cell>
        </row>
        <row r="305">
          <cell r="B305" t="str">
            <v>NK-2830</v>
          </cell>
          <cell r="DB305">
            <v>0</v>
          </cell>
          <cell r="DC305">
            <v>0</v>
          </cell>
        </row>
        <row r="306">
          <cell r="B306" t="str">
            <v>ECL211-32MG</v>
          </cell>
          <cell r="DB306">
            <v>0</v>
          </cell>
          <cell r="DC306">
            <v>0</v>
          </cell>
        </row>
        <row r="307">
          <cell r="B307" t="str">
            <v>ACL205-14RG</v>
          </cell>
          <cell r="DB307">
            <v>0</v>
          </cell>
          <cell r="DC307">
            <v>0</v>
          </cell>
        </row>
        <row r="308">
          <cell r="B308" t="str">
            <v>ECL305-25DG</v>
          </cell>
          <cell r="DB308">
            <v>0</v>
          </cell>
          <cell r="DC308">
            <v>0</v>
          </cell>
        </row>
        <row r="309">
          <cell r="B309" t="str">
            <v>HD03-2RST</v>
          </cell>
          <cell r="DB309">
            <v>0</v>
          </cell>
          <cell r="DC309">
            <v>0</v>
          </cell>
        </row>
        <row r="310">
          <cell r="B310" t="str">
            <v>HD01-2RS</v>
          </cell>
          <cell r="DB310">
            <v>0</v>
          </cell>
          <cell r="DC310">
            <v>0</v>
          </cell>
        </row>
        <row r="311">
          <cell r="B311" t="str">
            <v>208-KRR4</v>
          </cell>
          <cell r="DB311">
            <v>0</v>
          </cell>
          <cell r="DC311">
            <v>0</v>
          </cell>
        </row>
        <row r="312">
          <cell r="B312" t="str">
            <v>LS08-2RST1</v>
          </cell>
          <cell r="DB312">
            <v>0</v>
          </cell>
          <cell r="DC312">
            <v>0</v>
          </cell>
        </row>
        <row r="313">
          <cell r="B313" t="str">
            <v>5203-KYY9</v>
          </cell>
          <cell r="DB313">
            <v>0</v>
          </cell>
          <cell r="DC313">
            <v>0</v>
          </cell>
        </row>
        <row r="314">
          <cell r="B314" t="str">
            <v>22310-CW33C3</v>
          </cell>
          <cell r="DB314">
            <v>0</v>
          </cell>
          <cell r="DC314">
            <v>0</v>
          </cell>
        </row>
        <row r="315">
          <cell r="B315" t="str">
            <v>YB-3216</v>
          </cell>
          <cell r="DB315">
            <v>0</v>
          </cell>
          <cell r="DC315">
            <v>0</v>
          </cell>
        </row>
        <row r="316">
          <cell r="B316" t="str">
            <v>32007-MX</v>
          </cell>
          <cell r="DB316">
            <v>0</v>
          </cell>
          <cell r="DC316">
            <v>0</v>
          </cell>
        </row>
        <row r="317">
          <cell r="B317" t="str">
            <v>UC-214-DBL</v>
          </cell>
          <cell r="DB317">
            <v>0</v>
          </cell>
          <cell r="DC317">
            <v>0</v>
          </cell>
        </row>
        <row r="318">
          <cell r="B318" t="str">
            <v>CA627-M40A-3</v>
          </cell>
          <cell r="DB318">
            <v>0</v>
          </cell>
          <cell r="DC318">
            <v>0</v>
          </cell>
        </row>
        <row r="319">
          <cell r="B319" t="str">
            <v>32210-MX</v>
          </cell>
          <cell r="DB319">
            <v>0</v>
          </cell>
          <cell r="DC319">
            <v>0</v>
          </cell>
        </row>
        <row r="320">
          <cell r="B320" t="str">
            <v>ASA-100-1</v>
          </cell>
          <cell r="DB320">
            <v>0</v>
          </cell>
          <cell r="DC320">
            <v>0</v>
          </cell>
        </row>
        <row r="321">
          <cell r="B321" t="str">
            <v>203-KRR2</v>
          </cell>
          <cell r="DB321">
            <v>0</v>
          </cell>
          <cell r="DC321">
            <v>0</v>
          </cell>
        </row>
        <row r="322">
          <cell r="B322" t="str">
            <v>PFT-7-ZM</v>
          </cell>
          <cell r="DB322">
            <v>0</v>
          </cell>
          <cell r="DC322">
            <v>0</v>
          </cell>
        </row>
        <row r="323">
          <cell r="B323" t="str">
            <v>FC-209</v>
          </cell>
          <cell r="DB323">
            <v>0</v>
          </cell>
          <cell r="DC323">
            <v>0</v>
          </cell>
        </row>
        <row r="324">
          <cell r="B324" t="str">
            <v>UK-208</v>
          </cell>
          <cell r="DB324">
            <v>0</v>
          </cell>
          <cell r="DC324">
            <v>0</v>
          </cell>
        </row>
        <row r="325">
          <cell r="B325" t="str">
            <v>6306</v>
          </cell>
          <cell r="DB325">
            <v>0</v>
          </cell>
          <cell r="DC325">
            <v>0</v>
          </cell>
        </row>
        <row r="326">
          <cell r="B326" t="str">
            <v>22210-CW33C3</v>
          </cell>
          <cell r="DB326">
            <v>0</v>
          </cell>
          <cell r="DC326">
            <v>0</v>
          </cell>
        </row>
        <row r="327">
          <cell r="B327" t="str">
            <v>FT-206</v>
          </cell>
          <cell r="DB327">
            <v>0</v>
          </cell>
          <cell r="DC327">
            <v>0</v>
          </cell>
        </row>
        <row r="328">
          <cell r="B328" t="str">
            <v>HD06-2RS</v>
          </cell>
          <cell r="DB328">
            <v>0</v>
          </cell>
          <cell r="DC328">
            <v>0</v>
          </cell>
        </row>
        <row r="329">
          <cell r="B329" t="str">
            <v>PF-6-Z</v>
          </cell>
          <cell r="DB329">
            <v>0</v>
          </cell>
          <cell r="DC329">
            <v>0</v>
          </cell>
        </row>
        <row r="330">
          <cell r="B330" t="str">
            <v>LS28-2RS</v>
          </cell>
          <cell r="DB330">
            <v>0</v>
          </cell>
          <cell r="DC330">
            <v>0</v>
          </cell>
        </row>
        <row r="331">
          <cell r="B331" t="str">
            <v>ECL210-31TPL</v>
          </cell>
          <cell r="DB331">
            <v>0</v>
          </cell>
          <cell r="DC331">
            <v>0</v>
          </cell>
        </row>
        <row r="332">
          <cell r="B332" t="str">
            <v>BL-10-BD</v>
          </cell>
          <cell r="DB332">
            <v>0</v>
          </cell>
          <cell r="DC332">
            <v>0</v>
          </cell>
        </row>
        <row r="333">
          <cell r="B333" t="str">
            <v>ECL-204-20DG</v>
          </cell>
          <cell r="DB333">
            <v>0</v>
          </cell>
          <cell r="DC333">
            <v>0</v>
          </cell>
        </row>
        <row r="334">
          <cell r="B334" t="str">
            <v>OL-80-1-H</v>
          </cell>
          <cell r="DB334">
            <v>0</v>
          </cell>
          <cell r="DC334">
            <v>0</v>
          </cell>
        </row>
        <row r="335">
          <cell r="B335" t="str">
            <v>W208PPB16</v>
          </cell>
          <cell r="DB335">
            <v>0</v>
          </cell>
          <cell r="DC335">
            <v>0</v>
          </cell>
        </row>
        <row r="336">
          <cell r="B336" t="str">
            <v>PB004772</v>
          </cell>
          <cell r="DB336">
            <v>0</v>
          </cell>
          <cell r="DC336">
            <v>0</v>
          </cell>
        </row>
        <row r="337">
          <cell r="B337" t="str">
            <v>ASL206-30RR</v>
          </cell>
          <cell r="DB337">
            <v>0</v>
          </cell>
          <cell r="DC337">
            <v>0</v>
          </cell>
        </row>
        <row r="338">
          <cell r="B338" t="str">
            <v>F-213</v>
          </cell>
          <cell r="DB338">
            <v>0</v>
          </cell>
          <cell r="DC338">
            <v>0</v>
          </cell>
        </row>
        <row r="339">
          <cell r="B339" t="str">
            <v>PA-209</v>
          </cell>
          <cell r="DB339">
            <v>0</v>
          </cell>
          <cell r="DC339">
            <v>0</v>
          </cell>
        </row>
        <row r="340">
          <cell r="B340" t="str">
            <v>5203-KYY9-A</v>
          </cell>
          <cell r="DB340">
            <v>0</v>
          </cell>
          <cell r="DC340">
            <v>0</v>
          </cell>
        </row>
        <row r="341">
          <cell r="B341" t="str">
            <v>BHA-1616-ZOH</v>
          </cell>
          <cell r="DB341">
            <v>0</v>
          </cell>
          <cell r="DC341">
            <v>0</v>
          </cell>
        </row>
        <row r="342">
          <cell r="B342" t="str">
            <v>32208-MX</v>
          </cell>
          <cell r="DB342">
            <v>0</v>
          </cell>
          <cell r="DC342">
            <v>0</v>
          </cell>
        </row>
        <row r="343">
          <cell r="B343" t="str">
            <v>LS04-2RST</v>
          </cell>
          <cell r="DB343">
            <v>0</v>
          </cell>
          <cell r="DC343">
            <v>0</v>
          </cell>
        </row>
        <row r="344">
          <cell r="B344" t="str">
            <v>MS00-2RS</v>
          </cell>
          <cell r="DB344">
            <v>0</v>
          </cell>
          <cell r="DC344">
            <v>0</v>
          </cell>
        </row>
        <row r="345">
          <cell r="B345" t="str">
            <v>G-209-KYYB2</v>
          </cell>
          <cell r="DB345">
            <v>0</v>
          </cell>
          <cell r="DC345">
            <v>0</v>
          </cell>
        </row>
        <row r="346">
          <cell r="B346" t="str">
            <v>NK-5025</v>
          </cell>
          <cell r="DB346">
            <v>0</v>
          </cell>
          <cell r="DC346">
            <v>0</v>
          </cell>
        </row>
        <row r="347">
          <cell r="B347" t="str">
            <v>32220-MX</v>
          </cell>
          <cell r="DB347">
            <v>0.19204384705882352</v>
          </cell>
          <cell r="DC347">
            <v>0.19978572610604522</v>
          </cell>
        </row>
        <row r="348">
          <cell r="B348" t="str">
            <v>UC-209-45</v>
          </cell>
          <cell r="DB348">
            <v>0</v>
          </cell>
          <cell r="DC348">
            <v>0</v>
          </cell>
        </row>
        <row r="349">
          <cell r="B349" t="str">
            <v>PFT-5-Z</v>
          </cell>
          <cell r="DB349">
            <v>0</v>
          </cell>
          <cell r="DC349">
            <v>3.2399999999999998E-2</v>
          </cell>
        </row>
      </sheetData>
      <sheetData sheetId="13"/>
      <sheetData sheetId="14"/>
      <sheetData sheetId="15"/>
      <sheetData sheetId="16"/>
      <sheetData sheetId="1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 a Pedir"/>
      <sheetName val="INFO-INSUMOS"/>
      <sheetName val="INFO-OEE"/>
      <sheetName val="INFO-Personal"/>
      <sheetName val="INFO-Direc"/>
      <sheetName val="INFO- Mant"/>
      <sheetName val="INFO- Indirec"/>
      <sheetName val="INFO- Pos"/>
      <sheetName val="Generador de Hojas"/>
      <sheetName val="Corte por Laser"/>
      <sheetName val="TMP_VBA"/>
      <sheetName val="Corte por Agua"/>
      <sheetName val="Sierra"/>
      <sheetName val="Torno RIFA RFCZ12"/>
      <sheetName val="Torno Microcut LT65"/>
      <sheetName val="Torno CNC HWACHEON CUTEX 240B"/>
      <sheetName val="CM RIFA RFVM60"/>
      <sheetName val="CM HWACHEON SIRIUS 550"/>
      <sheetName val="CM Mitsubishi"/>
      <sheetName val="CM RIFA 4 Ejes"/>
      <sheetName val="_TMP_VBA_"/>
    </sheetNames>
    <sheetDataSet>
      <sheetData sheetId="0"/>
      <sheetData sheetId="1">
        <row r="9">
          <cell r="CJ9" t="str">
            <v>Fresas</v>
          </cell>
        </row>
        <row r="10">
          <cell r="CJ10" t="str">
            <v>Insertos</v>
          </cell>
        </row>
        <row r="11">
          <cell r="D11" t="str">
            <v xml:space="preserve">Esferica </v>
          </cell>
          <cell r="F11" t="str">
            <v>Plana</v>
          </cell>
          <cell r="H11" t="str">
            <v xml:space="preserve">12 mm </v>
          </cell>
          <cell r="J11" t="str">
            <v xml:space="preserve">16 mm </v>
          </cell>
          <cell r="L11" t="str">
            <v xml:space="preserve">20 mm </v>
          </cell>
          <cell r="N11" t="str">
            <v>25 mm</v>
          </cell>
          <cell r="P11" t="str">
            <v>32 mm</v>
          </cell>
          <cell r="R11" t="str">
            <v>40 mm</v>
          </cell>
          <cell r="T11" t="str">
            <v>63 mm</v>
          </cell>
          <cell r="Z11" t="str">
            <v>Para Ranurar</v>
          </cell>
          <cell r="AB11" t="str">
            <v>Para Roscar</v>
          </cell>
          <cell r="CJ11" t="str">
            <v>Mechas</v>
          </cell>
        </row>
        <row r="12">
          <cell r="CJ12" t="str">
            <v/>
          </cell>
        </row>
        <row r="13">
          <cell r="CJ13" t="str">
            <v/>
          </cell>
        </row>
        <row r="14">
          <cell r="CJ14" t="str">
            <v/>
          </cell>
        </row>
      </sheetData>
      <sheetData sheetId="2"/>
      <sheetData sheetId="3"/>
      <sheetData sheetId="4">
        <row r="14">
          <cell r="D14" t="str">
            <v>Lubricante 1</v>
          </cell>
        </row>
        <row r="15">
          <cell r="D15" t="str">
            <v>Lubricante 2</v>
          </cell>
        </row>
        <row r="16">
          <cell r="D16" t="str">
            <v>Lubricante 3</v>
          </cell>
        </row>
        <row r="17">
          <cell r="D17" t="str">
            <v>Lubricante 4</v>
          </cell>
        </row>
        <row r="18">
          <cell r="D18" t="str">
            <v>Lubricante 5</v>
          </cell>
        </row>
        <row r="19">
          <cell r="D19" t="str">
            <v>Lubricante 6</v>
          </cell>
        </row>
        <row r="22">
          <cell r="D22" t="str">
            <v>Refrigerante 1</v>
          </cell>
        </row>
        <row r="23">
          <cell r="D23" t="str">
            <v>Refrigerante 2</v>
          </cell>
        </row>
        <row r="24">
          <cell r="D24" t="str">
            <v>Refrigerante 3</v>
          </cell>
        </row>
        <row r="25">
          <cell r="D25" t="str">
            <v>Refrigerante 4</v>
          </cell>
        </row>
        <row r="26">
          <cell r="D26" t="str">
            <v>Refrigerante 5</v>
          </cell>
        </row>
        <row r="27">
          <cell r="D27" t="str">
            <v>Refrigerante 6</v>
          </cell>
        </row>
      </sheetData>
      <sheetData sheetId="5">
        <row r="9">
          <cell r="D9" t="str">
            <v>Repuesto 1</v>
          </cell>
        </row>
      </sheetData>
      <sheetData sheetId="6"/>
      <sheetData sheetId="7">
        <row r="9">
          <cell r="N9" t="str">
            <v>Corte por Laser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ulas de producc"/>
      <sheetName val="Datos"/>
    </sheetNames>
    <sheetDataSet>
      <sheetData sheetId="0"/>
      <sheetData sheetId="1">
        <row r="3">
          <cell r="C3" t="str">
            <v>BPB-048-BP-16003</v>
          </cell>
          <cell r="F3">
            <v>45903.627268518518</v>
          </cell>
          <cell r="H3" t="str">
            <v>BPB-027-BP-16003-09</v>
          </cell>
          <cell r="J3">
            <v>1</v>
          </cell>
        </row>
        <row r="4">
          <cell r="C4" t="str">
            <v>BPB-048-BP-16003</v>
          </cell>
          <cell r="F4">
            <v>45903.627268518518</v>
          </cell>
          <cell r="H4" t="str">
            <v>B&amp;P-048-204-KYY2</v>
          </cell>
          <cell r="J4">
            <v>1</v>
          </cell>
        </row>
        <row r="5">
          <cell r="C5" t="str">
            <v>BPB-048-AG-353040CHS</v>
          </cell>
          <cell r="F5">
            <v>44357.373530092591</v>
          </cell>
          <cell r="H5" t="str">
            <v>BPB-056-ENG353040CHS</v>
          </cell>
          <cell r="J5">
            <v>1</v>
          </cell>
        </row>
        <row r="6">
          <cell r="C6" t="str">
            <v>BPB-048-AG-353040CHS</v>
          </cell>
          <cell r="F6">
            <v>44357.373530092591</v>
          </cell>
          <cell r="H6" t="str">
            <v>B&amp;P-048-59190-16</v>
          </cell>
          <cell r="J6">
            <v>1</v>
          </cell>
        </row>
        <row r="7">
          <cell r="C7" t="str">
            <v>BPB-133-M040000075</v>
          </cell>
          <cell r="F7">
            <v>45586.452187499999</v>
          </cell>
          <cell r="H7" t="str">
            <v>BPB-044-M041300001</v>
          </cell>
          <cell r="J7">
            <v>21</v>
          </cell>
        </row>
        <row r="8">
          <cell r="C8" t="str">
            <v>BPB-133-M040000075</v>
          </cell>
          <cell r="F8">
            <v>45586.452187499999</v>
          </cell>
          <cell r="H8" t="str">
            <v>B&amp;P-033-CA-550-A1</v>
          </cell>
          <cell r="J8">
            <v>11</v>
          </cell>
        </row>
        <row r="9">
          <cell r="C9" t="str">
            <v>BPB-133-M040000075</v>
          </cell>
          <cell r="F9">
            <v>45586.452187499999</v>
          </cell>
          <cell r="H9" t="str">
            <v>B&amp;P-033-CA550-A1-CL</v>
          </cell>
          <cell r="J9">
            <v>2</v>
          </cell>
        </row>
        <row r="10">
          <cell r="C10" t="str">
            <v>BPB-133-M040000075</v>
          </cell>
          <cell r="F10">
            <v>45586.452187499999</v>
          </cell>
          <cell r="H10" t="str">
            <v>B&amp;P-037-M04132</v>
          </cell>
          <cell r="J10">
            <v>42</v>
          </cell>
        </row>
        <row r="11">
          <cell r="C11" t="str">
            <v>BPB-133-M040000075</v>
          </cell>
          <cell r="F11">
            <v>45586.452187499999</v>
          </cell>
          <cell r="H11" t="str">
            <v>BPB-037-TO8x20-CT</v>
          </cell>
          <cell r="J11">
            <v>42</v>
          </cell>
        </row>
        <row r="12">
          <cell r="C12" t="str">
            <v>BPB-133-M040000077</v>
          </cell>
          <cell r="F12">
            <v>44873.362986111111</v>
          </cell>
          <cell r="H12" t="str">
            <v>BPB-033-CA-550-A1</v>
          </cell>
          <cell r="J12">
            <v>4.2</v>
          </cell>
        </row>
        <row r="13">
          <cell r="C13" t="str">
            <v>BPB-133-M040000077</v>
          </cell>
          <cell r="F13">
            <v>44873.362986111111</v>
          </cell>
          <cell r="H13" t="str">
            <v>BPB-037-UPN40x20</v>
          </cell>
          <cell r="J13">
            <v>6</v>
          </cell>
        </row>
        <row r="14">
          <cell r="C14" t="str">
            <v>BPB-133-M040000077</v>
          </cell>
          <cell r="F14">
            <v>44873.362986111111</v>
          </cell>
          <cell r="H14" t="str">
            <v>BPB-033-CA550-A1-OL</v>
          </cell>
          <cell r="J14">
            <v>2</v>
          </cell>
        </row>
        <row r="15">
          <cell r="C15" t="str">
            <v>BPB-133-M040000077</v>
          </cell>
          <cell r="F15">
            <v>44873.362986111111</v>
          </cell>
          <cell r="H15" t="str">
            <v>BPB-033-CA550-A1-CL</v>
          </cell>
          <cell r="J15">
            <v>2</v>
          </cell>
        </row>
        <row r="16">
          <cell r="C16" t="str">
            <v>B&amp;P-058-HM-518445-41</v>
          </cell>
          <cell r="F16">
            <v>45742.369722222225</v>
          </cell>
          <cell r="H16" t="str">
            <v>000-053-HM-518445</v>
          </cell>
          <cell r="J16">
            <v>1</v>
          </cell>
        </row>
        <row r="17">
          <cell r="C17" t="str">
            <v>B&amp;P-058-HM-518445-41</v>
          </cell>
          <cell r="F17">
            <v>45742.369722222225</v>
          </cell>
          <cell r="H17" t="str">
            <v>000-054-TCY-8410</v>
          </cell>
          <cell r="J17">
            <v>1</v>
          </cell>
        </row>
        <row r="18">
          <cell r="C18" t="str">
            <v>PEE-048-BB203KRR2FD</v>
          </cell>
          <cell r="F18">
            <v>39384.321666666663</v>
          </cell>
          <cell r="H18" t="str">
            <v>ESG-001-BB-203-R</v>
          </cell>
          <cell r="J18">
            <v>1</v>
          </cell>
        </row>
        <row r="19">
          <cell r="C19" t="str">
            <v>PEE-048-BB203KRR2FD</v>
          </cell>
          <cell r="F19">
            <v>39384.321666666663</v>
          </cell>
          <cell r="H19" t="str">
            <v>ESG-002-BB-203-R</v>
          </cell>
          <cell r="J19">
            <v>1</v>
          </cell>
        </row>
        <row r="20">
          <cell r="C20" t="str">
            <v>PEE-048-BB203KRR2FD</v>
          </cell>
          <cell r="F20">
            <v>39384.321666666663</v>
          </cell>
          <cell r="H20" t="str">
            <v>ESG-003-17/64</v>
          </cell>
          <cell r="J20">
            <v>8</v>
          </cell>
        </row>
        <row r="21">
          <cell r="C21" t="str">
            <v>PEE-048-BB203KRR2FD</v>
          </cell>
          <cell r="F21">
            <v>39384.321666666663</v>
          </cell>
          <cell r="H21" t="str">
            <v>ESG-004-BB203KRR2FD</v>
          </cell>
          <cell r="J21">
            <v>2</v>
          </cell>
        </row>
        <row r="22">
          <cell r="C22" t="str">
            <v>PEE-048-BB203KRR2FD</v>
          </cell>
          <cell r="F22">
            <v>39384.321666666663</v>
          </cell>
          <cell r="H22" t="str">
            <v>ESG-005-BB203KRR2FD</v>
          </cell>
          <cell r="J22">
            <v>1</v>
          </cell>
        </row>
        <row r="23">
          <cell r="C23" t="str">
            <v>PEE-048-BB203KRR2FD</v>
          </cell>
          <cell r="F23">
            <v>39384.321666666663</v>
          </cell>
          <cell r="H23" t="str">
            <v>000-006-MOBILGREASE</v>
          </cell>
          <cell r="J23">
            <v>1.69</v>
          </cell>
        </row>
        <row r="24">
          <cell r="C24" t="str">
            <v>PEE-048-BB203KRR2FD</v>
          </cell>
          <cell r="F24">
            <v>39384.321666666663</v>
          </cell>
          <cell r="H24" t="str">
            <v>002-002-001</v>
          </cell>
          <cell r="J24">
            <v>0.1133</v>
          </cell>
        </row>
        <row r="25">
          <cell r="C25" t="str">
            <v>BPB-037-BP-17010</v>
          </cell>
          <cell r="F25">
            <v>43902.621388888889</v>
          </cell>
          <cell r="H25" t="str">
            <v>BPB-044-BP-17010-01Z</v>
          </cell>
          <cell r="J25">
            <v>1</v>
          </cell>
        </row>
        <row r="26">
          <cell r="C26" t="str">
            <v>BPB-037-BP-17010</v>
          </cell>
          <cell r="F26">
            <v>43902.621388888889</v>
          </cell>
          <cell r="H26" t="str">
            <v>BPB-044-BP-17010-02Z</v>
          </cell>
          <cell r="J26">
            <v>1</v>
          </cell>
        </row>
        <row r="27">
          <cell r="C27" t="str">
            <v>BPB-037-BP-17010</v>
          </cell>
          <cell r="F27">
            <v>43902.621388888889</v>
          </cell>
          <cell r="H27" t="str">
            <v>BPB-044-BP17010-05</v>
          </cell>
          <cell r="J27">
            <v>1</v>
          </cell>
        </row>
        <row r="28">
          <cell r="C28" t="str">
            <v>BPB-037-BP-17010</v>
          </cell>
          <cell r="F28">
            <v>43902.621388888889</v>
          </cell>
          <cell r="H28" t="str">
            <v>BPB-037-DIN-471.28</v>
          </cell>
          <cell r="J28">
            <v>1</v>
          </cell>
        </row>
        <row r="29">
          <cell r="C29" t="str">
            <v>BPB-037-BP-17010</v>
          </cell>
          <cell r="F29">
            <v>43902.621388888889</v>
          </cell>
          <cell r="H29" t="str">
            <v>BPB-003-BALL-1/4</v>
          </cell>
          <cell r="J29">
            <v>3</v>
          </cell>
        </row>
        <row r="30">
          <cell r="C30" t="str">
            <v>B&amp;P-ALU-EX150-5</v>
          </cell>
          <cell r="F30">
            <v>43928.580254629633</v>
          </cell>
          <cell r="H30" t="str">
            <v>B&amp;P-ALU-DISI-EX150</v>
          </cell>
          <cell r="J30">
            <v>1</v>
          </cell>
        </row>
        <row r="31">
          <cell r="C31" t="str">
            <v>B&amp;P-ALU-EX150-5</v>
          </cell>
          <cell r="F31">
            <v>43928.580254629633</v>
          </cell>
          <cell r="H31" t="str">
            <v>B&amp;P-PCB-PCBEX155</v>
          </cell>
          <cell r="J31">
            <v>1</v>
          </cell>
        </row>
        <row r="32">
          <cell r="C32" t="str">
            <v>B&amp;P-ALU-EX150-5</v>
          </cell>
          <cell r="F32">
            <v>43928.580254629633</v>
          </cell>
          <cell r="H32" t="str">
            <v>B&amp;P-ALU-EX150-LENS</v>
          </cell>
          <cell r="J32">
            <v>1</v>
          </cell>
        </row>
        <row r="33">
          <cell r="C33" t="str">
            <v>B&amp;P-ALU-EX150-5</v>
          </cell>
          <cell r="F33">
            <v>43928.580254629633</v>
          </cell>
          <cell r="H33" t="str">
            <v>B&amp;P-FAL-12Vdc-24Vdc</v>
          </cell>
          <cell r="J33">
            <v>1</v>
          </cell>
        </row>
        <row r="34">
          <cell r="C34" t="str">
            <v>B&amp;P-047-ECL-211-55DG</v>
          </cell>
          <cell r="F34">
            <v>44677.343854166669</v>
          </cell>
          <cell r="H34" t="str">
            <v>B&amp;P-002-ECL211-55-02</v>
          </cell>
          <cell r="J34">
            <v>1</v>
          </cell>
        </row>
        <row r="35">
          <cell r="C35" t="str">
            <v>B&amp;P-047-ECL-211-55DG</v>
          </cell>
          <cell r="F35">
            <v>44677.343854166669</v>
          </cell>
          <cell r="H35" t="str">
            <v>B&amp;P-001-OR211-G</v>
          </cell>
          <cell r="J35">
            <v>1</v>
          </cell>
        </row>
        <row r="36">
          <cell r="C36" t="str">
            <v>B&amp;P-047-ECL-211-55DG</v>
          </cell>
          <cell r="F36">
            <v>44677.343854166669</v>
          </cell>
          <cell r="H36" t="str">
            <v>B&amp;P-004-211-DBL-08</v>
          </cell>
          <cell r="J36">
            <v>2</v>
          </cell>
        </row>
        <row r="37">
          <cell r="C37" t="str">
            <v>B&amp;P-047-ECL-211-55DG</v>
          </cell>
          <cell r="F37">
            <v>44677.343854166669</v>
          </cell>
          <cell r="H37" t="str">
            <v>B&amp;P-005-CAGE211-17</v>
          </cell>
          <cell r="J37">
            <v>1</v>
          </cell>
        </row>
        <row r="38">
          <cell r="C38" t="str">
            <v>B&amp;P-047-ECL-211-55DG</v>
          </cell>
          <cell r="F38">
            <v>44677.343854166669</v>
          </cell>
          <cell r="H38" t="str">
            <v>B&amp;P-003-BALL-9/16</v>
          </cell>
          <cell r="J38">
            <v>10</v>
          </cell>
        </row>
        <row r="39">
          <cell r="C39" t="str">
            <v>B&amp;P-047-ECL-211-55DG</v>
          </cell>
          <cell r="F39">
            <v>44677.343854166669</v>
          </cell>
          <cell r="H39" t="str">
            <v>B&amp;P-010-LOC211-55</v>
          </cell>
          <cell r="J39">
            <v>1</v>
          </cell>
        </row>
        <row r="40">
          <cell r="C40" t="str">
            <v>PEE-HS--6203-ZZ-C3</v>
          </cell>
          <cell r="F40">
            <v>39930.755636574075</v>
          </cell>
          <cell r="H40" t="str">
            <v>PEE-HS--6203-D-C3</v>
          </cell>
          <cell r="J40">
            <v>1</v>
          </cell>
        </row>
        <row r="41">
          <cell r="C41" t="str">
            <v>PEE-HS--6203-ZZ-C3</v>
          </cell>
          <cell r="F41">
            <v>39930.755636574075</v>
          </cell>
          <cell r="H41" t="str">
            <v>000-004-ZZ-6203</v>
          </cell>
          <cell r="J41">
            <v>2</v>
          </cell>
        </row>
        <row r="42">
          <cell r="C42" t="str">
            <v>PEE-HS--6203-ZZ-C3</v>
          </cell>
          <cell r="F42">
            <v>39930.755636574075</v>
          </cell>
          <cell r="H42" t="str">
            <v>000-006-001</v>
          </cell>
          <cell r="J42">
            <v>0.8</v>
          </cell>
        </row>
        <row r="43">
          <cell r="C43" t="str">
            <v>PEE-HS--6203-ZZ-C3</v>
          </cell>
          <cell r="F43">
            <v>39930.755636574075</v>
          </cell>
          <cell r="H43" t="str">
            <v>002-002-001</v>
          </cell>
          <cell r="J43">
            <v>4.0000000000000001E-3</v>
          </cell>
        </row>
        <row r="44">
          <cell r="C44" t="str">
            <v>PEE-S---6204-2RSC3-M</v>
          </cell>
          <cell r="F44">
            <v>39022.651828703703</v>
          </cell>
          <cell r="H44" t="str">
            <v>PEE-S---6204-D-C3-M</v>
          </cell>
          <cell r="J44">
            <v>1</v>
          </cell>
        </row>
        <row r="45">
          <cell r="C45" t="str">
            <v>PEE-S---6204-2RSC3-M</v>
          </cell>
          <cell r="F45">
            <v>39022.651828703703</v>
          </cell>
          <cell r="H45" t="str">
            <v>MID-004-RLD-6204-RED</v>
          </cell>
          <cell r="J45">
            <v>2</v>
          </cell>
        </row>
        <row r="46">
          <cell r="C46" t="str">
            <v>PEE-S---6204-2RSC3-M</v>
          </cell>
          <cell r="F46">
            <v>39022.651828703703</v>
          </cell>
          <cell r="H46" t="str">
            <v>000-006-001</v>
          </cell>
          <cell r="J46">
            <v>1.4</v>
          </cell>
        </row>
        <row r="47">
          <cell r="C47" t="str">
            <v>PEE-S---6204-2RSC3-M</v>
          </cell>
          <cell r="F47">
            <v>39022.651828703703</v>
          </cell>
          <cell r="H47" t="str">
            <v>002-002-001</v>
          </cell>
          <cell r="J47">
            <v>4.0000000000000001E-3</v>
          </cell>
        </row>
        <row r="48">
          <cell r="C48" t="str">
            <v>BPB-048-J91-R</v>
          </cell>
          <cell r="F48">
            <v>40872.448738425926</v>
          </cell>
          <cell r="H48" t="str">
            <v>RET-048-J91-R</v>
          </cell>
          <cell r="J48">
            <v>1</v>
          </cell>
        </row>
        <row r="49">
          <cell r="C49" t="str">
            <v>BPB-048-J91-R</v>
          </cell>
          <cell r="F49">
            <v>40872.448738425926</v>
          </cell>
          <cell r="H49" t="str">
            <v>RET-027-J91-R.08</v>
          </cell>
          <cell r="J49">
            <v>1</v>
          </cell>
        </row>
        <row r="50">
          <cell r="C50" t="str">
            <v>BPB-048-J91-R</v>
          </cell>
          <cell r="F50">
            <v>40872.448738425926</v>
          </cell>
          <cell r="H50" t="str">
            <v>000-006-ALVANIA-RL3</v>
          </cell>
          <cell r="J50">
            <v>2</v>
          </cell>
        </row>
        <row r="51">
          <cell r="C51" t="str">
            <v>B&amp;P-ALU-MW-120XPE</v>
          </cell>
          <cell r="F51">
            <v>41982.687384259261</v>
          </cell>
          <cell r="H51" t="str">
            <v>B&amp;P-ALU-Disi-120XPE</v>
          </cell>
          <cell r="J51">
            <v>1</v>
          </cell>
        </row>
        <row r="52">
          <cell r="C52" t="str">
            <v>B&amp;P-ALU-MW-120XPE</v>
          </cell>
          <cell r="F52">
            <v>41982.687384259261</v>
          </cell>
          <cell r="H52" t="str">
            <v>B&amp;P-PCB-XTE14-CW</v>
          </cell>
          <cell r="J52">
            <v>3</v>
          </cell>
        </row>
        <row r="53">
          <cell r="C53" t="str">
            <v>B&amp;P-ALU-MW-120XPE</v>
          </cell>
          <cell r="F53">
            <v>41982.687384259261</v>
          </cell>
          <cell r="H53" t="str">
            <v>B&amp;P-PCB-XTE14-Gasket</v>
          </cell>
          <cell r="J53">
            <v>3</v>
          </cell>
        </row>
        <row r="54">
          <cell r="C54" t="str">
            <v>B&amp;P-ALU-MW-120XPE</v>
          </cell>
          <cell r="F54">
            <v>41982.687384259261</v>
          </cell>
          <cell r="H54" t="str">
            <v>B&amp;P-PCB-XTE14-70X140</v>
          </cell>
          <cell r="J54">
            <v>3</v>
          </cell>
        </row>
        <row r="55">
          <cell r="C55" t="str">
            <v>B&amp;P-ALU-MW-120XPE</v>
          </cell>
          <cell r="F55">
            <v>41982.687384259261</v>
          </cell>
          <cell r="H55" t="str">
            <v>B&amp;P-FAL-BP-120R-50</v>
          </cell>
          <cell r="J55">
            <v>1</v>
          </cell>
        </row>
        <row r="56">
          <cell r="C56" t="str">
            <v>B&amp;P-ALU-MW-120XPE</v>
          </cell>
          <cell r="F56">
            <v>41982.687384259261</v>
          </cell>
          <cell r="H56" t="str">
            <v>B&amp;P-ALU-Soporte-120X</v>
          </cell>
          <cell r="J56">
            <v>1</v>
          </cell>
        </row>
        <row r="57">
          <cell r="C57" t="str">
            <v>B&amp;P-037-BP-13011-01</v>
          </cell>
          <cell r="F57">
            <v>41976.487129629626</v>
          </cell>
          <cell r="H57" t="str">
            <v>B&amp;P-037-BP-13011-B1</v>
          </cell>
          <cell r="J57">
            <v>1</v>
          </cell>
        </row>
        <row r="58">
          <cell r="C58" t="str">
            <v>BPB-041-MS04-2RST</v>
          </cell>
          <cell r="F58">
            <v>42677.531851851854</v>
          </cell>
          <cell r="H58" t="str">
            <v>B&amp;P-001-MS04-D</v>
          </cell>
          <cell r="J58">
            <v>1</v>
          </cell>
        </row>
        <row r="59">
          <cell r="C59" t="str">
            <v>BPB-041-MS04-2RST</v>
          </cell>
          <cell r="F59">
            <v>42677.531851851854</v>
          </cell>
          <cell r="H59" t="str">
            <v>B&amp;P-002-MS04-D</v>
          </cell>
          <cell r="J59">
            <v>1</v>
          </cell>
        </row>
        <row r="60">
          <cell r="C60" t="str">
            <v>BPB-041-MS04-2RST</v>
          </cell>
          <cell r="F60">
            <v>42677.531851851854</v>
          </cell>
          <cell r="H60" t="str">
            <v>B&amp;P-003-Ball-5/16</v>
          </cell>
          <cell r="J60">
            <v>8</v>
          </cell>
        </row>
        <row r="61">
          <cell r="C61" t="str">
            <v>BPB-041-MS04-2RST</v>
          </cell>
          <cell r="F61">
            <v>42677.531851851854</v>
          </cell>
          <cell r="H61" t="str">
            <v>B&amp;P-005-RET/SET-MS04</v>
          </cell>
          <cell r="J61">
            <v>1</v>
          </cell>
        </row>
        <row r="62">
          <cell r="C62" t="str">
            <v>BPB-041-MS04-2RST</v>
          </cell>
          <cell r="F62">
            <v>42677.531851851854</v>
          </cell>
          <cell r="H62" t="str">
            <v>BPB-000-POLYREX-EM</v>
          </cell>
          <cell r="J62">
            <v>3</v>
          </cell>
        </row>
        <row r="63">
          <cell r="C63" t="str">
            <v>BPB-041-MS04-2RST</v>
          </cell>
          <cell r="F63">
            <v>42677.531851851854</v>
          </cell>
          <cell r="H63" t="str">
            <v>B&amp;P-004-MS04-2RST-08</v>
          </cell>
          <cell r="J63">
            <v>2</v>
          </cell>
        </row>
        <row r="64">
          <cell r="C64" t="str">
            <v>BPB-048-DTR-1742-FM</v>
          </cell>
          <cell r="F64">
            <v>42150.582326388889</v>
          </cell>
          <cell r="H64" t="str">
            <v>BPB-054-DTR-1742-54</v>
          </cell>
          <cell r="J64">
            <v>1</v>
          </cell>
        </row>
        <row r="65">
          <cell r="C65" t="str">
            <v>BPB-048-DTR-1742-FM</v>
          </cell>
          <cell r="F65">
            <v>42150.582326388889</v>
          </cell>
          <cell r="H65" t="str">
            <v>BPB-053-DTR-1742-53</v>
          </cell>
          <cell r="J65">
            <v>2</v>
          </cell>
        </row>
        <row r="66">
          <cell r="C66" t="str">
            <v>BPB-048-DTR-1742-FM</v>
          </cell>
          <cell r="F66">
            <v>42150.582326388889</v>
          </cell>
          <cell r="H66" t="str">
            <v>BPB-027-DTR-1742-08</v>
          </cell>
          <cell r="J66">
            <v>2</v>
          </cell>
        </row>
        <row r="67">
          <cell r="C67" t="str">
            <v>BPB-048-DTR-1742-FM</v>
          </cell>
          <cell r="F67">
            <v>42150.582326388889</v>
          </cell>
          <cell r="H67" t="str">
            <v>BPB-000-POLYREX-EM</v>
          </cell>
          <cell r="J67">
            <v>8</v>
          </cell>
        </row>
        <row r="68">
          <cell r="C68" t="str">
            <v>B&amp;P-037-BP-13011-A1</v>
          </cell>
          <cell r="F68">
            <v>42298.519791666666</v>
          </cell>
          <cell r="H68" t="str">
            <v>BPB-999-SAE4140Ø69.8</v>
          </cell>
          <cell r="J68">
            <v>0.05</v>
          </cell>
        </row>
        <row r="69">
          <cell r="C69" t="str">
            <v>BPB-133-PB000721</v>
          </cell>
          <cell r="F69">
            <v>43266.417083333334</v>
          </cell>
          <cell r="H69" t="str">
            <v>BPB-033-ASA40-1-REEL</v>
          </cell>
          <cell r="J69">
            <v>0.56000000000000005</v>
          </cell>
        </row>
        <row r="70">
          <cell r="C70" t="str">
            <v>BPB-133-PB000721</v>
          </cell>
          <cell r="F70">
            <v>43266.417083333334</v>
          </cell>
          <cell r="H70" t="str">
            <v>BPB-033-CL-40-1</v>
          </cell>
          <cell r="J70">
            <v>1</v>
          </cell>
        </row>
        <row r="71">
          <cell r="C71" t="str">
            <v>BPB-056-4575C25CHSA</v>
          </cell>
          <cell r="F71">
            <v>43322.598217592589</v>
          </cell>
          <cell r="H71" t="str">
            <v>BPB-999-SAE1045Ø114.</v>
          </cell>
          <cell r="J71">
            <v>0.04</v>
          </cell>
        </row>
        <row r="72">
          <cell r="C72" t="str">
            <v>BPB-001-NTB1613-01</v>
          </cell>
          <cell r="F72">
            <v>43508.366249999999</v>
          </cell>
          <cell r="H72" t="str">
            <v>B&amp;P-001-CF5202-2RST</v>
          </cell>
          <cell r="J72">
            <v>1</v>
          </cell>
        </row>
        <row r="73">
          <cell r="C73" t="str">
            <v>B&amp;P-ALU-EX50</v>
          </cell>
          <cell r="F73">
            <v>43768.696655092594</v>
          </cell>
          <cell r="H73" t="str">
            <v>B&amp;P-FAL-SPD-10KV</v>
          </cell>
          <cell r="J73">
            <v>1</v>
          </cell>
        </row>
        <row r="74">
          <cell r="C74" t="str">
            <v>BPB-048-AG-2565-CH</v>
          </cell>
          <cell r="F74">
            <v>43895.437280092592</v>
          </cell>
          <cell r="H74" t="str">
            <v>BPB-056-ENG-2565-CH</v>
          </cell>
          <cell r="J74">
            <v>1</v>
          </cell>
        </row>
        <row r="75">
          <cell r="C75" t="str">
            <v>BPB-047-HA-212</v>
          </cell>
          <cell r="F75">
            <v>44081.346180555556</v>
          </cell>
          <cell r="H75" t="str">
            <v>BPB-047-HA212-A2</v>
          </cell>
          <cell r="J75">
            <v>1</v>
          </cell>
        </row>
        <row r="76">
          <cell r="C76" t="str">
            <v>B&amp;P-ALU-EX50</v>
          </cell>
          <cell r="F76">
            <v>43768.696655092594</v>
          </cell>
          <cell r="H76" t="str">
            <v>B&amp;P-ALU-DISI-EX50</v>
          </cell>
          <cell r="J76">
            <v>1</v>
          </cell>
        </row>
        <row r="77">
          <cell r="C77" t="str">
            <v>B&amp;P-ALU-EX50</v>
          </cell>
          <cell r="F77">
            <v>43768.696655092594</v>
          </cell>
          <cell r="H77" t="str">
            <v>B&amp;P-ALU-EX50-LENS</v>
          </cell>
          <cell r="J77">
            <v>1</v>
          </cell>
        </row>
        <row r="78">
          <cell r="C78" t="str">
            <v>B&amp;P-ALU-EX50</v>
          </cell>
          <cell r="F78">
            <v>43768.696655092594</v>
          </cell>
          <cell r="H78" t="str">
            <v>B&amp;P-PCB-PCBEX55</v>
          </cell>
          <cell r="J78">
            <v>1</v>
          </cell>
        </row>
        <row r="79">
          <cell r="C79" t="str">
            <v>BPB-048-209-KYYB2</v>
          </cell>
          <cell r="F79">
            <v>42850.742083333331</v>
          </cell>
          <cell r="H79" t="str">
            <v>B&amp;P-002-209-K2</v>
          </cell>
          <cell r="J79">
            <v>1</v>
          </cell>
        </row>
        <row r="80">
          <cell r="C80" t="str">
            <v>BPB-048-209-KYYB2</v>
          </cell>
          <cell r="F80">
            <v>42850.742083333331</v>
          </cell>
          <cell r="H80" t="str">
            <v>B&amp;P-003-BALL-1/2</v>
          </cell>
          <cell r="J80">
            <v>9</v>
          </cell>
        </row>
        <row r="81">
          <cell r="C81" t="str">
            <v>BPB-048-209-KYYB2</v>
          </cell>
          <cell r="F81">
            <v>42850.742083333331</v>
          </cell>
          <cell r="H81" t="str">
            <v>B&amp;P-004-209-DBL-08</v>
          </cell>
          <cell r="J81">
            <v>2</v>
          </cell>
        </row>
        <row r="82">
          <cell r="C82" t="str">
            <v>BPB-048-209-KYYB2</v>
          </cell>
          <cell r="F82">
            <v>42850.742083333331</v>
          </cell>
          <cell r="H82" t="str">
            <v>BPB-000-POLYREX-EM</v>
          </cell>
          <cell r="J82">
            <v>13</v>
          </cell>
        </row>
        <row r="83">
          <cell r="C83" t="str">
            <v>BPB-048-209-KYYB2</v>
          </cell>
          <cell r="F83">
            <v>42850.742083333331</v>
          </cell>
          <cell r="H83" t="str">
            <v>B&amp;P-005-CAGE209-17</v>
          </cell>
          <cell r="J83">
            <v>1</v>
          </cell>
        </row>
        <row r="84">
          <cell r="C84" t="str">
            <v>BPB-048-209-KYYB2</v>
          </cell>
          <cell r="F84">
            <v>42850.742083333331</v>
          </cell>
          <cell r="H84" t="str">
            <v>B&amp;P-001-OR209-19</v>
          </cell>
          <cell r="J84">
            <v>1</v>
          </cell>
        </row>
        <row r="85">
          <cell r="C85" t="str">
            <v>BPB-048-AG-2565-CH</v>
          </cell>
          <cell r="F85">
            <v>43895.437280092592</v>
          </cell>
          <cell r="H85" t="str">
            <v>BPB-048-AG-1235-B</v>
          </cell>
          <cell r="J85">
            <v>1</v>
          </cell>
        </row>
        <row r="86">
          <cell r="C86" t="str">
            <v>BPB-033-ASA-80-2-12</v>
          </cell>
          <cell r="F86">
            <v>42635.668078703704</v>
          </cell>
          <cell r="H86" t="str">
            <v>BPB-033-OL-80-2</v>
          </cell>
          <cell r="J86">
            <v>1</v>
          </cell>
        </row>
        <row r="87">
          <cell r="C87" t="str">
            <v>BPB-047-F-205</v>
          </cell>
          <cell r="F87">
            <v>44559.462777777779</v>
          </cell>
          <cell r="H87" t="str">
            <v>BPB-047-F-205-A1</v>
          </cell>
          <cell r="J87">
            <v>1</v>
          </cell>
        </row>
        <row r="88">
          <cell r="C88" t="str">
            <v>BPB-041-LS06-D</v>
          </cell>
          <cell r="F88">
            <v>44701.753009259257</v>
          </cell>
          <cell r="H88" t="str">
            <v>BPB-041-LS06-2RS</v>
          </cell>
          <cell r="J88">
            <v>1</v>
          </cell>
        </row>
        <row r="89">
          <cell r="C89" t="str">
            <v>BPB-033-ASA-80-2-10</v>
          </cell>
          <cell r="F89">
            <v>42635.665717592594</v>
          </cell>
          <cell r="H89" t="str">
            <v>BPB-033-ASA-80-2</v>
          </cell>
          <cell r="J89">
            <v>5.25</v>
          </cell>
        </row>
        <row r="90">
          <cell r="C90" t="str">
            <v>BPB-033-ASA-80-2-12</v>
          </cell>
          <cell r="F90">
            <v>42635.668078703704</v>
          </cell>
          <cell r="H90" t="str">
            <v>BPB-033-ASA-80-2</v>
          </cell>
          <cell r="J90">
            <v>5</v>
          </cell>
        </row>
        <row r="91">
          <cell r="C91" t="str">
            <v>BPB-033-PB000152</v>
          </cell>
          <cell r="F91">
            <v>42809.457002314812</v>
          </cell>
          <cell r="H91" t="str">
            <v>BPB-033-ASA50-1-REEL</v>
          </cell>
          <cell r="J91">
            <v>2.25</v>
          </cell>
        </row>
        <row r="92">
          <cell r="C92" t="str">
            <v>BPB-033-PB000152</v>
          </cell>
          <cell r="F92">
            <v>42809.457002314812</v>
          </cell>
          <cell r="H92" t="str">
            <v>BPB-033-OL-50-1</v>
          </cell>
          <cell r="J92">
            <v>1</v>
          </cell>
        </row>
        <row r="93">
          <cell r="C93" t="str">
            <v>BPB-041-MS05-D</v>
          </cell>
          <cell r="F93">
            <v>44839.546689814815</v>
          </cell>
          <cell r="H93" t="str">
            <v>B&amp;P-041-MS05-2RS</v>
          </cell>
          <cell r="J93">
            <v>1</v>
          </cell>
        </row>
        <row r="94">
          <cell r="C94" t="str">
            <v>BPB-058-30208-MX</v>
          </cell>
          <cell r="F94">
            <v>44866.426400462966</v>
          </cell>
          <cell r="H94" t="str">
            <v>B&amp;P-053-X-30208</v>
          </cell>
          <cell r="J94">
            <v>1</v>
          </cell>
        </row>
        <row r="95">
          <cell r="C95" t="str">
            <v>BPB-058-30208-MX</v>
          </cell>
          <cell r="F95">
            <v>44866.426400462966</v>
          </cell>
          <cell r="H95" t="str">
            <v>B&amp;P-054-TCY208</v>
          </cell>
          <cell r="J95">
            <v>1</v>
          </cell>
        </row>
        <row r="96">
          <cell r="C96" t="str">
            <v>BPB-047-F-208-C</v>
          </cell>
          <cell r="F96">
            <v>44887.386504629627</v>
          </cell>
          <cell r="H96" t="str">
            <v>B&amp;P-047-F-208</v>
          </cell>
          <cell r="J96">
            <v>1</v>
          </cell>
        </row>
        <row r="97">
          <cell r="C97" t="str">
            <v>BPB-047-F208-M</v>
          </cell>
          <cell r="F97">
            <v>45069.703101851854</v>
          </cell>
          <cell r="H97" t="str">
            <v>B&amp;P-047-F-208</v>
          </cell>
          <cell r="J97">
            <v>1</v>
          </cell>
        </row>
        <row r="98">
          <cell r="C98" t="str">
            <v>BPB-047-SFC-85-M</v>
          </cell>
          <cell r="F98">
            <v>43020.602673611109</v>
          </cell>
          <cell r="H98" t="str">
            <v>BPB-047-FC-209</v>
          </cell>
          <cell r="J98">
            <v>1</v>
          </cell>
        </row>
        <row r="99">
          <cell r="C99" t="str">
            <v>BPB-047-SFC-85-M</v>
          </cell>
          <cell r="F99">
            <v>43020.602673611109</v>
          </cell>
          <cell r="H99" t="str">
            <v>000-CAÑ-1040-114X6</v>
          </cell>
          <cell r="J99">
            <v>0.03</v>
          </cell>
        </row>
        <row r="100">
          <cell r="C100" t="str">
            <v>B&amp;P-058-32206-MX</v>
          </cell>
          <cell r="F100">
            <v>45229.350185185183</v>
          </cell>
          <cell r="H100" t="str">
            <v>B&amp;P-053-X-32206</v>
          </cell>
          <cell r="J100">
            <v>1</v>
          </cell>
        </row>
        <row r="101">
          <cell r="C101" t="str">
            <v>B&amp;P-058-32206-MX</v>
          </cell>
          <cell r="F101">
            <v>45229.350185185183</v>
          </cell>
          <cell r="H101" t="str">
            <v>B&amp;P-054-TDY206</v>
          </cell>
          <cell r="J101">
            <v>1</v>
          </cell>
        </row>
        <row r="102">
          <cell r="C102" t="str">
            <v>BPB-058-30212-MX</v>
          </cell>
          <cell r="F102">
            <v>45259.876527777778</v>
          </cell>
          <cell r="H102" t="str">
            <v>B&amp;P-053-X-30212</v>
          </cell>
          <cell r="J102">
            <v>1</v>
          </cell>
        </row>
        <row r="103">
          <cell r="C103" t="str">
            <v>BPB-058-30212-MX</v>
          </cell>
          <cell r="F103">
            <v>45259.876527777778</v>
          </cell>
          <cell r="H103" t="str">
            <v>B&amp;P-054-TCY212</v>
          </cell>
          <cell r="J103">
            <v>1</v>
          </cell>
        </row>
        <row r="104">
          <cell r="C104" t="str">
            <v>BPB-133-ASA-80-2-10</v>
          </cell>
          <cell r="F104">
            <v>45322.375231481485</v>
          </cell>
          <cell r="H104" t="str">
            <v>B&amp;P-033-CL-80-2</v>
          </cell>
          <cell r="J104">
            <v>1</v>
          </cell>
        </row>
        <row r="105">
          <cell r="C105" t="str">
            <v>BPB-133-ASA-80-2-10</v>
          </cell>
          <cell r="F105">
            <v>45322.375231481485</v>
          </cell>
          <cell r="H105" t="str">
            <v>B&amp;P-033-ASA80-2-REEL</v>
          </cell>
          <cell r="J105">
            <v>1.6</v>
          </cell>
        </row>
        <row r="106">
          <cell r="C106" t="str">
            <v>B&amp;P-001-BP-22002-A1</v>
          </cell>
          <cell r="F106">
            <v>45400.642199074071</v>
          </cell>
          <cell r="H106" t="str">
            <v>BPB-037-SAE52100Ø70</v>
          </cell>
          <cell r="J106">
            <v>0.02</v>
          </cell>
        </row>
        <row r="107">
          <cell r="C107" t="str">
            <v>BPB-133-PB005350</v>
          </cell>
          <cell r="F107">
            <v>45616.577372685184</v>
          </cell>
          <cell r="H107" t="str">
            <v>B&amp;P-033-ASA-40-2</v>
          </cell>
          <cell r="J107">
            <v>1</v>
          </cell>
        </row>
        <row r="108">
          <cell r="C108" t="str">
            <v>BPB-133-PB005350</v>
          </cell>
          <cell r="F108">
            <v>45616.577372685184</v>
          </cell>
          <cell r="H108" t="str">
            <v>B&amp;P-033-CL-40-2</v>
          </cell>
          <cell r="J108">
            <v>1</v>
          </cell>
        </row>
        <row r="109">
          <cell r="C109" t="str">
            <v>BPB-048-205KYR2</v>
          </cell>
          <cell r="F109">
            <v>45574.433541666665</v>
          </cell>
          <cell r="H109" t="str">
            <v>000-999-205-KYY5</v>
          </cell>
          <cell r="J109">
            <v>1</v>
          </cell>
        </row>
        <row r="110">
          <cell r="C110" t="str">
            <v>BPB-133-04330121-01</v>
          </cell>
          <cell r="F110">
            <v>45768.374537037038</v>
          </cell>
          <cell r="H110" t="str">
            <v>B&amp;P-033-CA550-A1-CL</v>
          </cell>
          <cell r="J110">
            <v>2</v>
          </cell>
        </row>
        <row r="111">
          <cell r="C111" t="str">
            <v>BPB-133-04330121-01</v>
          </cell>
          <cell r="F111">
            <v>45768.374537037038</v>
          </cell>
          <cell r="H111" t="str">
            <v>B&amp;P-037-M04132</v>
          </cell>
          <cell r="J111">
            <v>16</v>
          </cell>
        </row>
        <row r="112">
          <cell r="C112" t="str">
            <v>BPB-133-04330121-01</v>
          </cell>
          <cell r="F112">
            <v>45768.374537037038</v>
          </cell>
          <cell r="H112" t="str">
            <v>BPB-037-UPN40x20</v>
          </cell>
          <cell r="J112">
            <v>6</v>
          </cell>
        </row>
        <row r="113">
          <cell r="C113" t="str">
            <v>BPB-133-04330121-01</v>
          </cell>
          <cell r="F113">
            <v>45768.374537037038</v>
          </cell>
          <cell r="H113" t="str">
            <v>B&amp;P-033-CA-550-A1</v>
          </cell>
          <cell r="J113">
            <v>4</v>
          </cell>
        </row>
        <row r="114">
          <cell r="C114" t="str">
            <v>BPB-048-204-JY5</v>
          </cell>
          <cell r="F114">
            <v>45799.480034722219</v>
          </cell>
          <cell r="H114" t="str">
            <v>BPB-999-204-JY3</v>
          </cell>
          <cell r="J114">
            <v>1</v>
          </cell>
        </row>
        <row r="115">
          <cell r="C115" t="str">
            <v>BPB-047-FT206-M</v>
          </cell>
          <cell r="F115">
            <v>45902.438888888886</v>
          </cell>
          <cell r="H115" t="str">
            <v>BPB-047-FT-206</v>
          </cell>
          <cell r="J115">
            <v>1</v>
          </cell>
        </row>
        <row r="116">
          <cell r="C116" t="str">
            <v>B&amp;P-047-FD-205-C</v>
          </cell>
          <cell r="F116">
            <v>46001.530844907407</v>
          </cell>
          <cell r="H116" t="str">
            <v>BPB-047-FD-205</v>
          </cell>
          <cell r="J116">
            <v>1</v>
          </cell>
        </row>
        <row r="117">
          <cell r="C117" t="str">
            <v>BPB-048-205KYR2</v>
          </cell>
          <cell r="F117">
            <v>45574.433541666665</v>
          </cell>
          <cell r="H117" t="str">
            <v>B&amp;P-004-205-DBL-08</v>
          </cell>
          <cell r="J117">
            <v>1</v>
          </cell>
        </row>
        <row r="118">
          <cell r="C118" t="str">
            <v>BPB-048-205KYR2</v>
          </cell>
          <cell r="F118">
            <v>45574.433541666665</v>
          </cell>
          <cell r="H118" t="str">
            <v>B&amp;P-004-205-RST-08</v>
          </cell>
          <cell r="J118">
            <v>1</v>
          </cell>
        </row>
        <row r="119">
          <cell r="C119" t="str">
            <v>BPB-048-205KYR2</v>
          </cell>
          <cell r="F119">
            <v>45574.433541666665</v>
          </cell>
          <cell r="H119" t="str">
            <v>BPB-000-POLYREX-EM</v>
          </cell>
          <cell r="J119">
            <v>3.5</v>
          </cell>
        </row>
        <row r="120">
          <cell r="C120" t="str">
            <v>BPB-046-6204-2RS-RC</v>
          </cell>
          <cell r="F120">
            <v>45583.484861111108</v>
          </cell>
          <cell r="H120" t="str">
            <v>B&amp;P-045-BP-19001-01</v>
          </cell>
          <cell r="J120">
            <v>1</v>
          </cell>
        </row>
        <row r="121">
          <cell r="C121" t="str">
            <v>BPB-046-6204-2RS-RC</v>
          </cell>
          <cell r="F121">
            <v>45583.484861111108</v>
          </cell>
          <cell r="H121" t="str">
            <v>B&amp;P-041-MS04-2RS</v>
          </cell>
          <cell r="J121">
            <v>1</v>
          </cell>
        </row>
        <row r="122">
          <cell r="C122" t="str">
            <v>BPB-048-DTR2549-FM</v>
          </cell>
          <cell r="F122">
            <v>45629.353460648148</v>
          </cell>
          <cell r="H122" t="str">
            <v>B&amp;P-054-010-DTR2549</v>
          </cell>
          <cell r="J122">
            <v>1</v>
          </cell>
        </row>
        <row r="123">
          <cell r="C123" t="str">
            <v>BPB-048-DTR2549-FM</v>
          </cell>
          <cell r="F123">
            <v>45629.353460648148</v>
          </cell>
          <cell r="H123" t="str">
            <v>B&amp;P-053-020-DTR2549</v>
          </cell>
          <cell r="J123">
            <v>2</v>
          </cell>
        </row>
        <row r="124">
          <cell r="C124" t="str">
            <v>BPB-048-DTR2549-FM</v>
          </cell>
          <cell r="F124">
            <v>45629.353460648148</v>
          </cell>
          <cell r="H124" t="str">
            <v>BPB-000-POLYREX-EM</v>
          </cell>
          <cell r="J124">
            <v>7.2</v>
          </cell>
        </row>
        <row r="125">
          <cell r="C125" t="str">
            <v>BPB-048-DTR2549-FM</v>
          </cell>
          <cell r="F125">
            <v>45629.353460648148</v>
          </cell>
          <cell r="H125" t="str">
            <v>B&amp;P-027-08-DTR2549</v>
          </cell>
          <cell r="J125">
            <v>2</v>
          </cell>
        </row>
        <row r="126">
          <cell r="C126" t="str">
            <v>B&amp;P-041-MS07-D-C3</v>
          </cell>
          <cell r="F126">
            <v>45629.422962962963</v>
          </cell>
          <cell r="H126" t="str">
            <v>B&amp;P-001-MS07-D</v>
          </cell>
          <cell r="J126">
            <v>1</v>
          </cell>
        </row>
        <row r="127">
          <cell r="C127" t="str">
            <v>B&amp;P-041-MS07-D-C3</v>
          </cell>
          <cell r="F127">
            <v>45629.422962962963</v>
          </cell>
          <cell r="H127" t="str">
            <v>B&amp;P-002-MS07-D</v>
          </cell>
          <cell r="J127">
            <v>1</v>
          </cell>
        </row>
        <row r="128">
          <cell r="C128" t="str">
            <v>B&amp;P-041-MS07-D-C3</v>
          </cell>
          <cell r="F128">
            <v>45629.422962962963</v>
          </cell>
          <cell r="H128" t="str">
            <v>B&amp;P-005-RET/SET-MS07</v>
          </cell>
          <cell r="J128">
            <v>1</v>
          </cell>
        </row>
        <row r="129">
          <cell r="C129" t="str">
            <v>B&amp;P-041-MS07-D-C3</v>
          </cell>
          <cell r="F129">
            <v>45629.422962962963</v>
          </cell>
          <cell r="H129" t="str">
            <v>B&amp;P-003-Ball-7/16</v>
          </cell>
          <cell r="J129">
            <v>9</v>
          </cell>
        </row>
        <row r="130">
          <cell r="C130" t="str">
            <v>BPB-056-DS3075C25-SC</v>
          </cell>
          <cell r="F130">
            <v>45964.443564814814</v>
          </cell>
          <cell r="H130" t="str">
            <v>BPB-999-SAE1045Ø114.</v>
          </cell>
          <cell r="J130">
            <v>4.1000000000000002E-2</v>
          </cell>
        </row>
        <row r="131">
          <cell r="C131" t="str">
            <v>BPB-056-ENG307516-B</v>
          </cell>
          <cell r="F131">
            <v>45964.444097222222</v>
          </cell>
          <cell r="H131" t="str">
            <v>BPB-999-SAE1045Ø114.</v>
          </cell>
          <cell r="J131">
            <v>3.1E-2</v>
          </cell>
        </row>
        <row r="132">
          <cell r="C132" t="str">
            <v>PEE-HS--6203-2RST-C0</v>
          </cell>
          <cell r="F132">
            <v>39596.339537037034</v>
          </cell>
          <cell r="H132" t="str">
            <v>000-002-6203-R</v>
          </cell>
          <cell r="J132">
            <v>1</v>
          </cell>
        </row>
        <row r="133">
          <cell r="C133" t="str">
            <v>PEE-HS--6203-2RST-C0</v>
          </cell>
          <cell r="F133">
            <v>39596.339537037034</v>
          </cell>
          <cell r="H133" t="str">
            <v>000-003-17/64</v>
          </cell>
          <cell r="J133">
            <v>8</v>
          </cell>
        </row>
        <row r="134">
          <cell r="C134" t="str">
            <v>PEE-HS--6203-2RST-C0</v>
          </cell>
          <cell r="F134">
            <v>39596.339537037034</v>
          </cell>
          <cell r="H134" t="str">
            <v>000-004-RST-6203-RED</v>
          </cell>
          <cell r="J134">
            <v>2</v>
          </cell>
        </row>
        <row r="135">
          <cell r="C135" t="str">
            <v>PEE-HS--6203-2RST-C0</v>
          </cell>
          <cell r="F135">
            <v>39596.339537037034</v>
          </cell>
          <cell r="H135" t="str">
            <v>000-005-6203-RET/SET</v>
          </cell>
          <cell r="J135">
            <v>1</v>
          </cell>
        </row>
        <row r="136">
          <cell r="C136" t="str">
            <v>PEE-HS--6203-2RST-C0</v>
          </cell>
          <cell r="F136">
            <v>39596.339537037034</v>
          </cell>
          <cell r="H136" t="str">
            <v>000-006-001</v>
          </cell>
          <cell r="J136">
            <v>2.1</v>
          </cell>
        </row>
        <row r="137">
          <cell r="C137" t="str">
            <v>PEE-HS--6203-2RST-C0</v>
          </cell>
          <cell r="F137">
            <v>39596.339537037034</v>
          </cell>
          <cell r="H137" t="str">
            <v>002-002-001</v>
          </cell>
          <cell r="J137">
            <v>1.1299999999999999E-2</v>
          </cell>
        </row>
        <row r="138">
          <cell r="C138" t="str">
            <v>PEE-SE--6203-2RLD-C3</v>
          </cell>
          <cell r="F138">
            <v>40515.621087962965</v>
          </cell>
          <cell r="H138" t="str">
            <v>PEE-SE--6203-D-C3</v>
          </cell>
          <cell r="J138">
            <v>1</v>
          </cell>
        </row>
        <row r="139">
          <cell r="C139" t="str">
            <v>PEE-SE--6203-2RLD-C3</v>
          </cell>
          <cell r="F139">
            <v>40515.621087962965</v>
          </cell>
          <cell r="H139" t="str">
            <v>MID-004-RLD-6203-RED</v>
          </cell>
          <cell r="J139">
            <v>2</v>
          </cell>
        </row>
        <row r="140">
          <cell r="C140" t="str">
            <v>PEE-SE--6203-2RLD-C3</v>
          </cell>
          <cell r="F140">
            <v>40515.621087962965</v>
          </cell>
          <cell r="H140" t="str">
            <v>RET-000-EG-LITIO-4KG</v>
          </cell>
          <cell r="J140">
            <v>0.8</v>
          </cell>
        </row>
        <row r="141">
          <cell r="C141" t="str">
            <v>BPB-047-SAB211-55DG</v>
          </cell>
          <cell r="F141">
            <v>40599.474386574075</v>
          </cell>
          <cell r="H141" t="str">
            <v>RET-047-SAB211-55DG</v>
          </cell>
          <cell r="J141">
            <v>1</v>
          </cell>
        </row>
        <row r="142">
          <cell r="C142" t="str">
            <v>BPB-041-6905-2RLD-C3</v>
          </cell>
          <cell r="F142">
            <v>44291.627638888887</v>
          </cell>
          <cell r="H142" t="str">
            <v>000-006-POLYREX-EM</v>
          </cell>
          <cell r="J142">
            <v>0.6</v>
          </cell>
        </row>
        <row r="143">
          <cell r="C143" t="str">
            <v>BPB-041-6905-2RLD-C3</v>
          </cell>
          <cell r="F143">
            <v>44291.627638888887</v>
          </cell>
          <cell r="H143" t="str">
            <v>PET-041-6905-2RLD-C3</v>
          </cell>
          <cell r="J143">
            <v>1</v>
          </cell>
        </row>
        <row r="144">
          <cell r="C144" t="str">
            <v>BPB-041-6905-2RLD-C3</v>
          </cell>
          <cell r="F144">
            <v>44291.627638888887</v>
          </cell>
          <cell r="H144" t="str">
            <v>MID-004-6905-2RLD</v>
          </cell>
          <cell r="J144">
            <v>2</v>
          </cell>
        </row>
        <row r="145">
          <cell r="C145" t="str">
            <v>PEE-HS--6204-D-C3-M</v>
          </cell>
          <cell r="F145">
            <v>38743.398321759261</v>
          </cell>
          <cell r="H145" t="str">
            <v>MID-001-6204-R</v>
          </cell>
          <cell r="J145">
            <v>1</v>
          </cell>
        </row>
        <row r="146">
          <cell r="C146" t="str">
            <v>PEE-HS--6204-D-C3-M</v>
          </cell>
          <cell r="F146">
            <v>38743.398321759261</v>
          </cell>
          <cell r="H146" t="str">
            <v>MID-002-6204-R</v>
          </cell>
          <cell r="J146">
            <v>1</v>
          </cell>
        </row>
        <row r="147">
          <cell r="C147" t="str">
            <v>PEE-HS--6204-D-C3-M</v>
          </cell>
          <cell r="F147">
            <v>38743.398321759261</v>
          </cell>
          <cell r="H147" t="str">
            <v>MID-003-5/16</v>
          </cell>
          <cell r="J147">
            <v>8</v>
          </cell>
        </row>
        <row r="148">
          <cell r="C148" t="str">
            <v>PEE-HS--6204-D-C3-M</v>
          </cell>
          <cell r="F148">
            <v>38743.398321759261</v>
          </cell>
          <cell r="H148" t="str">
            <v>MID-005-6204-RET/SET</v>
          </cell>
          <cell r="J148">
            <v>1</v>
          </cell>
        </row>
        <row r="149">
          <cell r="C149" t="str">
            <v>PEE-HS--6204-D-C3-M</v>
          </cell>
          <cell r="F149">
            <v>38743.398321759261</v>
          </cell>
          <cell r="H149" t="str">
            <v>002-002-001</v>
          </cell>
          <cell r="J149">
            <v>7.3000000000000001E-3</v>
          </cell>
        </row>
        <row r="150">
          <cell r="C150" t="str">
            <v>PEE-HS--6204-2RST-C0</v>
          </cell>
          <cell r="F150">
            <v>38981.40115740741</v>
          </cell>
          <cell r="H150" t="str">
            <v>PEE-HS--6204-D-C0-M</v>
          </cell>
          <cell r="J150">
            <v>1</v>
          </cell>
        </row>
        <row r="151">
          <cell r="C151" t="str">
            <v>PEE-HS--6204-2RST-C0</v>
          </cell>
          <cell r="F151">
            <v>38981.40115740741</v>
          </cell>
          <cell r="H151" t="str">
            <v>SAV-004-6204-RST-RED</v>
          </cell>
          <cell r="J151">
            <v>2</v>
          </cell>
        </row>
        <row r="152">
          <cell r="C152" t="str">
            <v>PEE-HS--6204-2RST-C0</v>
          </cell>
          <cell r="F152">
            <v>38981.40115740741</v>
          </cell>
          <cell r="H152" t="str">
            <v>000-006-001</v>
          </cell>
          <cell r="J152">
            <v>3.6</v>
          </cell>
        </row>
        <row r="153">
          <cell r="C153" t="str">
            <v>PEE-HS--6204-2RST-C0</v>
          </cell>
          <cell r="F153">
            <v>38981.40115740741</v>
          </cell>
          <cell r="H153" t="str">
            <v>002-002-001</v>
          </cell>
          <cell r="J153">
            <v>4.0000000000000001E-3</v>
          </cell>
        </row>
        <row r="154">
          <cell r="C154" t="str">
            <v>PET-HS--6005-ZZ-C3</v>
          </cell>
          <cell r="F154">
            <v>39234.674953703703</v>
          </cell>
          <cell r="H154" t="str">
            <v>MID-001-6005-RT</v>
          </cell>
          <cell r="J154">
            <v>1</v>
          </cell>
        </row>
        <row r="155">
          <cell r="C155" t="str">
            <v>PET-HS--6005-ZZ-C3</v>
          </cell>
          <cell r="F155">
            <v>39234.674953703703</v>
          </cell>
          <cell r="H155" t="str">
            <v>MID-002-6005-RT</v>
          </cell>
          <cell r="J155">
            <v>1</v>
          </cell>
        </row>
        <row r="156">
          <cell r="C156" t="str">
            <v>PET-HS--6005-ZZ-C3</v>
          </cell>
          <cell r="F156">
            <v>39234.674953703703</v>
          </cell>
          <cell r="H156" t="str">
            <v>MID-003-1/4T</v>
          </cell>
          <cell r="J156">
            <v>10</v>
          </cell>
        </row>
        <row r="157">
          <cell r="C157" t="str">
            <v>PET-HS--6005-ZZ-C3</v>
          </cell>
          <cell r="F157">
            <v>39234.674953703703</v>
          </cell>
          <cell r="H157" t="str">
            <v>MID-004-6005-ZT</v>
          </cell>
          <cell r="J157">
            <v>2</v>
          </cell>
        </row>
        <row r="158">
          <cell r="C158" t="str">
            <v>PET-HS--6005-ZZ-C3</v>
          </cell>
          <cell r="F158">
            <v>39234.674953703703</v>
          </cell>
          <cell r="H158" t="str">
            <v>MID-005-6005RET/SETT</v>
          </cell>
          <cell r="J158">
            <v>1</v>
          </cell>
        </row>
        <row r="159">
          <cell r="C159" t="str">
            <v>PET-HS--6005-ZZ-C3</v>
          </cell>
          <cell r="F159">
            <v>39234.674953703703</v>
          </cell>
          <cell r="H159" t="str">
            <v>000-006-001</v>
          </cell>
          <cell r="J159">
            <v>1</v>
          </cell>
        </row>
        <row r="160">
          <cell r="C160" t="str">
            <v>PET-HS--6005-ZZ-C3</v>
          </cell>
          <cell r="F160">
            <v>39234.674953703703</v>
          </cell>
          <cell r="H160" t="str">
            <v>002-002-001</v>
          </cell>
          <cell r="J160">
            <v>1.1299999999999999E-2</v>
          </cell>
        </row>
        <row r="161">
          <cell r="C161" t="str">
            <v>PEE-HS--6205-D-C3-M</v>
          </cell>
          <cell r="F161">
            <v>39373.683969907404</v>
          </cell>
          <cell r="H161" t="str">
            <v>MID-001-6205-R</v>
          </cell>
          <cell r="J161">
            <v>1</v>
          </cell>
        </row>
        <row r="162">
          <cell r="C162" t="str">
            <v>PEE-HS--6205-D-C3-M</v>
          </cell>
          <cell r="F162">
            <v>39373.683969907404</v>
          </cell>
          <cell r="H162" t="str">
            <v>MID-002-6205-R</v>
          </cell>
          <cell r="J162">
            <v>1</v>
          </cell>
        </row>
        <row r="163">
          <cell r="C163" t="str">
            <v>PEE-HS--6205-D-C3-M</v>
          </cell>
          <cell r="F163">
            <v>39373.683969907404</v>
          </cell>
          <cell r="H163" t="str">
            <v>MID-003-5/16</v>
          </cell>
          <cell r="J163">
            <v>9</v>
          </cell>
        </row>
        <row r="164">
          <cell r="C164" t="str">
            <v>PEE-HS--6205-D-C3-M</v>
          </cell>
          <cell r="F164">
            <v>39373.683969907404</v>
          </cell>
          <cell r="H164" t="str">
            <v>MID-005-6205-RET/SET</v>
          </cell>
          <cell r="J164">
            <v>1</v>
          </cell>
        </row>
        <row r="165">
          <cell r="C165" t="str">
            <v>PEE-HS--6205-D-C3-M</v>
          </cell>
          <cell r="F165">
            <v>39373.683969907404</v>
          </cell>
          <cell r="H165" t="str">
            <v>002-002-001</v>
          </cell>
          <cell r="J165">
            <v>1.1299999999999999E-2</v>
          </cell>
        </row>
        <row r="166">
          <cell r="C166" t="str">
            <v>BPB-047-SAB211-55DG</v>
          </cell>
          <cell r="F166">
            <v>40599.474386574075</v>
          </cell>
          <cell r="H166" t="str">
            <v>RET-027-SEAL-211DBL</v>
          </cell>
          <cell r="J166">
            <v>2</v>
          </cell>
        </row>
        <row r="167">
          <cell r="C167" t="str">
            <v>PEE-048-204-JY3</v>
          </cell>
          <cell r="F167">
            <v>40673.484965277778</v>
          </cell>
          <cell r="H167" t="str">
            <v>000-001-204-JY3-R</v>
          </cell>
          <cell r="J167">
            <v>1</v>
          </cell>
        </row>
        <row r="168">
          <cell r="C168" t="str">
            <v>PEE-048-204-JY3</v>
          </cell>
          <cell r="F168">
            <v>40673.484965277778</v>
          </cell>
          <cell r="H168" t="str">
            <v>000-002-204-JY3-R</v>
          </cell>
          <cell r="J168">
            <v>1</v>
          </cell>
        </row>
        <row r="169">
          <cell r="C169" t="str">
            <v>PEE-048-204-JY3</v>
          </cell>
          <cell r="F169">
            <v>40673.484965277778</v>
          </cell>
          <cell r="H169" t="str">
            <v>MID-003-5/16</v>
          </cell>
          <cell r="J169">
            <v>8</v>
          </cell>
        </row>
        <row r="170">
          <cell r="C170" t="str">
            <v>PEE-048-204-JY3</v>
          </cell>
          <cell r="F170">
            <v>40673.484965277778</v>
          </cell>
          <cell r="H170" t="str">
            <v>000-004-SEAL204JY3DL</v>
          </cell>
          <cell r="J170">
            <v>1</v>
          </cell>
        </row>
        <row r="171">
          <cell r="C171" t="str">
            <v>PEE-048-204-JY3</v>
          </cell>
          <cell r="F171">
            <v>40673.484965277778</v>
          </cell>
          <cell r="H171" t="str">
            <v>000-004-SEAL204JY3SL</v>
          </cell>
          <cell r="J171">
            <v>1</v>
          </cell>
        </row>
        <row r="172">
          <cell r="C172" t="str">
            <v>PEE-048-204-JY3</v>
          </cell>
          <cell r="F172">
            <v>40673.484965277778</v>
          </cell>
          <cell r="H172" t="str">
            <v>000-005-204JY3RETSET</v>
          </cell>
          <cell r="J172">
            <v>1</v>
          </cell>
        </row>
        <row r="173">
          <cell r="C173" t="str">
            <v>PEE-048-204-JY3</v>
          </cell>
          <cell r="F173">
            <v>40673.484965277778</v>
          </cell>
          <cell r="H173" t="str">
            <v>000-006-ALVANIA-RL3</v>
          </cell>
          <cell r="J173">
            <v>3.35</v>
          </cell>
        </row>
        <row r="174">
          <cell r="C174" t="str">
            <v>BPB-048-DTR2047-FM</v>
          </cell>
          <cell r="F174">
            <v>40795.372060185182</v>
          </cell>
          <cell r="H174" t="str">
            <v>RET-048-JRME-2047CON</v>
          </cell>
          <cell r="J174">
            <v>1</v>
          </cell>
        </row>
        <row r="175">
          <cell r="C175" t="str">
            <v>BPB-048-DTR2047-FM</v>
          </cell>
          <cell r="F175">
            <v>40795.372060185182</v>
          </cell>
          <cell r="H175" t="str">
            <v>RET-048-JRME-2047CUP</v>
          </cell>
          <cell r="J175">
            <v>1</v>
          </cell>
        </row>
        <row r="176">
          <cell r="C176" t="str">
            <v>BPB-048-DTR2047-FM</v>
          </cell>
          <cell r="F176">
            <v>40795.372060185182</v>
          </cell>
          <cell r="H176" t="str">
            <v>BPB-004-08-DTR2047</v>
          </cell>
          <cell r="J176">
            <v>2</v>
          </cell>
        </row>
        <row r="177">
          <cell r="C177" t="str">
            <v>BPB-048-DTR2047-FM</v>
          </cell>
          <cell r="F177">
            <v>40795.372060185182</v>
          </cell>
          <cell r="H177" t="str">
            <v>000-006-POLYREX-EM</v>
          </cell>
          <cell r="J177">
            <v>5</v>
          </cell>
        </row>
        <row r="178">
          <cell r="C178" t="str">
            <v>PEE-HS--6203-2RST-C0</v>
          </cell>
          <cell r="F178">
            <v>39596.339537037034</v>
          </cell>
          <cell r="H178" t="str">
            <v>000-001-6203-R</v>
          </cell>
          <cell r="J178">
            <v>1</v>
          </cell>
        </row>
        <row r="179">
          <cell r="C179" t="str">
            <v>BPB-048-AG5950701</v>
          </cell>
          <cell r="F179">
            <v>41381.532812500001</v>
          </cell>
          <cell r="H179" t="str">
            <v>BPB-048-AG5950791</v>
          </cell>
          <cell r="J179">
            <v>1</v>
          </cell>
        </row>
        <row r="180">
          <cell r="C180" t="str">
            <v>B&amp;P-ALU-MW-500XPE</v>
          </cell>
          <cell r="F180">
            <v>42312.340949074074</v>
          </cell>
          <cell r="H180" t="str">
            <v>B&amp;P-PCB-XTE28-CW</v>
          </cell>
          <cell r="J180">
            <v>4</v>
          </cell>
        </row>
        <row r="181">
          <cell r="C181" t="str">
            <v>B&amp;P-ALU-MW-500XPE</v>
          </cell>
          <cell r="F181">
            <v>42312.340949074074</v>
          </cell>
          <cell r="H181" t="str">
            <v>B&amp;P-PCB-XTE28-Gasket</v>
          </cell>
          <cell r="J181">
            <v>4</v>
          </cell>
        </row>
        <row r="182">
          <cell r="C182" t="str">
            <v>B&amp;P-ALU-MW-500XPE</v>
          </cell>
          <cell r="F182">
            <v>42312.340949074074</v>
          </cell>
          <cell r="H182" t="str">
            <v>B&amp;P-ALU-DISI-500XPE</v>
          </cell>
          <cell r="J182">
            <v>1</v>
          </cell>
        </row>
        <row r="183">
          <cell r="C183" t="str">
            <v>B&amp;P-ALU-MW-500XPE</v>
          </cell>
          <cell r="F183">
            <v>42312.340949074074</v>
          </cell>
          <cell r="H183" t="str">
            <v>B&amp;P-FAL-HLG-185H-54A</v>
          </cell>
          <cell r="J183">
            <v>2</v>
          </cell>
        </row>
        <row r="184">
          <cell r="C184" t="str">
            <v>B&amp;P-ALU-MW-500XPE</v>
          </cell>
          <cell r="F184">
            <v>42312.340949074074</v>
          </cell>
          <cell r="H184" t="str">
            <v>B&amp;P-LED-SOP-300XPE</v>
          </cell>
          <cell r="J184">
            <v>1</v>
          </cell>
        </row>
        <row r="185">
          <cell r="C185" t="str">
            <v>B&amp;P-ALU-MW-500XPE</v>
          </cell>
          <cell r="F185">
            <v>42312.340949074074</v>
          </cell>
          <cell r="H185" t="str">
            <v>B&amp;P-LED-SOP-XPE-01</v>
          </cell>
          <cell r="J185">
            <v>2</v>
          </cell>
        </row>
        <row r="186">
          <cell r="C186" t="str">
            <v>B&amp;P-ALU-MW-100XPE</v>
          </cell>
          <cell r="F186">
            <v>42380.679016203707</v>
          </cell>
          <cell r="H186" t="str">
            <v>B&amp;P-PCB-XTE14-CW</v>
          </cell>
          <cell r="J186">
            <v>3</v>
          </cell>
        </row>
        <row r="187">
          <cell r="C187" t="str">
            <v>B&amp;P-ALU-MW-100XPE</v>
          </cell>
          <cell r="F187">
            <v>42380.679016203707</v>
          </cell>
          <cell r="H187" t="str">
            <v>B&amp;P-PCB-XTE14-Gasket</v>
          </cell>
          <cell r="J187">
            <v>3</v>
          </cell>
        </row>
        <row r="188">
          <cell r="C188" t="str">
            <v>B&amp;P-ALU-MW-100XPE</v>
          </cell>
          <cell r="F188">
            <v>42380.679016203707</v>
          </cell>
          <cell r="H188" t="str">
            <v>B&amp;P-ALU-DISI-100XTE</v>
          </cell>
          <cell r="J188">
            <v>1</v>
          </cell>
        </row>
        <row r="189">
          <cell r="C189" t="str">
            <v>B&amp;P-ALU-MW-100XPE</v>
          </cell>
          <cell r="F189">
            <v>42380.679016203707</v>
          </cell>
          <cell r="H189" t="str">
            <v>B&amp;P-FAL-BP-120R-50</v>
          </cell>
          <cell r="J189">
            <v>1</v>
          </cell>
        </row>
        <row r="190">
          <cell r="C190" t="str">
            <v>B&amp;P-ALU-MW-100XPE</v>
          </cell>
          <cell r="F190">
            <v>42380.679016203707</v>
          </cell>
          <cell r="H190" t="str">
            <v>B&amp;P-LED-SOP-XPE-01</v>
          </cell>
          <cell r="J190">
            <v>2</v>
          </cell>
        </row>
        <row r="191">
          <cell r="C191" t="str">
            <v>B&amp;P-ALU-MW-100XPE</v>
          </cell>
          <cell r="F191">
            <v>42380.679016203707</v>
          </cell>
          <cell r="H191" t="str">
            <v>B&amp;P-LED-SOP-100XPE</v>
          </cell>
          <cell r="J191">
            <v>1</v>
          </cell>
        </row>
        <row r="192">
          <cell r="C192" t="str">
            <v>B&amp;P-047-84195972</v>
          </cell>
          <cell r="F192">
            <v>45959.646956018521</v>
          </cell>
          <cell r="H192" t="str">
            <v>B&amp;P-041-BP-13021</v>
          </cell>
          <cell r="J192">
            <v>1</v>
          </cell>
        </row>
        <row r="193">
          <cell r="C193" t="str">
            <v>B&amp;P-047-84195972</v>
          </cell>
          <cell r="F193">
            <v>45959.646956018521</v>
          </cell>
          <cell r="H193" t="str">
            <v>BPB-048-G-209-KYYB2</v>
          </cell>
          <cell r="J193">
            <v>1</v>
          </cell>
        </row>
        <row r="194">
          <cell r="C194" t="str">
            <v>BPB-040-MG-206-RR3</v>
          </cell>
          <cell r="F194">
            <v>41684.538831018515</v>
          </cell>
          <cell r="H194" t="str">
            <v>B&amp;P-001-MG206-01</v>
          </cell>
          <cell r="J194">
            <v>1</v>
          </cell>
        </row>
        <row r="195">
          <cell r="C195" t="str">
            <v>BPB-040-MG-206-RR3</v>
          </cell>
          <cell r="F195">
            <v>41684.538831018515</v>
          </cell>
          <cell r="H195" t="str">
            <v>B&amp;P-002-MG206-02</v>
          </cell>
          <cell r="J195">
            <v>1</v>
          </cell>
        </row>
        <row r="196">
          <cell r="C196" t="str">
            <v>BPB-040-MG-206-RR3</v>
          </cell>
          <cell r="F196">
            <v>41684.538831018515</v>
          </cell>
          <cell r="H196" t="str">
            <v>B&amp;P-003-Ball-3/8</v>
          </cell>
          <cell r="J196">
            <v>9</v>
          </cell>
        </row>
        <row r="197">
          <cell r="C197" t="str">
            <v>BPB-040-MG-206-RR3</v>
          </cell>
          <cell r="F197">
            <v>41684.538831018515</v>
          </cell>
          <cell r="H197" t="str">
            <v>B&amp;P-005-RET/SET-MS06</v>
          </cell>
          <cell r="J197">
            <v>1</v>
          </cell>
        </row>
        <row r="198">
          <cell r="C198" t="str">
            <v>BPB-040-MG-206-RR3</v>
          </cell>
          <cell r="F198">
            <v>41684.538831018515</v>
          </cell>
          <cell r="H198" t="str">
            <v>BPB-000-GL-262</v>
          </cell>
          <cell r="J198">
            <v>3.7000000000000002E-3</v>
          </cell>
        </row>
        <row r="199">
          <cell r="C199" t="str">
            <v>BPB-040-MG-206-RR3</v>
          </cell>
          <cell r="F199">
            <v>41684.538831018515</v>
          </cell>
          <cell r="H199" t="str">
            <v>B&amp;P-004-MG206-08</v>
          </cell>
          <cell r="J199">
            <v>2</v>
          </cell>
        </row>
        <row r="200">
          <cell r="C200" t="str">
            <v>BPB-056-ENG353040SA1</v>
          </cell>
          <cell r="F200">
            <v>41892.531851851854</v>
          </cell>
          <cell r="H200" t="str">
            <v>BPB-056-ENG353040S-F</v>
          </cell>
          <cell r="J200">
            <v>1</v>
          </cell>
        </row>
        <row r="201">
          <cell r="C201" t="str">
            <v>B&amp;P-001-BP-13009-01</v>
          </cell>
          <cell r="F201">
            <v>41920.402766203704</v>
          </cell>
          <cell r="H201" t="str">
            <v>BPB-001-BP-13009-B1</v>
          </cell>
          <cell r="J201">
            <v>1</v>
          </cell>
        </row>
        <row r="202">
          <cell r="C202" t="str">
            <v>BPB-056-ENG-2565-CHS</v>
          </cell>
          <cell r="F202">
            <v>41940.432060185187</v>
          </cell>
          <cell r="H202" t="str">
            <v>BPB-056-ENG2565S-PZ</v>
          </cell>
          <cell r="J202">
            <v>1</v>
          </cell>
        </row>
        <row r="203">
          <cell r="C203" t="str">
            <v>BPB-041-LS06-2RST</v>
          </cell>
          <cell r="F203">
            <v>42506.339791666665</v>
          </cell>
          <cell r="H203" t="str">
            <v>B&amp;P-001-LS06-D</v>
          </cell>
          <cell r="J203">
            <v>1</v>
          </cell>
        </row>
        <row r="204">
          <cell r="C204" t="str">
            <v>BPB-041-LS06-2RST</v>
          </cell>
          <cell r="F204">
            <v>42506.339791666665</v>
          </cell>
          <cell r="H204" t="str">
            <v>B&amp;P-002-LS06-D</v>
          </cell>
          <cell r="J204">
            <v>1</v>
          </cell>
        </row>
        <row r="205">
          <cell r="C205" t="str">
            <v>BPB-041-LS06-2RST</v>
          </cell>
          <cell r="F205">
            <v>42506.339791666665</v>
          </cell>
          <cell r="H205" t="str">
            <v>B&amp;P-005-RET/SET-LS06</v>
          </cell>
          <cell r="J205">
            <v>1</v>
          </cell>
        </row>
        <row r="206">
          <cell r="C206" t="str">
            <v>BPB-041-LS06-2RST</v>
          </cell>
          <cell r="F206">
            <v>42506.339791666665</v>
          </cell>
          <cell r="H206" t="str">
            <v>B&amp;P-003-Ball-9/32</v>
          </cell>
          <cell r="J206">
            <v>11</v>
          </cell>
        </row>
        <row r="207">
          <cell r="C207" t="str">
            <v>BPB-041-LS06-2RST</v>
          </cell>
          <cell r="F207">
            <v>42506.339791666665</v>
          </cell>
          <cell r="H207" t="str">
            <v>BPB-000-POLYREX-EM</v>
          </cell>
          <cell r="J207">
            <v>3.6</v>
          </cell>
        </row>
        <row r="208">
          <cell r="C208" t="str">
            <v>BPB-041-LS06-2RST</v>
          </cell>
          <cell r="F208">
            <v>42506.339791666665</v>
          </cell>
          <cell r="H208" t="str">
            <v>B&amp;P-004-LS06-2RST-08</v>
          </cell>
          <cell r="J208">
            <v>2</v>
          </cell>
        </row>
        <row r="209">
          <cell r="C209" t="str">
            <v>BPB-041-MS05-2RST</v>
          </cell>
          <cell r="F209">
            <v>42422.677106481482</v>
          </cell>
          <cell r="H209" t="str">
            <v>B&amp;P-001-MS05-D</v>
          </cell>
          <cell r="J209">
            <v>1</v>
          </cell>
        </row>
        <row r="210">
          <cell r="C210" t="str">
            <v>BPB-041-MS05-2RST</v>
          </cell>
          <cell r="F210">
            <v>42422.677106481482</v>
          </cell>
          <cell r="H210" t="str">
            <v>B&amp;P-002-MS05-D</v>
          </cell>
          <cell r="J210">
            <v>1</v>
          </cell>
        </row>
        <row r="211">
          <cell r="C211" t="str">
            <v>BPB-041-MS05-2RST</v>
          </cell>
          <cell r="F211">
            <v>42422.677106481482</v>
          </cell>
          <cell r="H211" t="str">
            <v>B&amp;P-005-RET/SET-MS05</v>
          </cell>
          <cell r="J211">
            <v>1</v>
          </cell>
        </row>
        <row r="212">
          <cell r="C212" t="str">
            <v>BPB-041-MS05-2RST</v>
          </cell>
          <cell r="F212">
            <v>42422.677106481482</v>
          </cell>
          <cell r="H212" t="str">
            <v>B&amp;P-003-Ball-5/16</v>
          </cell>
          <cell r="J212">
            <v>9</v>
          </cell>
        </row>
        <row r="213">
          <cell r="C213" t="str">
            <v>BPB-041-MS05-2RST</v>
          </cell>
          <cell r="F213">
            <v>42422.677106481482</v>
          </cell>
          <cell r="H213" t="str">
            <v>B&amp;P-004-MS05-2RST-08</v>
          </cell>
          <cell r="J213">
            <v>2</v>
          </cell>
        </row>
        <row r="214">
          <cell r="C214" t="str">
            <v>BPB-041-MS05-2RST</v>
          </cell>
          <cell r="F214">
            <v>42422.677106481482</v>
          </cell>
          <cell r="H214" t="str">
            <v>BPB-000-POLYREX-EM</v>
          </cell>
          <cell r="J214">
            <v>4</v>
          </cell>
        </row>
        <row r="215">
          <cell r="C215" t="str">
            <v>B&amp;P-041-MS03-2RST-C3</v>
          </cell>
          <cell r="F215">
            <v>41974.341516203705</v>
          </cell>
          <cell r="H215" t="str">
            <v>B&amp;P-001-MS03-D</v>
          </cell>
          <cell r="J215">
            <v>1</v>
          </cell>
        </row>
        <row r="216">
          <cell r="C216" t="str">
            <v>B&amp;P-041-MS03-2RST-C3</v>
          </cell>
          <cell r="F216">
            <v>41974.341516203705</v>
          </cell>
          <cell r="H216" t="str">
            <v>B&amp;P-002-MS03-D</v>
          </cell>
          <cell r="J216">
            <v>1</v>
          </cell>
        </row>
        <row r="217">
          <cell r="C217" t="str">
            <v>B&amp;P-041-MS03-2RST-C3</v>
          </cell>
          <cell r="F217">
            <v>41974.341516203705</v>
          </cell>
          <cell r="H217" t="str">
            <v>B&amp;P-005-RET/SET-MS03</v>
          </cell>
          <cell r="J217">
            <v>1</v>
          </cell>
        </row>
        <row r="218">
          <cell r="C218" t="str">
            <v>B&amp;P-041-MS03-2RST-C3</v>
          </cell>
          <cell r="F218">
            <v>41974.341516203705</v>
          </cell>
          <cell r="H218" t="str">
            <v>B&amp;P-003-17/64</v>
          </cell>
          <cell r="J218">
            <v>8</v>
          </cell>
        </row>
        <row r="219">
          <cell r="C219" t="str">
            <v>B&amp;P-041-MS03-2RST-C3</v>
          </cell>
          <cell r="F219">
            <v>41974.341516203705</v>
          </cell>
          <cell r="H219" t="str">
            <v>B&amp;P-004-MS03-2RST-08</v>
          </cell>
          <cell r="J219">
            <v>2</v>
          </cell>
        </row>
        <row r="220">
          <cell r="C220" t="str">
            <v>B&amp;P-041-MS03-2RST-C3</v>
          </cell>
          <cell r="F220">
            <v>41974.341516203705</v>
          </cell>
          <cell r="H220" t="str">
            <v>BPB-000-POLYREX-EM</v>
          </cell>
          <cell r="J220">
            <v>1.9</v>
          </cell>
        </row>
        <row r="221">
          <cell r="C221" t="str">
            <v>BPB-052-BUJ-AG353040</v>
          </cell>
          <cell r="F221">
            <v>42193.375891203701</v>
          </cell>
          <cell r="H221" t="str">
            <v>BPB-999-SAE1045Ø28.6</v>
          </cell>
          <cell r="J221">
            <v>2.8000000000000001E-2</v>
          </cell>
        </row>
        <row r="222">
          <cell r="C222" t="str">
            <v>BPB-002-BP-13008-02</v>
          </cell>
          <cell r="F222">
            <v>42219.541006944448</v>
          </cell>
          <cell r="H222" t="str">
            <v>BPB-002-BP-13008-B2</v>
          </cell>
          <cell r="J222">
            <v>1</v>
          </cell>
        </row>
        <row r="223">
          <cell r="C223" t="str">
            <v>B&amp;P-037-BP-13008-06</v>
          </cell>
          <cell r="F223">
            <v>42240.329953703702</v>
          </cell>
          <cell r="H223" t="str">
            <v>BPB-999-SAE1045Ø32</v>
          </cell>
          <cell r="J223">
            <v>7.0000000000000001E-3</v>
          </cell>
        </row>
        <row r="224">
          <cell r="C224" t="str">
            <v>B&amp;P-002-BP-13009-02</v>
          </cell>
          <cell r="F224">
            <v>42261.476157407407</v>
          </cell>
          <cell r="H224" t="str">
            <v>BPB-002-BP-13009-B2</v>
          </cell>
          <cell r="J224">
            <v>1</v>
          </cell>
        </row>
        <row r="225">
          <cell r="C225" t="str">
            <v>B&amp;P-041-BP-13009-5</v>
          </cell>
          <cell r="F225">
            <v>42298.515335648146</v>
          </cell>
          <cell r="H225" t="str">
            <v>BPB-999-SAE4140Ø38.1</v>
          </cell>
          <cell r="J225">
            <v>0.155</v>
          </cell>
        </row>
        <row r="226">
          <cell r="C226" t="str">
            <v>BPB-042-22218-CW33C3</v>
          </cell>
          <cell r="F226">
            <v>43039.67359953704</v>
          </cell>
          <cell r="H226" t="str">
            <v>KGI-042-22218CW33C3</v>
          </cell>
          <cell r="J226">
            <v>1</v>
          </cell>
        </row>
        <row r="227">
          <cell r="C227" t="str">
            <v>BPB-040-7209-B-TN</v>
          </cell>
          <cell r="F227">
            <v>43047.699201388888</v>
          </cell>
          <cell r="H227" t="str">
            <v>KGI-042-7209-B</v>
          </cell>
          <cell r="J227">
            <v>1</v>
          </cell>
        </row>
        <row r="228">
          <cell r="C228" t="str">
            <v>BPB-133-PB000153</v>
          </cell>
          <cell r="F228">
            <v>43074.63858796296</v>
          </cell>
          <cell r="H228" t="str">
            <v>BPB-033-ASA50-1-REEL</v>
          </cell>
          <cell r="J228">
            <v>2.29</v>
          </cell>
        </row>
        <row r="229">
          <cell r="C229" t="str">
            <v>BPB-133-PB000153</v>
          </cell>
          <cell r="F229">
            <v>43074.63858796296</v>
          </cell>
          <cell r="H229" t="str">
            <v>BPB-033-OL-50-1</v>
          </cell>
          <cell r="J229">
            <v>1</v>
          </cell>
        </row>
        <row r="230">
          <cell r="C230" t="str">
            <v>BPB-133-PB000153</v>
          </cell>
          <cell r="F230">
            <v>43074.63858796296</v>
          </cell>
          <cell r="H230" t="str">
            <v>BPB-033-CL-50-1</v>
          </cell>
          <cell r="J230">
            <v>1</v>
          </cell>
        </row>
        <row r="231">
          <cell r="C231" t="str">
            <v>BPB-133-PB002861</v>
          </cell>
          <cell r="F231">
            <v>43080.356793981482</v>
          </cell>
          <cell r="H231" t="str">
            <v>BPB-033-ASA40-1-REEL</v>
          </cell>
          <cell r="J231">
            <v>1.68</v>
          </cell>
        </row>
        <row r="232">
          <cell r="C232" t="str">
            <v>BPB-133-PB002861</v>
          </cell>
          <cell r="F232">
            <v>43080.356793981482</v>
          </cell>
          <cell r="H232" t="str">
            <v>BPB-033-OL-40-1</v>
          </cell>
          <cell r="J232">
            <v>1</v>
          </cell>
        </row>
        <row r="233">
          <cell r="C233" t="str">
            <v>BPB-133-PB002861</v>
          </cell>
          <cell r="F233">
            <v>43080.356793981482</v>
          </cell>
          <cell r="H233" t="str">
            <v>BPB-033-CL-40-1</v>
          </cell>
          <cell r="J233">
            <v>1</v>
          </cell>
        </row>
        <row r="234">
          <cell r="C234" t="str">
            <v>BPB-133-PB000840</v>
          </cell>
          <cell r="F234">
            <v>43080.357881944445</v>
          </cell>
          <cell r="H234" t="str">
            <v>BPB-033-ASA50-1-REEL</v>
          </cell>
          <cell r="J234">
            <v>0.95</v>
          </cell>
        </row>
        <row r="235">
          <cell r="C235" t="str">
            <v>BPB-133-PB000840</v>
          </cell>
          <cell r="F235">
            <v>43080.357881944445</v>
          </cell>
          <cell r="H235" t="str">
            <v>BPB-033-OL-50-1</v>
          </cell>
          <cell r="J235">
            <v>1</v>
          </cell>
        </row>
        <row r="236">
          <cell r="C236" t="str">
            <v>BPB-133-PB000864</v>
          </cell>
          <cell r="F236">
            <v>43080.358402777776</v>
          </cell>
          <cell r="H236" t="str">
            <v>BPB-033-ASA40-1-REEL</v>
          </cell>
          <cell r="J236">
            <v>1.96</v>
          </cell>
        </row>
        <row r="237">
          <cell r="C237" t="str">
            <v>BPB-133-PB000864</v>
          </cell>
          <cell r="F237">
            <v>43080.358402777776</v>
          </cell>
          <cell r="H237" t="str">
            <v>BPB-033-OL-40-1</v>
          </cell>
          <cell r="J237">
            <v>1</v>
          </cell>
        </row>
        <row r="238">
          <cell r="C238" t="str">
            <v>BPB-133-PB000840</v>
          </cell>
          <cell r="F238">
            <v>43080.357881944445</v>
          </cell>
          <cell r="H238" t="str">
            <v>BPB-033-CL-50-1</v>
          </cell>
          <cell r="J238">
            <v>1</v>
          </cell>
        </row>
        <row r="239">
          <cell r="C239" t="str">
            <v>BPB-133-PB000864</v>
          </cell>
          <cell r="F239">
            <v>43080.358402777776</v>
          </cell>
          <cell r="H239" t="str">
            <v>BPB-033-CL-40-1</v>
          </cell>
          <cell r="J239">
            <v>1</v>
          </cell>
        </row>
        <row r="240">
          <cell r="C240" t="str">
            <v>BPB-133-PB000156</v>
          </cell>
          <cell r="F240">
            <v>43138.351342592592</v>
          </cell>
          <cell r="H240" t="str">
            <v>BPB-033-ASA50-1-REEL</v>
          </cell>
          <cell r="J240">
            <v>0.73</v>
          </cell>
        </row>
        <row r="241">
          <cell r="C241" t="str">
            <v>BPB-133-PB000156</v>
          </cell>
          <cell r="F241">
            <v>43138.351342592592</v>
          </cell>
          <cell r="H241" t="str">
            <v>BPB-033-OL-50-1</v>
          </cell>
          <cell r="J241">
            <v>1</v>
          </cell>
        </row>
        <row r="242">
          <cell r="C242" t="str">
            <v>BPB-133-PB000156</v>
          </cell>
          <cell r="F242">
            <v>43138.351342592592</v>
          </cell>
          <cell r="H242" t="str">
            <v>BPB-033-CL-50-1</v>
          </cell>
          <cell r="J242">
            <v>1</v>
          </cell>
        </row>
        <row r="243">
          <cell r="C243" t="str">
            <v>B&amp;P-LED-LP200-5</v>
          </cell>
          <cell r="F243">
            <v>43138.528460648151</v>
          </cell>
          <cell r="H243" t="str">
            <v>B&amp;P-FAL-LP-240C-54</v>
          </cell>
          <cell r="J243">
            <v>1</v>
          </cell>
        </row>
        <row r="244">
          <cell r="C244" t="str">
            <v>B&amp;P-LED-LP200-5</v>
          </cell>
          <cell r="F244">
            <v>43138.528460648151</v>
          </cell>
          <cell r="H244" t="str">
            <v>B&amp;P-PCB-LP2005000K</v>
          </cell>
          <cell r="J244">
            <v>1</v>
          </cell>
        </row>
        <row r="245">
          <cell r="C245" t="str">
            <v>B&amp;P-LED-LP200-5</v>
          </cell>
          <cell r="F245">
            <v>43138.528460648151</v>
          </cell>
          <cell r="H245" t="str">
            <v>B&amp;P-LED-LP200-Housin</v>
          </cell>
          <cell r="J245">
            <v>1</v>
          </cell>
        </row>
        <row r="246">
          <cell r="C246" t="str">
            <v>BPB-047-PE207-M</v>
          </cell>
          <cell r="F246">
            <v>43202.481099537035</v>
          </cell>
          <cell r="H246" t="str">
            <v>B&amp;P-047-PE-207</v>
          </cell>
          <cell r="J246">
            <v>1</v>
          </cell>
        </row>
        <row r="247">
          <cell r="C247" t="str">
            <v>B&amp;P-058-32213-MX</v>
          </cell>
          <cell r="F247">
            <v>43228.465740740743</v>
          </cell>
          <cell r="H247" t="str">
            <v>B&amp;P-053-X-32213</v>
          </cell>
          <cell r="J247">
            <v>1</v>
          </cell>
        </row>
        <row r="248">
          <cell r="C248" t="str">
            <v>B&amp;P-058-32213-MX</v>
          </cell>
          <cell r="F248">
            <v>43228.465740740743</v>
          </cell>
          <cell r="H248" t="str">
            <v>B&amp;P-054-TDY213</v>
          </cell>
          <cell r="J248">
            <v>1</v>
          </cell>
        </row>
        <row r="249">
          <cell r="C249" t="str">
            <v>B&amp;P-041-MS03-2RST</v>
          </cell>
          <cell r="F249">
            <v>45190.667546296296</v>
          </cell>
          <cell r="H249" t="str">
            <v>B&amp;P-001-MS03-D</v>
          </cell>
          <cell r="J249">
            <v>1</v>
          </cell>
        </row>
        <row r="250">
          <cell r="C250" t="str">
            <v>B&amp;P-041-MS03-2RST</v>
          </cell>
          <cell r="F250">
            <v>45190.667546296296</v>
          </cell>
          <cell r="H250" t="str">
            <v>B&amp;P-002-MS03-D</v>
          </cell>
          <cell r="J250">
            <v>1</v>
          </cell>
        </row>
        <row r="251">
          <cell r="C251" t="str">
            <v>B&amp;P-041-MS03-2RST</v>
          </cell>
          <cell r="F251">
            <v>45190.667546296296</v>
          </cell>
          <cell r="H251" t="str">
            <v>B&amp;P-005-RET/SET-MS03</v>
          </cell>
          <cell r="J251">
            <v>1</v>
          </cell>
        </row>
        <row r="252">
          <cell r="C252" t="str">
            <v>B&amp;P-041-MS03-2RST</v>
          </cell>
          <cell r="F252">
            <v>45190.667546296296</v>
          </cell>
          <cell r="H252" t="str">
            <v>B&amp;P-003-BALL-17/64</v>
          </cell>
          <cell r="J252">
            <v>8</v>
          </cell>
        </row>
        <row r="253">
          <cell r="C253" t="str">
            <v>B&amp;P-041-MS03-2RST</v>
          </cell>
          <cell r="F253">
            <v>45190.667546296296</v>
          </cell>
          <cell r="H253" t="str">
            <v>BPB-000-POLYREX-EM</v>
          </cell>
          <cell r="J253">
            <v>1.9</v>
          </cell>
        </row>
        <row r="254">
          <cell r="C254" t="str">
            <v>B&amp;P-041-MS03-2RST</v>
          </cell>
          <cell r="F254">
            <v>45190.667546296296</v>
          </cell>
          <cell r="H254" t="str">
            <v>B&amp;P-004-MS03-2RST-08</v>
          </cell>
          <cell r="J254">
            <v>2</v>
          </cell>
        </row>
        <row r="255">
          <cell r="C255" t="str">
            <v>B&amp;P-058-32207-MX</v>
          </cell>
          <cell r="F255">
            <v>43283.736377314817</v>
          </cell>
          <cell r="H255" t="str">
            <v>B&amp;P-053-X-32207</v>
          </cell>
          <cell r="J255">
            <v>1</v>
          </cell>
        </row>
        <row r="256">
          <cell r="C256" t="str">
            <v>B&amp;P-058-32207-MX</v>
          </cell>
          <cell r="F256">
            <v>43283.736377314817</v>
          </cell>
          <cell r="H256" t="str">
            <v>B&amp;P-054-TDY207</v>
          </cell>
          <cell r="J256">
            <v>1</v>
          </cell>
        </row>
        <row r="257">
          <cell r="C257" t="str">
            <v>BPB-133-M040000059</v>
          </cell>
          <cell r="F257">
            <v>44873.364027777781</v>
          </cell>
          <cell r="H257" t="str">
            <v>BPB-033-CA-550-A1</v>
          </cell>
          <cell r="J257">
            <v>7.8</v>
          </cell>
        </row>
        <row r="258">
          <cell r="C258" t="str">
            <v>BPB-133-M040000059</v>
          </cell>
          <cell r="F258">
            <v>44873.364027777781</v>
          </cell>
          <cell r="H258" t="str">
            <v>BPB-033-CA550-A1-CL</v>
          </cell>
          <cell r="J258">
            <v>2</v>
          </cell>
        </row>
        <row r="259">
          <cell r="C259" t="str">
            <v>BPB-133-M040000059</v>
          </cell>
          <cell r="F259">
            <v>44873.364027777781</v>
          </cell>
          <cell r="H259" t="str">
            <v>BPB-037-UPN40x20</v>
          </cell>
          <cell r="J259">
            <v>11</v>
          </cell>
        </row>
        <row r="260">
          <cell r="C260" t="str">
            <v>BPB-133-PB001029</v>
          </cell>
          <cell r="F260">
            <v>43287.399236111109</v>
          </cell>
          <cell r="H260" t="str">
            <v>BPB-033-ASA40-1-REEL</v>
          </cell>
          <cell r="J260">
            <v>1.7</v>
          </cell>
        </row>
        <row r="261">
          <cell r="C261" t="str">
            <v>BPB-133-PB001029</v>
          </cell>
          <cell r="F261">
            <v>43287.399236111109</v>
          </cell>
          <cell r="H261" t="str">
            <v>BPB-033-CL-40-1</v>
          </cell>
          <cell r="J261">
            <v>1</v>
          </cell>
        </row>
        <row r="262">
          <cell r="C262" t="str">
            <v>BPB-133-PB001029</v>
          </cell>
          <cell r="F262">
            <v>43287.399236111109</v>
          </cell>
          <cell r="H262" t="str">
            <v>BPB-033-OL-40-1</v>
          </cell>
          <cell r="J262">
            <v>1</v>
          </cell>
        </row>
        <row r="263">
          <cell r="C263" t="str">
            <v>BPB-033-ASA-410-REEL</v>
          </cell>
          <cell r="F263">
            <v>43451.445972222224</v>
          </cell>
          <cell r="H263" t="str">
            <v>BPB-999-ASA-410-REEL</v>
          </cell>
          <cell r="J263">
            <v>1</v>
          </cell>
        </row>
        <row r="264">
          <cell r="C264" t="str">
            <v>BPB-033-ASA-410-REEL</v>
          </cell>
          <cell r="F264">
            <v>43451.445972222224</v>
          </cell>
          <cell r="H264" t="str">
            <v>BPB-133-ASA-410-04</v>
          </cell>
          <cell r="J264">
            <v>0.18</v>
          </cell>
        </row>
        <row r="265">
          <cell r="C265" t="str">
            <v>B&amp;P-HS--MS04-2RLD-C3</v>
          </cell>
          <cell r="F265">
            <v>43486.610532407409</v>
          </cell>
          <cell r="H265" t="str">
            <v>B&amp;P-041-MS04-2RST</v>
          </cell>
          <cell r="J265">
            <v>1</v>
          </cell>
        </row>
        <row r="266">
          <cell r="C266" t="str">
            <v>BPB-002-NTB1613-A2</v>
          </cell>
          <cell r="F266">
            <v>43493.464155092595</v>
          </cell>
          <cell r="H266" t="str">
            <v>BPB-037-SAE52100Ø25</v>
          </cell>
          <cell r="J266">
            <v>2.4E-2</v>
          </cell>
        </row>
        <row r="267">
          <cell r="C267" t="str">
            <v>B&amp;P-ALU-EX100-5</v>
          </cell>
          <cell r="F267">
            <v>44013.493611111109</v>
          </cell>
          <cell r="H267" t="str">
            <v>B&amp;P-ALU-EX100-LENS</v>
          </cell>
          <cell r="J267">
            <v>1</v>
          </cell>
        </row>
        <row r="268">
          <cell r="C268" t="str">
            <v>B&amp;P-ALU-EX100-5</v>
          </cell>
          <cell r="F268">
            <v>44013.493611111109</v>
          </cell>
          <cell r="H268" t="str">
            <v>B&amp;P-ALU-DISI-EX100</v>
          </cell>
          <cell r="J268">
            <v>1</v>
          </cell>
        </row>
        <row r="269">
          <cell r="C269" t="str">
            <v>B&amp;P-ALU-EX100-5</v>
          </cell>
          <cell r="F269">
            <v>44013.493611111109</v>
          </cell>
          <cell r="H269" t="str">
            <v>B&amp;P-PCB-PCBEX105</v>
          </cell>
          <cell r="J269">
            <v>1</v>
          </cell>
        </row>
        <row r="270">
          <cell r="C270" t="str">
            <v>BPB-133-PB004848</v>
          </cell>
          <cell r="F270">
            <v>43531.589432870373</v>
          </cell>
          <cell r="H270" t="str">
            <v>BPB-033-ASA50-1-REEL</v>
          </cell>
          <cell r="J270">
            <v>1.21</v>
          </cell>
        </row>
        <row r="271">
          <cell r="C271" t="str">
            <v>BPB-133-PB004848</v>
          </cell>
          <cell r="F271">
            <v>43531.589432870373</v>
          </cell>
          <cell r="H271" t="str">
            <v>BPB-033-CL-50-1</v>
          </cell>
          <cell r="J271">
            <v>1</v>
          </cell>
        </row>
        <row r="272">
          <cell r="C272" t="str">
            <v>BPB-133-PB004848</v>
          </cell>
          <cell r="F272">
            <v>43531.589432870373</v>
          </cell>
          <cell r="H272" t="str">
            <v>BPB-033-OL-50-1</v>
          </cell>
          <cell r="J272">
            <v>1</v>
          </cell>
        </row>
        <row r="273">
          <cell r="C273" t="str">
            <v>B&amp;P-058-32211-MX</v>
          </cell>
          <cell r="F273">
            <v>43566.362685185188</v>
          </cell>
          <cell r="H273" t="str">
            <v>B&amp;P-053-X-32211</v>
          </cell>
          <cell r="J273">
            <v>1</v>
          </cell>
        </row>
        <row r="274">
          <cell r="C274" t="str">
            <v>B&amp;P-058-32211-MX</v>
          </cell>
          <cell r="F274">
            <v>43566.362685185188</v>
          </cell>
          <cell r="H274" t="str">
            <v>B&amp;P-054-TDY211</v>
          </cell>
          <cell r="J274">
            <v>1</v>
          </cell>
        </row>
        <row r="275">
          <cell r="C275" t="str">
            <v>BPB-001-BP-18013-01</v>
          </cell>
          <cell r="F275">
            <v>43700.369664351849</v>
          </cell>
          <cell r="H275" t="str">
            <v>BPB-048-BP-12011-01</v>
          </cell>
          <cell r="J275">
            <v>1</v>
          </cell>
        </row>
        <row r="276">
          <cell r="C276" t="str">
            <v>BPB-058-32210-MX</v>
          </cell>
          <cell r="F276">
            <v>43991.442777777775</v>
          </cell>
          <cell r="H276" t="str">
            <v>B&amp;P-053-X-32210</v>
          </cell>
          <cell r="J276">
            <v>1</v>
          </cell>
        </row>
        <row r="277">
          <cell r="C277" t="str">
            <v>BPB-058-32210-MX</v>
          </cell>
          <cell r="F277">
            <v>43991.442777777775</v>
          </cell>
          <cell r="H277" t="str">
            <v>B&amp;P-054-TDY210</v>
          </cell>
          <cell r="J277">
            <v>1</v>
          </cell>
        </row>
        <row r="278">
          <cell r="C278" t="str">
            <v>BPB-044-BP17010-03</v>
          </cell>
          <cell r="F278">
            <v>43230.643599537034</v>
          </cell>
          <cell r="H278" t="str">
            <v>BPB-044-BP-17010-A3</v>
          </cell>
          <cell r="J278">
            <v>1</v>
          </cell>
        </row>
        <row r="279">
          <cell r="C279" t="str">
            <v>BPB-133-PB001030</v>
          </cell>
          <cell r="F279">
            <v>43244.441365740742</v>
          </cell>
          <cell r="H279" t="str">
            <v>BPB-033-ASA40-1-REEL</v>
          </cell>
          <cell r="J279">
            <v>0.8</v>
          </cell>
        </row>
        <row r="280">
          <cell r="C280" t="str">
            <v>BPB-133-PB001030</v>
          </cell>
          <cell r="F280">
            <v>43244.441365740742</v>
          </cell>
          <cell r="H280" t="str">
            <v>BPB-033-OL-40-1</v>
          </cell>
          <cell r="J280">
            <v>1</v>
          </cell>
        </row>
        <row r="281">
          <cell r="C281" t="str">
            <v>BPB-133-PB001030</v>
          </cell>
          <cell r="F281">
            <v>43244.441365740742</v>
          </cell>
          <cell r="H281" t="str">
            <v>BPB-033-CL-40-1</v>
          </cell>
          <cell r="J281">
            <v>1</v>
          </cell>
        </row>
        <row r="282">
          <cell r="C282" t="str">
            <v>BPB-133-PB004772</v>
          </cell>
          <cell r="F282">
            <v>43244.460347222222</v>
          </cell>
          <cell r="H282" t="str">
            <v>BPB-033-ASA40-1-REEL</v>
          </cell>
          <cell r="J282">
            <v>1.85</v>
          </cell>
        </row>
        <row r="283">
          <cell r="C283" t="str">
            <v>BPB-133-PB004772</v>
          </cell>
          <cell r="F283">
            <v>43244.460347222222</v>
          </cell>
          <cell r="H283" t="str">
            <v>BPB-033-OL-40-1</v>
          </cell>
          <cell r="J283">
            <v>1</v>
          </cell>
        </row>
        <row r="284">
          <cell r="C284" t="str">
            <v>BPB-133-PB004772</v>
          </cell>
          <cell r="F284">
            <v>43244.460347222222</v>
          </cell>
          <cell r="H284" t="str">
            <v>BPB-033-CL-40-1</v>
          </cell>
          <cell r="J284">
            <v>1</v>
          </cell>
        </row>
        <row r="285">
          <cell r="C285" t="str">
            <v>BPB-133-PB001842</v>
          </cell>
          <cell r="F285">
            <v>43244.467916666668</v>
          </cell>
          <cell r="H285" t="str">
            <v>BPB-033-ASA50-1-REEL</v>
          </cell>
          <cell r="J285">
            <v>1.62</v>
          </cell>
        </row>
        <row r="286">
          <cell r="C286" t="str">
            <v>BPB-133-PB001842</v>
          </cell>
          <cell r="F286">
            <v>43244.467916666668</v>
          </cell>
          <cell r="H286" t="str">
            <v>BPB-033-OL-50-1</v>
          </cell>
          <cell r="J286">
            <v>1</v>
          </cell>
        </row>
        <row r="287">
          <cell r="C287" t="str">
            <v>BPB-133-PB001842</v>
          </cell>
          <cell r="F287">
            <v>43244.467916666668</v>
          </cell>
          <cell r="H287" t="str">
            <v>BPB-033-CL-50-1</v>
          </cell>
          <cell r="J287">
            <v>1</v>
          </cell>
        </row>
        <row r="288">
          <cell r="C288" t="str">
            <v>BPB-133-PB004008</v>
          </cell>
          <cell r="F288">
            <v>43244.475671296299</v>
          </cell>
          <cell r="H288" t="str">
            <v>BPB-033-ASA50-1-REEL</v>
          </cell>
          <cell r="J288">
            <v>1.99</v>
          </cell>
        </row>
        <row r="289">
          <cell r="C289" t="str">
            <v>BPB-133-PB004008</v>
          </cell>
          <cell r="F289">
            <v>43244.475671296299</v>
          </cell>
          <cell r="H289" t="str">
            <v>BPB-033-OL-50-1</v>
          </cell>
          <cell r="J289">
            <v>1</v>
          </cell>
        </row>
        <row r="290">
          <cell r="C290" t="str">
            <v>BPB-133-PB004008</v>
          </cell>
          <cell r="F290">
            <v>43244.475671296299</v>
          </cell>
          <cell r="H290" t="str">
            <v>BPB-033-CL-50-1</v>
          </cell>
          <cell r="J290">
            <v>1</v>
          </cell>
        </row>
        <row r="291">
          <cell r="C291" t="str">
            <v>BPB-133-PB004009</v>
          </cell>
          <cell r="F291">
            <v>43244.482233796298</v>
          </cell>
          <cell r="H291" t="str">
            <v>BPB-033-ASA50-1-REEL</v>
          </cell>
          <cell r="J291">
            <v>1.37</v>
          </cell>
        </row>
        <row r="292">
          <cell r="C292" t="str">
            <v>BPB-133-PB004009</v>
          </cell>
          <cell r="F292">
            <v>43244.482233796298</v>
          </cell>
          <cell r="H292" t="str">
            <v>BPB-033-OL-50-1</v>
          </cell>
          <cell r="J292">
            <v>1</v>
          </cell>
        </row>
        <row r="293">
          <cell r="C293" t="str">
            <v>BPB-133-PB004009</v>
          </cell>
          <cell r="F293">
            <v>43244.482233796298</v>
          </cell>
          <cell r="H293" t="str">
            <v>BPB-033-CL-50-1</v>
          </cell>
          <cell r="J293">
            <v>1</v>
          </cell>
        </row>
        <row r="294">
          <cell r="C294" t="str">
            <v>BPB-133-PB004010</v>
          </cell>
          <cell r="F294">
            <v>43244.485462962963</v>
          </cell>
          <cell r="H294" t="str">
            <v>BPB-033-ASA50-1-REEL</v>
          </cell>
          <cell r="J294">
            <v>1.57</v>
          </cell>
        </row>
        <row r="295">
          <cell r="C295" t="str">
            <v>BPB-133-PB004010</v>
          </cell>
          <cell r="F295">
            <v>43244.485462962963</v>
          </cell>
          <cell r="H295" t="str">
            <v>BPB-033-OL-50-1</v>
          </cell>
          <cell r="J295">
            <v>1</v>
          </cell>
        </row>
        <row r="296">
          <cell r="C296" t="str">
            <v>BPB-133-PB004010</v>
          </cell>
          <cell r="F296">
            <v>43244.485462962963</v>
          </cell>
          <cell r="H296" t="str">
            <v>BPB-033-CL-50-1</v>
          </cell>
          <cell r="J296">
            <v>1</v>
          </cell>
        </row>
        <row r="297">
          <cell r="C297" t="str">
            <v>BPB-133-PB004011</v>
          </cell>
          <cell r="F297">
            <v>43244.491064814814</v>
          </cell>
          <cell r="H297" t="str">
            <v>BPB-033-ASA40-1-REEL</v>
          </cell>
          <cell r="J297">
            <v>1.2</v>
          </cell>
        </row>
        <row r="298">
          <cell r="C298" t="str">
            <v>BPB-133-PB004011</v>
          </cell>
          <cell r="F298">
            <v>43244.491064814814</v>
          </cell>
          <cell r="H298" t="str">
            <v>BPB-033-OL-40-1</v>
          </cell>
          <cell r="J298">
            <v>1</v>
          </cell>
        </row>
        <row r="299">
          <cell r="C299" t="str">
            <v>BPB-133-PB004011</v>
          </cell>
          <cell r="F299">
            <v>43244.491064814814</v>
          </cell>
          <cell r="H299" t="str">
            <v>BPB-033-CL-40-1</v>
          </cell>
          <cell r="J299">
            <v>1</v>
          </cell>
        </row>
        <row r="300">
          <cell r="C300" t="str">
            <v>BPB-133-PB004012</v>
          </cell>
          <cell r="F300">
            <v>43244.515081018515</v>
          </cell>
          <cell r="H300" t="str">
            <v>BPB-033-ASA40-1-REEL</v>
          </cell>
          <cell r="J300">
            <v>0.63500000000000001</v>
          </cell>
        </row>
        <row r="301">
          <cell r="C301" t="str">
            <v>BPB-133-PB004012</v>
          </cell>
          <cell r="F301">
            <v>43244.515081018515</v>
          </cell>
          <cell r="H301" t="str">
            <v>BPB-033-CL-40-1</v>
          </cell>
          <cell r="J301">
            <v>1</v>
          </cell>
        </row>
        <row r="302">
          <cell r="C302" t="str">
            <v>BPB-133-PB004012</v>
          </cell>
          <cell r="F302">
            <v>43244.515081018515</v>
          </cell>
          <cell r="H302" t="str">
            <v>BPB-033-OL-40-1</v>
          </cell>
          <cell r="J302">
            <v>1</v>
          </cell>
        </row>
        <row r="303">
          <cell r="C303" t="str">
            <v>BPB-133-PB004013</v>
          </cell>
          <cell r="F303">
            <v>43244.518680555557</v>
          </cell>
          <cell r="H303" t="str">
            <v>BPB-033-ASA40-1-REEL</v>
          </cell>
          <cell r="J303">
            <v>1.45</v>
          </cell>
        </row>
        <row r="304">
          <cell r="C304" t="str">
            <v>BPB-133-PB004013</v>
          </cell>
          <cell r="F304">
            <v>43244.518680555557</v>
          </cell>
          <cell r="H304" t="str">
            <v>BPB-033-OL-40-1</v>
          </cell>
          <cell r="J304">
            <v>1</v>
          </cell>
        </row>
        <row r="305">
          <cell r="C305" t="str">
            <v>BPB-133-PB004013</v>
          </cell>
          <cell r="F305">
            <v>43244.518680555557</v>
          </cell>
          <cell r="H305" t="str">
            <v>BPB-033-CL-40-1</v>
          </cell>
          <cell r="J305">
            <v>1</v>
          </cell>
        </row>
        <row r="306">
          <cell r="C306" t="str">
            <v>BPB-999-30204-MX</v>
          </cell>
          <cell r="F306">
            <v>44048.42765046296</v>
          </cell>
          <cell r="H306" t="str">
            <v>000-053-X-30204</v>
          </cell>
          <cell r="J306">
            <v>1</v>
          </cell>
        </row>
        <row r="307">
          <cell r="C307" t="str">
            <v>BPB-999-30204-MX</v>
          </cell>
          <cell r="F307">
            <v>44048.42765046296</v>
          </cell>
          <cell r="H307" t="str">
            <v>000-054-TCY204</v>
          </cell>
          <cell r="J307">
            <v>1</v>
          </cell>
        </row>
        <row r="308">
          <cell r="C308" t="str">
            <v>BPB-133-PB002860</v>
          </cell>
          <cell r="F308">
            <v>43363.61414351852</v>
          </cell>
          <cell r="H308" t="str">
            <v>BPB-033-ASA50-1-REEL</v>
          </cell>
          <cell r="J308">
            <v>2.06</v>
          </cell>
        </row>
        <row r="309">
          <cell r="C309" t="str">
            <v>BPB-133-PB002860</v>
          </cell>
          <cell r="F309">
            <v>43363.61414351852</v>
          </cell>
          <cell r="H309" t="str">
            <v>BPB-033-OL-50-1</v>
          </cell>
          <cell r="J309">
            <v>1</v>
          </cell>
        </row>
        <row r="310">
          <cell r="C310" t="str">
            <v>BPB-133-PB002860</v>
          </cell>
          <cell r="F310">
            <v>43363.61414351852</v>
          </cell>
          <cell r="H310" t="str">
            <v>BPB-033-CL-50-1</v>
          </cell>
          <cell r="J310">
            <v>1</v>
          </cell>
        </row>
        <row r="311">
          <cell r="C311" t="str">
            <v>BPB-047-FB-211</v>
          </cell>
          <cell r="F311">
            <v>44081.346944444442</v>
          </cell>
          <cell r="H311" t="str">
            <v>BPB-047-FB211-A2</v>
          </cell>
          <cell r="J311">
            <v>1</v>
          </cell>
        </row>
        <row r="312">
          <cell r="C312" t="str">
            <v>BPB-034-SQME-UTV</v>
          </cell>
          <cell r="F312">
            <v>42517.554328703707</v>
          </cell>
          <cell r="H312" t="str">
            <v>BPB-034-SQME-UTV-03</v>
          </cell>
          <cell r="J312">
            <v>1</v>
          </cell>
        </row>
        <row r="313">
          <cell r="C313" t="str">
            <v>BPB-034-SQME-UTV</v>
          </cell>
          <cell r="F313">
            <v>42517.554328703707</v>
          </cell>
          <cell r="H313" t="str">
            <v>BPB-034-SQME-UTV-02</v>
          </cell>
          <cell r="J313">
            <v>1</v>
          </cell>
        </row>
        <row r="314">
          <cell r="C314" t="str">
            <v>BPB-034-SQME-UTV</v>
          </cell>
          <cell r="F314">
            <v>42517.554328703707</v>
          </cell>
          <cell r="H314" t="str">
            <v>BPB-034-SQME-UTV-01</v>
          </cell>
          <cell r="J314">
            <v>1</v>
          </cell>
        </row>
        <row r="315">
          <cell r="C315" t="str">
            <v>BPB-056-DS4575C25CHS</v>
          </cell>
          <cell r="F315">
            <v>43383.438113425924</v>
          </cell>
          <cell r="H315" t="str">
            <v>BPB-056-4575C25CHSC</v>
          </cell>
          <cell r="J315">
            <v>1</v>
          </cell>
        </row>
        <row r="316">
          <cell r="C316" t="str">
            <v>BPB-048-W207-KYYB3</v>
          </cell>
          <cell r="F316">
            <v>44308.424375000002</v>
          </cell>
          <cell r="H316" t="str">
            <v>B&amp;P-048-207-KYYB2</v>
          </cell>
          <cell r="J316">
            <v>1</v>
          </cell>
        </row>
        <row r="317">
          <cell r="C317" t="str">
            <v>B&amp;P-058-30213-MX</v>
          </cell>
          <cell r="F317">
            <v>43410.404513888891</v>
          </cell>
          <cell r="H317" t="str">
            <v>B&amp;P-053-X-30213</v>
          </cell>
          <cell r="J317">
            <v>1</v>
          </cell>
        </row>
        <row r="318">
          <cell r="C318" t="str">
            <v>B&amp;P-058-30213-MX</v>
          </cell>
          <cell r="F318">
            <v>43410.404513888891</v>
          </cell>
          <cell r="H318" t="str">
            <v>B&amp;P-054-TCY213</v>
          </cell>
          <cell r="J318">
            <v>1</v>
          </cell>
        </row>
        <row r="319">
          <cell r="C319" t="str">
            <v>B&amp;P-HS--MS04-2RLD-C3</v>
          </cell>
          <cell r="F319">
            <v>43486.610532407409</v>
          </cell>
          <cell r="H319" t="str">
            <v>B&amp;P-004-MS04RLD-BLUE</v>
          </cell>
          <cell r="J319">
            <v>2</v>
          </cell>
        </row>
        <row r="320">
          <cell r="C320" t="str">
            <v>BPB-048-BP-18013</v>
          </cell>
          <cell r="F320">
            <v>43487.660196759258</v>
          </cell>
          <cell r="H320" t="str">
            <v>BPB-001-BP-18013-01</v>
          </cell>
          <cell r="J320">
            <v>1</v>
          </cell>
        </row>
        <row r="321">
          <cell r="C321" t="str">
            <v>BPB-048-BP-18013</v>
          </cell>
          <cell r="F321">
            <v>43487.660196759258</v>
          </cell>
          <cell r="H321" t="str">
            <v>BPB-002-BP-18013-02</v>
          </cell>
          <cell r="J321">
            <v>1</v>
          </cell>
        </row>
        <row r="322">
          <cell r="C322" t="str">
            <v>BPB-048-BP-18013</v>
          </cell>
          <cell r="F322">
            <v>43487.660196759258</v>
          </cell>
          <cell r="H322" t="str">
            <v>BPB-037-BP-18013-03</v>
          </cell>
          <cell r="J322">
            <v>1</v>
          </cell>
        </row>
        <row r="323">
          <cell r="C323" t="str">
            <v>BPB-048-BP-18013</v>
          </cell>
          <cell r="F323">
            <v>43487.660196759258</v>
          </cell>
          <cell r="H323" t="str">
            <v>BPB-037-BP-18013-05</v>
          </cell>
          <cell r="J323">
            <v>1</v>
          </cell>
        </row>
        <row r="324">
          <cell r="C324" t="str">
            <v>BPB-048-BP-18013</v>
          </cell>
          <cell r="F324">
            <v>43487.660196759258</v>
          </cell>
          <cell r="H324" t="str">
            <v>B&amp;P-005-BP12011-01-7</v>
          </cell>
          <cell r="J324">
            <v>2</v>
          </cell>
        </row>
        <row r="325">
          <cell r="C325" t="str">
            <v>BPB-048-BP-18013</v>
          </cell>
          <cell r="F325">
            <v>43487.660196759258</v>
          </cell>
          <cell r="H325" t="str">
            <v>B&amp;P-027-BP12011-01-8</v>
          </cell>
          <cell r="J325">
            <v>2</v>
          </cell>
        </row>
        <row r="326">
          <cell r="C326" t="str">
            <v>BPB-048-BP-18013</v>
          </cell>
          <cell r="F326">
            <v>43487.660196759258</v>
          </cell>
          <cell r="H326" t="str">
            <v>B&amp;P-003-Ball-9/32</v>
          </cell>
          <cell r="J326">
            <v>12</v>
          </cell>
        </row>
        <row r="327">
          <cell r="C327" t="str">
            <v>BPB-048-BP-18013</v>
          </cell>
          <cell r="F327">
            <v>43487.660196759258</v>
          </cell>
          <cell r="H327" t="str">
            <v>BPB-000-POLYREX-EM</v>
          </cell>
          <cell r="J327">
            <v>8</v>
          </cell>
        </row>
        <row r="328">
          <cell r="C328" t="str">
            <v>BPB-133-PB004759</v>
          </cell>
          <cell r="F328">
            <v>43501.660740740743</v>
          </cell>
          <cell r="H328" t="str">
            <v>BPB-033-ASA50-1-REEL</v>
          </cell>
          <cell r="J328">
            <v>1.24</v>
          </cell>
        </row>
        <row r="329">
          <cell r="C329" t="str">
            <v>BPB-133-PB004759</v>
          </cell>
          <cell r="F329">
            <v>43501.660740740743</v>
          </cell>
          <cell r="H329" t="str">
            <v>BPB-033-CL-50-1</v>
          </cell>
          <cell r="J329">
            <v>1</v>
          </cell>
        </row>
        <row r="330">
          <cell r="C330" t="str">
            <v>BPB-133-PB004759</v>
          </cell>
          <cell r="F330">
            <v>43501.660740740743</v>
          </cell>
          <cell r="H330" t="str">
            <v>BPB-033-OL-50-1</v>
          </cell>
          <cell r="J330">
            <v>1</v>
          </cell>
        </row>
        <row r="331">
          <cell r="C331" t="str">
            <v>BPB-048-G-209-KYYB2</v>
          </cell>
          <cell r="F331">
            <v>42825.400254629632</v>
          </cell>
          <cell r="H331" t="str">
            <v>B&amp;P-001-OR209-G19</v>
          </cell>
          <cell r="J331">
            <v>1</v>
          </cell>
        </row>
        <row r="332">
          <cell r="C332" t="str">
            <v>BPB-048-G-209-KYYB2</v>
          </cell>
          <cell r="F332">
            <v>42825.400254629632</v>
          </cell>
          <cell r="H332" t="str">
            <v>B&amp;P-002-209-K2</v>
          </cell>
          <cell r="J332">
            <v>1</v>
          </cell>
        </row>
        <row r="333">
          <cell r="C333" t="str">
            <v>BPB-048-G-209-KYYB2</v>
          </cell>
          <cell r="F333">
            <v>42825.400254629632</v>
          </cell>
          <cell r="H333" t="str">
            <v>B&amp;P-003-BALL-1/2</v>
          </cell>
          <cell r="J333">
            <v>9</v>
          </cell>
        </row>
        <row r="334">
          <cell r="C334" t="str">
            <v>BPB-048-G-209-KYYB2</v>
          </cell>
          <cell r="F334">
            <v>42825.400254629632</v>
          </cell>
          <cell r="H334" t="str">
            <v>B&amp;P-005-CAGE209-17</v>
          </cell>
          <cell r="J334">
            <v>1</v>
          </cell>
        </row>
        <row r="335">
          <cell r="C335" t="str">
            <v>BPB-048-G-209-KYYB2</v>
          </cell>
          <cell r="F335">
            <v>42825.400254629632</v>
          </cell>
          <cell r="H335" t="str">
            <v>B&amp;P-004-209-DBL-08</v>
          </cell>
          <cell r="J335">
            <v>2</v>
          </cell>
        </row>
        <row r="336">
          <cell r="C336" t="str">
            <v>BPB-048-G-209-KYYB2</v>
          </cell>
          <cell r="F336">
            <v>42825.400254629632</v>
          </cell>
          <cell r="H336" t="str">
            <v>BPB-000-POLYREX-EM</v>
          </cell>
          <cell r="J336">
            <v>13</v>
          </cell>
        </row>
        <row r="337">
          <cell r="C337" t="str">
            <v>BPB-048-207-KYYB2</v>
          </cell>
          <cell r="F337">
            <v>42825.440057870372</v>
          </cell>
          <cell r="H337" t="str">
            <v>B&amp;P-001-OR207</v>
          </cell>
          <cell r="J337">
            <v>1</v>
          </cell>
        </row>
        <row r="338">
          <cell r="C338" t="str">
            <v>BPB-048-207-KYYB2</v>
          </cell>
          <cell r="F338">
            <v>42825.440057870372</v>
          </cell>
          <cell r="H338" t="str">
            <v>B&amp;P-002-207-K9</v>
          </cell>
          <cell r="J338">
            <v>1</v>
          </cell>
        </row>
        <row r="339">
          <cell r="C339" t="str">
            <v>BPB-048-207-KYYB2</v>
          </cell>
          <cell r="F339">
            <v>42825.440057870372</v>
          </cell>
          <cell r="H339" t="str">
            <v>B&amp;P-005-CAGE207-17</v>
          </cell>
          <cell r="J339">
            <v>1</v>
          </cell>
        </row>
        <row r="340">
          <cell r="C340" t="str">
            <v>BPB-048-207-KYYB2</v>
          </cell>
          <cell r="F340">
            <v>42825.440057870372</v>
          </cell>
          <cell r="H340" t="str">
            <v>B&amp;P-003-Ball-7/16</v>
          </cell>
          <cell r="J340">
            <v>9</v>
          </cell>
        </row>
        <row r="341">
          <cell r="C341" t="str">
            <v>BPB-048-207-KYYB2</v>
          </cell>
          <cell r="F341">
            <v>42825.440057870372</v>
          </cell>
          <cell r="H341" t="str">
            <v>B&amp;P-004-207-DBL-08</v>
          </cell>
          <cell r="J341">
            <v>2</v>
          </cell>
        </row>
        <row r="342">
          <cell r="C342" t="str">
            <v>BPB-048-207-KYYB2</v>
          </cell>
          <cell r="F342">
            <v>42825.440057870372</v>
          </cell>
          <cell r="H342" t="str">
            <v>BPB-000-POLYREX-EM</v>
          </cell>
          <cell r="J342">
            <v>8</v>
          </cell>
        </row>
        <row r="343">
          <cell r="C343" t="str">
            <v>BPB-048-207-KRRB12</v>
          </cell>
          <cell r="F343">
            <v>42825.453020833331</v>
          </cell>
          <cell r="H343" t="str">
            <v>B&amp;P-001-OR207-17</v>
          </cell>
          <cell r="J343">
            <v>1</v>
          </cell>
        </row>
        <row r="344">
          <cell r="C344" t="str">
            <v>BPB-048-207-KRRB12</v>
          </cell>
          <cell r="F344">
            <v>42825.453020833331</v>
          </cell>
          <cell r="H344" t="str">
            <v>B&amp;P-002-207-K12</v>
          </cell>
          <cell r="J344">
            <v>1</v>
          </cell>
        </row>
        <row r="345">
          <cell r="C345" t="str">
            <v>BPB-048-207-KRRB12</v>
          </cell>
          <cell r="F345">
            <v>42825.453020833331</v>
          </cell>
          <cell r="H345" t="str">
            <v>B&amp;P-005-CAGE207-17</v>
          </cell>
          <cell r="J345">
            <v>1</v>
          </cell>
        </row>
        <row r="346">
          <cell r="C346" t="str">
            <v>BPB-048-207-KRRB12</v>
          </cell>
          <cell r="F346">
            <v>42825.453020833331</v>
          </cell>
          <cell r="H346" t="str">
            <v>B&amp;P-003-Ball-7/16</v>
          </cell>
          <cell r="J346">
            <v>9</v>
          </cell>
        </row>
        <row r="347">
          <cell r="C347" t="str">
            <v>BPB-048-207-KRRB12</v>
          </cell>
          <cell r="F347">
            <v>42825.453020833331</v>
          </cell>
          <cell r="H347" t="str">
            <v>B&amp;P-004-207-RST-08</v>
          </cell>
          <cell r="J347">
            <v>2</v>
          </cell>
        </row>
        <row r="348">
          <cell r="C348" t="str">
            <v>BPB-048-207-KRRB12</v>
          </cell>
          <cell r="F348">
            <v>42825.453020833331</v>
          </cell>
          <cell r="H348" t="str">
            <v>BPB-000-POLYREX-EM</v>
          </cell>
          <cell r="J348">
            <v>8</v>
          </cell>
        </row>
        <row r="349">
          <cell r="C349" t="str">
            <v>B&amp;P-053-X-32213</v>
          </cell>
          <cell r="F349">
            <v>42857.577245370368</v>
          </cell>
          <cell r="H349" t="str">
            <v>B&amp;P-003-TDX213</v>
          </cell>
          <cell r="J349">
            <v>19</v>
          </cell>
        </row>
        <row r="350">
          <cell r="C350" t="str">
            <v>B&amp;P-053-X-32213</v>
          </cell>
          <cell r="F350">
            <v>42857.577245370368</v>
          </cell>
          <cell r="H350" t="str">
            <v>BPB-053-TDX213</v>
          </cell>
          <cell r="J350">
            <v>1</v>
          </cell>
        </row>
        <row r="351">
          <cell r="C351" t="str">
            <v>B&amp;P-053-X-32213</v>
          </cell>
          <cell r="F351">
            <v>42857.577245370368</v>
          </cell>
          <cell r="H351" t="str">
            <v>B&amp;P-005-TDX213</v>
          </cell>
          <cell r="J351">
            <v>1</v>
          </cell>
        </row>
        <row r="352">
          <cell r="C352" t="str">
            <v>BPB-133-PB001473</v>
          </cell>
          <cell r="F352">
            <v>42893.409062500003</v>
          </cell>
          <cell r="H352" t="str">
            <v>BPB-033-ASA50-1-REEL</v>
          </cell>
          <cell r="J352">
            <v>1.78</v>
          </cell>
        </row>
        <row r="353">
          <cell r="C353" t="str">
            <v>BPB-133-PB001473</v>
          </cell>
          <cell r="F353">
            <v>42893.409062500003</v>
          </cell>
          <cell r="H353" t="str">
            <v>BPB-033-OL-50-1</v>
          </cell>
          <cell r="J353">
            <v>1</v>
          </cell>
        </row>
        <row r="354">
          <cell r="C354" t="str">
            <v>B&amp;P-048-FDECL211-55</v>
          </cell>
          <cell r="F354">
            <v>42886.637361111112</v>
          </cell>
          <cell r="H354" t="str">
            <v>B&amp;P-999-ECL-211-55DG</v>
          </cell>
          <cell r="J354">
            <v>1</v>
          </cell>
        </row>
        <row r="355">
          <cell r="C355" t="str">
            <v>B&amp;P-048-FDECL211-55</v>
          </cell>
          <cell r="F355">
            <v>42886.637361111112</v>
          </cell>
          <cell r="H355" t="str">
            <v>BPB-048-FD-211-50</v>
          </cell>
          <cell r="J355">
            <v>1</v>
          </cell>
        </row>
        <row r="356">
          <cell r="C356" t="str">
            <v>B&amp;P-058-30207-MX</v>
          </cell>
          <cell r="F356">
            <v>43648.450624999998</v>
          </cell>
          <cell r="H356" t="str">
            <v>B&amp;P-053-X-30207</v>
          </cell>
          <cell r="J356">
            <v>1</v>
          </cell>
        </row>
        <row r="357">
          <cell r="C357" t="str">
            <v>B&amp;P-058-30207-MX</v>
          </cell>
          <cell r="F357">
            <v>43648.450624999998</v>
          </cell>
          <cell r="H357" t="str">
            <v>B&amp;P-054-TCY207</v>
          </cell>
          <cell r="J357">
            <v>1</v>
          </cell>
        </row>
        <row r="358">
          <cell r="C358" t="str">
            <v>BPB-058-30210-MX</v>
          </cell>
          <cell r="F358">
            <v>43871.403217592589</v>
          </cell>
          <cell r="H358" t="str">
            <v>BPB-053-X-30210-MX</v>
          </cell>
          <cell r="J358">
            <v>1</v>
          </cell>
        </row>
        <row r="359">
          <cell r="C359" t="str">
            <v>BPB-058-30210-MX</v>
          </cell>
          <cell r="F359">
            <v>43871.403217592589</v>
          </cell>
          <cell r="H359" t="str">
            <v>BPB-054-TCY210</v>
          </cell>
          <cell r="J359">
            <v>1</v>
          </cell>
        </row>
        <row r="360">
          <cell r="C360" t="str">
            <v>CMG-058-30204-MX</v>
          </cell>
          <cell r="F360">
            <v>44026.415173611109</v>
          </cell>
          <cell r="H360" t="str">
            <v>000-054-TCY204</v>
          </cell>
          <cell r="J360">
            <v>1</v>
          </cell>
        </row>
        <row r="361">
          <cell r="C361" t="str">
            <v>BPB-999-LM68149-110</v>
          </cell>
          <cell r="F361">
            <v>44089.674884259257</v>
          </cell>
          <cell r="H361" t="str">
            <v>000-053-68149</v>
          </cell>
          <cell r="J361">
            <v>1</v>
          </cell>
        </row>
        <row r="362">
          <cell r="C362" t="str">
            <v>BPB-999-LM68149-110</v>
          </cell>
          <cell r="F362">
            <v>44089.674884259257</v>
          </cell>
          <cell r="H362" t="str">
            <v>000-054-68110</v>
          </cell>
          <cell r="J362">
            <v>1</v>
          </cell>
        </row>
        <row r="363">
          <cell r="C363" t="str">
            <v>B&amp;P-999-32006-MX</v>
          </cell>
          <cell r="F363">
            <v>44103.334965277776</v>
          </cell>
          <cell r="H363" t="str">
            <v>000-053-X-32006</v>
          </cell>
          <cell r="J363">
            <v>1</v>
          </cell>
        </row>
        <row r="364">
          <cell r="C364" t="str">
            <v>B&amp;P-999-32006-MX</v>
          </cell>
          <cell r="F364">
            <v>44103.334965277776</v>
          </cell>
          <cell r="H364" t="str">
            <v>000-054-TDY006</v>
          </cell>
          <cell r="J364">
            <v>1</v>
          </cell>
        </row>
        <row r="365">
          <cell r="C365" t="str">
            <v>B&amp;P-048-5203-KYY2</v>
          </cell>
          <cell r="F365">
            <v>42564.738865740743</v>
          </cell>
          <cell r="H365" t="str">
            <v>B&amp;P-001-5203-KYY2</v>
          </cell>
          <cell r="J365">
            <v>1</v>
          </cell>
        </row>
        <row r="366">
          <cell r="C366" t="str">
            <v>B&amp;P-048-5203-KYY2</v>
          </cell>
          <cell r="F366">
            <v>42564.738865740743</v>
          </cell>
          <cell r="H366" t="str">
            <v>B&amp;P-002-5203-KYY2</v>
          </cell>
          <cell r="J366">
            <v>1</v>
          </cell>
        </row>
        <row r="367">
          <cell r="C367" t="str">
            <v>B&amp;P-048-5203-KYY2</v>
          </cell>
          <cell r="F367">
            <v>42564.738865740743</v>
          </cell>
          <cell r="H367" t="str">
            <v>B&amp;P-005-5203-KYY2</v>
          </cell>
          <cell r="J367">
            <v>2</v>
          </cell>
        </row>
        <row r="368">
          <cell r="C368" t="str">
            <v>B&amp;P-048-5203-KYY2</v>
          </cell>
          <cell r="F368">
            <v>42564.738865740743</v>
          </cell>
          <cell r="H368" t="str">
            <v>B&amp;P-004-5203-KYY2-08</v>
          </cell>
          <cell r="J368">
            <v>2</v>
          </cell>
        </row>
        <row r="369">
          <cell r="C369" t="str">
            <v>B&amp;P-048-5203-KYY2</v>
          </cell>
          <cell r="F369">
            <v>42564.738865740743</v>
          </cell>
          <cell r="H369" t="str">
            <v>B&amp;P-003-BALL-17/64</v>
          </cell>
          <cell r="J369">
            <v>16</v>
          </cell>
        </row>
        <row r="370">
          <cell r="C370" t="str">
            <v>B&amp;P-048-5203-KYY2</v>
          </cell>
          <cell r="F370">
            <v>42564.738865740743</v>
          </cell>
          <cell r="H370" t="str">
            <v>BPB-000-POLYREX-EM</v>
          </cell>
          <cell r="J370">
            <v>6.5</v>
          </cell>
        </row>
        <row r="371">
          <cell r="C371" t="str">
            <v>B&amp;P-037-BP-13002-A1</v>
          </cell>
          <cell r="F371">
            <v>44319.368668981479</v>
          </cell>
          <cell r="H371" t="str">
            <v>BPB-037-SAE4140Ø95</v>
          </cell>
          <cell r="J371">
            <v>4.2999999999999997E-2</v>
          </cell>
        </row>
        <row r="372">
          <cell r="C372" t="str">
            <v>B&amp;P-037-BP-13002-A2</v>
          </cell>
          <cell r="F372">
            <v>44319.370127314818</v>
          </cell>
          <cell r="H372" t="str">
            <v>BPB-037-SAE4140Ø60.3</v>
          </cell>
          <cell r="J372">
            <v>4.2999999999999997E-2</v>
          </cell>
        </row>
        <row r="373">
          <cell r="C373" t="str">
            <v>BPB-133-PB000849</v>
          </cell>
          <cell r="F373">
            <v>43042.622499999998</v>
          </cell>
          <cell r="H373" t="str">
            <v>BPB-033-ASA40-1-REEL</v>
          </cell>
          <cell r="J373">
            <v>0.79</v>
          </cell>
        </row>
        <row r="374">
          <cell r="C374" t="str">
            <v>BPB-133-PB000849</v>
          </cell>
          <cell r="F374">
            <v>43042.622499999998</v>
          </cell>
          <cell r="H374" t="str">
            <v>BPB-033-OL-40-1</v>
          </cell>
          <cell r="J374">
            <v>1</v>
          </cell>
        </row>
        <row r="375">
          <cell r="C375" t="str">
            <v>BPB-133-PB000849</v>
          </cell>
          <cell r="F375">
            <v>43042.622499999998</v>
          </cell>
          <cell r="H375" t="str">
            <v>BPB-033-CL-40-1</v>
          </cell>
          <cell r="J375">
            <v>1</v>
          </cell>
        </row>
        <row r="376">
          <cell r="C376" t="str">
            <v>BPB-133-PB000863</v>
          </cell>
          <cell r="F376">
            <v>43042.623912037037</v>
          </cell>
          <cell r="H376" t="str">
            <v>BPB-033-ASA40-1-REEL</v>
          </cell>
          <cell r="J376">
            <v>0.71</v>
          </cell>
        </row>
        <row r="377">
          <cell r="C377" t="str">
            <v>BPB-133-PB000863</v>
          </cell>
          <cell r="F377">
            <v>43042.623912037037</v>
          </cell>
          <cell r="H377" t="str">
            <v>BPB-033-OL-40-1</v>
          </cell>
          <cell r="J377">
            <v>1</v>
          </cell>
        </row>
        <row r="378">
          <cell r="C378" t="str">
            <v>BPB-133-PB000863</v>
          </cell>
          <cell r="F378">
            <v>43042.623912037037</v>
          </cell>
          <cell r="H378" t="str">
            <v>BPB-033-CL-40-1</v>
          </cell>
          <cell r="J378">
            <v>1</v>
          </cell>
        </row>
        <row r="379">
          <cell r="C379" t="str">
            <v>BPB-133-PB000852</v>
          </cell>
          <cell r="F379">
            <v>43049.384236111109</v>
          </cell>
          <cell r="H379" t="str">
            <v>BPB-033-ASA50-1-REEL</v>
          </cell>
          <cell r="J379">
            <v>0.83</v>
          </cell>
        </row>
        <row r="380">
          <cell r="C380" t="str">
            <v>BPB-133-PB000852</v>
          </cell>
          <cell r="F380">
            <v>43049.384236111109</v>
          </cell>
          <cell r="H380" t="str">
            <v>BPB-033-OL-50-1</v>
          </cell>
          <cell r="J380">
            <v>1</v>
          </cell>
        </row>
        <row r="381">
          <cell r="C381" t="str">
            <v>BPB-133-PB000852</v>
          </cell>
          <cell r="F381">
            <v>43049.384236111109</v>
          </cell>
          <cell r="H381" t="str">
            <v>BPB-033-CL-50-1</v>
          </cell>
          <cell r="J381">
            <v>1</v>
          </cell>
        </row>
        <row r="382">
          <cell r="C382" t="str">
            <v>BPB-133-PB001506</v>
          </cell>
          <cell r="F382">
            <v>43056.634687500002</v>
          </cell>
          <cell r="H382" t="str">
            <v>BPB-033-ASA40-1-REEL</v>
          </cell>
          <cell r="J382">
            <v>1.27</v>
          </cell>
        </row>
        <row r="383">
          <cell r="C383" t="str">
            <v>BPB-133-PB001506</v>
          </cell>
          <cell r="F383">
            <v>43056.634687500002</v>
          </cell>
          <cell r="H383" t="str">
            <v>BPB-033-OL-40-1</v>
          </cell>
          <cell r="J383">
            <v>1</v>
          </cell>
        </row>
        <row r="384">
          <cell r="C384" t="str">
            <v>BPB-133-PB001506</v>
          </cell>
          <cell r="F384">
            <v>43056.634687500002</v>
          </cell>
          <cell r="H384" t="str">
            <v>BPB-033-CL-40-1</v>
          </cell>
          <cell r="J384">
            <v>1</v>
          </cell>
        </row>
        <row r="385">
          <cell r="C385" t="str">
            <v>BPB-133-PB001096</v>
          </cell>
          <cell r="F385">
            <v>43056.63554398148</v>
          </cell>
          <cell r="H385" t="str">
            <v>BPB-033-ASA40-1-REEL</v>
          </cell>
          <cell r="J385">
            <v>1.1200000000000001</v>
          </cell>
        </row>
        <row r="386">
          <cell r="C386" t="str">
            <v>BPB-133-PB001096</v>
          </cell>
          <cell r="F386">
            <v>43056.63554398148</v>
          </cell>
          <cell r="H386" t="str">
            <v>BPB-033-OL-40-1</v>
          </cell>
          <cell r="J386">
            <v>1</v>
          </cell>
        </row>
        <row r="387">
          <cell r="C387" t="str">
            <v>BPB-133-PB001096</v>
          </cell>
          <cell r="F387">
            <v>43056.63554398148</v>
          </cell>
          <cell r="H387" t="str">
            <v>BPB-033-CL-40-1</v>
          </cell>
          <cell r="J387">
            <v>1</v>
          </cell>
        </row>
        <row r="388">
          <cell r="C388" t="str">
            <v>BPB-133-PB000861</v>
          </cell>
          <cell r="F388">
            <v>43056.636481481481</v>
          </cell>
          <cell r="H388" t="str">
            <v>BPB-033-ASA50-1-REEL</v>
          </cell>
          <cell r="J388">
            <v>1.49</v>
          </cell>
        </row>
        <row r="389">
          <cell r="C389" t="str">
            <v>BPB-133-PB000861</v>
          </cell>
          <cell r="F389">
            <v>43056.636481481481</v>
          </cell>
          <cell r="H389" t="str">
            <v>BPB-033-OL-50-1</v>
          </cell>
          <cell r="J389">
            <v>1</v>
          </cell>
        </row>
        <row r="390">
          <cell r="C390" t="str">
            <v>BPB-133-PB000861</v>
          </cell>
          <cell r="F390">
            <v>43056.636481481481</v>
          </cell>
          <cell r="H390" t="str">
            <v>BPB-033-CL-50-1</v>
          </cell>
          <cell r="J390">
            <v>1</v>
          </cell>
        </row>
        <row r="391">
          <cell r="C391" t="str">
            <v>B&amp;P-048-G205-KYYB5</v>
          </cell>
          <cell r="F391">
            <v>44488.366180555553</v>
          </cell>
          <cell r="H391" t="str">
            <v>B&amp;P-001-OR205-G</v>
          </cell>
          <cell r="J391">
            <v>1</v>
          </cell>
        </row>
        <row r="392">
          <cell r="C392" t="str">
            <v>B&amp;P-048-G205-KYYB5</v>
          </cell>
          <cell r="F392">
            <v>44488.366180555553</v>
          </cell>
          <cell r="H392" t="str">
            <v>B&amp;P-002-205-K2</v>
          </cell>
          <cell r="J392">
            <v>1</v>
          </cell>
        </row>
        <row r="393">
          <cell r="C393" t="str">
            <v>B&amp;P-048-G205-KYYB5</v>
          </cell>
          <cell r="F393">
            <v>44488.366180555553</v>
          </cell>
          <cell r="H393" t="str">
            <v>B&amp;P-005-205-KYYB5-17</v>
          </cell>
          <cell r="J393">
            <v>1</v>
          </cell>
        </row>
        <row r="394">
          <cell r="C394" t="str">
            <v>B&amp;P-048-G205-KYYB5</v>
          </cell>
          <cell r="F394">
            <v>44488.366180555553</v>
          </cell>
          <cell r="H394" t="str">
            <v>B&amp;P-003-Ball-5/16</v>
          </cell>
          <cell r="J394">
            <v>9</v>
          </cell>
        </row>
        <row r="395">
          <cell r="C395" t="str">
            <v>B&amp;P-048-G205-KYYB5</v>
          </cell>
          <cell r="F395">
            <v>44488.366180555553</v>
          </cell>
          <cell r="H395" t="str">
            <v>B&amp;P-004-205-DBL-08</v>
          </cell>
          <cell r="J395">
            <v>2</v>
          </cell>
        </row>
        <row r="396">
          <cell r="C396" t="str">
            <v>B&amp;P-048-G205-KYYB5</v>
          </cell>
          <cell r="F396">
            <v>44488.366180555553</v>
          </cell>
          <cell r="H396" t="str">
            <v>BPB-000-POLYREX-EM</v>
          </cell>
          <cell r="J396">
            <v>6.4</v>
          </cell>
        </row>
        <row r="397">
          <cell r="C397" t="str">
            <v>B&amp;P-047-FTS-205-HA</v>
          </cell>
          <cell r="F397">
            <v>44405.44902777778</v>
          </cell>
          <cell r="H397" t="str">
            <v>BPB-047-FTS-205-A1</v>
          </cell>
          <cell r="J397">
            <v>1</v>
          </cell>
        </row>
        <row r="398">
          <cell r="C398" t="str">
            <v>B&amp;P-047-FTS-205-HA</v>
          </cell>
          <cell r="F398">
            <v>44405.44902777778</v>
          </cell>
          <cell r="H398" t="str">
            <v>BPB-037-ALEMIT1/4X28</v>
          </cell>
          <cell r="J398">
            <v>1</v>
          </cell>
        </row>
        <row r="399">
          <cell r="C399" t="str">
            <v>B&amp;P-059-AG590026-04</v>
          </cell>
          <cell r="F399">
            <v>44440.590057870373</v>
          </cell>
          <cell r="H399" t="str">
            <v>BPB-037-AG590026-4-A</v>
          </cell>
          <cell r="J399">
            <v>1</v>
          </cell>
        </row>
        <row r="400">
          <cell r="C400" t="str">
            <v>BPB-999-32217-MX</v>
          </cell>
          <cell r="F400">
            <v>44505.647430555553</v>
          </cell>
          <cell r="H400" t="str">
            <v>000-053-X-32217</v>
          </cell>
          <cell r="J400">
            <v>1</v>
          </cell>
        </row>
        <row r="401">
          <cell r="C401" t="str">
            <v>BPB-999-32217-MX</v>
          </cell>
          <cell r="F401">
            <v>44505.647430555553</v>
          </cell>
          <cell r="H401" t="str">
            <v>000-054-TDY217</v>
          </cell>
          <cell r="J401">
            <v>1</v>
          </cell>
        </row>
        <row r="402">
          <cell r="C402" t="str">
            <v>BPB-048-S410000034</v>
          </cell>
          <cell r="F402">
            <v>44447.526574074072</v>
          </cell>
          <cell r="H402" t="str">
            <v>BPB-048-S412101-A</v>
          </cell>
          <cell r="J402">
            <v>1</v>
          </cell>
        </row>
        <row r="403">
          <cell r="C403" t="str">
            <v>BPB-048-S410000034</v>
          </cell>
          <cell r="F403">
            <v>44447.526574074072</v>
          </cell>
          <cell r="H403" t="str">
            <v>BPB-999-30203-MX</v>
          </cell>
          <cell r="J403">
            <v>1</v>
          </cell>
        </row>
        <row r="404">
          <cell r="C404" t="str">
            <v>BPB-048-S410000034</v>
          </cell>
          <cell r="F404">
            <v>44447.526574074072</v>
          </cell>
          <cell r="H404" t="str">
            <v>B&amp;P-058-30204-MX</v>
          </cell>
          <cell r="J404">
            <v>1</v>
          </cell>
        </row>
        <row r="405">
          <cell r="C405" t="str">
            <v>BPB-048-S410000034</v>
          </cell>
          <cell r="F405">
            <v>44447.526574074072</v>
          </cell>
          <cell r="H405" t="str">
            <v>BPB-027-OIL-8394</v>
          </cell>
          <cell r="J405">
            <v>1</v>
          </cell>
        </row>
        <row r="406">
          <cell r="C406" t="str">
            <v>BPB-048-S410000034</v>
          </cell>
          <cell r="F406">
            <v>44447.526574074072</v>
          </cell>
          <cell r="H406" t="str">
            <v>BPB-037-DIN-472-40</v>
          </cell>
          <cell r="J406">
            <v>1</v>
          </cell>
        </row>
        <row r="407">
          <cell r="C407" t="str">
            <v>BPB-048-S410000034</v>
          </cell>
          <cell r="F407">
            <v>44447.526574074072</v>
          </cell>
          <cell r="H407" t="str">
            <v>BPB-000-MULTIS-2</v>
          </cell>
          <cell r="J407">
            <v>7</v>
          </cell>
        </row>
        <row r="408">
          <cell r="C408" t="str">
            <v>B&amp;P-058-320-32X</v>
          </cell>
          <cell r="F408">
            <v>44588.644953703704</v>
          </cell>
          <cell r="H408" t="str">
            <v>B&amp;P-053-X-320-32X</v>
          </cell>
          <cell r="J408">
            <v>1</v>
          </cell>
        </row>
        <row r="409">
          <cell r="C409" t="str">
            <v>B&amp;P-058-320-32X</v>
          </cell>
          <cell r="F409">
            <v>44588.644953703704</v>
          </cell>
          <cell r="H409" t="str">
            <v>B&amp;P-054-Y-320-32X</v>
          </cell>
          <cell r="J409">
            <v>1</v>
          </cell>
        </row>
        <row r="410">
          <cell r="C410" t="str">
            <v>B&amp;P-047-ECL210-31TT</v>
          </cell>
          <cell r="F410">
            <v>44617.382002314815</v>
          </cell>
          <cell r="H410" t="str">
            <v>B&amp;P-001-OR210</v>
          </cell>
          <cell r="J410">
            <v>1</v>
          </cell>
        </row>
        <row r="411">
          <cell r="C411" t="str">
            <v>B&amp;P-047-ECL210-31TT</v>
          </cell>
          <cell r="F411">
            <v>44617.382002314815</v>
          </cell>
          <cell r="H411" t="str">
            <v>B&amp;P-002-ECL210-31-02</v>
          </cell>
          <cell r="J411">
            <v>1</v>
          </cell>
        </row>
        <row r="412">
          <cell r="C412" t="str">
            <v>B&amp;P-047-ECL210-31TT</v>
          </cell>
          <cell r="F412">
            <v>44617.382002314815</v>
          </cell>
          <cell r="H412" t="str">
            <v>B&amp;P-005-CAGE210-17</v>
          </cell>
          <cell r="J412">
            <v>1</v>
          </cell>
        </row>
        <row r="413">
          <cell r="C413" t="str">
            <v>B&amp;P-047-ECL210-31TT</v>
          </cell>
          <cell r="F413">
            <v>44617.382002314815</v>
          </cell>
          <cell r="H413" t="str">
            <v>B&amp;P-003-BALL-1/2</v>
          </cell>
          <cell r="J413">
            <v>10</v>
          </cell>
        </row>
        <row r="414">
          <cell r="C414" t="str">
            <v>B&amp;P-047-ECL210-31TT</v>
          </cell>
          <cell r="F414">
            <v>44617.382002314815</v>
          </cell>
          <cell r="H414" t="str">
            <v>B&amp;P-004-210-TPL-08</v>
          </cell>
          <cell r="J414">
            <v>2</v>
          </cell>
        </row>
        <row r="415">
          <cell r="C415" t="str">
            <v>B&amp;P-047-ECL210-31TT</v>
          </cell>
          <cell r="F415">
            <v>44617.382002314815</v>
          </cell>
          <cell r="H415" t="str">
            <v>B&amp;P-010-LOC210-31</v>
          </cell>
          <cell r="J415">
            <v>1</v>
          </cell>
        </row>
        <row r="416">
          <cell r="C416" t="str">
            <v>B&amp;P-HS--MS04-D-C3</v>
          </cell>
          <cell r="F416">
            <v>44635.659201388888</v>
          </cell>
          <cell r="H416" t="str">
            <v>BPB-041-MS04-2RS</v>
          </cell>
          <cell r="J416">
            <v>1</v>
          </cell>
        </row>
        <row r="417">
          <cell r="C417" t="str">
            <v>BPB-041-MS07-D</v>
          </cell>
          <cell r="F417">
            <v>44642.647280092591</v>
          </cell>
          <cell r="H417" t="str">
            <v>BPB-005-RET/SET-MS07</v>
          </cell>
          <cell r="J417">
            <v>1</v>
          </cell>
        </row>
        <row r="418">
          <cell r="C418" t="str">
            <v>BPB-041-MS07-D</v>
          </cell>
          <cell r="F418">
            <v>44642.647280092591</v>
          </cell>
          <cell r="H418" t="str">
            <v>B&amp;P-002-MS07-D</v>
          </cell>
          <cell r="J418">
            <v>1</v>
          </cell>
        </row>
        <row r="419">
          <cell r="C419" t="str">
            <v>BPB-041-MS07-D</v>
          </cell>
          <cell r="F419">
            <v>44642.647280092591</v>
          </cell>
          <cell r="H419" t="str">
            <v>B&amp;P-003-Ball-7/16</v>
          </cell>
          <cell r="J419">
            <v>9</v>
          </cell>
        </row>
        <row r="420">
          <cell r="C420" t="str">
            <v>BPB-041-MS07-D</v>
          </cell>
          <cell r="F420">
            <v>44642.647280092591</v>
          </cell>
          <cell r="H420" t="str">
            <v>BPB-001-6207-D</v>
          </cell>
          <cell r="J420">
            <v>1</v>
          </cell>
        </row>
        <row r="421">
          <cell r="C421" t="str">
            <v>BPB-047-ECL-211-32</v>
          </cell>
          <cell r="F421">
            <v>44677.350682870368</v>
          </cell>
          <cell r="H421" t="str">
            <v>B&amp;P-001-OR211-G</v>
          </cell>
          <cell r="J421">
            <v>1</v>
          </cell>
        </row>
        <row r="422">
          <cell r="C422" t="str">
            <v>BPB-047-ECL-211-32</v>
          </cell>
          <cell r="F422">
            <v>44677.350682870368</v>
          </cell>
          <cell r="H422" t="str">
            <v>B&amp;P-005-CAGE211-17</v>
          </cell>
          <cell r="J422">
            <v>1</v>
          </cell>
        </row>
        <row r="423">
          <cell r="C423" t="str">
            <v>BPB-047-ECL-211-32</v>
          </cell>
          <cell r="F423">
            <v>44677.350682870368</v>
          </cell>
          <cell r="H423" t="str">
            <v>B&amp;P-003-BALL-9/16</v>
          </cell>
          <cell r="J423">
            <v>10</v>
          </cell>
        </row>
        <row r="424">
          <cell r="C424" t="str">
            <v>BPB-047-ECL-211-32</v>
          </cell>
          <cell r="F424">
            <v>44677.350682870368</v>
          </cell>
          <cell r="H424" t="str">
            <v>B&amp;P-010-LOC211-32</v>
          </cell>
          <cell r="J424">
            <v>1</v>
          </cell>
        </row>
        <row r="425">
          <cell r="C425" t="str">
            <v>BPB-047-ECL-211-32</v>
          </cell>
          <cell r="F425">
            <v>44677.350682870368</v>
          </cell>
          <cell r="H425" t="str">
            <v>B&amp;P-004-211-DBL-08</v>
          </cell>
          <cell r="J425">
            <v>2</v>
          </cell>
        </row>
        <row r="426">
          <cell r="C426" t="str">
            <v>BPB-047-ECL-211-32</v>
          </cell>
          <cell r="F426">
            <v>44677.350682870368</v>
          </cell>
          <cell r="H426" t="str">
            <v>B&amp;P-002-ECL211-32-02</v>
          </cell>
          <cell r="J426">
            <v>1</v>
          </cell>
        </row>
        <row r="427">
          <cell r="C427" t="str">
            <v>B&amp;P-058-30206-MX</v>
          </cell>
          <cell r="F427">
            <v>44782.410694444443</v>
          </cell>
          <cell r="H427" t="str">
            <v>B&amp;P-053-X-30206</v>
          </cell>
          <cell r="J427">
            <v>1</v>
          </cell>
        </row>
        <row r="428">
          <cell r="C428" t="str">
            <v>B&amp;P-058-30206-MX</v>
          </cell>
          <cell r="F428">
            <v>44782.410694444443</v>
          </cell>
          <cell r="H428" t="str">
            <v>B&amp;P-054-TCY206</v>
          </cell>
          <cell r="J428">
            <v>1</v>
          </cell>
        </row>
        <row r="429">
          <cell r="C429" t="str">
            <v>B&amp;P-058-30210-MX</v>
          </cell>
          <cell r="F429">
            <v>44798.335057870368</v>
          </cell>
          <cell r="H429" t="str">
            <v>B&amp;P-053-X-30210</v>
          </cell>
          <cell r="J429">
            <v>1</v>
          </cell>
        </row>
        <row r="430">
          <cell r="C430" t="str">
            <v>B&amp;P-058-30210-MX</v>
          </cell>
          <cell r="F430">
            <v>44798.335057870368</v>
          </cell>
          <cell r="H430" t="str">
            <v>B&amp;P-054-TCY210</v>
          </cell>
          <cell r="J430">
            <v>1</v>
          </cell>
        </row>
        <row r="431">
          <cell r="C431" t="str">
            <v>BPB-034-SQME-UTV-A1</v>
          </cell>
          <cell r="F431">
            <v>42506.50917824074</v>
          </cell>
          <cell r="H431" t="str">
            <v>BPB-999-SAE8620Ø31.7</v>
          </cell>
          <cell r="J431">
            <v>2.1999999999999999E-2</v>
          </cell>
        </row>
        <row r="432">
          <cell r="C432" t="str">
            <v>BPB-027-BP-16003-09</v>
          </cell>
          <cell r="F432">
            <v>42641.587395833332</v>
          </cell>
          <cell r="H432" t="str">
            <v>BPB-999-SAE1045Ø47.6</v>
          </cell>
          <cell r="J432">
            <v>0.01</v>
          </cell>
        </row>
        <row r="433">
          <cell r="C433" t="str">
            <v>CMG-058-30204-MX</v>
          </cell>
          <cell r="F433">
            <v>44026.415173611109</v>
          </cell>
          <cell r="H433" t="str">
            <v>000-053-X-30204</v>
          </cell>
          <cell r="J433">
            <v>1</v>
          </cell>
        </row>
        <row r="434">
          <cell r="C434" t="str">
            <v>B&amp;P-HS--MS06-2RLD-C3</v>
          </cell>
          <cell r="F434">
            <v>42677.405659722222</v>
          </cell>
          <cell r="H434" t="str">
            <v>B&amp;P-001-MS06-D</v>
          </cell>
          <cell r="J434">
            <v>1</v>
          </cell>
        </row>
        <row r="435">
          <cell r="C435" t="str">
            <v>B&amp;P-HS--MS06-2RLD-C3</v>
          </cell>
          <cell r="F435">
            <v>42677.405659722222</v>
          </cell>
          <cell r="H435" t="str">
            <v>B&amp;P-002-MS06-D</v>
          </cell>
          <cell r="J435">
            <v>1</v>
          </cell>
        </row>
        <row r="436">
          <cell r="C436" t="str">
            <v>B&amp;P-HS--MS06-2RLD-C3</v>
          </cell>
          <cell r="F436">
            <v>42677.405659722222</v>
          </cell>
          <cell r="H436" t="str">
            <v>B&amp;P-005-RET/SET-MS06</v>
          </cell>
          <cell r="J436">
            <v>1</v>
          </cell>
        </row>
        <row r="437">
          <cell r="C437" t="str">
            <v>B&amp;P-HS--MS06-2RLD-C3</v>
          </cell>
          <cell r="F437">
            <v>42677.405659722222</v>
          </cell>
          <cell r="H437" t="str">
            <v>B&amp;P-004-MS06RLD-BLUE</v>
          </cell>
          <cell r="J437">
            <v>2</v>
          </cell>
        </row>
        <row r="438">
          <cell r="C438" t="str">
            <v>B&amp;P-HS--MS06-2RLD-C3</v>
          </cell>
          <cell r="F438">
            <v>42677.405659722222</v>
          </cell>
          <cell r="H438" t="str">
            <v>BPB-000-POLYREX-EM</v>
          </cell>
          <cell r="J438">
            <v>2.7</v>
          </cell>
        </row>
        <row r="439">
          <cell r="C439" t="str">
            <v>B&amp;P-HS--MS06-2RLD-C3</v>
          </cell>
          <cell r="F439">
            <v>42677.405659722222</v>
          </cell>
          <cell r="H439" t="str">
            <v>B&amp;P-003-Ball-3/8</v>
          </cell>
          <cell r="J439">
            <v>9</v>
          </cell>
        </row>
        <row r="440">
          <cell r="C440" t="str">
            <v>B&amp;P-048-206-KRRB6</v>
          </cell>
          <cell r="F440">
            <v>42754.530023148145</v>
          </cell>
          <cell r="H440" t="str">
            <v>B&amp;P-001-OR206-16</v>
          </cell>
          <cell r="J440">
            <v>1</v>
          </cell>
        </row>
        <row r="441">
          <cell r="C441" t="str">
            <v>B&amp;P-048-206-KRRB6</v>
          </cell>
          <cell r="F441">
            <v>42754.530023148145</v>
          </cell>
          <cell r="H441" t="str">
            <v>B&amp;P-002-206-K6</v>
          </cell>
          <cell r="J441">
            <v>1</v>
          </cell>
        </row>
        <row r="442">
          <cell r="C442" t="str">
            <v>B&amp;P-048-206-KRRB6</v>
          </cell>
          <cell r="F442">
            <v>42754.530023148145</v>
          </cell>
          <cell r="H442" t="str">
            <v>B&amp;P-004-206-RST-08</v>
          </cell>
          <cell r="J442">
            <v>2</v>
          </cell>
        </row>
        <row r="443">
          <cell r="C443" t="str">
            <v>B&amp;P-048-206-KRRB6</v>
          </cell>
          <cell r="F443">
            <v>42754.530023148145</v>
          </cell>
          <cell r="H443" t="str">
            <v>B&amp;P-005-CAGE206-17</v>
          </cell>
          <cell r="J443">
            <v>1</v>
          </cell>
        </row>
        <row r="444">
          <cell r="C444" t="str">
            <v>B&amp;P-048-206-KRRB6</v>
          </cell>
          <cell r="F444">
            <v>42754.530023148145</v>
          </cell>
          <cell r="H444" t="str">
            <v>B&amp;P-003-Ball-3/8</v>
          </cell>
          <cell r="J444">
            <v>9</v>
          </cell>
        </row>
        <row r="445">
          <cell r="C445" t="str">
            <v>B&amp;P-048-206-KRRB6</v>
          </cell>
          <cell r="F445">
            <v>42754.530023148145</v>
          </cell>
          <cell r="H445" t="str">
            <v>BPB-000-POLYREX-EM</v>
          </cell>
          <cell r="J445">
            <v>6.5</v>
          </cell>
        </row>
        <row r="446">
          <cell r="C446" t="str">
            <v>B&amp;P-048-G-5209-KRRB2</v>
          </cell>
          <cell r="F446">
            <v>42761.382106481484</v>
          </cell>
          <cell r="H446" t="str">
            <v>B&amp;P-001-OR-5209-01</v>
          </cell>
          <cell r="J446">
            <v>1</v>
          </cell>
        </row>
        <row r="447">
          <cell r="C447" t="str">
            <v>B&amp;P-048-G-5209-KRRB2</v>
          </cell>
          <cell r="F447">
            <v>42761.382106481484</v>
          </cell>
          <cell r="H447" t="str">
            <v>B&amp;P-002-5209KRRB2-02</v>
          </cell>
          <cell r="J447">
            <v>1</v>
          </cell>
        </row>
        <row r="448">
          <cell r="C448" t="str">
            <v>B&amp;P-048-G-5209-KRRB2</v>
          </cell>
          <cell r="F448">
            <v>42761.382106481484</v>
          </cell>
          <cell r="H448" t="str">
            <v>B&amp;P-005-CAGE-5209-17</v>
          </cell>
          <cell r="J448">
            <v>2</v>
          </cell>
        </row>
        <row r="449">
          <cell r="C449" t="str">
            <v>B&amp;P-048-G-5209-KRRB2</v>
          </cell>
          <cell r="F449">
            <v>42761.382106481484</v>
          </cell>
          <cell r="H449" t="str">
            <v>B&amp;P-004-5209-08</v>
          </cell>
          <cell r="J449">
            <v>2</v>
          </cell>
        </row>
        <row r="450">
          <cell r="C450" t="str">
            <v>B&amp;P-048-G-5209-KRRB2</v>
          </cell>
          <cell r="F450">
            <v>42761.382106481484</v>
          </cell>
          <cell r="H450" t="str">
            <v>B&amp;P-003-Ball-7/16</v>
          </cell>
          <cell r="J450">
            <v>20</v>
          </cell>
        </row>
        <row r="451">
          <cell r="C451" t="str">
            <v>B&amp;P-048-G-5209-KRRB2</v>
          </cell>
          <cell r="F451">
            <v>42761.382106481484</v>
          </cell>
          <cell r="H451" t="str">
            <v>BPB-000-POLYREX-EM</v>
          </cell>
          <cell r="J451">
            <v>18</v>
          </cell>
        </row>
        <row r="452">
          <cell r="C452" t="str">
            <v>BPB-031-12025-P</v>
          </cell>
          <cell r="F452">
            <v>44802.347754629627</v>
          </cell>
          <cell r="H452" t="str">
            <v>B&amp;P-031-12025rollers</v>
          </cell>
          <cell r="J452">
            <v>1</v>
          </cell>
        </row>
        <row r="453">
          <cell r="C453" t="str">
            <v>B&amp;P-058-32208-MX</v>
          </cell>
          <cell r="F453">
            <v>44839.636631944442</v>
          </cell>
          <cell r="H453" t="str">
            <v>B&amp;P-053-X-32208</v>
          </cell>
          <cell r="J453">
            <v>1</v>
          </cell>
        </row>
        <row r="454">
          <cell r="C454" t="str">
            <v>B&amp;P-058-32208-MX</v>
          </cell>
          <cell r="F454">
            <v>44839.636631944442</v>
          </cell>
          <cell r="H454" t="str">
            <v>B&amp;P-054-TDY208</v>
          </cell>
          <cell r="J454">
            <v>1</v>
          </cell>
        </row>
        <row r="455">
          <cell r="C455" t="str">
            <v>B&amp;P-058-32209-MX</v>
          </cell>
          <cell r="F455">
            <v>44866.418217592596</v>
          </cell>
          <cell r="H455" t="str">
            <v>B&amp;P-053-X-32209</v>
          </cell>
          <cell r="J455">
            <v>1</v>
          </cell>
        </row>
        <row r="456">
          <cell r="C456" t="str">
            <v>B&amp;P-058-32209-MX</v>
          </cell>
          <cell r="F456">
            <v>44866.418217592596</v>
          </cell>
          <cell r="H456" t="str">
            <v>B&amp;P-054-TDY209</v>
          </cell>
          <cell r="J456">
            <v>1</v>
          </cell>
        </row>
        <row r="457">
          <cell r="C457" t="str">
            <v>B&amp;P-058-30208-MX</v>
          </cell>
          <cell r="F457">
            <v>44866.431076388886</v>
          </cell>
          <cell r="H457" t="str">
            <v>B&amp;P-053-X-30208</v>
          </cell>
          <cell r="J457">
            <v>1</v>
          </cell>
        </row>
        <row r="458">
          <cell r="C458" t="str">
            <v>B&amp;P-058-30208-MX</v>
          </cell>
          <cell r="F458">
            <v>44866.431076388886</v>
          </cell>
          <cell r="H458" t="str">
            <v>B&amp;P-054-TCY208</v>
          </cell>
          <cell r="J458">
            <v>1</v>
          </cell>
        </row>
        <row r="459">
          <cell r="C459" t="str">
            <v>BPB-047-FT-205-KYYB5</v>
          </cell>
          <cell r="F459">
            <v>44942.432939814818</v>
          </cell>
          <cell r="H459" t="str">
            <v>B&amp;P-047-FT-205-H</v>
          </cell>
          <cell r="J459">
            <v>1</v>
          </cell>
        </row>
        <row r="460">
          <cell r="C460" t="str">
            <v>BPB-047-FT-205-KYYB5</v>
          </cell>
          <cell r="F460">
            <v>44942.432939814818</v>
          </cell>
          <cell r="H460" t="str">
            <v>B&amp;P-048-205-KYYB5</v>
          </cell>
          <cell r="J460">
            <v>1</v>
          </cell>
        </row>
        <row r="461">
          <cell r="C461" t="str">
            <v>B&amp;P-048-W208-PPB12</v>
          </cell>
          <cell r="F461">
            <v>45055.671886574077</v>
          </cell>
          <cell r="H461" t="str">
            <v>B&amp;P-005-CAGE208-17</v>
          </cell>
          <cell r="J461">
            <v>1</v>
          </cell>
        </row>
        <row r="462">
          <cell r="C462" t="str">
            <v>B&amp;P-048-W208-PPB12</v>
          </cell>
          <cell r="F462">
            <v>45055.671886574077</v>
          </cell>
          <cell r="H462" t="str">
            <v>B&amp;P-003-BALL-1/2</v>
          </cell>
          <cell r="J462">
            <v>9</v>
          </cell>
        </row>
        <row r="463">
          <cell r="C463" t="str">
            <v>B&amp;P-048-W208-PPB12</v>
          </cell>
          <cell r="F463">
            <v>45055.671886574077</v>
          </cell>
          <cell r="H463" t="str">
            <v>B&amp;P-004-208-TPL-08</v>
          </cell>
          <cell r="J463">
            <v>2</v>
          </cell>
        </row>
        <row r="464">
          <cell r="C464" t="str">
            <v>B&amp;P-048-W208-PPB12</v>
          </cell>
          <cell r="F464">
            <v>45055.671886574077</v>
          </cell>
          <cell r="H464" t="str">
            <v>B&amp;P-001-OR208-18</v>
          </cell>
          <cell r="J464">
            <v>1</v>
          </cell>
        </row>
        <row r="465">
          <cell r="C465" t="str">
            <v>B&amp;P-048-W208-PPB12</v>
          </cell>
          <cell r="F465">
            <v>45055.671886574077</v>
          </cell>
          <cell r="H465" t="str">
            <v>B&amp;P-002-208-12</v>
          </cell>
          <cell r="J465">
            <v>1</v>
          </cell>
        </row>
        <row r="466">
          <cell r="C466" t="str">
            <v>BPB-047-FB-210-C</v>
          </cell>
          <cell r="F466">
            <v>45005.424201388887</v>
          </cell>
          <cell r="H466" t="str">
            <v>B&amp;P-047-FB-210</v>
          </cell>
          <cell r="J466">
            <v>1</v>
          </cell>
        </row>
        <row r="467">
          <cell r="C467" t="str">
            <v>B&amp;P-046-6204-2RS-RC</v>
          </cell>
          <cell r="F467">
            <v>45013.474583333336</v>
          </cell>
          <cell r="H467" t="str">
            <v>B&amp;P-041-MS04-2RST</v>
          </cell>
          <cell r="J467">
            <v>1</v>
          </cell>
        </row>
        <row r="468">
          <cell r="C468" t="str">
            <v>B&amp;P-046-6204-2RS-RC</v>
          </cell>
          <cell r="F468">
            <v>45013.474583333336</v>
          </cell>
          <cell r="H468" t="str">
            <v>B&amp;P-004-MS04RLD-BLUE</v>
          </cell>
          <cell r="J468">
            <v>2</v>
          </cell>
        </row>
        <row r="469">
          <cell r="C469" t="str">
            <v>B&amp;P-046-6204-2RS-RC</v>
          </cell>
          <cell r="F469">
            <v>45013.474583333336</v>
          </cell>
          <cell r="H469" t="str">
            <v>BPB-000-POLYREX-EM</v>
          </cell>
          <cell r="J469">
            <v>1.7</v>
          </cell>
        </row>
        <row r="470">
          <cell r="C470" t="str">
            <v>B&amp;P-046-6204-2RS-RC</v>
          </cell>
          <cell r="F470">
            <v>45013.474583333336</v>
          </cell>
          <cell r="H470" t="str">
            <v>B&amp;P-045-BP-19001-01</v>
          </cell>
          <cell r="J470">
            <v>1</v>
          </cell>
        </row>
        <row r="471">
          <cell r="C471" t="str">
            <v>B&amp;P-041-MS08-2RS</v>
          </cell>
          <cell r="F471">
            <v>45119.401365740741</v>
          </cell>
          <cell r="H471" t="str">
            <v>B&amp;P-001-MS08-D</v>
          </cell>
          <cell r="J471">
            <v>1</v>
          </cell>
        </row>
        <row r="472">
          <cell r="C472" t="str">
            <v>B&amp;P-041-MS08-2RS</v>
          </cell>
          <cell r="F472">
            <v>45119.401365740741</v>
          </cell>
          <cell r="H472" t="str">
            <v>B&amp;P-002-MS08-D</v>
          </cell>
          <cell r="J472">
            <v>1</v>
          </cell>
        </row>
        <row r="473">
          <cell r="C473" t="str">
            <v>B&amp;P-041-MS08-2RS</v>
          </cell>
          <cell r="F473">
            <v>45119.401365740741</v>
          </cell>
          <cell r="H473" t="str">
            <v>B&amp;P-003-BALL-1/2</v>
          </cell>
          <cell r="J473">
            <v>9</v>
          </cell>
        </row>
        <row r="474">
          <cell r="C474" t="str">
            <v>B&amp;P-041-MS08-2RS</v>
          </cell>
          <cell r="F474">
            <v>45119.401365740741</v>
          </cell>
          <cell r="H474" t="str">
            <v>B&amp;P-005-RET/SET-MS08</v>
          </cell>
          <cell r="J474">
            <v>1</v>
          </cell>
        </row>
        <row r="475">
          <cell r="C475" t="str">
            <v>B&amp;P-041-MS08-2RS</v>
          </cell>
          <cell r="F475">
            <v>45119.401365740741</v>
          </cell>
          <cell r="H475" t="str">
            <v>B&amp;P-004-MS08RS-BLUE</v>
          </cell>
          <cell r="J475">
            <v>2</v>
          </cell>
        </row>
        <row r="476">
          <cell r="C476" t="str">
            <v>B&amp;P-048-GW211-PPB3</v>
          </cell>
          <cell r="F476">
            <v>45140.390011574076</v>
          </cell>
          <cell r="H476" t="str">
            <v>B&amp;P-002-211PP3-02</v>
          </cell>
          <cell r="J476">
            <v>1</v>
          </cell>
        </row>
        <row r="477">
          <cell r="C477" t="str">
            <v>B&amp;P-048-GW211-PPB3</v>
          </cell>
          <cell r="F477">
            <v>45140.390011574076</v>
          </cell>
          <cell r="H477" t="str">
            <v>B&amp;P-005-CAGE211-17</v>
          </cell>
          <cell r="J477">
            <v>1</v>
          </cell>
        </row>
        <row r="478">
          <cell r="C478" t="str">
            <v>B&amp;P-048-GW211-PPB3</v>
          </cell>
          <cell r="F478">
            <v>45140.390011574076</v>
          </cell>
          <cell r="H478" t="str">
            <v>B&amp;P-003-BALL-9/16</v>
          </cell>
          <cell r="J478">
            <v>10</v>
          </cell>
        </row>
        <row r="479">
          <cell r="C479" t="str">
            <v>B&amp;P-048-GW211-PPB3</v>
          </cell>
          <cell r="F479">
            <v>45140.390011574076</v>
          </cell>
          <cell r="H479" t="str">
            <v>B&amp;P-004-211-TPL-08</v>
          </cell>
          <cell r="J479">
            <v>2</v>
          </cell>
        </row>
        <row r="480">
          <cell r="C480" t="str">
            <v>B&amp;P-048-GW211-PPB3</v>
          </cell>
          <cell r="F480">
            <v>45140.390011574076</v>
          </cell>
          <cell r="H480" t="str">
            <v>B&amp;P-001-211PPB3-01</v>
          </cell>
          <cell r="J480">
            <v>1</v>
          </cell>
        </row>
        <row r="481">
          <cell r="C481" t="str">
            <v>B&amp;P-041-MS07-2RST</v>
          </cell>
          <cell r="F481">
            <v>45153.348067129627</v>
          </cell>
          <cell r="H481" t="str">
            <v>BPB-001-OR-6207-D</v>
          </cell>
          <cell r="J481">
            <v>1</v>
          </cell>
        </row>
        <row r="482">
          <cell r="C482" t="str">
            <v>B&amp;P-041-MS07-2RST</v>
          </cell>
          <cell r="F482">
            <v>45153.348067129627</v>
          </cell>
          <cell r="H482" t="str">
            <v>B&amp;P-002-MS07-D</v>
          </cell>
          <cell r="J482">
            <v>1</v>
          </cell>
        </row>
        <row r="483">
          <cell r="C483" t="str">
            <v>B&amp;P-041-MS07-2RST</v>
          </cell>
          <cell r="F483">
            <v>45153.348067129627</v>
          </cell>
          <cell r="H483" t="str">
            <v>BPB-005-RET/SET-MS07</v>
          </cell>
          <cell r="J483">
            <v>1</v>
          </cell>
        </row>
        <row r="484">
          <cell r="C484" t="str">
            <v>B&amp;P-041-MS07-2RST</v>
          </cell>
          <cell r="F484">
            <v>45153.348067129627</v>
          </cell>
          <cell r="H484" t="str">
            <v>BPB-003-BALLS-7/16</v>
          </cell>
          <cell r="J484">
            <v>9</v>
          </cell>
        </row>
        <row r="485">
          <cell r="C485" t="str">
            <v>B&amp;P-041-MS07-2RST</v>
          </cell>
          <cell r="F485">
            <v>45153.348067129627</v>
          </cell>
          <cell r="H485" t="str">
            <v>BPB-004-MS07RS-BLUE</v>
          </cell>
          <cell r="J485">
            <v>2</v>
          </cell>
        </row>
        <row r="486">
          <cell r="C486" t="str">
            <v>BPB-047-ECL207-35D1</v>
          </cell>
          <cell r="F486">
            <v>42412.348634259259</v>
          </cell>
          <cell r="H486" t="str">
            <v>BPB-047-SL-207-35D1</v>
          </cell>
          <cell r="J486">
            <v>1</v>
          </cell>
        </row>
        <row r="487">
          <cell r="C487" t="str">
            <v>BPB-056-ENG353040CHS</v>
          </cell>
          <cell r="F487">
            <v>42464.494305555556</v>
          </cell>
          <cell r="H487" t="str">
            <v>BPB-056-ENG353040-PZ</v>
          </cell>
          <cell r="J487">
            <v>1</v>
          </cell>
        </row>
        <row r="488">
          <cell r="C488" t="str">
            <v>B&amp;P-041-HD07-D</v>
          </cell>
          <cell r="F488">
            <v>45117.392870370371</v>
          </cell>
          <cell r="H488" t="str">
            <v>B&amp;P-001-HD07-D</v>
          </cell>
          <cell r="J488">
            <v>1</v>
          </cell>
        </row>
        <row r="489">
          <cell r="C489" t="str">
            <v>B&amp;P-041-HD07-D</v>
          </cell>
          <cell r="F489">
            <v>45117.392870370371</v>
          </cell>
          <cell r="H489" t="str">
            <v>B&amp;P-002-HD07-D</v>
          </cell>
          <cell r="J489">
            <v>1</v>
          </cell>
        </row>
        <row r="490">
          <cell r="C490" t="str">
            <v>B&amp;P-041-HD07-D</v>
          </cell>
          <cell r="F490">
            <v>45117.392870370371</v>
          </cell>
          <cell r="H490" t="str">
            <v>B&amp;P-003-17/32</v>
          </cell>
          <cell r="J490">
            <v>8</v>
          </cell>
        </row>
        <row r="491">
          <cell r="C491" t="str">
            <v>B&amp;P-041-MS07-2RS</v>
          </cell>
          <cell r="F491">
            <v>45117.397766203707</v>
          </cell>
          <cell r="H491" t="str">
            <v>B&amp;P-001-MS07-D</v>
          </cell>
          <cell r="J491">
            <v>1</v>
          </cell>
        </row>
        <row r="492">
          <cell r="C492" t="str">
            <v>B&amp;P-041-HD07-D</v>
          </cell>
          <cell r="F492">
            <v>45117.392870370371</v>
          </cell>
          <cell r="H492" t="str">
            <v>B&amp;P-005-RET/SET-HD07</v>
          </cell>
          <cell r="J492">
            <v>1</v>
          </cell>
        </row>
        <row r="493">
          <cell r="C493" t="str">
            <v>B&amp;P-041-MS07-2RS</v>
          </cell>
          <cell r="F493">
            <v>45117.397766203707</v>
          </cell>
          <cell r="H493" t="str">
            <v>B&amp;P-002-MS07-D</v>
          </cell>
          <cell r="J493">
            <v>1</v>
          </cell>
        </row>
        <row r="494">
          <cell r="C494" t="str">
            <v>B&amp;P-041-MS07-2RS</v>
          </cell>
          <cell r="F494">
            <v>45117.397766203707</v>
          </cell>
          <cell r="H494" t="str">
            <v>BPB-005-RET/SET-MS07</v>
          </cell>
          <cell r="J494">
            <v>1</v>
          </cell>
        </row>
        <row r="495">
          <cell r="C495" t="str">
            <v>B&amp;P-041-MS07-2RS</v>
          </cell>
          <cell r="F495">
            <v>45117.397766203707</v>
          </cell>
          <cell r="H495" t="str">
            <v>BPB-003-BALLS-7/16</v>
          </cell>
          <cell r="J495">
            <v>9</v>
          </cell>
        </row>
        <row r="496">
          <cell r="C496" t="str">
            <v>B&amp;P-041-MS07-2RS</v>
          </cell>
          <cell r="F496">
            <v>45117.397766203707</v>
          </cell>
          <cell r="H496" t="str">
            <v>BPB-004-MS07RS-BLUE</v>
          </cell>
          <cell r="J496">
            <v>2</v>
          </cell>
        </row>
        <row r="497">
          <cell r="C497" t="str">
            <v>B&amp;P-041-MS07-2RSTX</v>
          </cell>
          <cell r="F497">
            <v>45146.37259259259</v>
          </cell>
          <cell r="H497" t="str">
            <v>BPB-001-OR-6207-D</v>
          </cell>
          <cell r="J497">
            <v>1</v>
          </cell>
        </row>
        <row r="498">
          <cell r="C498" t="str">
            <v>B&amp;P-041-MS07-2RSTX</v>
          </cell>
          <cell r="F498">
            <v>45146.37259259259</v>
          </cell>
          <cell r="H498" t="str">
            <v>B&amp;P-002-MS07-D</v>
          </cell>
          <cell r="J498">
            <v>1</v>
          </cell>
        </row>
        <row r="499">
          <cell r="C499" t="str">
            <v>B&amp;P-041-MS07-2RSTX</v>
          </cell>
          <cell r="F499">
            <v>45146.37259259259</v>
          </cell>
          <cell r="H499" t="str">
            <v>BPB-005-RET/SET-MS07</v>
          </cell>
          <cell r="J499">
            <v>1</v>
          </cell>
        </row>
        <row r="500">
          <cell r="C500" t="str">
            <v>B&amp;P-041-MS07-2RSTX</v>
          </cell>
          <cell r="F500">
            <v>45146.37259259259</v>
          </cell>
          <cell r="H500" t="str">
            <v>BPB-003-BALLS-7/16</v>
          </cell>
          <cell r="J500">
            <v>9</v>
          </cell>
        </row>
        <row r="501">
          <cell r="C501" t="str">
            <v>B&amp;P-041-MS07-2RSTX</v>
          </cell>
          <cell r="F501">
            <v>45146.37259259259</v>
          </cell>
          <cell r="H501" t="str">
            <v>BPB-004-MS07RS-BLUE</v>
          </cell>
          <cell r="J501">
            <v>2</v>
          </cell>
        </row>
        <row r="502">
          <cell r="C502" t="str">
            <v>B&amp;P-046-HCP210-31-HA</v>
          </cell>
          <cell r="F502">
            <v>45188.59957175926</v>
          </cell>
          <cell r="H502" t="str">
            <v>B&amp;P-047-PE-210-HAR</v>
          </cell>
          <cell r="J502">
            <v>1</v>
          </cell>
        </row>
        <row r="503">
          <cell r="C503" t="str">
            <v>B&amp;P-046-HCP210-31-HA</v>
          </cell>
          <cell r="F503">
            <v>45188.59957175926</v>
          </cell>
          <cell r="H503" t="str">
            <v>B&amp;P-047-ECL210-31TPL</v>
          </cell>
          <cell r="J503">
            <v>1</v>
          </cell>
        </row>
        <row r="504">
          <cell r="C504" t="str">
            <v>BPB-047-ECL207-23</v>
          </cell>
          <cell r="F504">
            <v>42948.525636574072</v>
          </cell>
          <cell r="H504" t="str">
            <v>B&amp;P-001-OR207-G</v>
          </cell>
          <cell r="J504">
            <v>1</v>
          </cell>
        </row>
        <row r="505">
          <cell r="C505" t="str">
            <v>BPB-047-ECL207-23</v>
          </cell>
          <cell r="F505">
            <v>42948.525636574072</v>
          </cell>
          <cell r="H505" t="str">
            <v>B&amp;P-002-ECL207-23-02</v>
          </cell>
          <cell r="J505">
            <v>1</v>
          </cell>
        </row>
        <row r="506">
          <cell r="C506" t="str">
            <v>BPB-047-ECL207-23</v>
          </cell>
          <cell r="F506">
            <v>42948.525636574072</v>
          </cell>
          <cell r="H506" t="str">
            <v>B&amp;P-005-CAGE207-17</v>
          </cell>
          <cell r="J506">
            <v>1</v>
          </cell>
        </row>
        <row r="507">
          <cell r="C507" t="str">
            <v>BPB-047-ECL207-23</v>
          </cell>
          <cell r="F507">
            <v>42948.525636574072</v>
          </cell>
          <cell r="H507" t="str">
            <v>B&amp;P-004-207-DBL-08</v>
          </cell>
          <cell r="J507">
            <v>2</v>
          </cell>
        </row>
        <row r="508">
          <cell r="C508" t="str">
            <v>BPB-047-ECL207-23</v>
          </cell>
          <cell r="F508">
            <v>42948.525636574072</v>
          </cell>
          <cell r="H508" t="str">
            <v>B&amp;P-010-LOC207-23</v>
          </cell>
          <cell r="J508">
            <v>1</v>
          </cell>
        </row>
        <row r="509">
          <cell r="C509" t="str">
            <v>BPB-047-ECL207-23</v>
          </cell>
          <cell r="F509">
            <v>42948.525636574072</v>
          </cell>
          <cell r="H509" t="str">
            <v>B&amp;P-003-Ball-7/16</v>
          </cell>
          <cell r="J509">
            <v>9</v>
          </cell>
        </row>
        <row r="510">
          <cell r="C510" t="str">
            <v>BPB-047-ECL207-23</v>
          </cell>
          <cell r="F510">
            <v>42948.525636574072</v>
          </cell>
          <cell r="H510" t="str">
            <v>BPB-000-POLYREX-EM</v>
          </cell>
          <cell r="J510">
            <v>7</v>
          </cell>
        </row>
        <row r="511">
          <cell r="C511" t="str">
            <v>BPB-047-ECL207-23</v>
          </cell>
          <cell r="F511">
            <v>42948.525636574072</v>
          </cell>
          <cell r="H511" t="str">
            <v>B&amp;P-037-PRISI-3/8x24</v>
          </cell>
          <cell r="J511">
            <v>1</v>
          </cell>
        </row>
        <row r="512">
          <cell r="C512" t="str">
            <v>BPB-048-W-208-YYB22</v>
          </cell>
          <cell r="F512">
            <v>43025.512731481482</v>
          </cell>
          <cell r="H512" t="str">
            <v>B&amp;P-001-OR208-21</v>
          </cell>
          <cell r="J512">
            <v>1</v>
          </cell>
        </row>
        <row r="513">
          <cell r="C513" t="str">
            <v>BPB-048-W-208-YYB22</v>
          </cell>
          <cell r="F513">
            <v>43025.512731481482</v>
          </cell>
          <cell r="H513" t="str">
            <v>B&amp;P-002-208-16</v>
          </cell>
          <cell r="J513">
            <v>1</v>
          </cell>
        </row>
        <row r="514">
          <cell r="C514" t="str">
            <v>BPB-048-W-208-YYB22</v>
          </cell>
          <cell r="F514">
            <v>43025.512731481482</v>
          </cell>
          <cell r="H514" t="str">
            <v>B&amp;P-005-CAGE208-17</v>
          </cell>
          <cell r="J514">
            <v>1</v>
          </cell>
        </row>
        <row r="515">
          <cell r="C515" t="str">
            <v>BPB-048-W-208-YYB22</v>
          </cell>
          <cell r="F515">
            <v>43025.512731481482</v>
          </cell>
          <cell r="H515" t="str">
            <v>B&amp;P-003-BALL-1/2</v>
          </cell>
          <cell r="J515">
            <v>9</v>
          </cell>
        </row>
        <row r="516">
          <cell r="C516" t="str">
            <v>BPB-048-W-208-YYB22</v>
          </cell>
          <cell r="F516">
            <v>43025.512731481482</v>
          </cell>
          <cell r="H516" t="str">
            <v>B&amp;P-004-208-DBL-08</v>
          </cell>
          <cell r="J516">
            <v>2</v>
          </cell>
        </row>
        <row r="517">
          <cell r="C517" t="str">
            <v>BPB-048-W-208-YYB22</v>
          </cell>
          <cell r="F517">
            <v>43025.512731481482</v>
          </cell>
          <cell r="H517" t="str">
            <v>BPB-000-POLYREX-EM</v>
          </cell>
          <cell r="J517">
            <v>12</v>
          </cell>
        </row>
        <row r="518">
          <cell r="C518" t="str">
            <v>BPB-133-ASA-80-2-12</v>
          </cell>
          <cell r="F518">
            <v>45322.378969907404</v>
          </cell>
          <cell r="H518" t="str">
            <v>B&amp;P-033-OL-80-2</v>
          </cell>
          <cell r="J518">
            <v>1</v>
          </cell>
        </row>
        <row r="519">
          <cell r="C519" t="str">
            <v>BPB-133-ASA-80-2-12</v>
          </cell>
          <cell r="F519">
            <v>45322.378969907404</v>
          </cell>
          <cell r="H519" t="str">
            <v>B&amp;P-033-ASA80-2-REEL</v>
          </cell>
          <cell r="J519">
            <v>1.55</v>
          </cell>
        </row>
        <row r="520">
          <cell r="C520" t="str">
            <v>B&amp;P-058-32011-MX</v>
          </cell>
          <cell r="F520">
            <v>45377.360185185185</v>
          </cell>
          <cell r="H520" t="str">
            <v>B&amp;P-053-X-32011</v>
          </cell>
          <cell r="J520">
            <v>1</v>
          </cell>
        </row>
        <row r="521">
          <cell r="C521" t="str">
            <v>B&amp;P-058-32011-MX</v>
          </cell>
          <cell r="F521">
            <v>45377.360185185185</v>
          </cell>
          <cell r="H521" t="str">
            <v>B&amp;P-054-TDY011</v>
          </cell>
          <cell r="J521">
            <v>1</v>
          </cell>
        </row>
        <row r="522">
          <cell r="C522" t="str">
            <v>BPB-133-E080001012</v>
          </cell>
          <cell r="F522">
            <v>45392.376145833332</v>
          </cell>
          <cell r="H522" t="str">
            <v>BPB-033-CL-80-1</v>
          </cell>
          <cell r="J522">
            <v>1</v>
          </cell>
        </row>
        <row r="523">
          <cell r="C523" t="str">
            <v>BPB-133-E080001012</v>
          </cell>
          <cell r="F523">
            <v>45392.376145833332</v>
          </cell>
          <cell r="H523" t="str">
            <v>B&amp;P-033-ASA80-1-REEL</v>
          </cell>
          <cell r="J523">
            <v>1.6</v>
          </cell>
        </row>
        <row r="524">
          <cell r="C524" t="str">
            <v>B&amp;P-001-BP-22002-A3</v>
          </cell>
          <cell r="F524">
            <v>45400.648819444446</v>
          </cell>
          <cell r="H524" t="str">
            <v>BPB-037-SAE52100Ø70</v>
          </cell>
          <cell r="J524">
            <v>0.02</v>
          </cell>
        </row>
        <row r="525">
          <cell r="C525" t="str">
            <v>B&amp;P-002-BP-22002-A2</v>
          </cell>
          <cell r="F525">
            <v>45400.649212962962</v>
          </cell>
          <cell r="H525" t="str">
            <v>BPB-037-SAE52100Ø50</v>
          </cell>
          <cell r="J525">
            <v>0.02</v>
          </cell>
        </row>
        <row r="526">
          <cell r="C526" t="str">
            <v>B&amp;P-002-BP-22002-A4</v>
          </cell>
          <cell r="F526">
            <v>45400.649930555555</v>
          </cell>
          <cell r="H526" t="str">
            <v>BPB-037-SAE52100Ø50</v>
          </cell>
          <cell r="J526">
            <v>0.02</v>
          </cell>
        </row>
        <row r="527">
          <cell r="C527" t="str">
            <v>B&amp;P-059-AG59520-01</v>
          </cell>
          <cell r="F527">
            <v>45436.687118055554</v>
          </cell>
          <cell r="H527" t="str">
            <v>B&amp;P-059-AG59001-A1</v>
          </cell>
          <cell r="J527">
            <v>1</v>
          </cell>
        </row>
        <row r="528">
          <cell r="C528" t="str">
            <v>BPB-133-E080001004</v>
          </cell>
          <cell r="F528">
            <v>45468.38853009259</v>
          </cell>
          <cell r="H528" t="str">
            <v>B&amp;P-033-ASA80-1-REEL</v>
          </cell>
          <cell r="J528">
            <v>1.4730000000000001</v>
          </cell>
        </row>
        <row r="529">
          <cell r="C529" t="str">
            <v>BPB-133-E080001004</v>
          </cell>
          <cell r="F529">
            <v>45468.38853009259</v>
          </cell>
          <cell r="H529" t="str">
            <v>B&amp;P-033-CL-80-1</v>
          </cell>
          <cell r="J529">
            <v>1</v>
          </cell>
        </row>
        <row r="530">
          <cell r="C530" t="str">
            <v>B&amp;P-052-AG59520-03</v>
          </cell>
          <cell r="F530">
            <v>45476.615601851852</v>
          </cell>
          <cell r="H530" t="str">
            <v>BPB-999-SAE1045Ø76.2</v>
          </cell>
          <cell r="J530">
            <v>3.2000000000000001E-2</v>
          </cell>
        </row>
        <row r="531">
          <cell r="C531" t="str">
            <v>B&amp;P-002-SAB207-P-02</v>
          </cell>
          <cell r="F531">
            <v>45566.671331018515</v>
          </cell>
          <cell r="H531" t="str">
            <v>B&amp;P-002-SAB207-35-A2</v>
          </cell>
          <cell r="J531">
            <v>1</v>
          </cell>
        </row>
        <row r="532">
          <cell r="C532" t="str">
            <v>B&amp;P-002-SAB207-P-02</v>
          </cell>
          <cell r="F532">
            <v>45566.671331018515</v>
          </cell>
          <cell r="H532" t="str">
            <v>000-CAÑ-48X1.6</v>
          </cell>
          <cell r="J532">
            <v>0.05</v>
          </cell>
        </row>
        <row r="533">
          <cell r="C533" t="str">
            <v>BPB-999-SAB208-40DG</v>
          </cell>
          <cell r="F533">
            <v>45616.409548611111</v>
          </cell>
          <cell r="H533" t="str">
            <v>BPB-047-SAB208-40LG</v>
          </cell>
          <cell r="J533">
            <v>1</v>
          </cell>
        </row>
        <row r="534">
          <cell r="C534" t="str">
            <v>BPB-999-SAB208-40DG</v>
          </cell>
          <cell r="F534">
            <v>45616.409548611111</v>
          </cell>
          <cell r="H534" t="str">
            <v>BPB-000-POLYREX-EM</v>
          </cell>
          <cell r="J534">
            <v>12</v>
          </cell>
        </row>
        <row r="535">
          <cell r="C535" t="str">
            <v>BPB-999-SAB208-40DG</v>
          </cell>
          <cell r="F535">
            <v>45616.409548611111</v>
          </cell>
          <cell r="H535" t="str">
            <v>B&amp;P-004-208-TPL-08</v>
          </cell>
          <cell r="J535">
            <v>2</v>
          </cell>
        </row>
        <row r="536">
          <cell r="C536" t="str">
            <v>BPB-999-30310-MX</v>
          </cell>
          <cell r="F536">
            <v>45616.50409722222</v>
          </cell>
          <cell r="H536" t="str">
            <v>000-053-X-30310</v>
          </cell>
          <cell r="J536">
            <v>1</v>
          </cell>
        </row>
        <row r="537">
          <cell r="C537" t="str">
            <v>BPB-999-30310-MX</v>
          </cell>
          <cell r="F537">
            <v>45616.50409722222</v>
          </cell>
          <cell r="H537" t="str">
            <v>000-054-TCY310</v>
          </cell>
          <cell r="J537">
            <v>1</v>
          </cell>
        </row>
        <row r="538">
          <cell r="C538" t="str">
            <v>BPB-999-30309-MX</v>
          </cell>
          <cell r="F538">
            <v>45741.351898148147</v>
          </cell>
          <cell r="H538" t="str">
            <v>000-053-X-30309</v>
          </cell>
          <cell r="J538">
            <v>1</v>
          </cell>
        </row>
        <row r="539">
          <cell r="C539" t="str">
            <v>BPB-999-30309-MX</v>
          </cell>
          <cell r="F539">
            <v>45741.351898148147</v>
          </cell>
          <cell r="H539" t="str">
            <v>000-054-TCY309</v>
          </cell>
          <cell r="J539">
            <v>1</v>
          </cell>
        </row>
        <row r="540">
          <cell r="C540" t="str">
            <v>BPB-133-PB008775</v>
          </cell>
          <cell r="F540">
            <v>45435.650347222225</v>
          </cell>
          <cell r="H540" t="str">
            <v>B&amp;P-033-ASA-50-2</v>
          </cell>
          <cell r="J540">
            <v>0.68</v>
          </cell>
        </row>
        <row r="541">
          <cell r="C541" t="str">
            <v>BPB-133-PB008775</v>
          </cell>
          <cell r="F541">
            <v>45435.650347222225</v>
          </cell>
          <cell r="H541" t="str">
            <v>B&amp;P-033-OL-50-2</v>
          </cell>
          <cell r="J541">
            <v>1</v>
          </cell>
        </row>
        <row r="542">
          <cell r="C542" t="str">
            <v>B&amp;P-002-F490306-02</v>
          </cell>
          <cell r="F542">
            <v>45756.544027777774</v>
          </cell>
          <cell r="H542" t="str">
            <v>B&amp;P-041-HD06-2RS</v>
          </cell>
          <cell r="J542">
            <v>1</v>
          </cell>
        </row>
        <row r="543">
          <cell r="C543" t="str">
            <v>BPB-048-AG-1235-B</v>
          </cell>
          <cell r="F543">
            <v>45775.353750000002</v>
          </cell>
          <cell r="H543" t="str">
            <v>B&amp;P-048-205-GP</v>
          </cell>
          <cell r="J543">
            <v>1</v>
          </cell>
        </row>
        <row r="544">
          <cell r="C544" t="str">
            <v>BPB-133-01.10.016</v>
          </cell>
          <cell r="F544">
            <v>45807.690127314818</v>
          </cell>
          <cell r="H544" t="str">
            <v>B&amp;P-033-ASA80-2-REEL</v>
          </cell>
          <cell r="J544">
            <v>1.5</v>
          </cell>
        </row>
        <row r="545">
          <cell r="C545" t="str">
            <v>BPB-133-01.10.016</v>
          </cell>
          <cell r="F545">
            <v>45807.690127314818</v>
          </cell>
          <cell r="H545" t="str">
            <v>B&amp;P-033-CL-80-2</v>
          </cell>
          <cell r="J545">
            <v>1</v>
          </cell>
        </row>
        <row r="546">
          <cell r="C546" t="str">
            <v>BPB-133-01.10.017</v>
          </cell>
          <cell r="F546">
            <v>45807.689247685186</v>
          </cell>
          <cell r="H546" t="str">
            <v>B&amp;P-033-ASA80-2-REEL</v>
          </cell>
          <cell r="J546">
            <v>1.651</v>
          </cell>
        </row>
        <row r="547">
          <cell r="C547" t="str">
            <v>BPB-133-01.10.017</v>
          </cell>
          <cell r="F547">
            <v>45807.689247685186</v>
          </cell>
          <cell r="H547" t="str">
            <v>B&amp;P-033-CL-80-2</v>
          </cell>
          <cell r="J547">
            <v>1</v>
          </cell>
        </row>
        <row r="548">
          <cell r="C548" t="str">
            <v>B&amp;P-048-DTR2047-TPL</v>
          </cell>
          <cell r="F548">
            <v>45831.630219907405</v>
          </cell>
          <cell r="H548" t="str">
            <v>BPB-053-020-DTR2047</v>
          </cell>
          <cell r="J548">
            <v>2</v>
          </cell>
        </row>
        <row r="549">
          <cell r="C549" t="str">
            <v>B&amp;P-048-DTR2047-TPL</v>
          </cell>
          <cell r="F549">
            <v>45831.630219907405</v>
          </cell>
          <cell r="H549" t="str">
            <v>BPB-000-POLYREX-EM</v>
          </cell>
          <cell r="J549">
            <v>5</v>
          </cell>
        </row>
        <row r="550">
          <cell r="C550" t="str">
            <v>B&amp;P-048-DTR2047-TPL</v>
          </cell>
          <cell r="F550">
            <v>45831.630219907405</v>
          </cell>
          <cell r="H550" t="str">
            <v>BPB-054-010-DTR2047</v>
          </cell>
          <cell r="J550">
            <v>1</v>
          </cell>
        </row>
        <row r="551">
          <cell r="C551" t="str">
            <v>B&amp;P-048-DTR2047-TPL</v>
          </cell>
          <cell r="F551">
            <v>45831.630219907405</v>
          </cell>
          <cell r="H551" t="str">
            <v>B&amp;P-004-DTR2047-TPL</v>
          </cell>
          <cell r="J551">
            <v>2</v>
          </cell>
        </row>
        <row r="552">
          <cell r="C552" t="str">
            <v>BPB-001-MG5306-01</v>
          </cell>
          <cell r="F552">
            <v>45908.379687499997</v>
          </cell>
          <cell r="H552" t="str">
            <v>BPB-001-BP-13007-B1</v>
          </cell>
          <cell r="J552">
            <v>1</v>
          </cell>
        </row>
        <row r="553">
          <cell r="C553" t="str">
            <v>BPB-002-MG5306-02</v>
          </cell>
          <cell r="F553">
            <v>45908.379120370373</v>
          </cell>
          <cell r="H553" t="str">
            <v>BPB-002-BP-13007-B2</v>
          </cell>
          <cell r="J553">
            <v>1</v>
          </cell>
        </row>
        <row r="554">
          <cell r="C554" t="str">
            <v>B&amp;P-047-F-209-M</v>
          </cell>
          <cell r="F554">
            <v>42787.609976851854</v>
          </cell>
          <cell r="H554" t="str">
            <v>BPB-047-F-209-L</v>
          </cell>
          <cell r="J554">
            <v>1</v>
          </cell>
        </row>
        <row r="555">
          <cell r="C555" t="str">
            <v>BPB-048-BP-12011-01</v>
          </cell>
          <cell r="F555">
            <v>42807.432743055557</v>
          </cell>
          <cell r="H555" t="str">
            <v>BPB-999-BP-12011-01</v>
          </cell>
          <cell r="J555">
            <v>1</v>
          </cell>
        </row>
        <row r="556">
          <cell r="C556" t="str">
            <v>BPB-048-BP-12011-01</v>
          </cell>
          <cell r="F556">
            <v>42807.432743055557</v>
          </cell>
          <cell r="H556" t="str">
            <v>BPB-000-POLYREX-EM</v>
          </cell>
          <cell r="J556">
            <v>9</v>
          </cell>
        </row>
        <row r="557">
          <cell r="C557" t="str">
            <v>BPB-048-BP-12011-01</v>
          </cell>
          <cell r="F557">
            <v>42807.432743055557</v>
          </cell>
          <cell r="H557" t="str">
            <v>B&amp;P-005-BP12011-01-7</v>
          </cell>
          <cell r="J557">
            <v>1</v>
          </cell>
        </row>
        <row r="558">
          <cell r="C558" t="str">
            <v>BPB-048-BP-12011-01</v>
          </cell>
          <cell r="F558">
            <v>42807.432743055557</v>
          </cell>
          <cell r="H558" t="str">
            <v>B&amp;P-027-BP12011-01-8</v>
          </cell>
          <cell r="J558">
            <v>1</v>
          </cell>
        </row>
        <row r="559">
          <cell r="C559" t="str">
            <v>B&amp;P-041-MS05-2RS</v>
          </cell>
          <cell r="F559">
            <v>45629.357395833336</v>
          </cell>
          <cell r="H559" t="str">
            <v>B&amp;P-001-MS05-D</v>
          </cell>
          <cell r="J559">
            <v>1</v>
          </cell>
        </row>
        <row r="560">
          <cell r="C560" t="str">
            <v>B&amp;P-041-MS05-2RS</v>
          </cell>
          <cell r="F560">
            <v>45629.357395833336</v>
          </cell>
          <cell r="H560" t="str">
            <v>B&amp;P-002-MS05-D</v>
          </cell>
          <cell r="J560">
            <v>1</v>
          </cell>
        </row>
        <row r="561">
          <cell r="C561" t="str">
            <v>B&amp;P-041-MS05-2RS</v>
          </cell>
          <cell r="F561">
            <v>45629.357395833336</v>
          </cell>
          <cell r="H561" t="str">
            <v>B&amp;P-003-Ball-5/16</v>
          </cell>
          <cell r="J561">
            <v>9</v>
          </cell>
        </row>
        <row r="562">
          <cell r="C562" t="str">
            <v>B&amp;P-041-MS05-2RS</v>
          </cell>
          <cell r="F562">
            <v>45629.357395833336</v>
          </cell>
          <cell r="H562" t="str">
            <v>B&amp;P-005-RET/SET-MS05</v>
          </cell>
          <cell r="J562">
            <v>1</v>
          </cell>
        </row>
        <row r="563">
          <cell r="C563" t="str">
            <v>B&amp;P-041-MS05-2RS</v>
          </cell>
          <cell r="F563">
            <v>45629.357395833336</v>
          </cell>
          <cell r="H563" t="str">
            <v>B&amp;P-004-MS05RS-BLUE</v>
          </cell>
          <cell r="J563">
            <v>2</v>
          </cell>
        </row>
        <row r="564">
          <cell r="C564" t="str">
            <v>B&amp;P-041-HD04-2RS</v>
          </cell>
          <cell r="F564">
            <v>45629.433229166665</v>
          </cell>
          <cell r="H564" t="str">
            <v>B&amp;P-001-HD04-D</v>
          </cell>
          <cell r="J564">
            <v>1</v>
          </cell>
        </row>
        <row r="565">
          <cell r="C565" t="str">
            <v>B&amp;P-041-HD04-2RS</v>
          </cell>
          <cell r="F565">
            <v>45629.433229166665</v>
          </cell>
          <cell r="H565" t="str">
            <v>B&amp;P-002-HD04-D</v>
          </cell>
          <cell r="J565">
            <v>1</v>
          </cell>
        </row>
        <row r="566">
          <cell r="C566" t="str">
            <v>B&amp;P-041-HD04-2RS</v>
          </cell>
          <cell r="F566">
            <v>45629.433229166665</v>
          </cell>
          <cell r="H566" t="str">
            <v>B&amp;P-005-RET/SET-HD04</v>
          </cell>
          <cell r="J566">
            <v>1</v>
          </cell>
        </row>
        <row r="567">
          <cell r="C567" t="str">
            <v>B&amp;P-041-HD04-2RS</v>
          </cell>
          <cell r="F567">
            <v>45629.433229166665</v>
          </cell>
          <cell r="H567" t="str">
            <v>B&amp;P-004-HD04RS-BLUE</v>
          </cell>
          <cell r="J567">
            <v>2</v>
          </cell>
        </row>
        <row r="568">
          <cell r="C568" t="str">
            <v>B&amp;P-041-HD04-2RS</v>
          </cell>
          <cell r="F568">
            <v>45629.433229166665</v>
          </cell>
          <cell r="H568" t="str">
            <v>B&amp;P-003-Ball-3/8</v>
          </cell>
          <cell r="J568">
            <v>7</v>
          </cell>
        </row>
        <row r="569">
          <cell r="C569" t="str">
            <v>B&amp;P-041-MS04-2RST</v>
          </cell>
          <cell r="F569">
            <v>45840.708692129629</v>
          </cell>
          <cell r="H569" t="str">
            <v>B&amp;P-001-MS04-D</v>
          </cell>
          <cell r="J569">
            <v>1</v>
          </cell>
        </row>
        <row r="570">
          <cell r="C570" t="str">
            <v>B&amp;P-041-MS04-2RST</v>
          </cell>
          <cell r="F570">
            <v>45840.708692129629</v>
          </cell>
          <cell r="H570" t="str">
            <v>B&amp;P-002-MS04-D</v>
          </cell>
          <cell r="J570">
            <v>1</v>
          </cell>
        </row>
        <row r="571">
          <cell r="C571" t="str">
            <v>B&amp;P-041-MS04-2RST</v>
          </cell>
          <cell r="F571">
            <v>45840.708692129629</v>
          </cell>
          <cell r="H571" t="str">
            <v>B&amp;P-004-MS04-2RST-08</v>
          </cell>
          <cell r="J571">
            <v>2</v>
          </cell>
        </row>
        <row r="572">
          <cell r="C572" t="str">
            <v>B&amp;P-041-MS04-2RST</v>
          </cell>
          <cell r="F572">
            <v>45840.708692129629</v>
          </cell>
          <cell r="H572" t="str">
            <v>B&amp;P-005-RET/SET-MS04</v>
          </cell>
          <cell r="J572">
            <v>1</v>
          </cell>
        </row>
        <row r="573">
          <cell r="C573" t="str">
            <v>B&amp;P-041-MS04-2RST</v>
          </cell>
          <cell r="F573">
            <v>45840.708692129629</v>
          </cell>
          <cell r="H573" t="str">
            <v>B&amp;P-003-Ball-5/16</v>
          </cell>
          <cell r="J573">
            <v>8</v>
          </cell>
        </row>
        <row r="574">
          <cell r="C574" t="str">
            <v>B&amp;P-041-MS04-2RST</v>
          </cell>
          <cell r="F574">
            <v>45840.708692129629</v>
          </cell>
          <cell r="H574" t="str">
            <v>BPB-000-POLYREX-EM</v>
          </cell>
          <cell r="J574">
            <v>3</v>
          </cell>
        </row>
        <row r="575">
          <cell r="C575" t="str">
            <v>BPB-133-CA-550-A01</v>
          </cell>
          <cell r="F575">
            <v>45965.580081018517</v>
          </cell>
          <cell r="H575" t="str">
            <v>B&amp;P-033-CA-550-A1</v>
          </cell>
          <cell r="J575">
            <v>11</v>
          </cell>
        </row>
        <row r="576">
          <cell r="C576" t="str">
            <v>BPB-133-CA-550-A01</v>
          </cell>
          <cell r="F576">
            <v>45965.580081018517</v>
          </cell>
          <cell r="H576" t="str">
            <v>B&amp;P-033-CA550-A1-CL</v>
          </cell>
          <cell r="J576">
            <v>2</v>
          </cell>
        </row>
        <row r="577">
          <cell r="C577" t="str">
            <v>PEE-HS--6005-MD-C0</v>
          </cell>
          <cell r="F577">
            <v>38331.682187500002</v>
          </cell>
          <cell r="H577" t="str">
            <v>MID-001-6005-D</v>
          </cell>
          <cell r="J577">
            <v>1</v>
          </cell>
        </row>
        <row r="578">
          <cell r="C578" t="str">
            <v>PEE-HS--6005-MD-C0</v>
          </cell>
          <cell r="F578">
            <v>38331.682187500002</v>
          </cell>
          <cell r="H578" t="str">
            <v>MID-002-6005-D</v>
          </cell>
          <cell r="J578">
            <v>1</v>
          </cell>
        </row>
        <row r="579">
          <cell r="C579" t="str">
            <v>PEE-HS--6005-MD-C0</v>
          </cell>
          <cell r="F579">
            <v>38331.682187500002</v>
          </cell>
          <cell r="H579" t="str">
            <v>MID-005-6005-RET/SET</v>
          </cell>
          <cell r="J579">
            <v>1</v>
          </cell>
        </row>
        <row r="580">
          <cell r="C580" t="str">
            <v>PEE-HS--6005-MD-C0</v>
          </cell>
          <cell r="F580">
            <v>38331.682187500002</v>
          </cell>
          <cell r="H580" t="str">
            <v>MID-003-1/4</v>
          </cell>
          <cell r="J580">
            <v>10</v>
          </cell>
        </row>
        <row r="581">
          <cell r="C581" t="str">
            <v>PEE-HS--6005-MD-C0</v>
          </cell>
          <cell r="F581">
            <v>38331.682187500002</v>
          </cell>
          <cell r="H581" t="str">
            <v>002-002-001</v>
          </cell>
          <cell r="J581">
            <v>6.0000000000000001E-3</v>
          </cell>
        </row>
        <row r="582">
          <cell r="C582" t="str">
            <v>PEE-HS--6205-D-C0</v>
          </cell>
          <cell r="F582">
            <v>38405.785763888889</v>
          </cell>
          <cell r="H582" t="str">
            <v>000-001-6205-D</v>
          </cell>
          <cell r="J582">
            <v>1</v>
          </cell>
        </row>
        <row r="583">
          <cell r="C583" t="str">
            <v>PEE-HS--6205-D-C0</v>
          </cell>
          <cell r="F583">
            <v>38405.785763888889</v>
          </cell>
          <cell r="H583" t="str">
            <v>000-002-6205-D</v>
          </cell>
          <cell r="J583">
            <v>1</v>
          </cell>
        </row>
        <row r="584">
          <cell r="C584" t="str">
            <v>PEE-HS--6205-D-C0</v>
          </cell>
          <cell r="F584">
            <v>38405.785763888889</v>
          </cell>
          <cell r="H584" t="str">
            <v>000-005-6205-RET/SET</v>
          </cell>
          <cell r="J584">
            <v>1</v>
          </cell>
        </row>
        <row r="585">
          <cell r="C585" t="str">
            <v>PEE-HS--6205-D-C0</v>
          </cell>
          <cell r="F585">
            <v>38405.785763888889</v>
          </cell>
          <cell r="H585" t="str">
            <v>000-003-5/16</v>
          </cell>
          <cell r="J585">
            <v>9</v>
          </cell>
        </row>
        <row r="586">
          <cell r="C586" t="str">
            <v>PEE-HS--6205-D-C0</v>
          </cell>
          <cell r="F586">
            <v>38405.785763888889</v>
          </cell>
          <cell r="H586" t="str">
            <v>002-002-001</v>
          </cell>
          <cell r="J586">
            <v>1.2E-2</v>
          </cell>
        </row>
        <row r="587">
          <cell r="C587" t="str">
            <v>PEE-HS--6006-D-C3-M</v>
          </cell>
          <cell r="F587">
            <v>38432.395138888889</v>
          </cell>
          <cell r="H587" t="str">
            <v>MID-001-6006-D</v>
          </cell>
          <cell r="J587">
            <v>1</v>
          </cell>
        </row>
        <row r="588">
          <cell r="C588" t="str">
            <v>PEE-HS--6006-D-C3-M</v>
          </cell>
          <cell r="F588">
            <v>38432.395138888889</v>
          </cell>
          <cell r="H588" t="str">
            <v>MID-002-6006-D</v>
          </cell>
          <cell r="J588">
            <v>1</v>
          </cell>
        </row>
        <row r="589">
          <cell r="C589" t="str">
            <v>PEE-HS--6006-D-C3-M</v>
          </cell>
          <cell r="F589">
            <v>38432.395138888889</v>
          </cell>
          <cell r="H589" t="str">
            <v>MID-003-9/32</v>
          </cell>
          <cell r="J589">
            <v>11</v>
          </cell>
        </row>
        <row r="590">
          <cell r="C590" t="str">
            <v>PEE-HS--6006-D-C3-M</v>
          </cell>
          <cell r="F590">
            <v>38432.395138888889</v>
          </cell>
          <cell r="H590" t="str">
            <v>MID-005-6006-RET/SET</v>
          </cell>
          <cell r="J590">
            <v>1</v>
          </cell>
        </row>
        <row r="591">
          <cell r="C591" t="str">
            <v>PEE-HS--6006-D-C3-M</v>
          </cell>
          <cell r="F591">
            <v>38432.395138888889</v>
          </cell>
          <cell r="H591" t="str">
            <v>002-002-001</v>
          </cell>
          <cell r="J591">
            <v>1.2E-2</v>
          </cell>
        </row>
        <row r="592">
          <cell r="C592" t="str">
            <v>PEE-HS--6206-D-C3</v>
          </cell>
          <cell r="F592">
            <v>39668.423194444447</v>
          </cell>
          <cell r="H592" t="str">
            <v>MID-001-6206-D</v>
          </cell>
          <cell r="J592">
            <v>1</v>
          </cell>
        </row>
        <row r="593">
          <cell r="C593" t="str">
            <v>PEE-HS--6206-D-C3</v>
          </cell>
          <cell r="F593">
            <v>39668.423194444447</v>
          </cell>
          <cell r="H593" t="str">
            <v>MID-002-6206-D</v>
          </cell>
          <cell r="J593">
            <v>1</v>
          </cell>
        </row>
        <row r="594">
          <cell r="C594" t="str">
            <v>PEE-HS--6206-D-C3</v>
          </cell>
          <cell r="F594">
            <v>39668.423194444447</v>
          </cell>
          <cell r="H594" t="str">
            <v>MID-003-3/8</v>
          </cell>
          <cell r="J594">
            <v>9</v>
          </cell>
        </row>
        <row r="595">
          <cell r="C595" t="str">
            <v>PEE-HS--6206-D-C3</v>
          </cell>
          <cell r="F595">
            <v>39668.423194444447</v>
          </cell>
          <cell r="H595" t="str">
            <v>MID-005-6206-RET/SET</v>
          </cell>
          <cell r="J595">
            <v>1</v>
          </cell>
        </row>
        <row r="596">
          <cell r="C596" t="str">
            <v>PEE-HS--6206-D-C3</v>
          </cell>
          <cell r="F596">
            <v>39668.423194444447</v>
          </cell>
          <cell r="H596" t="str">
            <v>002-002-001</v>
          </cell>
          <cell r="J596">
            <v>1.1299999999999999E-2</v>
          </cell>
        </row>
        <row r="597">
          <cell r="C597" t="str">
            <v>PEE-SS--6203-D-C3</v>
          </cell>
          <cell r="F597">
            <v>39714.435370370367</v>
          </cell>
          <cell r="H597" t="str">
            <v>MID-001-6203-D</v>
          </cell>
          <cell r="J597">
            <v>1</v>
          </cell>
        </row>
        <row r="598">
          <cell r="C598" t="str">
            <v>PEE-SS--6203-D-C3</v>
          </cell>
          <cell r="F598">
            <v>39714.435370370367</v>
          </cell>
          <cell r="H598" t="str">
            <v>MID-002-6203-D</v>
          </cell>
          <cell r="J598">
            <v>1</v>
          </cell>
        </row>
        <row r="599">
          <cell r="C599" t="str">
            <v>PEE-SS--6203-D-C3</v>
          </cell>
          <cell r="F599">
            <v>39714.435370370367</v>
          </cell>
          <cell r="H599" t="str">
            <v>MID-003-17/64</v>
          </cell>
          <cell r="J599">
            <v>8</v>
          </cell>
        </row>
        <row r="600">
          <cell r="C600" t="str">
            <v>PEE-SS--6203-D-C3</v>
          </cell>
          <cell r="F600">
            <v>39714.435370370367</v>
          </cell>
          <cell r="H600" t="str">
            <v>MID-005-6203-RET/SET</v>
          </cell>
          <cell r="J600">
            <v>1</v>
          </cell>
        </row>
        <row r="601">
          <cell r="C601" t="str">
            <v>PEE-SS--6203-D-C3</v>
          </cell>
          <cell r="F601">
            <v>39714.435370370367</v>
          </cell>
          <cell r="H601" t="str">
            <v>002-002-001</v>
          </cell>
          <cell r="J601">
            <v>1.1299999999999999E-2</v>
          </cell>
        </row>
        <row r="602">
          <cell r="C602" t="str">
            <v>PEE-HS--6203-D-C3</v>
          </cell>
          <cell r="F602">
            <v>39722.649780092594</v>
          </cell>
          <cell r="H602" t="str">
            <v>MID-001-6203-R</v>
          </cell>
          <cell r="J602">
            <v>1</v>
          </cell>
        </row>
        <row r="603">
          <cell r="C603" t="str">
            <v>PEE-HS--6203-D-C3</v>
          </cell>
          <cell r="F603">
            <v>39722.649780092594</v>
          </cell>
          <cell r="H603" t="str">
            <v>MID-002-6203-R</v>
          </cell>
          <cell r="J603">
            <v>1</v>
          </cell>
        </row>
        <row r="604">
          <cell r="C604" t="str">
            <v>PEE-HS--6203-D-C3</v>
          </cell>
          <cell r="F604">
            <v>39722.649780092594</v>
          </cell>
          <cell r="H604" t="str">
            <v>MID-003-17/64</v>
          </cell>
          <cell r="J604">
            <v>8</v>
          </cell>
        </row>
        <row r="605">
          <cell r="C605" t="str">
            <v>PEE-HS--6203-D-C3</v>
          </cell>
          <cell r="F605">
            <v>39722.649780092594</v>
          </cell>
          <cell r="H605" t="str">
            <v>MID-005-6203-RET/SET</v>
          </cell>
          <cell r="J605">
            <v>1</v>
          </cell>
        </row>
        <row r="606">
          <cell r="C606" t="str">
            <v>PEE-HS--6203-D-C3</v>
          </cell>
          <cell r="F606">
            <v>39722.649780092594</v>
          </cell>
          <cell r="H606" t="str">
            <v>002-002-001</v>
          </cell>
          <cell r="J606">
            <v>1.1299999999999999E-2</v>
          </cell>
        </row>
        <row r="607">
          <cell r="C607" t="str">
            <v>PEE-HS--6206-2RLD-C3</v>
          </cell>
          <cell r="F607">
            <v>39846.49664351852</v>
          </cell>
          <cell r="H607" t="str">
            <v>PEE-HS--6206-D-C3</v>
          </cell>
          <cell r="J607">
            <v>1</v>
          </cell>
        </row>
        <row r="608">
          <cell r="C608" t="str">
            <v>PEE-HS--6206-2RLD-C3</v>
          </cell>
          <cell r="F608">
            <v>39846.49664351852</v>
          </cell>
          <cell r="H608" t="str">
            <v>MID-004-RLD-6206-RED</v>
          </cell>
          <cell r="J608">
            <v>2</v>
          </cell>
        </row>
        <row r="609">
          <cell r="C609" t="str">
            <v>PEE-HS--6206-2RLD-C3</v>
          </cell>
          <cell r="F609">
            <v>39846.49664351852</v>
          </cell>
          <cell r="H609" t="str">
            <v>000-006-001</v>
          </cell>
          <cell r="J609">
            <v>2.4</v>
          </cell>
        </row>
        <row r="610">
          <cell r="C610" t="str">
            <v>PEE-HS--6206-2RLD-C3</v>
          </cell>
          <cell r="F610">
            <v>39846.49664351852</v>
          </cell>
          <cell r="H610" t="str">
            <v>002-002-001</v>
          </cell>
          <cell r="J610">
            <v>4.0000000000000001E-3</v>
          </cell>
        </row>
        <row r="611">
          <cell r="C611" t="str">
            <v>PEE-S---6201-2RLD-C0</v>
          </cell>
          <cell r="F611">
            <v>39856.370787037034</v>
          </cell>
          <cell r="H611" t="str">
            <v>PEE-S---6201-D-C0</v>
          </cell>
          <cell r="J611">
            <v>1</v>
          </cell>
        </row>
        <row r="612">
          <cell r="C612" t="str">
            <v>PEE-S---6201-2RLD-C0</v>
          </cell>
          <cell r="F612">
            <v>39856.370787037034</v>
          </cell>
          <cell r="H612" t="str">
            <v>000-006-001</v>
          </cell>
          <cell r="J612">
            <v>0.5</v>
          </cell>
        </row>
        <row r="613">
          <cell r="C613" t="str">
            <v>PEE-S---6203-2RLDC3M</v>
          </cell>
          <cell r="F613">
            <v>40284.674178240741</v>
          </cell>
          <cell r="H613" t="str">
            <v>PEE-S---6203-D-C3-M</v>
          </cell>
          <cell r="J613">
            <v>1</v>
          </cell>
        </row>
        <row r="614">
          <cell r="C614" t="str">
            <v>PEE-S---6203-2RLDC3M</v>
          </cell>
          <cell r="F614">
            <v>40284.674178240741</v>
          </cell>
          <cell r="H614" t="str">
            <v>000-004-RLD-6203-RED</v>
          </cell>
          <cell r="J614">
            <v>2</v>
          </cell>
        </row>
        <row r="615">
          <cell r="C615" t="str">
            <v>PEE-S---6203-2RLDC3M</v>
          </cell>
          <cell r="F615">
            <v>40284.674178240741</v>
          </cell>
          <cell r="H615" t="str">
            <v>000-006-001</v>
          </cell>
          <cell r="J615">
            <v>0.8</v>
          </cell>
        </row>
        <row r="616">
          <cell r="C616" t="str">
            <v>B&amp;P-LED-NX-180</v>
          </cell>
          <cell r="F616">
            <v>43264.497662037036</v>
          </cell>
          <cell r="H616" t="str">
            <v>B&amp;P-LED-NX-120-Housi</v>
          </cell>
          <cell r="J616">
            <v>1</v>
          </cell>
        </row>
        <row r="617">
          <cell r="C617" t="str">
            <v>B&amp;P-LED-NX-180</v>
          </cell>
          <cell r="F617">
            <v>43264.497662037036</v>
          </cell>
          <cell r="H617" t="str">
            <v>B&amp;P-PCB-NX-1805000K</v>
          </cell>
          <cell r="J617">
            <v>1</v>
          </cell>
        </row>
        <row r="618">
          <cell r="C618" t="str">
            <v>B&amp;P-LED-NX-180</v>
          </cell>
          <cell r="F618">
            <v>43264.497662037036</v>
          </cell>
          <cell r="H618" t="str">
            <v>B&amp;P-FAL-HLG-185H-54A</v>
          </cell>
          <cell r="J618">
            <v>1</v>
          </cell>
        </row>
        <row r="619">
          <cell r="C619" t="str">
            <v>B&amp;P-LED-NX-180</v>
          </cell>
          <cell r="F619">
            <v>43264.497662037036</v>
          </cell>
          <cell r="H619" t="str">
            <v>B&amp;P-LED-SP1</v>
          </cell>
          <cell r="J619">
            <v>1</v>
          </cell>
        </row>
        <row r="620">
          <cell r="C620" t="str">
            <v>B&amp;P-ALU-EX150-5</v>
          </cell>
          <cell r="F620">
            <v>44013.482256944444</v>
          </cell>
          <cell r="H620" t="str">
            <v>B&amp;P-ALU-DISI-EX150</v>
          </cell>
          <cell r="J620">
            <v>1</v>
          </cell>
        </row>
        <row r="621">
          <cell r="C621" t="str">
            <v>B&amp;P-ALU-EX150-5</v>
          </cell>
          <cell r="F621">
            <v>44013.482256944444</v>
          </cell>
          <cell r="H621" t="str">
            <v>B&amp;P-PCB-PCBEX155</v>
          </cell>
          <cell r="J621">
            <v>1</v>
          </cell>
        </row>
        <row r="622">
          <cell r="C622" t="str">
            <v>B&amp;P-ALU-EX150-5</v>
          </cell>
          <cell r="F622">
            <v>44013.482256944444</v>
          </cell>
          <cell r="H622" t="str">
            <v>B&amp;P-ALU-EX150-LENS</v>
          </cell>
          <cell r="J622">
            <v>1</v>
          </cell>
        </row>
        <row r="623">
          <cell r="C623" t="str">
            <v>B&amp;P-ALU-EX150-5</v>
          </cell>
          <cell r="F623">
            <v>44013.482256944444</v>
          </cell>
          <cell r="H623" t="str">
            <v>B&amp;P-FAL-SPD-10KV</v>
          </cell>
          <cell r="J623">
            <v>1</v>
          </cell>
        </row>
        <row r="624">
          <cell r="C624" t="str">
            <v>R44-ALU-PLUS2-100</v>
          </cell>
          <cell r="F624">
            <v>44382.660277777781</v>
          </cell>
          <cell r="H624" t="str">
            <v>B&amp;P-ALU-P2-DISI-100</v>
          </cell>
          <cell r="J624">
            <v>1</v>
          </cell>
        </row>
        <row r="625">
          <cell r="C625" t="str">
            <v>R44-ALU-PLUS2-100</v>
          </cell>
          <cell r="F625">
            <v>44382.660277777781</v>
          </cell>
          <cell r="H625" t="str">
            <v>B&amp;P-ALU-P2-105-LENS</v>
          </cell>
          <cell r="J625">
            <v>1</v>
          </cell>
        </row>
        <row r="626">
          <cell r="C626" t="str">
            <v>R44-ALU-PLUS2-100</v>
          </cell>
          <cell r="F626">
            <v>44382.660277777781</v>
          </cell>
          <cell r="H626" t="str">
            <v>B&amp;P-PCB-PLUS2-105</v>
          </cell>
          <cell r="J626">
            <v>1</v>
          </cell>
        </row>
        <row r="627">
          <cell r="C627" t="str">
            <v>R44-ALU-PLUS2-100</v>
          </cell>
          <cell r="F627">
            <v>44382.660277777781</v>
          </cell>
          <cell r="H627" t="str">
            <v>B&amp;P-LED-SP1</v>
          </cell>
          <cell r="J627">
            <v>1</v>
          </cell>
        </row>
        <row r="628">
          <cell r="C628" t="str">
            <v>PEE-S---6201-2RSC3-M</v>
          </cell>
          <cell r="F628">
            <v>38595.679212962961</v>
          </cell>
          <cell r="H628" t="str">
            <v>MID-001-6201-D</v>
          </cell>
          <cell r="J628">
            <v>1</v>
          </cell>
        </row>
        <row r="629">
          <cell r="C629" t="str">
            <v>PEE-S---6201-2RSC3-M</v>
          </cell>
          <cell r="F629">
            <v>38595.679212962961</v>
          </cell>
          <cell r="H629" t="str">
            <v>MID-002-6201-D</v>
          </cell>
          <cell r="J629">
            <v>1</v>
          </cell>
        </row>
        <row r="630">
          <cell r="C630" t="str">
            <v>PEE-S---6201-2RSC3-M</v>
          </cell>
          <cell r="F630">
            <v>38595.679212962961</v>
          </cell>
          <cell r="H630" t="str">
            <v>MID-005-6201-RET/SET</v>
          </cell>
          <cell r="J630">
            <v>1</v>
          </cell>
        </row>
        <row r="631">
          <cell r="C631" t="str">
            <v>PEE-S---6201-2RSC3-M</v>
          </cell>
          <cell r="F631">
            <v>38595.679212962961</v>
          </cell>
          <cell r="H631" t="str">
            <v>MID-003-15/64</v>
          </cell>
          <cell r="J631">
            <v>7</v>
          </cell>
        </row>
        <row r="632">
          <cell r="C632" t="str">
            <v>PEE-S---6201-2RSC3-M</v>
          </cell>
          <cell r="F632">
            <v>38595.679212962961</v>
          </cell>
          <cell r="H632" t="str">
            <v>000-006-001</v>
          </cell>
          <cell r="J632">
            <v>0.5</v>
          </cell>
        </row>
        <row r="633">
          <cell r="C633" t="str">
            <v>PEE-S---6201-2RSC3-M</v>
          </cell>
          <cell r="F633">
            <v>38595.679212962961</v>
          </cell>
          <cell r="H633" t="str">
            <v>MID-004-RLD-6201-RED</v>
          </cell>
          <cell r="J633">
            <v>2</v>
          </cell>
        </row>
        <row r="634">
          <cell r="C634" t="str">
            <v>PEE-S---6201-2RSC3-M</v>
          </cell>
          <cell r="F634">
            <v>38595.679212962961</v>
          </cell>
          <cell r="H634" t="str">
            <v>002-002-001</v>
          </cell>
          <cell r="J634">
            <v>1.2999999999999999E-2</v>
          </cell>
        </row>
        <row r="635">
          <cell r="C635" t="str">
            <v>PEE-S---6201-2RLD-C0</v>
          </cell>
          <cell r="F635">
            <v>39856.370787037034</v>
          </cell>
          <cell r="H635" t="str">
            <v>MID-004-RLD-6201-RED</v>
          </cell>
          <cell r="J635">
            <v>2</v>
          </cell>
        </row>
        <row r="636">
          <cell r="C636" t="str">
            <v>PEE-S---6201-2RLD-C0</v>
          </cell>
          <cell r="F636">
            <v>39856.370787037034</v>
          </cell>
          <cell r="H636" t="str">
            <v>002-002-001</v>
          </cell>
          <cell r="J636">
            <v>4.0000000000000001E-3</v>
          </cell>
        </row>
        <row r="637">
          <cell r="C637" t="str">
            <v>PEE-HS--6203-D-C3-M</v>
          </cell>
          <cell r="F637">
            <v>38684.469780092593</v>
          </cell>
          <cell r="H637" t="str">
            <v>MID-001-6203-D</v>
          </cell>
          <cell r="J637">
            <v>1</v>
          </cell>
        </row>
        <row r="638">
          <cell r="C638" t="str">
            <v>PEE-HS--6203-D-C3-M</v>
          </cell>
          <cell r="F638">
            <v>38684.469780092593</v>
          </cell>
          <cell r="H638" t="str">
            <v>MID-002-6203-D</v>
          </cell>
          <cell r="J638">
            <v>1</v>
          </cell>
        </row>
        <row r="639">
          <cell r="C639" t="str">
            <v>PEE-HS--6203-D-C3-M</v>
          </cell>
          <cell r="F639">
            <v>38684.469780092593</v>
          </cell>
          <cell r="H639" t="str">
            <v>MID-003-17/64</v>
          </cell>
          <cell r="J639">
            <v>8</v>
          </cell>
        </row>
        <row r="640">
          <cell r="C640" t="str">
            <v>PEE-HS--6203-D-C3-M</v>
          </cell>
          <cell r="F640">
            <v>38684.469780092593</v>
          </cell>
          <cell r="H640" t="str">
            <v>MID-005-6203-RET/SET</v>
          </cell>
          <cell r="J640">
            <v>1</v>
          </cell>
        </row>
        <row r="641">
          <cell r="C641" t="str">
            <v>PEE-HS--6203-D-C3-M</v>
          </cell>
          <cell r="F641">
            <v>38684.469780092593</v>
          </cell>
          <cell r="H641" t="str">
            <v>002-002-001</v>
          </cell>
          <cell r="J641">
            <v>7.0000000000000001E-3</v>
          </cell>
        </row>
        <row r="642">
          <cell r="C642" t="str">
            <v>PEE-S---6203-2RSC3-M</v>
          </cell>
          <cell r="F642">
            <v>38944.357210648152</v>
          </cell>
          <cell r="H642" t="str">
            <v>PEE-S---6203-D-C3-RM</v>
          </cell>
          <cell r="J642">
            <v>1</v>
          </cell>
        </row>
        <row r="643">
          <cell r="C643" t="str">
            <v>PEE-S---6203-2RSC3-M</v>
          </cell>
          <cell r="F643">
            <v>38944.357210648152</v>
          </cell>
          <cell r="H643" t="str">
            <v>MID-004-RLD-6203-RED</v>
          </cell>
          <cell r="J643">
            <v>2</v>
          </cell>
        </row>
        <row r="644">
          <cell r="C644" t="str">
            <v>PEE-S---6203-2RSC3-M</v>
          </cell>
          <cell r="F644">
            <v>38944.357210648152</v>
          </cell>
          <cell r="H644" t="str">
            <v>000-006-001</v>
          </cell>
          <cell r="J644">
            <v>0.8</v>
          </cell>
        </row>
        <row r="645">
          <cell r="C645" t="str">
            <v>PEE-S---6203-2RSC3-M</v>
          </cell>
          <cell r="F645">
            <v>38944.357210648152</v>
          </cell>
          <cell r="H645" t="str">
            <v>002-002-001</v>
          </cell>
          <cell r="J645">
            <v>4.0000000000000001E-3</v>
          </cell>
        </row>
        <row r="646">
          <cell r="C646" t="str">
            <v>PEE-S---6005-ZZ-C0</v>
          </cell>
          <cell r="F646">
            <v>38758.376400462963</v>
          </cell>
          <cell r="H646" t="str">
            <v>PEE-S---6005-D-C0</v>
          </cell>
          <cell r="J646">
            <v>1</v>
          </cell>
        </row>
        <row r="647">
          <cell r="C647" t="str">
            <v>PEE-S---6005-ZZ-C0</v>
          </cell>
          <cell r="F647">
            <v>38758.376400462963</v>
          </cell>
          <cell r="H647" t="str">
            <v>000-004-ZZ-6005</v>
          </cell>
          <cell r="J647">
            <v>2</v>
          </cell>
        </row>
        <row r="648">
          <cell r="C648" t="str">
            <v>PEE-S---6005-ZZ-C0</v>
          </cell>
          <cell r="F648">
            <v>38758.376400462963</v>
          </cell>
          <cell r="H648" t="str">
            <v>000-006-001</v>
          </cell>
          <cell r="J648">
            <v>1</v>
          </cell>
        </row>
        <row r="649">
          <cell r="C649" t="str">
            <v>PEE-S---6005-ZZ-C0</v>
          </cell>
          <cell r="F649">
            <v>38758.376400462963</v>
          </cell>
          <cell r="H649" t="str">
            <v>002-002-001</v>
          </cell>
          <cell r="J649">
            <v>4.0000000000000001E-3</v>
          </cell>
        </row>
        <row r="650">
          <cell r="C650" t="str">
            <v>PEE-HS--6005-2RSC3-M</v>
          </cell>
          <cell r="F650">
            <v>38848.427557870367</v>
          </cell>
          <cell r="H650" t="str">
            <v>MID-001-6005-R</v>
          </cell>
          <cell r="J650">
            <v>1</v>
          </cell>
        </row>
        <row r="651">
          <cell r="C651" t="str">
            <v>PEE-HS--6005-2RSC3-M</v>
          </cell>
          <cell r="F651">
            <v>38848.427557870367</v>
          </cell>
          <cell r="H651" t="str">
            <v>MID-002-6005-R</v>
          </cell>
          <cell r="J651">
            <v>1</v>
          </cell>
        </row>
        <row r="652">
          <cell r="C652" t="str">
            <v>PEE-HS--6005-2RSC3-M</v>
          </cell>
          <cell r="F652">
            <v>38848.427557870367</v>
          </cell>
          <cell r="H652" t="str">
            <v>MID-003-1/4</v>
          </cell>
          <cell r="J652">
            <v>10</v>
          </cell>
        </row>
        <row r="653">
          <cell r="C653" t="str">
            <v>PEE-HS--6005-2RSC3-M</v>
          </cell>
          <cell r="F653">
            <v>38848.427557870367</v>
          </cell>
          <cell r="H653" t="str">
            <v>MID-004-RLD-6005-RED</v>
          </cell>
          <cell r="J653">
            <v>2</v>
          </cell>
        </row>
        <row r="654">
          <cell r="C654" t="str">
            <v>PEE-HS--6005-2RSC3-M</v>
          </cell>
          <cell r="F654">
            <v>38848.427557870367</v>
          </cell>
          <cell r="H654" t="str">
            <v>MID-005-6005-RET/SET</v>
          </cell>
          <cell r="J654">
            <v>1</v>
          </cell>
        </row>
        <row r="655">
          <cell r="C655" t="str">
            <v>PEE-HS--6005-2RSC3-M</v>
          </cell>
          <cell r="F655">
            <v>38848.427557870367</v>
          </cell>
          <cell r="H655" t="str">
            <v>000-006-001</v>
          </cell>
          <cell r="J655">
            <v>1</v>
          </cell>
        </row>
        <row r="656">
          <cell r="C656" t="str">
            <v>PEE-HS--6005-2RSC3-M</v>
          </cell>
          <cell r="F656">
            <v>38848.427557870367</v>
          </cell>
          <cell r="H656" t="str">
            <v>002-002-001</v>
          </cell>
          <cell r="J656">
            <v>1.1299999999999999E-2</v>
          </cell>
        </row>
        <row r="657">
          <cell r="C657" t="str">
            <v>PEE-SS--6203-2RSC3-M</v>
          </cell>
          <cell r="F657">
            <v>38924.38449074074</v>
          </cell>
          <cell r="H657" t="str">
            <v>PEE-SS--6203-D-C3-RM</v>
          </cell>
          <cell r="J657">
            <v>1</v>
          </cell>
        </row>
        <row r="658">
          <cell r="C658" t="str">
            <v>PEE-SS--6203-2RSC3-M</v>
          </cell>
          <cell r="F658">
            <v>38924.38449074074</v>
          </cell>
          <cell r="H658" t="str">
            <v>MID-004-RLD-6203-RED</v>
          </cell>
          <cell r="J658">
            <v>2</v>
          </cell>
        </row>
        <row r="659">
          <cell r="C659" t="str">
            <v>PEE-SS--6203-2RSC3-M</v>
          </cell>
          <cell r="F659">
            <v>38924.38449074074</v>
          </cell>
          <cell r="H659" t="str">
            <v>000-006-001</v>
          </cell>
          <cell r="J659">
            <v>0.8</v>
          </cell>
        </row>
        <row r="660">
          <cell r="C660" t="str">
            <v>PEE-SS--6203-2RSC3-M</v>
          </cell>
          <cell r="F660">
            <v>38924.38449074074</v>
          </cell>
          <cell r="H660" t="str">
            <v>002-002-001</v>
          </cell>
          <cell r="J660">
            <v>4.0000000000000001E-3</v>
          </cell>
        </row>
        <row r="661">
          <cell r="C661" t="str">
            <v>B&amp;P-037-X4-08-5701-A</v>
          </cell>
          <cell r="F661">
            <v>41058.575844907406</v>
          </cell>
          <cell r="H661" t="str">
            <v>BPB-020-SAE4140Ø47.6</v>
          </cell>
          <cell r="J661">
            <v>0.21</v>
          </cell>
        </row>
        <row r="662">
          <cell r="C662" t="str">
            <v>PEE-HS--6005-2RLD-C0</v>
          </cell>
          <cell r="F662">
            <v>38964.676180555558</v>
          </cell>
          <cell r="H662" t="str">
            <v>PEE-HS--6005-D-C0</v>
          </cell>
          <cell r="J662">
            <v>1</v>
          </cell>
        </row>
        <row r="663">
          <cell r="C663" t="str">
            <v>PEE-HS--6005-2RLD-C0</v>
          </cell>
          <cell r="F663">
            <v>38964.676180555558</v>
          </cell>
          <cell r="H663" t="str">
            <v>000-004-RLD-6005-RED</v>
          </cell>
          <cell r="J663">
            <v>2</v>
          </cell>
        </row>
        <row r="664">
          <cell r="C664" t="str">
            <v>PEE-HS--6005-2RLD-C0</v>
          </cell>
          <cell r="F664">
            <v>38964.676180555558</v>
          </cell>
          <cell r="H664" t="str">
            <v>000-006-001</v>
          </cell>
          <cell r="J664">
            <v>1</v>
          </cell>
        </row>
        <row r="665">
          <cell r="C665" t="str">
            <v>PEE-HS--6005-2RLD-C0</v>
          </cell>
          <cell r="F665">
            <v>38964.676180555558</v>
          </cell>
          <cell r="H665" t="str">
            <v>002-002-001</v>
          </cell>
          <cell r="J665">
            <v>4.0000000000000001E-3</v>
          </cell>
        </row>
        <row r="666">
          <cell r="C666" t="str">
            <v>PEE-S---6204-2RST-C0</v>
          </cell>
          <cell r="F666">
            <v>38982.412731481483</v>
          </cell>
          <cell r="H666" t="str">
            <v>PEE-S---6204-D-C0-M</v>
          </cell>
          <cell r="J666">
            <v>1</v>
          </cell>
        </row>
        <row r="667">
          <cell r="C667" t="str">
            <v>PEE-S---6204-2RST-C0</v>
          </cell>
          <cell r="F667">
            <v>38982.412731481483</v>
          </cell>
          <cell r="H667" t="str">
            <v>SAV-004-6204-RST-RED</v>
          </cell>
          <cell r="J667">
            <v>2</v>
          </cell>
        </row>
        <row r="668">
          <cell r="C668" t="str">
            <v>PEE-S---6204-2RST-C0</v>
          </cell>
          <cell r="F668">
            <v>38982.412731481483</v>
          </cell>
          <cell r="H668" t="str">
            <v>000-006-001</v>
          </cell>
          <cell r="J668">
            <v>3.6</v>
          </cell>
        </row>
        <row r="669">
          <cell r="C669" t="str">
            <v>PEE-S---6204-2RST-C0</v>
          </cell>
          <cell r="F669">
            <v>38982.412731481483</v>
          </cell>
          <cell r="H669" t="str">
            <v>002-002-001</v>
          </cell>
          <cell r="J669">
            <v>4.0000000000000001E-3</v>
          </cell>
        </row>
        <row r="670">
          <cell r="C670" t="str">
            <v>000-002-6203-R</v>
          </cell>
          <cell r="F670">
            <v>39044.654386574075</v>
          </cell>
          <cell r="H670" t="str">
            <v>000-002-6203-NFR</v>
          </cell>
          <cell r="J670">
            <v>1</v>
          </cell>
        </row>
        <row r="671">
          <cell r="C671" t="str">
            <v>000-001-6203-R</v>
          </cell>
          <cell r="F671">
            <v>39044.666666666664</v>
          </cell>
          <cell r="H671" t="str">
            <v>000-001-6203-NFR</v>
          </cell>
          <cell r="J671">
            <v>1</v>
          </cell>
        </row>
        <row r="672">
          <cell r="C672" t="str">
            <v>PEE-HS--6202-2RSC3-M</v>
          </cell>
          <cell r="F672">
            <v>39139.452187499999</v>
          </cell>
          <cell r="H672" t="str">
            <v>MID-001-6202-D</v>
          </cell>
          <cell r="J672">
            <v>1</v>
          </cell>
        </row>
        <row r="673">
          <cell r="C673" t="str">
            <v>PEE-HS--6202-2RSC3-M</v>
          </cell>
          <cell r="F673">
            <v>39139.452187499999</v>
          </cell>
          <cell r="H673" t="str">
            <v>MID-002-6202-D</v>
          </cell>
          <cell r="J673">
            <v>1</v>
          </cell>
        </row>
        <row r="674">
          <cell r="C674" t="str">
            <v>PEE-HS--6202-2RSC3-M</v>
          </cell>
          <cell r="F674">
            <v>39139.452187499999</v>
          </cell>
          <cell r="H674" t="str">
            <v>MID-003-15/64</v>
          </cell>
          <cell r="J674">
            <v>8</v>
          </cell>
        </row>
        <row r="675">
          <cell r="C675" t="str">
            <v>PEE-HS--6202-2RSC3-M</v>
          </cell>
          <cell r="F675">
            <v>39139.452187499999</v>
          </cell>
          <cell r="H675" t="str">
            <v>MID-004-RLD-6202-RED</v>
          </cell>
          <cell r="J675">
            <v>2</v>
          </cell>
        </row>
        <row r="676">
          <cell r="C676" t="str">
            <v>PEE-HS--6202-2RSC3-M</v>
          </cell>
          <cell r="F676">
            <v>39139.452187499999</v>
          </cell>
          <cell r="H676" t="str">
            <v>MID-005-6202-RET/SET</v>
          </cell>
          <cell r="J676">
            <v>1</v>
          </cell>
        </row>
        <row r="677">
          <cell r="C677" t="str">
            <v>PEE-HS--6202-2RSC3-M</v>
          </cell>
          <cell r="F677">
            <v>39139.452187499999</v>
          </cell>
          <cell r="H677" t="str">
            <v>000-006-001</v>
          </cell>
          <cell r="J677">
            <v>0.6</v>
          </cell>
        </row>
        <row r="678">
          <cell r="C678" t="str">
            <v>PEE-HS--6202-2RSC3-M</v>
          </cell>
          <cell r="F678">
            <v>39139.452187499999</v>
          </cell>
          <cell r="H678" t="str">
            <v>002-002-001</v>
          </cell>
          <cell r="J678">
            <v>1.1299999999999999E-2</v>
          </cell>
        </row>
        <row r="679">
          <cell r="C679" t="str">
            <v>PEE-HS--6208-2RLD-C0</v>
          </cell>
          <cell r="F679">
            <v>39170.407951388886</v>
          </cell>
          <cell r="H679" t="str">
            <v>PEE-HS--6208-D-C0</v>
          </cell>
          <cell r="J679">
            <v>1</v>
          </cell>
        </row>
        <row r="680">
          <cell r="C680" t="str">
            <v>PEE-HS--6208-2RLD-C0</v>
          </cell>
          <cell r="F680">
            <v>39170.407951388886</v>
          </cell>
          <cell r="H680" t="str">
            <v>000-004-RLD-6208-RED</v>
          </cell>
          <cell r="J680">
            <v>2</v>
          </cell>
        </row>
        <row r="681">
          <cell r="C681" t="str">
            <v>PEE-HS--6208-2RLD-C0</v>
          </cell>
          <cell r="F681">
            <v>39170.407951388886</v>
          </cell>
          <cell r="H681" t="str">
            <v>000-006-001</v>
          </cell>
          <cell r="J681">
            <v>4.8</v>
          </cell>
        </row>
        <row r="682">
          <cell r="C682" t="str">
            <v>PEE-HS--6208-2RLD-C0</v>
          </cell>
          <cell r="F682">
            <v>39170.407951388886</v>
          </cell>
          <cell r="H682" t="str">
            <v>002-002-001</v>
          </cell>
          <cell r="J682">
            <v>4.0000000000000001E-3</v>
          </cell>
        </row>
        <row r="683">
          <cell r="C683" t="str">
            <v>PEE-041-6308-2RLD-C3</v>
          </cell>
          <cell r="F683">
            <v>39206.314791666664</v>
          </cell>
          <cell r="H683" t="str">
            <v>PEE-041-6308-D-C3</v>
          </cell>
          <cell r="J683">
            <v>1</v>
          </cell>
        </row>
        <row r="684">
          <cell r="C684" t="str">
            <v>PEE-041-6308-2RLD-C3</v>
          </cell>
          <cell r="F684">
            <v>39206.314791666664</v>
          </cell>
          <cell r="H684" t="str">
            <v>MID-004-RLD-6308-RED</v>
          </cell>
          <cell r="J684">
            <v>2</v>
          </cell>
        </row>
        <row r="685">
          <cell r="C685" t="str">
            <v>PEE-041-6308-2RLD-C3</v>
          </cell>
          <cell r="F685">
            <v>39206.314791666664</v>
          </cell>
          <cell r="H685" t="str">
            <v>000-006-001</v>
          </cell>
          <cell r="J685">
            <v>7.9</v>
          </cell>
        </row>
        <row r="686">
          <cell r="C686" t="str">
            <v>PEE-041-6308-2RLD-C3</v>
          </cell>
          <cell r="F686">
            <v>39206.314791666664</v>
          </cell>
          <cell r="H686" t="str">
            <v>002-002-001</v>
          </cell>
          <cell r="J686">
            <v>4.0000000000000001E-3</v>
          </cell>
        </row>
        <row r="687">
          <cell r="C687" t="str">
            <v>PEE-SS--6203-2RST-C0</v>
          </cell>
          <cell r="F687">
            <v>39295.580023148148</v>
          </cell>
          <cell r="H687" t="str">
            <v>PEE-SS--6203-D-C0-M</v>
          </cell>
          <cell r="J687">
            <v>1</v>
          </cell>
        </row>
        <row r="688">
          <cell r="C688" t="str">
            <v>PEE-SS--6203-2RST-C0</v>
          </cell>
          <cell r="F688">
            <v>39295.580023148148</v>
          </cell>
          <cell r="H688" t="str">
            <v>000-004-RST-6203-RED</v>
          </cell>
          <cell r="J688">
            <v>2</v>
          </cell>
        </row>
        <row r="689">
          <cell r="C689" t="str">
            <v>PEE-S---6203-2RST-C3</v>
          </cell>
          <cell r="F689">
            <v>39303.399270833332</v>
          </cell>
          <cell r="H689" t="str">
            <v>PEE-S---6203-D-C3</v>
          </cell>
          <cell r="J689">
            <v>1</v>
          </cell>
        </row>
        <row r="690">
          <cell r="C690" t="str">
            <v>PEE-S---6203-2RST-C3</v>
          </cell>
          <cell r="F690">
            <v>39303.399270833332</v>
          </cell>
          <cell r="H690" t="str">
            <v>000-004-RST-6203-RED</v>
          </cell>
          <cell r="J690">
            <v>2</v>
          </cell>
        </row>
        <row r="691">
          <cell r="C691" t="str">
            <v>PEE-S---6203-2RST-C3</v>
          </cell>
          <cell r="F691">
            <v>39303.399270833332</v>
          </cell>
          <cell r="H691" t="str">
            <v>000-006-001</v>
          </cell>
          <cell r="J691">
            <v>2.1</v>
          </cell>
        </row>
        <row r="692">
          <cell r="C692" t="str">
            <v>PEE-S---6203-2RST-C3</v>
          </cell>
          <cell r="F692">
            <v>39303.399270833332</v>
          </cell>
          <cell r="H692" t="str">
            <v>002-002-001</v>
          </cell>
          <cell r="J692">
            <v>4.0000000000000001E-3</v>
          </cell>
        </row>
        <row r="693">
          <cell r="C693" t="str">
            <v>PEE-S---6203-2RST-C0</v>
          </cell>
          <cell r="F693">
            <v>39303.428935185184</v>
          </cell>
          <cell r="H693" t="str">
            <v>PEE-S---6203-D-C0-M</v>
          </cell>
          <cell r="J693">
            <v>1</v>
          </cell>
        </row>
        <row r="694">
          <cell r="C694" t="str">
            <v>PEE-S---6203-2RST-C0</v>
          </cell>
          <cell r="F694">
            <v>39303.428935185184</v>
          </cell>
          <cell r="H694" t="str">
            <v>000-004-RST-6203-RED</v>
          </cell>
          <cell r="J694">
            <v>2</v>
          </cell>
        </row>
        <row r="695">
          <cell r="C695" t="str">
            <v>PEE-S---6203-2RST-C0</v>
          </cell>
          <cell r="F695">
            <v>39303.428935185184</v>
          </cell>
          <cell r="H695" t="str">
            <v>000-006-001</v>
          </cell>
          <cell r="J695">
            <v>2.1</v>
          </cell>
        </row>
        <row r="696">
          <cell r="C696" t="str">
            <v>PEE-S---6203-2RST-C0</v>
          </cell>
          <cell r="F696">
            <v>39303.428935185184</v>
          </cell>
          <cell r="H696" t="str">
            <v>002-002-001</v>
          </cell>
          <cell r="J696">
            <v>4.0000000000000001E-3</v>
          </cell>
        </row>
        <row r="697">
          <cell r="C697" t="str">
            <v>PEE-SS--6203-2RST-C0</v>
          </cell>
          <cell r="F697">
            <v>39295.580023148148</v>
          </cell>
          <cell r="H697" t="str">
            <v>000-006-001</v>
          </cell>
          <cell r="J697">
            <v>2.1</v>
          </cell>
        </row>
        <row r="698">
          <cell r="C698" t="str">
            <v>PEE-SS--6203-2RST-C0</v>
          </cell>
          <cell r="F698">
            <v>39295.580023148148</v>
          </cell>
          <cell r="H698" t="str">
            <v>002-002-001</v>
          </cell>
          <cell r="J698">
            <v>4.0000000000000001E-3</v>
          </cell>
        </row>
        <row r="699">
          <cell r="C699" t="str">
            <v>PEE-HS--6004-2RLD-C3</v>
          </cell>
          <cell r="F699">
            <v>40494.607465277775</v>
          </cell>
          <cell r="H699" t="str">
            <v>000-001-6004-D</v>
          </cell>
          <cell r="J699">
            <v>1</v>
          </cell>
        </row>
        <row r="700">
          <cell r="C700" t="str">
            <v>PEE-HS--6004-2RLD-C3</v>
          </cell>
          <cell r="F700">
            <v>40494.607465277775</v>
          </cell>
          <cell r="H700" t="str">
            <v>000-002-6004-D</v>
          </cell>
          <cell r="J700">
            <v>1</v>
          </cell>
        </row>
        <row r="701">
          <cell r="C701" t="str">
            <v>PEE-HS--6004-2RLD-C3</v>
          </cell>
          <cell r="F701">
            <v>40494.607465277775</v>
          </cell>
          <cell r="H701" t="str">
            <v>000-005-6004-RET/SET</v>
          </cell>
          <cell r="J701">
            <v>1</v>
          </cell>
        </row>
        <row r="702">
          <cell r="C702" t="str">
            <v>PEE-HS--6004-2RLD-C3</v>
          </cell>
          <cell r="F702">
            <v>40494.607465277775</v>
          </cell>
          <cell r="H702" t="str">
            <v>000-003-1/4</v>
          </cell>
          <cell r="J702">
            <v>9</v>
          </cell>
        </row>
        <row r="703">
          <cell r="C703" t="str">
            <v>PEE-HS--6004-2RLD-C3</v>
          </cell>
          <cell r="F703">
            <v>40494.607465277775</v>
          </cell>
          <cell r="H703" t="str">
            <v>000-006-POLYREX-EM</v>
          </cell>
          <cell r="J703">
            <v>0.9</v>
          </cell>
        </row>
        <row r="704">
          <cell r="C704" t="str">
            <v>PEE-HS--6004-2RLD-C3</v>
          </cell>
          <cell r="F704">
            <v>40494.607465277775</v>
          </cell>
          <cell r="H704" t="str">
            <v>000-004-RLD-6004-RED</v>
          </cell>
          <cell r="J704">
            <v>2</v>
          </cell>
        </row>
        <row r="705">
          <cell r="C705" t="str">
            <v>PEE-HS--6204-2RST-C3</v>
          </cell>
          <cell r="F705">
            <v>40500.42695601852</v>
          </cell>
          <cell r="H705" t="str">
            <v>PEE-HS--6204-D-C3</v>
          </cell>
          <cell r="J705">
            <v>1</v>
          </cell>
        </row>
        <row r="706">
          <cell r="C706" t="str">
            <v>PEE-HS--6204-2RST-C3</v>
          </cell>
          <cell r="F706">
            <v>40500.42695601852</v>
          </cell>
          <cell r="H706" t="str">
            <v>SAV-004-6204-RST-RED</v>
          </cell>
          <cell r="J706">
            <v>2</v>
          </cell>
        </row>
        <row r="707">
          <cell r="C707" t="str">
            <v>PEE-HS--6204-2RST-C3</v>
          </cell>
          <cell r="F707">
            <v>40500.42695601852</v>
          </cell>
          <cell r="H707" t="str">
            <v>000-006-POLYREX-EM</v>
          </cell>
          <cell r="J707">
            <v>3.6</v>
          </cell>
        </row>
        <row r="708">
          <cell r="C708" t="str">
            <v>BPB-048-AG-2565-CHS</v>
          </cell>
          <cell r="F708">
            <v>40529.381574074076</v>
          </cell>
          <cell r="H708" t="str">
            <v>RET-048-AG-2565-CHS</v>
          </cell>
          <cell r="J708">
            <v>1</v>
          </cell>
        </row>
        <row r="709">
          <cell r="C709" t="str">
            <v>BPB-041-5210-2RST-C0</v>
          </cell>
          <cell r="F709">
            <v>40569.366875</v>
          </cell>
          <cell r="H709" t="str">
            <v>RET-041-5210-2RST-C0</v>
          </cell>
          <cell r="J709">
            <v>1</v>
          </cell>
        </row>
        <row r="710">
          <cell r="C710" t="str">
            <v>BPB-041-5210-2RST-C0</v>
          </cell>
          <cell r="F710">
            <v>40569.366875</v>
          </cell>
          <cell r="H710" t="str">
            <v>BPB-004-RST-5210</v>
          </cell>
          <cell r="J710">
            <v>2</v>
          </cell>
        </row>
        <row r="711">
          <cell r="C711" t="str">
            <v>BPB-041-5210-2RST-C0</v>
          </cell>
          <cell r="F711">
            <v>40569.366875</v>
          </cell>
          <cell r="H711" t="str">
            <v>000-006-POLYREX-EM</v>
          </cell>
          <cell r="J711">
            <v>11</v>
          </cell>
        </row>
        <row r="712">
          <cell r="C712" t="str">
            <v>PEE-HS--6306-2RLD-C0</v>
          </cell>
          <cell r="F712">
            <v>40577.368067129632</v>
          </cell>
          <cell r="H712" t="str">
            <v>PEE-HS--6306-D-C0</v>
          </cell>
          <cell r="J712">
            <v>1</v>
          </cell>
        </row>
        <row r="713">
          <cell r="C713" t="str">
            <v>PEE-HS--6306-2RLD-C0</v>
          </cell>
          <cell r="F713">
            <v>40577.368067129632</v>
          </cell>
          <cell r="H713" t="str">
            <v>000-004-RLD-6306-RED</v>
          </cell>
          <cell r="J713">
            <v>2</v>
          </cell>
        </row>
        <row r="714">
          <cell r="C714" t="str">
            <v>PEE-HS--6306-2RLD-C0</v>
          </cell>
          <cell r="F714">
            <v>40577.368067129632</v>
          </cell>
          <cell r="H714" t="str">
            <v>000-006-001</v>
          </cell>
          <cell r="J714">
            <v>4.2</v>
          </cell>
        </row>
        <row r="715">
          <cell r="C715" t="str">
            <v>BPB-047-HCFS211-32SP</v>
          </cell>
          <cell r="F715">
            <v>40336.37232638889</v>
          </cell>
          <cell r="H715" t="str">
            <v>RET-027-SEAL-HCFS211</v>
          </cell>
          <cell r="J715">
            <v>2</v>
          </cell>
        </row>
        <row r="716">
          <cell r="C716" t="str">
            <v>BPB-047-HCFS211-32SP</v>
          </cell>
          <cell r="F716">
            <v>40336.37232638889</v>
          </cell>
          <cell r="H716" t="str">
            <v>RET-027-SLINGER-211</v>
          </cell>
          <cell r="J716">
            <v>2</v>
          </cell>
        </row>
        <row r="717">
          <cell r="C717" t="str">
            <v>BPB-047-HCFS211-32SP</v>
          </cell>
          <cell r="F717">
            <v>40336.37232638889</v>
          </cell>
          <cell r="H717" t="str">
            <v>RET-047-HCFS211-32SP</v>
          </cell>
          <cell r="J717">
            <v>1</v>
          </cell>
        </row>
        <row r="718">
          <cell r="C718" t="str">
            <v>BPB-047-HCFS211-32SP</v>
          </cell>
          <cell r="F718">
            <v>40336.37232638889</v>
          </cell>
          <cell r="H718" t="str">
            <v>000-006-POLYREX-EM</v>
          </cell>
          <cell r="J718">
            <v>22</v>
          </cell>
        </row>
        <row r="719">
          <cell r="C719" t="str">
            <v>BPB-041-6805-2RLD-C3</v>
          </cell>
          <cell r="F719">
            <v>40360.412986111114</v>
          </cell>
          <cell r="H719" t="str">
            <v>RET-041-6805-2RLD-C3</v>
          </cell>
          <cell r="J719">
            <v>1</v>
          </cell>
        </row>
        <row r="720">
          <cell r="C720" t="str">
            <v>BPB-041-6805-2RLD-C3</v>
          </cell>
          <cell r="F720">
            <v>40360.412986111114</v>
          </cell>
          <cell r="H720" t="str">
            <v>BPB-004-RLD-6805</v>
          </cell>
          <cell r="J720">
            <v>2</v>
          </cell>
        </row>
        <row r="721">
          <cell r="C721" t="str">
            <v>BPB-041-6205-2RLD-C3</v>
          </cell>
          <cell r="F721">
            <v>40709.474976851852</v>
          </cell>
          <cell r="H721" t="str">
            <v>BPB-001-6205-D</v>
          </cell>
          <cell r="J721">
            <v>1</v>
          </cell>
        </row>
        <row r="722">
          <cell r="C722" t="str">
            <v>BPB-041-6205-2RLD-C3</v>
          </cell>
          <cell r="F722">
            <v>40709.474976851852</v>
          </cell>
          <cell r="H722" t="str">
            <v>BPB-002-6205-D</v>
          </cell>
          <cell r="J722">
            <v>1</v>
          </cell>
        </row>
        <row r="723">
          <cell r="C723" t="str">
            <v>BPB-041-6205-2RLD-C3</v>
          </cell>
          <cell r="F723">
            <v>40709.474976851852</v>
          </cell>
          <cell r="H723" t="str">
            <v>000-003-5/16</v>
          </cell>
          <cell r="J723">
            <v>9</v>
          </cell>
        </row>
        <row r="724">
          <cell r="C724" t="str">
            <v>BPB-041-6205-2RLD-C3</v>
          </cell>
          <cell r="F724">
            <v>40709.474976851852</v>
          </cell>
          <cell r="H724" t="str">
            <v>MID-005-6205-RET/SET</v>
          </cell>
          <cell r="J724">
            <v>1</v>
          </cell>
        </row>
        <row r="725">
          <cell r="C725" t="str">
            <v>BPB-041-6205-2RLD-C3</v>
          </cell>
          <cell r="F725">
            <v>40709.474976851852</v>
          </cell>
          <cell r="H725" t="str">
            <v>MID-004-RLD-6205-RED</v>
          </cell>
          <cell r="J725">
            <v>2</v>
          </cell>
        </row>
        <row r="726">
          <cell r="C726" t="str">
            <v>BPB-041-6205-2RLD-C3</v>
          </cell>
          <cell r="F726">
            <v>40709.474976851852</v>
          </cell>
          <cell r="H726" t="str">
            <v>000-006-001</v>
          </cell>
          <cell r="J726">
            <v>1.7</v>
          </cell>
        </row>
        <row r="727">
          <cell r="C727" t="str">
            <v>BPB-047-FT-205-H</v>
          </cell>
          <cell r="F727">
            <v>41220.672372685185</v>
          </cell>
          <cell r="H727" t="str">
            <v>RET-047-FT-205-H</v>
          </cell>
          <cell r="J727">
            <v>1</v>
          </cell>
        </row>
        <row r="728">
          <cell r="C728" t="str">
            <v>PEE-HS--6206-D-C3-M</v>
          </cell>
          <cell r="F728">
            <v>39461.597094907411</v>
          </cell>
          <cell r="H728" t="str">
            <v>MID-001-6206-R</v>
          </cell>
          <cell r="J728">
            <v>1</v>
          </cell>
        </row>
        <row r="729">
          <cell r="C729" t="str">
            <v>PEE-HS--6206-D-C3-M</v>
          </cell>
          <cell r="F729">
            <v>39461.597094907411</v>
          </cell>
          <cell r="H729" t="str">
            <v>MID-002-6206-R</v>
          </cell>
          <cell r="J729">
            <v>1</v>
          </cell>
        </row>
        <row r="730">
          <cell r="C730" t="str">
            <v>PEE-HS--6206-D-C3-M</v>
          </cell>
          <cell r="F730">
            <v>39461.597094907411</v>
          </cell>
          <cell r="H730" t="str">
            <v>MID-003-3/8</v>
          </cell>
          <cell r="J730">
            <v>9</v>
          </cell>
        </row>
        <row r="731">
          <cell r="C731" t="str">
            <v>PEE-HS--6206-D-C3-M</v>
          </cell>
          <cell r="F731">
            <v>39461.597094907411</v>
          </cell>
          <cell r="H731" t="str">
            <v>MID-005-6206-RET/SET</v>
          </cell>
          <cell r="J731">
            <v>1</v>
          </cell>
        </row>
        <row r="732">
          <cell r="C732" t="str">
            <v>PEE-HS--6206-D-C3-M</v>
          </cell>
          <cell r="F732">
            <v>39461.597094907411</v>
          </cell>
          <cell r="H732" t="str">
            <v>002-002-001</v>
          </cell>
          <cell r="J732">
            <v>0.1133</v>
          </cell>
        </row>
        <row r="733">
          <cell r="C733" t="str">
            <v>PET-HS--6005-2RS-C0</v>
          </cell>
          <cell r="F733">
            <v>39470.382013888891</v>
          </cell>
          <cell r="H733" t="str">
            <v>MID-001-6005-RT</v>
          </cell>
          <cell r="J733">
            <v>1</v>
          </cell>
        </row>
        <row r="734">
          <cell r="C734" t="str">
            <v>PET-HS--6005-2RS-C0</v>
          </cell>
          <cell r="F734">
            <v>39470.382013888891</v>
          </cell>
          <cell r="H734" t="str">
            <v>MID-002-6005-RT</v>
          </cell>
          <cell r="J734">
            <v>1</v>
          </cell>
        </row>
        <row r="735">
          <cell r="C735" t="str">
            <v>PET-HS--6005-2RS-C0</v>
          </cell>
          <cell r="F735">
            <v>39470.382013888891</v>
          </cell>
          <cell r="H735" t="str">
            <v>MID-003-1/4T</v>
          </cell>
          <cell r="J735">
            <v>10</v>
          </cell>
        </row>
        <row r="736">
          <cell r="C736" t="str">
            <v>PET-HS--6005-2RS-C0</v>
          </cell>
          <cell r="F736">
            <v>39470.382013888891</v>
          </cell>
          <cell r="H736" t="str">
            <v>000-004-RLD-6005-BLK</v>
          </cell>
          <cell r="J736">
            <v>2</v>
          </cell>
        </row>
        <row r="737">
          <cell r="C737" t="str">
            <v>PET-HS--6005-2RS-C0</v>
          </cell>
          <cell r="F737">
            <v>39470.382013888891</v>
          </cell>
          <cell r="H737" t="str">
            <v>MID-005-6005RET/SETT</v>
          </cell>
          <cell r="J737">
            <v>1</v>
          </cell>
        </row>
        <row r="738">
          <cell r="C738" t="str">
            <v>PET-HS--6005-2RS-C0</v>
          </cell>
          <cell r="F738">
            <v>39470.382013888891</v>
          </cell>
          <cell r="H738" t="str">
            <v>000-006-001</v>
          </cell>
          <cell r="J738">
            <v>2.8</v>
          </cell>
        </row>
        <row r="739">
          <cell r="C739" t="str">
            <v>PET-HS--6005-2RS-C0</v>
          </cell>
          <cell r="F739">
            <v>39470.382013888891</v>
          </cell>
          <cell r="H739" t="str">
            <v>002-002-001</v>
          </cell>
          <cell r="J739">
            <v>0.1133</v>
          </cell>
        </row>
        <row r="740">
          <cell r="C740" t="str">
            <v>PEE-EMQ-6005-D-C3</v>
          </cell>
          <cell r="F740">
            <v>39479.604988425926</v>
          </cell>
          <cell r="H740" t="str">
            <v>MID-001-6005-RT</v>
          </cell>
          <cell r="J740">
            <v>1</v>
          </cell>
        </row>
        <row r="741">
          <cell r="C741" t="str">
            <v>PEE-EMQ-6005-D-C3</v>
          </cell>
          <cell r="F741">
            <v>39479.604988425926</v>
          </cell>
          <cell r="H741" t="str">
            <v>MID-002-6005-RT</v>
          </cell>
          <cell r="J741">
            <v>1</v>
          </cell>
        </row>
        <row r="742">
          <cell r="C742" t="str">
            <v>PEE-EMQ-6005-D-C3</v>
          </cell>
          <cell r="F742">
            <v>39479.604988425926</v>
          </cell>
          <cell r="H742" t="str">
            <v>MID-003-1/4T</v>
          </cell>
          <cell r="J742">
            <v>10</v>
          </cell>
        </row>
        <row r="743">
          <cell r="C743" t="str">
            <v>PEE-EMQ-6005-D-C3</v>
          </cell>
          <cell r="F743">
            <v>39479.604988425926</v>
          </cell>
          <cell r="H743" t="str">
            <v>MID-005-6005RET/SETT</v>
          </cell>
          <cell r="J743">
            <v>1</v>
          </cell>
        </row>
        <row r="744">
          <cell r="C744" t="str">
            <v>PEE-EMQ-6005-D-C3</v>
          </cell>
          <cell r="F744">
            <v>39479.604988425926</v>
          </cell>
          <cell r="H744" t="str">
            <v>002-002-001</v>
          </cell>
          <cell r="J744">
            <v>0.1133</v>
          </cell>
        </row>
        <row r="745">
          <cell r="C745" t="str">
            <v>MID-002-6205-R</v>
          </cell>
          <cell r="F745">
            <v>39547.383113425924</v>
          </cell>
          <cell r="H745" t="str">
            <v>MID-002-6205-NFR</v>
          </cell>
          <cell r="J745">
            <v>1</v>
          </cell>
        </row>
        <row r="746">
          <cell r="C746" t="str">
            <v>MID-001-6205-R</v>
          </cell>
          <cell r="F746">
            <v>39547.384166666663</v>
          </cell>
          <cell r="H746" t="str">
            <v>MID-001-6205-NFR</v>
          </cell>
          <cell r="J746">
            <v>1</v>
          </cell>
        </row>
        <row r="747">
          <cell r="C747" t="str">
            <v>MID-002-6005-R</v>
          </cell>
          <cell r="F747">
            <v>39547.402106481481</v>
          </cell>
          <cell r="H747" t="str">
            <v>MID-002-6005-NFR</v>
          </cell>
          <cell r="J747">
            <v>1</v>
          </cell>
        </row>
        <row r="748">
          <cell r="C748" t="str">
            <v>MID-001-6005-R</v>
          </cell>
          <cell r="F748">
            <v>39547.402881944443</v>
          </cell>
          <cell r="H748" t="str">
            <v>MID-001-6005-NFR</v>
          </cell>
          <cell r="J748">
            <v>1</v>
          </cell>
        </row>
        <row r="749">
          <cell r="C749" t="str">
            <v>PEE-HS--6204-D-C3</v>
          </cell>
          <cell r="F749">
            <v>39562.437488425923</v>
          </cell>
          <cell r="H749" t="str">
            <v>MID-001-6204-D</v>
          </cell>
          <cell r="J749">
            <v>1</v>
          </cell>
        </row>
        <row r="750">
          <cell r="C750" t="str">
            <v>PEE-HS--6204-D-C3</v>
          </cell>
          <cell r="F750">
            <v>39562.437488425923</v>
          </cell>
          <cell r="H750" t="str">
            <v>MID-002-6204-D</v>
          </cell>
          <cell r="J750">
            <v>1</v>
          </cell>
        </row>
        <row r="751">
          <cell r="C751" t="str">
            <v>PEE-HS--6204-D-C3</v>
          </cell>
          <cell r="F751">
            <v>39562.437488425923</v>
          </cell>
          <cell r="H751" t="str">
            <v>MID-003-5/16</v>
          </cell>
          <cell r="J751">
            <v>8</v>
          </cell>
        </row>
        <row r="752">
          <cell r="C752" t="str">
            <v>PEE-HS--6204-D-C3</v>
          </cell>
          <cell r="F752">
            <v>39562.437488425923</v>
          </cell>
          <cell r="H752" t="str">
            <v>MID-005-6204-RET/SET</v>
          </cell>
          <cell r="J752">
            <v>1</v>
          </cell>
        </row>
        <row r="753">
          <cell r="C753" t="str">
            <v>PEE-HS--6204-D-C3</v>
          </cell>
          <cell r="F753">
            <v>39562.437488425923</v>
          </cell>
          <cell r="H753" t="str">
            <v>002-002-001</v>
          </cell>
          <cell r="J753">
            <v>1.1299999999999999E-2</v>
          </cell>
        </row>
        <row r="754">
          <cell r="C754" t="str">
            <v>BPB-041-6207-D-C3</v>
          </cell>
          <cell r="F754">
            <v>40534.430324074077</v>
          </cell>
          <cell r="H754" t="str">
            <v>000-001-6207-D</v>
          </cell>
          <cell r="J754">
            <v>1</v>
          </cell>
        </row>
        <row r="755">
          <cell r="C755" t="str">
            <v>BPB-041-6207-D-C3</v>
          </cell>
          <cell r="F755">
            <v>40534.430324074077</v>
          </cell>
          <cell r="H755" t="str">
            <v>000-002-6207-D</v>
          </cell>
          <cell r="J755">
            <v>1</v>
          </cell>
        </row>
        <row r="756">
          <cell r="C756" t="str">
            <v>BPB-041-6207-D-C3</v>
          </cell>
          <cell r="F756">
            <v>40534.430324074077</v>
          </cell>
          <cell r="H756" t="str">
            <v>BPB-003-BALLS-7/16</v>
          </cell>
          <cell r="J756">
            <v>9</v>
          </cell>
        </row>
        <row r="757">
          <cell r="C757" t="str">
            <v>BPB-041-6207-D-C3</v>
          </cell>
          <cell r="F757">
            <v>40534.430324074077</v>
          </cell>
          <cell r="H757" t="str">
            <v>BPB-005-RET/SET-6207</v>
          </cell>
          <cell r="J757">
            <v>1</v>
          </cell>
        </row>
        <row r="758">
          <cell r="C758" t="str">
            <v>BPB-048-5203-KYY5</v>
          </cell>
          <cell r="F758">
            <v>40787.489953703705</v>
          </cell>
          <cell r="H758" t="str">
            <v>RET-048-5203-KYY2</v>
          </cell>
          <cell r="J758">
            <v>1</v>
          </cell>
        </row>
        <row r="759">
          <cell r="C759" t="str">
            <v>BPB-041-6203-2RLD-C0</v>
          </cell>
          <cell r="F759">
            <v>40984.471921296295</v>
          </cell>
          <cell r="H759" t="str">
            <v>BPB-001-6203-D</v>
          </cell>
          <cell r="J759">
            <v>1</v>
          </cell>
        </row>
        <row r="760">
          <cell r="C760" t="str">
            <v>BPB-041-6203-2RLD-C0</v>
          </cell>
          <cell r="F760">
            <v>40984.471921296295</v>
          </cell>
          <cell r="H760" t="str">
            <v>BPB-002-6203-D</v>
          </cell>
          <cell r="J760">
            <v>1</v>
          </cell>
        </row>
        <row r="761">
          <cell r="C761" t="str">
            <v>BPB-041-6203-2RLD-C0</v>
          </cell>
          <cell r="F761">
            <v>40984.471921296295</v>
          </cell>
          <cell r="H761" t="str">
            <v>MID-003-17/64</v>
          </cell>
          <cell r="J761">
            <v>8</v>
          </cell>
        </row>
        <row r="762">
          <cell r="C762" t="str">
            <v>BPB-041-6203-2RLD-C0</v>
          </cell>
          <cell r="F762">
            <v>40984.471921296295</v>
          </cell>
          <cell r="H762" t="str">
            <v>000-005-6203-RET/SET</v>
          </cell>
          <cell r="J762">
            <v>1</v>
          </cell>
        </row>
        <row r="763">
          <cell r="C763" t="str">
            <v>BPB-041-6203-2RLD-C0</v>
          </cell>
          <cell r="F763">
            <v>40984.471921296295</v>
          </cell>
          <cell r="H763" t="str">
            <v>000-006-POLYREX-EM</v>
          </cell>
          <cell r="J763">
            <v>0.8</v>
          </cell>
        </row>
        <row r="764">
          <cell r="C764" t="str">
            <v>BPB-041-6203-2RLD-C0</v>
          </cell>
          <cell r="F764">
            <v>40984.471921296295</v>
          </cell>
          <cell r="H764" t="str">
            <v>000-004-RLD-6203-RED</v>
          </cell>
          <cell r="J764">
            <v>2</v>
          </cell>
        </row>
        <row r="765">
          <cell r="C765" t="str">
            <v>BPB-048-G-5209-KRRB2</v>
          </cell>
          <cell r="F765">
            <v>41159.674560185187</v>
          </cell>
          <cell r="H765" t="str">
            <v>RET-048-G-5209-KRRB2</v>
          </cell>
          <cell r="J765">
            <v>1</v>
          </cell>
        </row>
        <row r="766">
          <cell r="C766" t="str">
            <v>B&amp;P-HS--MS04-2RST-C3</v>
          </cell>
          <cell r="F766">
            <v>41222.315000000002</v>
          </cell>
          <cell r="H766" t="str">
            <v>B&amp;P-HS--MS04-D-C3</v>
          </cell>
          <cell r="J766">
            <v>1</v>
          </cell>
        </row>
        <row r="767">
          <cell r="C767" t="str">
            <v>B&amp;P-HS--MS04-2RST-C3</v>
          </cell>
          <cell r="F767">
            <v>41222.315000000002</v>
          </cell>
          <cell r="H767" t="str">
            <v>B&amp;P-004-MS04-2RST-08</v>
          </cell>
          <cell r="J767">
            <v>2</v>
          </cell>
        </row>
        <row r="768">
          <cell r="C768" t="str">
            <v>B&amp;P-HS--MS04-2RST-C3</v>
          </cell>
          <cell r="F768">
            <v>41222.315000000002</v>
          </cell>
          <cell r="H768" t="str">
            <v>000-006-POLYREX-EM</v>
          </cell>
          <cell r="J768">
            <v>3.6</v>
          </cell>
        </row>
        <row r="769">
          <cell r="C769" t="str">
            <v>BPB-048-SAB5207-35</v>
          </cell>
          <cell r="F769">
            <v>41296.607974537037</v>
          </cell>
          <cell r="H769" t="str">
            <v>RET-048-SAB5207-35</v>
          </cell>
          <cell r="J769">
            <v>1</v>
          </cell>
        </row>
        <row r="770">
          <cell r="C770" t="str">
            <v>BPB-048-SAB5207-35</v>
          </cell>
          <cell r="F770">
            <v>41296.607974537037</v>
          </cell>
          <cell r="H770" t="str">
            <v>BPB-004-SEAL-207-DBL</v>
          </cell>
          <cell r="J770">
            <v>1</v>
          </cell>
        </row>
        <row r="771">
          <cell r="C771" t="str">
            <v>BPB-048-AG5950703</v>
          </cell>
          <cell r="F771">
            <v>41381.599930555552</v>
          </cell>
          <cell r="H771" t="str">
            <v>BPB-020-SAE1045Ø26MM</v>
          </cell>
          <cell r="J771">
            <v>27</v>
          </cell>
        </row>
        <row r="772">
          <cell r="C772" t="str">
            <v>BPB-047-SAB207-35DG</v>
          </cell>
          <cell r="F772">
            <v>41423.310324074075</v>
          </cell>
          <cell r="H772" t="str">
            <v>RET-047-SAB207-35DG</v>
          </cell>
          <cell r="J772">
            <v>1</v>
          </cell>
        </row>
        <row r="773">
          <cell r="C773" t="str">
            <v>BPB-047-SAB207-35DG</v>
          </cell>
          <cell r="F773">
            <v>41423.310324074075</v>
          </cell>
          <cell r="H773" t="str">
            <v>BPB-004-SEAL-207-DBL</v>
          </cell>
          <cell r="J773">
            <v>2</v>
          </cell>
        </row>
        <row r="774">
          <cell r="C774" t="str">
            <v>BPB-047-UC-207-DBL</v>
          </cell>
          <cell r="F774">
            <v>41423.314965277779</v>
          </cell>
          <cell r="H774" t="str">
            <v>RET-047-UC-207-DBL</v>
          </cell>
          <cell r="J774">
            <v>1</v>
          </cell>
        </row>
        <row r="775">
          <cell r="C775" t="str">
            <v>BPB-047-UC-207-DBL</v>
          </cell>
          <cell r="F775">
            <v>41423.314965277779</v>
          </cell>
          <cell r="H775" t="str">
            <v>BPB-004-SEAL-207-DBL</v>
          </cell>
          <cell r="J775">
            <v>2</v>
          </cell>
        </row>
        <row r="776">
          <cell r="C776" t="str">
            <v>B&amp;P-047-ECL209-45DG</v>
          </cell>
          <cell r="F776">
            <v>42062.517256944448</v>
          </cell>
          <cell r="H776" t="str">
            <v>B&amp;P-001-OR209-01</v>
          </cell>
          <cell r="J776">
            <v>1</v>
          </cell>
        </row>
        <row r="777">
          <cell r="C777" t="str">
            <v>B&amp;P-047-ECL209-45DG</v>
          </cell>
          <cell r="F777">
            <v>42062.517256944448</v>
          </cell>
          <cell r="H777" t="str">
            <v>B&amp;P-002-ECL209-45-02</v>
          </cell>
          <cell r="J777">
            <v>1</v>
          </cell>
        </row>
        <row r="778">
          <cell r="C778" t="str">
            <v>B&amp;P-047-ECL209-45DG</v>
          </cell>
          <cell r="F778">
            <v>42062.517256944448</v>
          </cell>
          <cell r="H778" t="str">
            <v>B&amp;P-003-Ball-1/2</v>
          </cell>
          <cell r="J778">
            <v>9</v>
          </cell>
        </row>
        <row r="779">
          <cell r="C779" t="str">
            <v>B&amp;P-047-ECL209-45DG</v>
          </cell>
          <cell r="F779">
            <v>42062.517256944448</v>
          </cell>
          <cell r="H779" t="str">
            <v>B&amp;P-005-CAGE209-17</v>
          </cell>
          <cell r="J779">
            <v>1</v>
          </cell>
        </row>
        <row r="780">
          <cell r="C780" t="str">
            <v>B&amp;P-047-ECL209-45DG</v>
          </cell>
          <cell r="F780">
            <v>42062.517256944448</v>
          </cell>
          <cell r="H780" t="str">
            <v>B&amp;P-004-SAB209-45-28</v>
          </cell>
          <cell r="J780">
            <v>2</v>
          </cell>
        </row>
        <row r="781">
          <cell r="C781" t="str">
            <v>B&amp;P-047-ECL209-45DG</v>
          </cell>
          <cell r="F781">
            <v>42062.517256944448</v>
          </cell>
          <cell r="H781" t="str">
            <v>B&amp;P-010-LOC209-45</v>
          </cell>
          <cell r="J781">
            <v>1</v>
          </cell>
        </row>
        <row r="782">
          <cell r="C782" t="str">
            <v>B&amp;P-ALU-IP65-1CW50</v>
          </cell>
          <cell r="F782">
            <v>42124.49931712963</v>
          </cell>
          <cell r="H782" t="str">
            <v>B&amp;P-LED-36V-1CW50</v>
          </cell>
          <cell r="J782">
            <v>1</v>
          </cell>
        </row>
        <row r="783">
          <cell r="C783" t="str">
            <v>B&amp;P-ALU-IP65-1CW50</v>
          </cell>
          <cell r="F783">
            <v>42124.49931712963</v>
          </cell>
          <cell r="H783" t="str">
            <v>B&amp;P-FAL-BP-50R-36</v>
          </cell>
          <cell r="J783">
            <v>1</v>
          </cell>
        </row>
        <row r="784">
          <cell r="C784" t="str">
            <v>B&amp;P-002-ECL209-45-02</v>
          </cell>
          <cell r="F784">
            <v>41815.543587962966</v>
          </cell>
          <cell r="H784" t="str">
            <v>B&amp;P-002-ECL209-45-A2</v>
          </cell>
          <cell r="J784">
            <v>1</v>
          </cell>
        </row>
        <row r="785">
          <cell r="C785" t="str">
            <v>B&amp;P-047-ECL209-45DG</v>
          </cell>
          <cell r="F785">
            <v>42062.517256944448</v>
          </cell>
          <cell r="H785" t="str">
            <v>000-006-POLYREX-EM</v>
          </cell>
          <cell r="J785">
            <v>10.4</v>
          </cell>
        </row>
        <row r="786">
          <cell r="C786" t="str">
            <v>B&amp;P-ALU-IP65-1WW50</v>
          </cell>
          <cell r="F786">
            <v>42130.471979166665</v>
          </cell>
          <cell r="H786" t="str">
            <v>B&amp;P-LED-36V-1WW50</v>
          </cell>
          <cell r="J786">
            <v>1</v>
          </cell>
        </row>
        <row r="787">
          <cell r="C787" t="str">
            <v>B&amp;P-ALU-IP65-1WW50</v>
          </cell>
          <cell r="F787">
            <v>42130.471979166665</v>
          </cell>
          <cell r="H787" t="str">
            <v>B&amp;P-FAL-BP-50R-36</v>
          </cell>
          <cell r="J787">
            <v>1</v>
          </cell>
        </row>
        <row r="788">
          <cell r="C788" t="str">
            <v>B&amp;P-ALU-IP65-1CW30</v>
          </cell>
          <cell r="F788">
            <v>42135.466793981483</v>
          </cell>
          <cell r="H788" t="str">
            <v>B&amp;P-LED-36V-1CW30</v>
          </cell>
          <cell r="J788">
            <v>1</v>
          </cell>
        </row>
        <row r="789">
          <cell r="C789" t="str">
            <v>B&amp;P-ALU-IP65-1CW30</v>
          </cell>
          <cell r="F789">
            <v>42135.466793981483</v>
          </cell>
          <cell r="H789" t="str">
            <v>B&amp;P-FAL-BP-35R-36-A</v>
          </cell>
          <cell r="J789">
            <v>1</v>
          </cell>
        </row>
        <row r="790">
          <cell r="C790" t="str">
            <v>B&amp;P-ALU-IP65-1WW30</v>
          </cell>
          <cell r="F790">
            <v>42223.375462962962</v>
          </cell>
          <cell r="H790" t="str">
            <v>B&amp;P-FAL-BP-50R-36</v>
          </cell>
          <cell r="J790">
            <v>1</v>
          </cell>
        </row>
        <row r="791">
          <cell r="C791" t="str">
            <v>B&amp;P-ALU-IP65-1WW30</v>
          </cell>
          <cell r="F791">
            <v>42223.375462962962</v>
          </cell>
          <cell r="H791" t="str">
            <v>B&amp;P-LED-36V-1WW30</v>
          </cell>
          <cell r="J791">
            <v>1</v>
          </cell>
        </row>
        <row r="792">
          <cell r="C792" t="str">
            <v>B&amp;P-ALU-MW-150XPE</v>
          </cell>
          <cell r="F792">
            <v>42410.448564814818</v>
          </cell>
          <cell r="H792" t="str">
            <v>B&amp;P-ALU-36V-150XPE</v>
          </cell>
          <cell r="J792">
            <v>1</v>
          </cell>
        </row>
        <row r="793">
          <cell r="C793" t="str">
            <v>B&amp;P-ALU-MW-150XPE</v>
          </cell>
          <cell r="F793">
            <v>42410.448564814818</v>
          </cell>
          <cell r="H793" t="str">
            <v>B&amp;P-FAL-HLG-185H-54A</v>
          </cell>
          <cell r="J793">
            <v>1</v>
          </cell>
        </row>
        <row r="794">
          <cell r="C794" t="str">
            <v>B&amp;P-LED-PANEL50W-NW</v>
          </cell>
          <cell r="F794">
            <v>42531.578773148147</v>
          </cell>
          <cell r="H794" t="str">
            <v>B&amp;P-LED-36-PNL50-NW</v>
          </cell>
          <cell r="J794">
            <v>1</v>
          </cell>
        </row>
        <row r="795">
          <cell r="C795" t="str">
            <v>B&amp;P-LED-PANEL50W-NW</v>
          </cell>
          <cell r="F795">
            <v>42531.578773148147</v>
          </cell>
          <cell r="H795" t="str">
            <v>B&amp;P-FAL-BP-50R-36</v>
          </cell>
          <cell r="J795">
            <v>1</v>
          </cell>
        </row>
        <row r="796">
          <cell r="C796" t="str">
            <v>B&amp;P-LED-OV200-5</v>
          </cell>
          <cell r="F796">
            <v>42836.441388888888</v>
          </cell>
          <cell r="H796" t="str">
            <v>B&amp;P-FAL-BP-240C-54</v>
          </cell>
          <cell r="J796">
            <v>1</v>
          </cell>
        </row>
        <row r="797">
          <cell r="C797" t="str">
            <v>B&amp;P-LED-OV200-5</v>
          </cell>
          <cell r="F797">
            <v>42836.441388888888</v>
          </cell>
          <cell r="H797" t="str">
            <v>B&amp;P-LED-OV200-5-01</v>
          </cell>
          <cell r="J797">
            <v>1</v>
          </cell>
        </row>
        <row r="798">
          <cell r="C798" t="str">
            <v>B&amp;P-LED-OV200-5</v>
          </cell>
          <cell r="F798">
            <v>42836.441388888888</v>
          </cell>
          <cell r="H798" t="str">
            <v>B&amp;P-LED-HB-2005000K</v>
          </cell>
          <cell r="J798">
            <v>1</v>
          </cell>
        </row>
        <row r="799">
          <cell r="C799" t="str">
            <v>B&amp;P-ALU-EX100-5/NSPD</v>
          </cell>
          <cell r="F799">
            <v>44035.579988425925</v>
          </cell>
          <cell r="H799" t="str">
            <v>B&amp;P-ALU-DISI-EX100</v>
          </cell>
          <cell r="J799">
            <v>1</v>
          </cell>
        </row>
        <row r="800">
          <cell r="C800" t="str">
            <v>B&amp;P-ALU-EX100-5/NSPD</v>
          </cell>
          <cell r="F800">
            <v>44035.579988425925</v>
          </cell>
          <cell r="H800" t="str">
            <v>B&amp;P-PCB-PCBEX105</v>
          </cell>
          <cell r="J800">
            <v>1</v>
          </cell>
        </row>
        <row r="801">
          <cell r="C801" t="str">
            <v>B&amp;P-ALU-EX100-5/NSPD</v>
          </cell>
          <cell r="F801">
            <v>44035.579988425925</v>
          </cell>
          <cell r="H801" t="str">
            <v>B&amp;P-ALU-EX100-LENS</v>
          </cell>
          <cell r="J801">
            <v>1</v>
          </cell>
        </row>
        <row r="802">
          <cell r="C802" t="str">
            <v>BPB-040-MG-5306-KRR3</v>
          </cell>
          <cell r="F802">
            <v>41540.337407407409</v>
          </cell>
          <cell r="H802" t="str">
            <v>BPB-001-MG5306-01</v>
          </cell>
          <cell r="J802">
            <v>1</v>
          </cell>
        </row>
        <row r="803">
          <cell r="C803" t="str">
            <v>BPB-040-MG-5306-KRR3</v>
          </cell>
          <cell r="F803">
            <v>41540.337407407409</v>
          </cell>
          <cell r="H803" t="str">
            <v>BPB-002-MG5306-02</v>
          </cell>
          <cell r="J803">
            <v>1</v>
          </cell>
        </row>
        <row r="804">
          <cell r="C804" t="str">
            <v>BPB-040-MG-5306-KRR3</v>
          </cell>
          <cell r="F804">
            <v>41540.337407407409</v>
          </cell>
          <cell r="H804" t="str">
            <v>BPB-004-MG5306-08</v>
          </cell>
          <cell r="J804">
            <v>2</v>
          </cell>
        </row>
        <row r="805">
          <cell r="C805" t="str">
            <v>BPB-040-MG-5306-KRR3</v>
          </cell>
          <cell r="F805">
            <v>41540.337407407409</v>
          </cell>
          <cell r="H805" t="str">
            <v>BPB-005-MG5306-17</v>
          </cell>
          <cell r="J805">
            <v>2</v>
          </cell>
        </row>
        <row r="806">
          <cell r="C806" t="str">
            <v>BPB-040-MG-5306-KRR3</v>
          </cell>
          <cell r="F806">
            <v>41540.337407407409</v>
          </cell>
          <cell r="H806" t="str">
            <v>BPB-004-MG5306-18</v>
          </cell>
          <cell r="J806">
            <v>2</v>
          </cell>
        </row>
        <row r="807">
          <cell r="C807" t="str">
            <v>BPB-040-MG-5306-KRR3</v>
          </cell>
          <cell r="F807">
            <v>41540.337407407409</v>
          </cell>
          <cell r="H807" t="str">
            <v>MID-003-5/16</v>
          </cell>
          <cell r="J807">
            <v>22</v>
          </cell>
        </row>
        <row r="808">
          <cell r="C808" t="str">
            <v>PEE-040-6304-2RLD</v>
          </cell>
          <cell r="F808">
            <v>41550.374479166669</v>
          </cell>
          <cell r="H808" t="str">
            <v>PEE-S---6304-D-C3</v>
          </cell>
          <cell r="J808">
            <v>1</v>
          </cell>
        </row>
        <row r="809">
          <cell r="C809" t="str">
            <v>PEE-040-6304-2RLD</v>
          </cell>
          <cell r="F809">
            <v>41550.374479166669</v>
          </cell>
          <cell r="H809" t="str">
            <v>BPB-004-RLD-6304-RED</v>
          </cell>
          <cell r="J809">
            <v>2</v>
          </cell>
        </row>
        <row r="810">
          <cell r="C810" t="str">
            <v>PEE-040-6304-2RLD</v>
          </cell>
          <cell r="F810">
            <v>41550.374479166669</v>
          </cell>
          <cell r="H810" t="str">
            <v>BPB-000-POLYREX-EM</v>
          </cell>
          <cell r="J810">
            <v>1.8</v>
          </cell>
        </row>
        <row r="811">
          <cell r="C811" t="str">
            <v>BPB-048-5203-KYY5</v>
          </cell>
          <cell r="F811">
            <v>42767.629502314812</v>
          </cell>
          <cell r="H811" t="str">
            <v>BPB-048-5203-KYY2</v>
          </cell>
          <cell r="J811">
            <v>1</v>
          </cell>
        </row>
        <row r="812">
          <cell r="C812" t="str">
            <v>BPB-047-UC-205-DBL</v>
          </cell>
          <cell r="F812">
            <v>41555.711817129632</v>
          </cell>
          <cell r="H812" t="str">
            <v>BPB-047-SAB205-25DG</v>
          </cell>
          <cell r="J812">
            <v>1</v>
          </cell>
        </row>
        <row r="813">
          <cell r="C813" t="str">
            <v>BPB-047-UC-205-DBL</v>
          </cell>
          <cell r="F813">
            <v>41555.711817129632</v>
          </cell>
          <cell r="H813" t="str">
            <v>BPB-027-SEAL-205DBL</v>
          </cell>
          <cell r="J813">
            <v>2</v>
          </cell>
        </row>
        <row r="814">
          <cell r="C814" t="str">
            <v>BPB-048-AG59507</v>
          </cell>
          <cell r="F814">
            <v>41592.328356481485</v>
          </cell>
          <cell r="H814" t="str">
            <v>BPB-048-AG5950701</v>
          </cell>
          <cell r="J814">
            <v>1</v>
          </cell>
        </row>
        <row r="815">
          <cell r="C815" t="str">
            <v>BPB-048-AG59507</v>
          </cell>
          <cell r="F815">
            <v>41592.328356481485</v>
          </cell>
          <cell r="H815" t="str">
            <v>BPB-048-AG5950702</v>
          </cell>
          <cell r="J815">
            <v>1</v>
          </cell>
        </row>
        <row r="816">
          <cell r="C816" t="str">
            <v>BPB-048-AG59507</v>
          </cell>
          <cell r="F816">
            <v>41592.328356481485</v>
          </cell>
          <cell r="H816" t="str">
            <v>BPB-048-AG5950703</v>
          </cell>
          <cell r="J816">
            <v>2</v>
          </cell>
        </row>
        <row r="817">
          <cell r="C817" t="str">
            <v>BPB-048-AG59507</v>
          </cell>
          <cell r="F817">
            <v>41592.328356481485</v>
          </cell>
          <cell r="H817" t="str">
            <v>BPB-048-59190</v>
          </cell>
          <cell r="J817">
            <v>1</v>
          </cell>
        </row>
        <row r="818">
          <cell r="C818" t="str">
            <v>BPB-041-6209-2RST</v>
          </cell>
          <cell r="F818">
            <v>41612.67863425926</v>
          </cell>
          <cell r="H818" t="str">
            <v>BPB-041-6209</v>
          </cell>
          <cell r="J818">
            <v>1</v>
          </cell>
        </row>
        <row r="819">
          <cell r="C819" t="str">
            <v>BPB-041-6209-2RST</v>
          </cell>
          <cell r="F819">
            <v>41612.67863425926</v>
          </cell>
          <cell r="H819" t="str">
            <v>MID-004-RST-6209-UG</v>
          </cell>
          <cell r="J819">
            <v>2</v>
          </cell>
        </row>
        <row r="820">
          <cell r="C820" t="str">
            <v>B&amp;P-048-AG-2565-CHS</v>
          </cell>
          <cell r="F820">
            <v>45917.353472222225</v>
          </cell>
          <cell r="H820" t="str">
            <v>BPB-056-ENG-2565-CHS</v>
          </cell>
          <cell r="J820">
            <v>1</v>
          </cell>
        </row>
        <row r="821">
          <cell r="C821" t="str">
            <v>B&amp;P-048-AG-2565-CHS</v>
          </cell>
          <cell r="F821">
            <v>45917.353472222225</v>
          </cell>
          <cell r="H821" t="str">
            <v>B&amp;P-048-AG-1235-B</v>
          </cell>
          <cell r="J821">
            <v>1</v>
          </cell>
        </row>
        <row r="822">
          <cell r="C822" t="str">
            <v>B&amp;P-041-6207-2RST-NR</v>
          </cell>
          <cell r="F822">
            <v>41626.626354166663</v>
          </cell>
          <cell r="H822" t="str">
            <v>BPB-041-MS07-2RST</v>
          </cell>
          <cell r="J822">
            <v>1</v>
          </cell>
        </row>
        <row r="823">
          <cell r="C823" t="str">
            <v>B&amp;P-048-5203-KYY9</v>
          </cell>
          <cell r="F823">
            <v>41661.353310185186</v>
          </cell>
          <cell r="H823" t="str">
            <v>B&amp;P-001-5203-KYY9</v>
          </cell>
          <cell r="J823">
            <v>1</v>
          </cell>
        </row>
        <row r="824">
          <cell r="C824" t="str">
            <v>B&amp;P-048-5203-KYY9</v>
          </cell>
          <cell r="F824">
            <v>41661.353310185186</v>
          </cell>
          <cell r="H824" t="str">
            <v>B&amp;P-002-5203-KYY9</v>
          </cell>
          <cell r="J824">
            <v>1</v>
          </cell>
        </row>
        <row r="825">
          <cell r="C825" t="str">
            <v>B&amp;P-048-5203-KYY9</v>
          </cell>
          <cell r="F825">
            <v>41661.353310185186</v>
          </cell>
          <cell r="H825" t="str">
            <v>B&amp;P-005-5203-KYY9</v>
          </cell>
          <cell r="J825">
            <v>2</v>
          </cell>
        </row>
        <row r="826">
          <cell r="C826" t="str">
            <v>B&amp;P-048-5203-KYY9</v>
          </cell>
          <cell r="F826">
            <v>41661.353310185186</v>
          </cell>
          <cell r="H826" t="str">
            <v>B&amp;P-027-5203-KYY9</v>
          </cell>
          <cell r="J826">
            <v>2</v>
          </cell>
        </row>
        <row r="827">
          <cell r="C827" t="str">
            <v>B&amp;P-048-5203-KYY9</v>
          </cell>
          <cell r="F827">
            <v>41661.353310185186</v>
          </cell>
          <cell r="H827" t="str">
            <v>B&amp;P-003-BALL-7/32</v>
          </cell>
          <cell r="J827">
            <v>18</v>
          </cell>
        </row>
        <row r="828">
          <cell r="C828" t="str">
            <v>B&amp;P-048-5203-KYY9</v>
          </cell>
          <cell r="F828">
            <v>41661.353310185186</v>
          </cell>
          <cell r="H828" t="str">
            <v>BPB-000-POLYREX-EM</v>
          </cell>
          <cell r="J828">
            <v>3</v>
          </cell>
        </row>
        <row r="829">
          <cell r="C829" t="str">
            <v>B&amp;P-053-HM-518445</v>
          </cell>
          <cell r="F829">
            <v>41710.624548611115</v>
          </cell>
          <cell r="H829" t="str">
            <v>B&amp;P-003-TX1845</v>
          </cell>
          <cell r="J829">
            <v>21</v>
          </cell>
        </row>
        <row r="830">
          <cell r="C830" t="str">
            <v>B&amp;P-053-HM-518445</v>
          </cell>
          <cell r="F830">
            <v>41710.624548611115</v>
          </cell>
          <cell r="H830" t="str">
            <v>B&amp;P-005-TX1845</v>
          </cell>
          <cell r="J830">
            <v>1</v>
          </cell>
        </row>
        <row r="831">
          <cell r="C831" t="str">
            <v>B&amp;P-053-HM-518445</v>
          </cell>
          <cell r="F831">
            <v>41710.624548611115</v>
          </cell>
          <cell r="H831" t="str">
            <v>B&amp;P-053-TX1845</v>
          </cell>
          <cell r="J831">
            <v>1</v>
          </cell>
        </row>
        <row r="832">
          <cell r="C832" t="str">
            <v>B&amp;P-041-MS03-D-C3</v>
          </cell>
          <cell r="F832">
            <v>45322.459305555552</v>
          </cell>
          <cell r="H832" t="str">
            <v>B&amp;P-001-MS03-D</v>
          </cell>
          <cell r="J832">
            <v>1</v>
          </cell>
        </row>
        <row r="833">
          <cell r="C833" t="str">
            <v>B&amp;P-041-MS03-D-C3</v>
          </cell>
          <cell r="F833">
            <v>45322.459305555552</v>
          </cell>
          <cell r="H833" t="str">
            <v>B&amp;P-002-MS03-D</v>
          </cell>
          <cell r="J833">
            <v>1</v>
          </cell>
        </row>
        <row r="834">
          <cell r="C834" t="str">
            <v>B&amp;P-041-MS03-D-C3</v>
          </cell>
          <cell r="F834">
            <v>45322.459305555552</v>
          </cell>
          <cell r="H834" t="str">
            <v>B&amp;P-005-RET/SET-MS03</v>
          </cell>
          <cell r="J834">
            <v>1</v>
          </cell>
        </row>
        <row r="835">
          <cell r="C835" t="str">
            <v>B&amp;P-041-MS03-D-C3</v>
          </cell>
          <cell r="F835">
            <v>45322.459305555552</v>
          </cell>
          <cell r="H835" t="str">
            <v>B&amp;P-003-17/64</v>
          </cell>
          <cell r="J835">
            <v>8</v>
          </cell>
        </row>
        <row r="836">
          <cell r="C836" t="str">
            <v>B&amp;P-053-X-30206</v>
          </cell>
          <cell r="F836">
            <v>41780.437997685185</v>
          </cell>
          <cell r="H836" t="str">
            <v>B&amp;P-003-TCX206</v>
          </cell>
          <cell r="J836">
            <v>17</v>
          </cell>
        </row>
        <row r="837">
          <cell r="C837" t="str">
            <v>B&amp;P-053-X-30206</v>
          </cell>
          <cell r="F837">
            <v>41780.437997685185</v>
          </cell>
          <cell r="H837" t="str">
            <v>B&amp;P-053-TCX206</v>
          </cell>
          <cell r="J837">
            <v>1</v>
          </cell>
        </row>
        <row r="838">
          <cell r="C838" t="str">
            <v>B&amp;P-053-X-32210</v>
          </cell>
          <cell r="F838">
            <v>41820.395821759259</v>
          </cell>
          <cell r="H838" t="str">
            <v>B&amp;P-003-TDX210</v>
          </cell>
          <cell r="J838">
            <v>18</v>
          </cell>
        </row>
        <row r="839">
          <cell r="C839" t="str">
            <v>B&amp;P-053-X-32210</v>
          </cell>
          <cell r="F839">
            <v>41820.395821759259</v>
          </cell>
          <cell r="H839" t="str">
            <v>B&amp;P-005-TDX210</v>
          </cell>
          <cell r="J839">
            <v>1</v>
          </cell>
        </row>
        <row r="840">
          <cell r="C840" t="str">
            <v>B&amp;P-053-X-32210</v>
          </cell>
          <cell r="F840">
            <v>41820.395821759259</v>
          </cell>
          <cell r="H840" t="str">
            <v>B&amp;P-053-TDX210</v>
          </cell>
          <cell r="J840">
            <v>1</v>
          </cell>
        </row>
        <row r="841">
          <cell r="C841" t="str">
            <v>B&amp;P-053-X-30211</v>
          </cell>
          <cell r="F841">
            <v>41820.405138888891</v>
          </cell>
          <cell r="H841" t="str">
            <v>B&amp;P-003-TCX211</v>
          </cell>
          <cell r="J841">
            <v>19</v>
          </cell>
        </row>
        <row r="842">
          <cell r="C842" t="str">
            <v>B&amp;P-053-X-30211</v>
          </cell>
          <cell r="F842">
            <v>41820.405138888891</v>
          </cell>
          <cell r="H842" t="str">
            <v>B&amp;P-005-TCX211</v>
          </cell>
          <cell r="J842">
            <v>1</v>
          </cell>
        </row>
        <row r="843">
          <cell r="C843" t="str">
            <v>B&amp;P-053-X-30211</v>
          </cell>
          <cell r="F843">
            <v>41820.405138888891</v>
          </cell>
          <cell r="H843" t="str">
            <v>B&amp;P-053-TCX211</v>
          </cell>
          <cell r="J843">
            <v>1</v>
          </cell>
        </row>
        <row r="844">
          <cell r="C844" t="str">
            <v>B&amp;P-053-X-320-32X</v>
          </cell>
          <cell r="F844">
            <v>42114.407488425924</v>
          </cell>
          <cell r="H844" t="str">
            <v>B&amp;P-003-32-X</v>
          </cell>
          <cell r="J844">
            <v>22</v>
          </cell>
        </row>
        <row r="845">
          <cell r="C845" t="str">
            <v>B&amp;P-053-X-320-32X</v>
          </cell>
          <cell r="F845">
            <v>42114.407488425924</v>
          </cell>
          <cell r="H845" t="str">
            <v>B&amp;P-005-32-X</v>
          </cell>
          <cell r="J845">
            <v>1</v>
          </cell>
        </row>
        <row r="846">
          <cell r="C846" t="str">
            <v>B&amp;P-053-X-30206</v>
          </cell>
          <cell r="F846">
            <v>41780.437997685185</v>
          </cell>
          <cell r="H846" t="str">
            <v>B&amp;P-005-TCX206</v>
          </cell>
          <cell r="J846">
            <v>1</v>
          </cell>
        </row>
        <row r="847">
          <cell r="C847" t="str">
            <v>B&amp;P-053-X-30209</v>
          </cell>
          <cell r="F847">
            <v>41845.348009259258</v>
          </cell>
          <cell r="H847" t="str">
            <v>B&amp;P-005-TCX209</v>
          </cell>
          <cell r="J847">
            <v>1</v>
          </cell>
        </row>
        <row r="848">
          <cell r="C848" t="str">
            <v>B&amp;P-053-X-30209</v>
          </cell>
          <cell r="F848">
            <v>41845.348009259258</v>
          </cell>
          <cell r="H848" t="str">
            <v>B&amp;P-053-TCX209</v>
          </cell>
          <cell r="J848">
            <v>1</v>
          </cell>
        </row>
        <row r="849">
          <cell r="C849" t="str">
            <v>B&amp;P-053-X-30209</v>
          </cell>
          <cell r="F849">
            <v>41845.348009259258</v>
          </cell>
          <cell r="H849" t="str">
            <v>B&amp;P-003-TCX209</v>
          </cell>
          <cell r="J849">
            <v>19</v>
          </cell>
        </row>
        <row r="850">
          <cell r="C850" t="str">
            <v>B&amp;P-053-X-30207</v>
          </cell>
          <cell r="F850">
            <v>41880.481099537035</v>
          </cell>
          <cell r="H850" t="str">
            <v>B&amp;P-003-TCX207</v>
          </cell>
          <cell r="J850">
            <v>17</v>
          </cell>
        </row>
        <row r="851">
          <cell r="C851" t="str">
            <v>B&amp;P-053-X-30207</v>
          </cell>
          <cell r="F851">
            <v>41880.481099537035</v>
          </cell>
          <cell r="H851" t="str">
            <v>B&amp;P-005-TCX207</v>
          </cell>
          <cell r="J851">
            <v>1</v>
          </cell>
        </row>
        <row r="852">
          <cell r="C852" t="str">
            <v>B&amp;P-053-X-30205</v>
          </cell>
          <cell r="F852">
            <v>41901.432141203702</v>
          </cell>
          <cell r="H852" t="str">
            <v>B&amp;P-003-TCX205</v>
          </cell>
          <cell r="J852">
            <v>17</v>
          </cell>
        </row>
        <row r="853">
          <cell r="C853" t="str">
            <v>B&amp;P-053-X-30205</v>
          </cell>
          <cell r="F853">
            <v>41901.432141203702</v>
          </cell>
          <cell r="H853" t="str">
            <v>B&amp;P-005-TCX205</v>
          </cell>
          <cell r="J853">
            <v>1</v>
          </cell>
        </row>
        <row r="854">
          <cell r="C854" t="str">
            <v>B&amp;P-053-X-30205</v>
          </cell>
          <cell r="F854">
            <v>41901.432141203702</v>
          </cell>
          <cell r="H854" t="str">
            <v>B&amp;P-053-TCX205</v>
          </cell>
          <cell r="J854">
            <v>1</v>
          </cell>
        </row>
        <row r="855">
          <cell r="C855" t="str">
            <v>BPB-001-BP-13009-A1</v>
          </cell>
          <cell r="F855">
            <v>41912.653182870374</v>
          </cell>
          <cell r="H855" t="str">
            <v>BPB-999-SAE52100Ø82</v>
          </cell>
          <cell r="J855">
            <v>3.3999999999999998E-3</v>
          </cell>
        </row>
        <row r="856">
          <cell r="C856" t="str">
            <v>BPB-056-ENG2565S-A1</v>
          </cell>
          <cell r="F856">
            <v>42838.472280092596</v>
          </cell>
          <cell r="H856" t="str">
            <v>BPB-056-ENG2565S-F</v>
          </cell>
          <cell r="J856">
            <v>1</v>
          </cell>
        </row>
        <row r="857">
          <cell r="C857" t="str">
            <v>B&amp;P-037-BP-13011-A2</v>
          </cell>
          <cell r="F857">
            <v>41920.405162037037</v>
          </cell>
          <cell r="H857" t="str">
            <v>BPB-999-SAE4140Ø31.7</v>
          </cell>
          <cell r="J857">
            <v>5.5100000000000003E-2</v>
          </cell>
        </row>
        <row r="858">
          <cell r="C858" t="str">
            <v>BPB-041-BP-13011</v>
          </cell>
          <cell r="F858">
            <v>41921.379293981481</v>
          </cell>
          <cell r="H858" t="str">
            <v>B&amp;P-037-BP-13011-01</v>
          </cell>
          <cell r="J858">
            <v>1</v>
          </cell>
        </row>
        <row r="859">
          <cell r="C859" t="str">
            <v>BPB-041-BP-13011</v>
          </cell>
          <cell r="F859">
            <v>41921.379293981481</v>
          </cell>
          <cell r="H859" t="str">
            <v>B&amp;P-037-BP-13011-A2</v>
          </cell>
          <cell r="J859">
            <v>1</v>
          </cell>
        </row>
        <row r="860">
          <cell r="C860" t="str">
            <v>BPB-041-BP-13011</v>
          </cell>
          <cell r="F860">
            <v>41921.379293981481</v>
          </cell>
          <cell r="H860" t="str">
            <v>BPB-048-59190</v>
          </cell>
          <cell r="J860">
            <v>1</v>
          </cell>
        </row>
        <row r="861">
          <cell r="C861" t="str">
            <v>BPB-041-BP-13011</v>
          </cell>
          <cell r="F861">
            <v>41921.379293981481</v>
          </cell>
          <cell r="H861" t="str">
            <v>BPB-037-DIN-471-20</v>
          </cell>
          <cell r="J861">
            <v>1</v>
          </cell>
        </row>
        <row r="862">
          <cell r="C862" t="str">
            <v>BPB-041-BP-13011</v>
          </cell>
          <cell r="F862">
            <v>41921.379293981481</v>
          </cell>
          <cell r="H862" t="str">
            <v>BPB-037-DIN-472-47</v>
          </cell>
          <cell r="J862">
            <v>1</v>
          </cell>
        </row>
        <row r="863">
          <cell r="C863" t="str">
            <v>B&amp;P-058-30204-MX</v>
          </cell>
          <cell r="F863">
            <v>41922.312928240739</v>
          </cell>
          <cell r="H863" t="str">
            <v>B&amp;P-054-TCY204</v>
          </cell>
          <cell r="J863">
            <v>1</v>
          </cell>
        </row>
        <row r="864">
          <cell r="C864" t="str">
            <v>B&amp;P-058-30204-MX</v>
          </cell>
          <cell r="F864">
            <v>41922.312928240739</v>
          </cell>
          <cell r="H864" t="str">
            <v>B&amp;P-003-TCX204</v>
          </cell>
          <cell r="J864">
            <v>15</v>
          </cell>
        </row>
        <row r="865">
          <cell r="C865" t="str">
            <v>B&amp;P-058-30204-MX</v>
          </cell>
          <cell r="F865">
            <v>41922.312928240739</v>
          </cell>
          <cell r="H865" t="str">
            <v>B&amp;P-005-TCX204</v>
          </cell>
          <cell r="J865">
            <v>1</v>
          </cell>
        </row>
        <row r="866">
          <cell r="C866" t="str">
            <v>B&amp;P-058-30204-MX</v>
          </cell>
          <cell r="F866">
            <v>41922.312928240739</v>
          </cell>
          <cell r="H866" t="str">
            <v>B&amp;P-053-TCX204</v>
          </cell>
          <cell r="J866">
            <v>1</v>
          </cell>
        </row>
        <row r="867">
          <cell r="C867" t="str">
            <v>BPB-056-ENG353040-Z</v>
          </cell>
          <cell r="F867">
            <v>41927.416331018518</v>
          </cell>
          <cell r="H867" t="str">
            <v>BPB-056-ENG353040-PZ</v>
          </cell>
          <cell r="J867">
            <v>1</v>
          </cell>
        </row>
        <row r="868">
          <cell r="C868" t="str">
            <v>BPB-058-32212-MX</v>
          </cell>
          <cell r="F868">
            <v>41950.36650462963</v>
          </cell>
          <cell r="H868" t="str">
            <v>B&amp;P-003-TDX212</v>
          </cell>
          <cell r="J868">
            <v>19</v>
          </cell>
        </row>
        <row r="869">
          <cell r="C869" t="str">
            <v>BPB-058-32212-MX</v>
          </cell>
          <cell r="F869">
            <v>41950.36650462963</v>
          </cell>
          <cell r="H869" t="str">
            <v>B&amp;P-005-TDX212</v>
          </cell>
          <cell r="J869">
            <v>1</v>
          </cell>
        </row>
        <row r="870">
          <cell r="C870" t="str">
            <v>BPB-058-32212-MX</v>
          </cell>
          <cell r="F870">
            <v>41950.36650462963</v>
          </cell>
          <cell r="H870" t="str">
            <v>B&amp;P-053-TDX212</v>
          </cell>
          <cell r="J870">
            <v>1</v>
          </cell>
        </row>
        <row r="871">
          <cell r="C871" t="str">
            <v>BPB-058-32212-MX</v>
          </cell>
          <cell r="F871">
            <v>41950.36650462963</v>
          </cell>
          <cell r="H871" t="str">
            <v>B&amp;P-054-TDY212</v>
          </cell>
          <cell r="J871">
            <v>1</v>
          </cell>
        </row>
        <row r="872">
          <cell r="C872" t="str">
            <v>B&amp;P-053-X-32212</v>
          </cell>
          <cell r="F872">
            <v>41695.442048611112</v>
          </cell>
          <cell r="H872" t="str">
            <v>B&amp;P-003-TDX212</v>
          </cell>
          <cell r="J872">
            <v>19</v>
          </cell>
        </row>
        <row r="873">
          <cell r="C873" t="str">
            <v>B&amp;P-053-X-32212</v>
          </cell>
          <cell r="F873">
            <v>41695.442048611112</v>
          </cell>
          <cell r="H873" t="str">
            <v>B&amp;P-005-TDX212</v>
          </cell>
          <cell r="J873">
            <v>1</v>
          </cell>
        </row>
        <row r="874">
          <cell r="C874" t="str">
            <v>B&amp;P-053-X-32212</v>
          </cell>
          <cell r="F874">
            <v>41695.442048611112</v>
          </cell>
          <cell r="H874" t="str">
            <v>B&amp;P-053-TDX212</v>
          </cell>
          <cell r="J874">
            <v>1</v>
          </cell>
        </row>
        <row r="875">
          <cell r="C875" t="str">
            <v>B&amp;P-053-X-32218</v>
          </cell>
          <cell r="F875">
            <v>41724.585428240738</v>
          </cell>
          <cell r="H875" t="str">
            <v>B&amp;P-003-TDX218</v>
          </cell>
          <cell r="J875">
            <v>20</v>
          </cell>
        </row>
        <row r="876">
          <cell r="C876" t="str">
            <v>B&amp;P-053-X-32218</v>
          </cell>
          <cell r="F876">
            <v>41724.585428240738</v>
          </cell>
          <cell r="H876" t="str">
            <v>B&amp;P-005-TDX218</v>
          </cell>
          <cell r="J876">
            <v>1</v>
          </cell>
        </row>
        <row r="877">
          <cell r="C877" t="str">
            <v>B&amp;P-053-X-32218</v>
          </cell>
          <cell r="F877">
            <v>41724.585428240738</v>
          </cell>
          <cell r="H877" t="str">
            <v>B&amp;P-053-TDX218</v>
          </cell>
          <cell r="J877">
            <v>1</v>
          </cell>
        </row>
        <row r="878">
          <cell r="C878" t="str">
            <v>B&amp;P-001-F490306-01</v>
          </cell>
          <cell r="F878">
            <v>41963.635092592594</v>
          </cell>
          <cell r="H878" t="str">
            <v>B&amp;P-001-F490306-A1</v>
          </cell>
          <cell r="J878">
            <v>1</v>
          </cell>
        </row>
        <row r="879">
          <cell r="C879" t="str">
            <v>B&amp;P-058-32009-MX</v>
          </cell>
          <cell r="F879">
            <v>41974.400937500002</v>
          </cell>
          <cell r="H879" t="str">
            <v>B&amp;P-053-TDX009</v>
          </cell>
          <cell r="J879">
            <v>1</v>
          </cell>
        </row>
        <row r="880">
          <cell r="C880" t="str">
            <v>B&amp;P-058-32009-MX</v>
          </cell>
          <cell r="F880">
            <v>41974.400937500002</v>
          </cell>
          <cell r="H880" t="str">
            <v>B&amp;P-005-TDX009</v>
          </cell>
          <cell r="J880">
            <v>1</v>
          </cell>
        </row>
        <row r="881">
          <cell r="C881" t="str">
            <v>B&amp;P-058-32009-MX</v>
          </cell>
          <cell r="F881">
            <v>41974.400937500002</v>
          </cell>
          <cell r="H881" t="str">
            <v>B&amp;P-003-TDX009</v>
          </cell>
          <cell r="J881">
            <v>23</v>
          </cell>
        </row>
        <row r="882">
          <cell r="C882" t="str">
            <v>B&amp;P-058-32009-MX</v>
          </cell>
          <cell r="F882">
            <v>41974.400937500002</v>
          </cell>
          <cell r="H882" t="str">
            <v>B&amp;P-054-TDY009</v>
          </cell>
          <cell r="J882">
            <v>1</v>
          </cell>
        </row>
        <row r="883">
          <cell r="C883" t="str">
            <v>BPB-050-32010-MX</v>
          </cell>
          <cell r="F883">
            <v>42004.495972222219</v>
          </cell>
          <cell r="H883" t="str">
            <v>B&amp;P-005-TDX010</v>
          </cell>
          <cell r="J883">
            <v>1</v>
          </cell>
        </row>
        <row r="884">
          <cell r="C884" t="str">
            <v>BPB-050-32010-MX</v>
          </cell>
          <cell r="F884">
            <v>42004.495972222219</v>
          </cell>
          <cell r="H884" t="str">
            <v>B&amp;P-053-TDX010</v>
          </cell>
          <cell r="J884">
            <v>1</v>
          </cell>
        </row>
        <row r="885">
          <cell r="C885" t="str">
            <v>BPB-050-32010-MX</v>
          </cell>
          <cell r="F885">
            <v>42004.495972222219</v>
          </cell>
          <cell r="H885" t="str">
            <v>B&amp;P-003-TDX010</v>
          </cell>
          <cell r="J885">
            <v>25</v>
          </cell>
        </row>
        <row r="886">
          <cell r="C886" t="str">
            <v>BPB-050-32010-MX</v>
          </cell>
          <cell r="F886">
            <v>42004.495972222219</v>
          </cell>
          <cell r="H886" t="str">
            <v>B&amp;P-054-TDY010</v>
          </cell>
          <cell r="J886">
            <v>1</v>
          </cell>
        </row>
        <row r="887">
          <cell r="C887" t="str">
            <v>B&amp;P-041-MS09-2RST</v>
          </cell>
          <cell r="F887">
            <v>42251.551145833335</v>
          </cell>
          <cell r="H887" t="str">
            <v>B&amp;P-001-MS09-D</v>
          </cell>
          <cell r="J887">
            <v>1</v>
          </cell>
        </row>
        <row r="888">
          <cell r="C888" t="str">
            <v>B&amp;P-041-MS09-2RST</v>
          </cell>
          <cell r="F888">
            <v>42251.551145833335</v>
          </cell>
          <cell r="H888" t="str">
            <v>B&amp;P-005-RET/SET-MS09</v>
          </cell>
          <cell r="J888">
            <v>1</v>
          </cell>
        </row>
        <row r="889">
          <cell r="C889" t="str">
            <v>B&amp;P-041-MS09-2RST</v>
          </cell>
          <cell r="F889">
            <v>42251.551145833335</v>
          </cell>
          <cell r="H889" t="str">
            <v>B&amp;P-004-MS09-2RST-08</v>
          </cell>
          <cell r="J889">
            <v>2</v>
          </cell>
        </row>
        <row r="890">
          <cell r="C890" t="str">
            <v>B&amp;P-041-MS09-2RST</v>
          </cell>
          <cell r="F890">
            <v>42251.551145833335</v>
          </cell>
          <cell r="H890" t="str">
            <v>B&amp;P-003-BALL-1/2</v>
          </cell>
          <cell r="J890">
            <v>9</v>
          </cell>
        </row>
        <row r="891">
          <cell r="C891" t="str">
            <v>BPB-048-5207-KRRB19</v>
          </cell>
          <cell r="F891">
            <v>42031.342291666668</v>
          </cell>
          <cell r="H891" t="str">
            <v>B&amp;P-001-OR-5207-01</v>
          </cell>
          <cell r="J891">
            <v>1</v>
          </cell>
        </row>
        <row r="892">
          <cell r="C892" t="str">
            <v>BPB-048-5207-KRRB19</v>
          </cell>
          <cell r="F892">
            <v>42031.342291666668</v>
          </cell>
          <cell r="H892" t="str">
            <v>B&amp;P-002-5207KRRB1902</v>
          </cell>
          <cell r="J892">
            <v>1</v>
          </cell>
        </row>
        <row r="893">
          <cell r="C893" t="str">
            <v>BPB-048-5207-KRRB19</v>
          </cell>
          <cell r="F893">
            <v>42031.342291666668</v>
          </cell>
          <cell r="H893" t="str">
            <v>B&amp;P-005-CAGE-5207-17</v>
          </cell>
          <cell r="J893">
            <v>2</v>
          </cell>
        </row>
        <row r="894">
          <cell r="C894" t="str">
            <v>BPB-048-5207-KRRB19</v>
          </cell>
          <cell r="F894">
            <v>42031.342291666668</v>
          </cell>
          <cell r="H894" t="str">
            <v>B&amp;P-004-5207-08</v>
          </cell>
          <cell r="J894">
            <v>2</v>
          </cell>
        </row>
        <row r="895">
          <cell r="C895" t="str">
            <v>BPB-048-5207-KRRB19</v>
          </cell>
          <cell r="F895">
            <v>42031.342291666668</v>
          </cell>
          <cell r="H895" t="str">
            <v>B&amp;P-003-BALL-8.5</v>
          </cell>
          <cell r="J895">
            <v>20</v>
          </cell>
        </row>
        <row r="896">
          <cell r="C896" t="str">
            <v>BPB-048-5207-KRRB19</v>
          </cell>
          <cell r="F896">
            <v>42031.342291666668</v>
          </cell>
          <cell r="H896" t="str">
            <v>BPB-000-POLYREX-EM</v>
          </cell>
          <cell r="J896">
            <v>8.3000000000000007</v>
          </cell>
        </row>
        <row r="897">
          <cell r="C897" t="str">
            <v>BPB-052-20179</v>
          </cell>
          <cell r="F897">
            <v>41737.418703703705</v>
          </cell>
          <cell r="H897" t="str">
            <v>BPB-999-SAE1045Ø28.6</v>
          </cell>
          <cell r="J897">
            <v>3.15E-2</v>
          </cell>
        </row>
        <row r="898">
          <cell r="C898" t="str">
            <v>B&amp;P-037-F4903062</v>
          </cell>
          <cell r="F898">
            <v>41915.311423611114</v>
          </cell>
          <cell r="H898" t="str">
            <v>BPB-048-DTR3062-FMR</v>
          </cell>
          <cell r="J898">
            <v>1</v>
          </cell>
        </row>
        <row r="899">
          <cell r="C899" t="str">
            <v>B&amp;P-037-F4903062</v>
          </cell>
          <cell r="F899">
            <v>41915.311423611114</v>
          </cell>
          <cell r="H899" t="str">
            <v>B&amp;P-048-F4903062-06</v>
          </cell>
          <cell r="J899">
            <v>1</v>
          </cell>
        </row>
        <row r="900">
          <cell r="C900" t="str">
            <v>B&amp;P-048-59190-E</v>
          </cell>
          <cell r="F900">
            <v>41975.378263888888</v>
          </cell>
          <cell r="H900" t="str">
            <v>BPB-048-59190</v>
          </cell>
          <cell r="J900">
            <v>1</v>
          </cell>
        </row>
        <row r="901">
          <cell r="C901" t="str">
            <v>B&amp;P-041-MS09-2RST</v>
          </cell>
          <cell r="F901">
            <v>42251.551145833335</v>
          </cell>
          <cell r="H901" t="str">
            <v>B&amp;P-002-MS09-D</v>
          </cell>
          <cell r="J901">
            <v>1</v>
          </cell>
        </row>
        <row r="902">
          <cell r="C902" t="str">
            <v>B&amp;P-058-30203-MX</v>
          </cell>
          <cell r="F902">
            <v>43591.394861111112</v>
          </cell>
          <cell r="H902" t="str">
            <v>B&amp;P-003-TCX203</v>
          </cell>
          <cell r="J902">
            <v>15</v>
          </cell>
        </row>
        <row r="903">
          <cell r="C903" t="str">
            <v>B&amp;P-058-30203-MX</v>
          </cell>
          <cell r="F903">
            <v>43591.394861111112</v>
          </cell>
          <cell r="H903" t="str">
            <v>B&amp;P-005-TCX203</v>
          </cell>
          <cell r="J903">
            <v>1</v>
          </cell>
        </row>
        <row r="904">
          <cell r="C904" t="str">
            <v>B&amp;P-058-30203-MX</v>
          </cell>
          <cell r="F904">
            <v>43591.394861111112</v>
          </cell>
          <cell r="H904" t="str">
            <v>B&amp;P-053-TCX203</v>
          </cell>
          <cell r="J904">
            <v>1</v>
          </cell>
        </row>
        <row r="905">
          <cell r="C905" t="str">
            <v>B&amp;P-058-30203-MX</v>
          </cell>
          <cell r="F905">
            <v>43591.394861111112</v>
          </cell>
          <cell r="H905" t="str">
            <v>B&amp;P-054-TCY203</v>
          </cell>
          <cell r="J905">
            <v>1</v>
          </cell>
        </row>
        <row r="906">
          <cell r="C906" t="str">
            <v>BPB-041-BP-13008</v>
          </cell>
          <cell r="F906">
            <v>42110.545231481483</v>
          </cell>
          <cell r="H906" t="str">
            <v>B&amp;P-001-BP-13008-01</v>
          </cell>
          <cell r="J906">
            <v>1</v>
          </cell>
        </row>
        <row r="907">
          <cell r="C907" t="str">
            <v>BPB-041-BP-13008</v>
          </cell>
          <cell r="F907">
            <v>42110.545231481483</v>
          </cell>
          <cell r="H907" t="str">
            <v>BPB-002-BP-13008-02</v>
          </cell>
          <cell r="J907">
            <v>1</v>
          </cell>
        </row>
        <row r="908">
          <cell r="C908" t="str">
            <v>BPB-041-BP-13008</v>
          </cell>
          <cell r="F908">
            <v>42110.545231481483</v>
          </cell>
          <cell r="H908" t="str">
            <v>B&amp;P-003-Ball-7/16</v>
          </cell>
          <cell r="J908">
            <v>9</v>
          </cell>
        </row>
        <row r="909">
          <cell r="C909" t="str">
            <v>BPB-041-BP-13008</v>
          </cell>
          <cell r="F909">
            <v>42110.545231481483</v>
          </cell>
          <cell r="H909" t="str">
            <v>B&amp;P-005-CAGE207-17</v>
          </cell>
          <cell r="J909">
            <v>1</v>
          </cell>
        </row>
        <row r="910">
          <cell r="C910" t="str">
            <v>BPB-041-BP-13008</v>
          </cell>
          <cell r="F910">
            <v>42110.545231481483</v>
          </cell>
          <cell r="H910" t="str">
            <v>B&amp;P-004-207RST-08</v>
          </cell>
          <cell r="J910">
            <v>2</v>
          </cell>
        </row>
        <row r="911">
          <cell r="C911" t="str">
            <v>BPB-041-BP-13008</v>
          </cell>
          <cell r="F911">
            <v>42110.545231481483</v>
          </cell>
          <cell r="H911" t="str">
            <v>BPB-000-POLYREX-EM</v>
          </cell>
          <cell r="J911">
            <v>8</v>
          </cell>
        </row>
        <row r="912">
          <cell r="C912" t="str">
            <v>BPB-058-30211-MX</v>
          </cell>
          <cell r="F912">
            <v>42110.55232638889</v>
          </cell>
          <cell r="H912" t="str">
            <v>B&amp;P-053-TCX211</v>
          </cell>
          <cell r="J912">
            <v>1</v>
          </cell>
        </row>
        <row r="913">
          <cell r="C913" t="str">
            <v>BPB-058-30211-MX</v>
          </cell>
          <cell r="F913">
            <v>42110.55232638889</v>
          </cell>
          <cell r="H913" t="str">
            <v>B&amp;P-005-TCX211</v>
          </cell>
          <cell r="J913">
            <v>1</v>
          </cell>
        </row>
        <row r="914">
          <cell r="C914" t="str">
            <v>BPB-058-30211-MX</v>
          </cell>
          <cell r="F914">
            <v>42110.55232638889</v>
          </cell>
          <cell r="H914" t="str">
            <v>B&amp;P-003-TCX211</v>
          </cell>
          <cell r="J914">
            <v>19</v>
          </cell>
        </row>
        <row r="915">
          <cell r="C915" t="str">
            <v>BPB-058-30211-MX</v>
          </cell>
          <cell r="F915">
            <v>42110.55232638889</v>
          </cell>
          <cell r="H915" t="str">
            <v>B&amp;P-054-TCY211</v>
          </cell>
          <cell r="J915">
            <v>1</v>
          </cell>
        </row>
        <row r="916">
          <cell r="C916" t="str">
            <v>B&amp;P-048-5203-KYY5</v>
          </cell>
          <cell r="F916">
            <v>43670.361111111109</v>
          </cell>
          <cell r="H916" t="str">
            <v>B&amp;P-048-5203-KYY2</v>
          </cell>
          <cell r="J916">
            <v>1</v>
          </cell>
        </row>
        <row r="917">
          <cell r="C917" t="str">
            <v>B&amp;P-056-BP-15001-M</v>
          </cell>
          <cell r="F917">
            <v>42123.363518518519</v>
          </cell>
          <cell r="H917" t="str">
            <v>B&amp;P-037-BP-15001-P</v>
          </cell>
          <cell r="J917">
            <v>1</v>
          </cell>
        </row>
        <row r="918">
          <cell r="C918" t="str">
            <v>B&amp;P-056-BP-15002-M</v>
          </cell>
          <cell r="F918">
            <v>42123.364398148151</v>
          </cell>
          <cell r="H918" t="str">
            <v>B&amp;P-037-BP-15002-P</v>
          </cell>
          <cell r="J918">
            <v>1</v>
          </cell>
        </row>
        <row r="919">
          <cell r="C919" t="str">
            <v>B&amp;P-056-BP-15003-1M</v>
          </cell>
          <cell r="F919">
            <v>42123.408738425926</v>
          </cell>
          <cell r="H919" t="str">
            <v>B&amp;P-037-BP-15003-P</v>
          </cell>
          <cell r="J919">
            <v>1</v>
          </cell>
        </row>
        <row r="920">
          <cell r="C920" t="str">
            <v>B&amp;P-056-BP-15003-2M</v>
          </cell>
          <cell r="F920">
            <v>42123.409629629627</v>
          </cell>
          <cell r="H920" t="str">
            <v>B&amp;P-037-BP-15003-P</v>
          </cell>
          <cell r="J920">
            <v>1</v>
          </cell>
        </row>
        <row r="921">
          <cell r="C921" t="str">
            <v>B&amp;P-056-BP-15004-M</v>
          </cell>
          <cell r="F921">
            <v>42123.410439814812</v>
          </cell>
          <cell r="H921" t="str">
            <v>B&amp;P-037-BP-15004-P</v>
          </cell>
          <cell r="J921">
            <v>1</v>
          </cell>
        </row>
        <row r="922">
          <cell r="C922" t="str">
            <v>B&amp;P-HS--MS03-2RLD-C3</v>
          </cell>
          <cell r="F922">
            <v>42711.438483796293</v>
          </cell>
          <cell r="H922" t="str">
            <v>B&amp;P-001-MS03-D</v>
          </cell>
          <cell r="J922">
            <v>1</v>
          </cell>
        </row>
        <row r="923">
          <cell r="C923" t="str">
            <v>B&amp;P-HS--MS03-2RLD-C3</v>
          </cell>
          <cell r="F923">
            <v>42711.438483796293</v>
          </cell>
          <cell r="H923" t="str">
            <v>B&amp;P-002-MS03-D</v>
          </cell>
          <cell r="J923">
            <v>1</v>
          </cell>
        </row>
        <row r="924">
          <cell r="C924" t="str">
            <v>B&amp;P-HS--MS03-2RLD-C3</v>
          </cell>
          <cell r="F924">
            <v>42711.438483796293</v>
          </cell>
          <cell r="H924" t="str">
            <v>B&amp;P-005-RET/SET-MS03</v>
          </cell>
          <cell r="J924">
            <v>1</v>
          </cell>
        </row>
        <row r="925">
          <cell r="C925" t="str">
            <v>B&amp;P-HS--MS03-2RLD-C3</v>
          </cell>
          <cell r="F925">
            <v>42711.438483796293</v>
          </cell>
          <cell r="H925" t="str">
            <v>B&amp;P-003-BALL-17/64</v>
          </cell>
          <cell r="J925">
            <v>8</v>
          </cell>
        </row>
        <row r="926">
          <cell r="C926" t="str">
            <v>B&amp;P-HS--MS03-2RLD-C3</v>
          </cell>
          <cell r="F926">
            <v>42711.438483796293</v>
          </cell>
          <cell r="H926" t="str">
            <v>BPB-000-POLYREX-EM</v>
          </cell>
          <cell r="J926">
            <v>0.9</v>
          </cell>
        </row>
        <row r="927">
          <cell r="C927" t="str">
            <v>B&amp;P-HS--MS03-2RLD-C3</v>
          </cell>
          <cell r="F927">
            <v>42711.438483796293</v>
          </cell>
          <cell r="H927" t="str">
            <v>B&amp;P-004-MS03RLD-BLUE</v>
          </cell>
          <cell r="J927">
            <v>2</v>
          </cell>
        </row>
        <row r="928">
          <cell r="C928" t="str">
            <v>B&amp;P-053-X-32216</v>
          </cell>
          <cell r="F928">
            <v>41806.634421296294</v>
          </cell>
          <cell r="H928" t="str">
            <v>B&amp;P-003-TDX216</v>
          </cell>
          <cell r="J928">
            <v>20</v>
          </cell>
        </row>
        <row r="929">
          <cell r="C929" t="str">
            <v>B&amp;P-053-X-32216</v>
          </cell>
          <cell r="F929">
            <v>41806.634421296294</v>
          </cell>
          <cell r="H929" t="str">
            <v>B&amp;P-005-TDX216</v>
          </cell>
          <cell r="J929">
            <v>1</v>
          </cell>
        </row>
        <row r="930">
          <cell r="C930" t="str">
            <v>B&amp;P-053-X-32216</v>
          </cell>
          <cell r="F930">
            <v>41806.634421296294</v>
          </cell>
          <cell r="H930" t="str">
            <v>B&amp;P-053-TDX216</v>
          </cell>
          <cell r="J930">
            <v>1</v>
          </cell>
        </row>
        <row r="931">
          <cell r="C931" t="str">
            <v>BPB-058-32211-MX</v>
          </cell>
          <cell r="F931">
            <v>42006.41202546296</v>
          </cell>
          <cell r="H931" t="str">
            <v>B&amp;P-005-TDX211</v>
          </cell>
          <cell r="J931">
            <v>1</v>
          </cell>
        </row>
        <row r="932">
          <cell r="C932" t="str">
            <v>BPB-058-32211-MX</v>
          </cell>
          <cell r="F932">
            <v>42006.41202546296</v>
          </cell>
          <cell r="H932" t="str">
            <v>B&amp;P-053-TDX211</v>
          </cell>
          <cell r="J932">
            <v>1</v>
          </cell>
        </row>
        <row r="933">
          <cell r="C933" t="str">
            <v>BPB-058-32211-MX</v>
          </cell>
          <cell r="F933">
            <v>42006.41202546296</v>
          </cell>
          <cell r="H933" t="str">
            <v>B&amp;P-003-TDX211</v>
          </cell>
          <cell r="J933">
            <v>19</v>
          </cell>
        </row>
        <row r="934">
          <cell r="C934" t="str">
            <v>BPB-058-32211-MX</v>
          </cell>
          <cell r="F934">
            <v>42006.41202546296</v>
          </cell>
          <cell r="H934" t="str">
            <v>B&amp;P-054-TDY211</v>
          </cell>
          <cell r="J934">
            <v>1</v>
          </cell>
        </row>
        <row r="935">
          <cell r="C935" t="str">
            <v>BPB-058-30207-MX</v>
          </cell>
          <cell r="F935">
            <v>42039.435335648152</v>
          </cell>
          <cell r="H935" t="str">
            <v>B&amp;P-053-TCX207</v>
          </cell>
          <cell r="J935">
            <v>1</v>
          </cell>
        </row>
        <row r="936">
          <cell r="C936" t="str">
            <v>BPB-058-30207-MX</v>
          </cell>
          <cell r="F936">
            <v>42039.435335648152</v>
          </cell>
          <cell r="H936" t="str">
            <v>B&amp;P-005-TCX207</v>
          </cell>
          <cell r="J936">
            <v>1</v>
          </cell>
        </row>
        <row r="937">
          <cell r="C937" t="str">
            <v>BPB-058-30207-MX</v>
          </cell>
          <cell r="F937">
            <v>42039.435335648152</v>
          </cell>
          <cell r="H937" t="str">
            <v>B&amp;P-003-TCX207</v>
          </cell>
          <cell r="J937">
            <v>17</v>
          </cell>
        </row>
        <row r="938">
          <cell r="C938" t="str">
            <v>BPB-058-30207-MX</v>
          </cell>
          <cell r="F938">
            <v>42039.435335648152</v>
          </cell>
          <cell r="H938" t="str">
            <v>B&amp;P-054-TCY207</v>
          </cell>
          <cell r="J938">
            <v>1</v>
          </cell>
        </row>
        <row r="939">
          <cell r="C939" t="str">
            <v>B&amp;P-058-3T-12001-MX</v>
          </cell>
          <cell r="F939">
            <v>42159.316018518519</v>
          </cell>
          <cell r="H939" t="str">
            <v>B&amp;P-003-3TX-12001</v>
          </cell>
          <cell r="J939">
            <v>14</v>
          </cell>
        </row>
        <row r="940">
          <cell r="C940" t="str">
            <v>B&amp;P-058-3T-12001-MX</v>
          </cell>
          <cell r="F940">
            <v>42159.316018518519</v>
          </cell>
          <cell r="H940" t="str">
            <v>B&amp;P-005-3TX-12001</v>
          </cell>
          <cell r="J940">
            <v>1</v>
          </cell>
        </row>
        <row r="941">
          <cell r="C941" t="str">
            <v>B&amp;P-058-3T-12001-MX</v>
          </cell>
          <cell r="F941">
            <v>42159.316018518519</v>
          </cell>
          <cell r="H941" t="str">
            <v>B&amp;P-053-3TX-12001</v>
          </cell>
          <cell r="J941">
            <v>1</v>
          </cell>
        </row>
        <row r="942">
          <cell r="C942" t="str">
            <v>B&amp;P-058-3T-12001-MX</v>
          </cell>
          <cell r="F942">
            <v>42159.316018518519</v>
          </cell>
          <cell r="H942" t="str">
            <v>B&amp;P-054-3TY-12001</v>
          </cell>
          <cell r="J942">
            <v>1</v>
          </cell>
        </row>
        <row r="943">
          <cell r="C943" t="str">
            <v>B&amp;P-058-3T-14349-MX</v>
          </cell>
          <cell r="F943">
            <v>42159.344560185185</v>
          </cell>
          <cell r="H943" t="str">
            <v>B&amp;P-003-3TX-14349</v>
          </cell>
          <cell r="J943">
            <v>19</v>
          </cell>
        </row>
        <row r="944">
          <cell r="C944" t="str">
            <v>B&amp;P-058-3T-14349-MX</v>
          </cell>
          <cell r="F944">
            <v>42159.344560185185</v>
          </cell>
          <cell r="H944" t="str">
            <v>B&amp;P-005-3TX-14349</v>
          </cell>
          <cell r="J944">
            <v>1</v>
          </cell>
        </row>
        <row r="945">
          <cell r="C945" t="str">
            <v>B&amp;P-058-3T-14349-MX</v>
          </cell>
          <cell r="F945">
            <v>42159.344560185185</v>
          </cell>
          <cell r="H945" t="str">
            <v>B&amp;P-053-3TX-14349</v>
          </cell>
          <cell r="J945">
            <v>1</v>
          </cell>
        </row>
        <row r="946">
          <cell r="C946" t="str">
            <v>B&amp;P-058-3T-14349-MX</v>
          </cell>
          <cell r="F946">
            <v>42159.344560185185</v>
          </cell>
          <cell r="H946" t="str">
            <v>B&amp;P-054-3TY-14349</v>
          </cell>
          <cell r="J946">
            <v>1</v>
          </cell>
        </row>
        <row r="947">
          <cell r="C947" t="str">
            <v>B&amp;P-058-3T-14314-MX</v>
          </cell>
          <cell r="F947">
            <v>42159.349583333336</v>
          </cell>
          <cell r="H947" t="str">
            <v>B&amp;P-003-3TX-14314</v>
          </cell>
          <cell r="J947">
            <v>19</v>
          </cell>
        </row>
        <row r="948">
          <cell r="C948" t="str">
            <v>B&amp;P-058-3T-14314-MX</v>
          </cell>
          <cell r="F948">
            <v>42159.349583333336</v>
          </cell>
          <cell r="H948" t="str">
            <v>B&amp;P-005-3TX-14314</v>
          </cell>
          <cell r="J948">
            <v>1</v>
          </cell>
        </row>
        <row r="949">
          <cell r="C949" t="str">
            <v>B&amp;P-058-3T-14314-MX</v>
          </cell>
          <cell r="F949">
            <v>42159.349583333336</v>
          </cell>
          <cell r="H949" t="str">
            <v>B&amp;P-053-3TX-14314</v>
          </cell>
          <cell r="J949">
            <v>1</v>
          </cell>
        </row>
        <row r="950">
          <cell r="C950" t="str">
            <v>B&amp;P-058-3T-14314-MX</v>
          </cell>
          <cell r="F950">
            <v>42159.349583333336</v>
          </cell>
          <cell r="H950" t="str">
            <v>B&amp;P-054-3TY-14314</v>
          </cell>
          <cell r="J950">
            <v>1</v>
          </cell>
        </row>
        <row r="951">
          <cell r="C951" t="str">
            <v>BPB-048-207-KRRB17</v>
          </cell>
          <cell r="F951">
            <v>42164.315393518518</v>
          </cell>
          <cell r="H951" t="str">
            <v>BPB-048-207-KRRB19</v>
          </cell>
          <cell r="J951">
            <v>1</v>
          </cell>
        </row>
        <row r="952">
          <cell r="C952" t="str">
            <v>B&amp;P-HS--MS03-D-C3</v>
          </cell>
          <cell r="F952">
            <v>42213.624942129631</v>
          </cell>
          <cell r="H952" t="str">
            <v>B&amp;P-001-MS03-D</v>
          </cell>
          <cell r="J952">
            <v>1</v>
          </cell>
        </row>
        <row r="953">
          <cell r="C953" t="str">
            <v>B&amp;P-HS--MS03-D-C3</v>
          </cell>
          <cell r="F953">
            <v>42213.624942129631</v>
          </cell>
          <cell r="H953" t="str">
            <v>B&amp;P-002-MS03-D</v>
          </cell>
          <cell r="J953">
            <v>1</v>
          </cell>
        </row>
        <row r="954">
          <cell r="C954" t="str">
            <v>B&amp;P-HS--MS03-D-C3</v>
          </cell>
          <cell r="F954">
            <v>42213.624942129631</v>
          </cell>
          <cell r="H954" t="str">
            <v>B&amp;P-005-RET/SET-MS03</v>
          </cell>
          <cell r="J954">
            <v>1</v>
          </cell>
        </row>
        <row r="955">
          <cell r="C955" t="str">
            <v>B&amp;P-HS--MS03-D-C3</v>
          </cell>
          <cell r="F955">
            <v>42213.624942129631</v>
          </cell>
          <cell r="H955" t="str">
            <v>B&amp;P-003-17/64</v>
          </cell>
          <cell r="J955">
            <v>8</v>
          </cell>
        </row>
        <row r="956">
          <cell r="C956" t="str">
            <v>B&amp;P-048-205-KPPB9</v>
          </cell>
          <cell r="F956">
            <v>42222.365543981483</v>
          </cell>
          <cell r="H956" t="str">
            <v>B&amp;P-002-205-KPPB9-02</v>
          </cell>
          <cell r="J956">
            <v>1</v>
          </cell>
        </row>
        <row r="957">
          <cell r="C957" t="str">
            <v>B&amp;P-053-X-320-32X</v>
          </cell>
          <cell r="F957">
            <v>42114.407488425924</v>
          </cell>
          <cell r="H957" t="str">
            <v>B&amp;P-053-32-X</v>
          </cell>
          <cell r="J957">
            <v>1</v>
          </cell>
        </row>
        <row r="958">
          <cell r="C958" t="str">
            <v>B&amp;P-053-X-30204</v>
          </cell>
          <cell r="F958">
            <v>41843.441111111111</v>
          </cell>
          <cell r="H958" t="str">
            <v>B&amp;P-003-TCX204</v>
          </cell>
          <cell r="J958">
            <v>15</v>
          </cell>
        </row>
        <row r="959">
          <cell r="C959" t="str">
            <v>B&amp;P-053-X-30204</v>
          </cell>
          <cell r="F959">
            <v>41843.441111111111</v>
          </cell>
          <cell r="H959" t="str">
            <v>B&amp;P-005-TCX204</v>
          </cell>
          <cell r="J959">
            <v>1</v>
          </cell>
        </row>
        <row r="960">
          <cell r="C960" t="str">
            <v>B&amp;P-053-X-30204</v>
          </cell>
          <cell r="F960">
            <v>41843.441111111111</v>
          </cell>
          <cell r="H960" t="str">
            <v>B&amp;P-053-TCX204</v>
          </cell>
          <cell r="J960">
            <v>1</v>
          </cell>
        </row>
        <row r="961">
          <cell r="C961" t="str">
            <v>B&amp;P-053-X-30203</v>
          </cell>
          <cell r="F961">
            <v>41866.602384259262</v>
          </cell>
          <cell r="H961" t="str">
            <v>B&amp;P-003-TCX203</v>
          </cell>
          <cell r="J961">
            <v>15</v>
          </cell>
        </row>
        <row r="962">
          <cell r="C962" t="str">
            <v>B&amp;P-053-X-30203</v>
          </cell>
          <cell r="F962">
            <v>41866.602384259262</v>
          </cell>
          <cell r="H962" t="str">
            <v>B&amp;P-005-TCX203</v>
          </cell>
          <cell r="J962">
            <v>1</v>
          </cell>
        </row>
        <row r="963">
          <cell r="C963" t="str">
            <v>B&amp;P-053-X-30203</v>
          </cell>
          <cell r="F963">
            <v>41866.602384259262</v>
          </cell>
          <cell r="H963" t="str">
            <v>B&amp;P-053-TCX203</v>
          </cell>
          <cell r="J963">
            <v>1</v>
          </cell>
        </row>
        <row r="964">
          <cell r="C964" t="str">
            <v>BPB-037-BP-13009-6</v>
          </cell>
          <cell r="F964">
            <v>41905.308506944442</v>
          </cell>
          <cell r="H964" t="str">
            <v>BPB-999-SAE1045Ø34.9</v>
          </cell>
          <cell r="J964">
            <v>2.8500000000000001E-2</v>
          </cell>
        </row>
        <row r="965">
          <cell r="C965" t="str">
            <v>B&amp;P-002-BP-13009-A2</v>
          </cell>
          <cell r="F965">
            <v>41905.462233796294</v>
          </cell>
          <cell r="H965" t="str">
            <v>BPB-999-SAE52100Ø47</v>
          </cell>
          <cell r="J965">
            <v>3.3700000000000001E-2</v>
          </cell>
        </row>
        <row r="966">
          <cell r="C966" t="str">
            <v>B&amp;P-041-BP-13009</v>
          </cell>
          <cell r="F966">
            <v>41929.603587962964</v>
          </cell>
          <cell r="H966" t="str">
            <v>B&amp;P-001-BP-13009-01</v>
          </cell>
          <cell r="J966">
            <v>1</v>
          </cell>
        </row>
        <row r="967">
          <cell r="C967" t="str">
            <v>B&amp;P-041-BP-13009</v>
          </cell>
          <cell r="F967">
            <v>41929.603587962964</v>
          </cell>
          <cell r="H967" t="str">
            <v>B&amp;P-002-BP-13009-02</v>
          </cell>
          <cell r="J967">
            <v>1</v>
          </cell>
        </row>
        <row r="968">
          <cell r="C968" t="str">
            <v>B&amp;P-041-BP-13009</v>
          </cell>
          <cell r="F968">
            <v>41929.603587962964</v>
          </cell>
          <cell r="H968" t="str">
            <v>B&amp;P-003-Ball-7/16</v>
          </cell>
          <cell r="J968">
            <v>9</v>
          </cell>
        </row>
        <row r="969">
          <cell r="C969" t="str">
            <v>B&amp;P-041-BP-13009</v>
          </cell>
          <cell r="F969">
            <v>41929.603587962964</v>
          </cell>
          <cell r="H969" t="str">
            <v>B&amp;P-005-CAGE207-17</v>
          </cell>
          <cell r="J969">
            <v>1</v>
          </cell>
        </row>
        <row r="970">
          <cell r="C970" t="str">
            <v>B&amp;P-041-BP-13009</v>
          </cell>
          <cell r="F970">
            <v>41929.603587962964</v>
          </cell>
          <cell r="H970" t="str">
            <v>B&amp;P-004-207RST-08</v>
          </cell>
          <cell r="J970">
            <v>2</v>
          </cell>
        </row>
        <row r="971">
          <cell r="C971" t="str">
            <v>B&amp;P-041-BP-13009</v>
          </cell>
          <cell r="F971">
            <v>41929.603587962964</v>
          </cell>
          <cell r="H971" t="str">
            <v>BPB-000-POLYREX-EM</v>
          </cell>
          <cell r="J971">
            <v>9</v>
          </cell>
        </row>
        <row r="972">
          <cell r="C972" t="str">
            <v>B&amp;P-HS--MS07-D-C3</v>
          </cell>
          <cell r="F972">
            <v>41934.511469907404</v>
          </cell>
          <cell r="H972" t="str">
            <v>B&amp;P-001-MS07-D</v>
          </cell>
          <cell r="J972">
            <v>1</v>
          </cell>
        </row>
        <row r="973">
          <cell r="C973" t="str">
            <v>B&amp;P-HS--MS07-D-C3</v>
          </cell>
          <cell r="F973">
            <v>41934.511469907404</v>
          </cell>
          <cell r="H973" t="str">
            <v>B&amp;P-002-MS07-D</v>
          </cell>
          <cell r="J973">
            <v>1</v>
          </cell>
        </row>
        <row r="974">
          <cell r="C974" t="str">
            <v>B&amp;P-HS--MS07-D-C3</v>
          </cell>
          <cell r="F974">
            <v>41934.511469907404</v>
          </cell>
          <cell r="H974" t="str">
            <v>B&amp;P-003-Ball-7/16</v>
          </cell>
          <cell r="J974">
            <v>9</v>
          </cell>
        </row>
        <row r="975">
          <cell r="C975" t="str">
            <v>B&amp;P-HS--MS07-D-C3</v>
          </cell>
          <cell r="F975">
            <v>41934.511469907404</v>
          </cell>
          <cell r="H975" t="str">
            <v>B&amp;P-005-RET/SET-MS07</v>
          </cell>
          <cell r="J975">
            <v>1</v>
          </cell>
        </row>
        <row r="976">
          <cell r="C976" t="str">
            <v>BPB-056-ENG2565S-Z</v>
          </cell>
          <cell r="F976">
            <v>41939.345810185187</v>
          </cell>
          <cell r="H976" t="str">
            <v>BPB-056-ENG2565S-PZ</v>
          </cell>
          <cell r="J976">
            <v>1</v>
          </cell>
        </row>
        <row r="977">
          <cell r="C977" t="str">
            <v>B&amp;P-041-F490306</v>
          </cell>
          <cell r="F977">
            <v>41991.680173611108</v>
          </cell>
          <cell r="H977" t="str">
            <v>B&amp;P-001-F490306-01</v>
          </cell>
          <cell r="J977">
            <v>1</v>
          </cell>
        </row>
        <row r="978">
          <cell r="C978" t="str">
            <v>B&amp;P-041-F490306</v>
          </cell>
          <cell r="F978">
            <v>41991.680173611108</v>
          </cell>
          <cell r="H978" t="str">
            <v>B&amp;P-002-F490306-02</v>
          </cell>
          <cell r="J978">
            <v>1</v>
          </cell>
        </row>
        <row r="979">
          <cell r="C979" t="str">
            <v>B&amp;P-041-F490306</v>
          </cell>
          <cell r="F979">
            <v>41991.680173611108</v>
          </cell>
          <cell r="H979" t="str">
            <v>B&amp;P-003-9/16</v>
          </cell>
          <cell r="J979">
            <v>7</v>
          </cell>
        </row>
        <row r="980">
          <cell r="C980" t="str">
            <v>B&amp;P-041-F490306</v>
          </cell>
          <cell r="F980">
            <v>41991.680173611108</v>
          </cell>
          <cell r="H980" t="str">
            <v>B&amp;P-005-CAGE490306</v>
          </cell>
          <cell r="J980">
            <v>1</v>
          </cell>
        </row>
        <row r="981">
          <cell r="C981" t="str">
            <v>PEE-048-FHS-205-16</v>
          </cell>
          <cell r="F981">
            <v>42122.60628472222</v>
          </cell>
          <cell r="H981" t="str">
            <v>PEE-048-FHS-205-R25</v>
          </cell>
          <cell r="J981">
            <v>1</v>
          </cell>
        </row>
        <row r="982">
          <cell r="C982" t="str">
            <v>B&amp;P-048-205-KPPB9</v>
          </cell>
          <cell r="F982">
            <v>42222.365543981483</v>
          </cell>
          <cell r="H982" t="str">
            <v>B&amp;P-001-205-KPPB9-01</v>
          </cell>
          <cell r="J982">
            <v>1</v>
          </cell>
        </row>
        <row r="983">
          <cell r="C983" t="str">
            <v>B&amp;P-048-205-KPPB9</v>
          </cell>
          <cell r="F983">
            <v>42222.365543981483</v>
          </cell>
          <cell r="H983" t="str">
            <v>B&amp;P-005-205-KPPB9-17</v>
          </cell>
          <cell r="J983">
            <v>1</v>
          </cell>
        </row>
        <row r="984">
          <cell r="C984" t="str">
            <v>B&amp;P-048-205-KPPB9</v>
          </cell>
          <cell r="F984">
            <v>42222.365543981483</v>
          </cell>
          <cell r="H984" t="str">
            <v>B&amp;P-004-205-KPPB9-28</v>
          </cell>
          <cell r="J984">
            <v>2</v>
          </cell>
        </row>
        <row r="985">
          <cell r="C985" t="str">
            <v>B&amp;P-048-205-KPPB9</v>
          </cell>
          <cell r="F985">
            <v>42222.365543981483</v>
          </cell>
          <cell r="H985" t="str">
            <v>B&amp;P-027-205-KPPB9-09</v>
          </cell>
          <cell r="J985">
            <v>1</v>
          </cell>
        </row>
        <row r="986">
          <cell r="C986" t="str">
            <v>B&amp;P-048-205-KPPB9</v>
          </cell>
          <cell r="F986">
            <v>42222.365543981483</v>
          </cell>
          <cell r="H986" t="str">
            <v>B&amp;P-003-Ball-5/16</v>
          </cell>
          <cell r="J986">
            <v>9</v>
          </cell>
        </row>
        <row r="987">
          <cell r="C987" t="str">
            <v>B&amp;P-048-205-KPPB9</v>
          </cell>
          <cell r="F987">
            <v>42222.365543981483</v>
          </cell>
          <cell r="H987" t="str">
            <v>BPB-000-ALVANIA-RL3</v>
          </cell>
          <cell r="J987">
            <v>6.4</v>
          </cell>
        </row>
        <row r="988">
          <cell r="C988" t="str">
            <v>BPB-001-BP-13006-01</v>
          </cell>
          <cell r="F988">
            <v>42230.450787037036</v>
          </cell>
          <cell r="H988" t="str">
            <v>BPB-001-BP-13006-B1</v>
          </cell>
          <cell r="J988">
            <v>1</v>
          </cell>
        </row>
        <row r="989">
          <cell r="C989" t="str">
            <v>BPB-002-BP-13006-02</v>
          </cell>
          <cell r="F989">
            <v>42230.451863425929</v>
          </cell>
          <cell r="H989" t="str">
            <v>BPB-002-BP-13006-B2</v>
          </cell>
          <cell r="J989">
            <v>1</v>
          </cell>
        </row>
        <row r="990">
          <cell r="C990" t="str">
            <v>BPB-041-MS03-2RST</v>
          </cell>
          <cell r="F990">
            <v>42263.583773148152</v>
          </cell>
          <cell r="H990" t="str">
            <v>B&amp;P-041-MS03-D-C3</v>
          </cell>
          <cell r="J990">
            <v>1</v>
          </cell>
        </row>
        <row r="991">
          <cell r="C991" t="str">
            <v>BPB-041-MS03-2RST</v>
          </cell>
          <cell r="F991">
            <v>42263.583773148152</v>
          </cell>
          <cell r="H991" t="str">
            <v>B&amp;P-004-MS03-2RST-08</v>
          </cell>
          <cell r="J991">
            <v>2</v>
          </cell>
        </row>
        <row r="992">
          <cell r="C992" t="str">
            <v>BPB-041-MS03-2RST</v>
          </cell>
          <cell r="F992">
            <v>42263.583773148152</v>
          </cell>
          <cell r="H992" t="str">
            <v>BPB-000-POLYREX-EM</v>
          </cell>
          <cell r="J992">
            <v>2</v>
          </cell>
        </row>
        <row r="993">
          <cell r="C993" t="str">
            <v>BPB-041-BP-13008-D</v>
          </cell>
          <cell r="F993">
            <v>42265.31521990741</v>
          </cell>
          <cell r="H993" t="str">
            <v>B&amp;P-001-BP-13008-01</v>
          </cell>
          <cell r="J993">
            <v>1</v>
          </cell>
        </row>
        <row r="994">
          <cell r="C994" t="str">
            <v>BPB-041-BP-13008-D</v>
          </cell>
          <cell r="F994">
            <v>42265.31521990741</v>
          </cell>
          <cell r="H994" t="str">
            <v>BPB-002-BP-13008-02</v>
          </cell>
          <cell r="J994">
            <v>1</v>
          </cell>
        </row>
        <row r="995">
          <cell r="C995" t="str">
            <v>BPB-041-BP-13008-D</v>
          </cell>
          <cell r="F995">
            <v>42265.31521990741</v>
          </cell>
          <cell r="H995" t="str">
            <v>B&amp;P-003-Ball-7/16</v>
          </cell>
          <cell r="J995">
            <v>9</v>
          </cell>
        </row>
        <row r="996">
          <cell r="C996" t="str">
            <v>BPB-041-BP-13008-D</v>
          </cell>
          <cell r="F996">
            <v>42265.31521990741</v>
          </cell>
          <cell r="H996" t="str">
            <v>B&amp;P-005-CAGE207-17</v>
          </cell>
          <cell r="J996">
            <v>1</v>
          </cell>
        </row>
        <row r="997">
          <cell r="C997" t="str">
            <v>PEE-SS--6202-2RLD-C3</v>
          </cell>
          <cell r="F997">
            <v>42269.301793981482</v>
          </cell>
          <cell r="H997" t="str">
            <v>PEE-SS--6202-D-C3</v>
          </cell>
          <cell r="J997">
            <v>1</v>
          </cell>
        </row>
        <row r="998">
          <cell r="C998" t="str">
            <v>PEE-SS--6202-2RLD-C3</v>
          </cell>
          <cell r="F998">
            <v>42269.301793981482</v>
          </cell>
          <cell r="H998" t="str">
            <v>BPB-027-RLD-6202BLUE</v>
          </cell>
          <cell r="J998">
            <v>2</v>
          </cell>
        </row>
        <row r="999">
          <cell r="C999" t="str">
            <v>PEE-SS--6202-2RLD-C3</v>
          </cell>
          <cell r="F999">
            <v>42269.301793981482</v>
          </cell>
          <cell r="H999" t="str">
            <v>BPB-000-POLYREX-EM</v>
          </cell>
          <cell r="J999">
            <v>0.7</v>
          </cell>
        </row>
        <row r="1000">
          <cell r="C1000" t="str">
            <v>B&amp;P-HS--MS03-2Z</v>
          </cell>
          <cell r="F1000">
            <v>42305.402187500003</v>
          </cell>
          <cell r="H1000" t="str">
            <v>B&amp;P-001-MS03-D</v>
          </cell>
          <cell r="J1000">
            <v>1</v>
          </cell>
        </row>
        <row r="1001">
          <cell r="C1001" t="str">
            <v>B&amp;P-HS--MS03-2Z</v>
          </cell>
          <cell r="F1001">
            <v>42305.402187500003</v>
          </cell>
          <cell r="H1001" t="str">
            <v>B&amp;P-002-MS03-D</v>
          </cell>
          <cell r="J1001">
            <v>1</v>
          </cell>
        </row>
        <row r="1002">
          <cell r="C1002" t="str">
            <v>B&amp;P-HS--MS03-2Z</v>
          </cell>
          <cell r="F1002">
            <v>42305.402187500003</v>
          </cell>
          <cell r="H1002" t="str">
            <v>B&amp;P-005-RET/SET-MS03</v>
          </cell>
          <cell r="J1002">
            <v>1</v>
          </cell>
        </row>
        <row r="1003">
          <cell r="C1003" t="str">
            <v>B&amp;P-HS--MS03-2Z</v>
          </cell>
          <cell r="F1003">
            <v>42305.402187500003</v>
          </cell>
          <cell r="H1003" t="str">
            <v>B&amp;P-003-BALL-17/64</v>
          </cell>
          <cell r="J1003">
            <v>8</v>
          </cell>
        </row>
        <row r="1004">
          <cell r="C1004" t="str">
            <v>B&amp;P-HS--MS03-2Z</v>
          </cell>
          <cell r="F1004">
            <v>42305.402187500003</v>
          </cell>
          <cell r="H1004" t="str">
            <v>BPB-000-POLYREX-EM</v>
          </cell>
          <cell r="J1004">
            <v>0.9</v>
          </cell>
        </row>
        <row r="1005">
          <cell r="C1005" t="str">
            <v>B&amp;P-HS--MS03-2Z</v>
          </cell>
          <cell r="F1005">
            <v>42305.402187500003</v>
          </cell>
          <cell r="H1005" t="str">
            <v>BPB-037-Z-6203</v>
          </cell>
          <cell r="J1005">
            <v>2</v>
          </cell>
        </row>
        <row r="1006">
          <cell r="C1006" t="str">
            <v>B&amp;P-HS--MS05-D-C3</v>
          </cell>
          <cell r="F1006">
            <v>42310.390069444446</v>
          </cell>
          <cell r="H1006" t="str">
            <v>B&amp;P-001-MS05-D</v>
          </cell>
          <cell r="J1006">
            <v>1</v>
          </cell>
        </row>
        <row r="1007">
          <cell r="C1007" t="str">
            <v>B&amp;P-HS--MS05-D-C3</v>
          </cell>
          <cell r="F1007">
            <v>42310.390069444446</v>
          </cell>
          <cell r="H1007" t="str">
            <v>B&amp;P-002-MS05-D</v>
          </cell>
          <cell r="J1007">
            <v>1</v>
          </cell>
        </row>
        <row r="1008">
          <cell r="C1008" t="str">
            <v>B&amp;P-HS--MS05-D-C3</v>
          </cell>
          <cell r="F1008">
            <v>42310.390069444446</v>
          </cell>
          <cell r="H1008" t="str">
            <v>B&amp;P-005-RET/SET-MS05</v>
          </cell>
          <cell r="J1008">
            <v>1</v>
          </cell>
        </row>
        <row r="1009">
          <cell r="C1009" t="str">
            <v>B&amp;P-HS--MS05-D-C3</v>
          </cell>
          <cell r="F1009">
            <v>42310.390069444446</v>
          </cell>
          <cell r="H1009" t="str">
            <v>B&amp;P-003-Ball-5/16</v>
          </cell>
          <cell r="J1009">
            <v>9</v>
          </cell>
        </row>
        <row r="1010">
          <cell r="C1010" t="str">
            <v>B&amp;P-053-X-30207</v>
          </cell>
          <cell r="F1010">
            <v>41880.481099537035</v>
          </cell>
          <cell r="H1010" t="str">
            <v>B&amp;P-053-TCX207</v>
          </cell>
          <cell r="J1010">
            <v>1</v>
          </cell>
        </row>
        <row r="1011">
          <cell r="C1011" t="str">
            <v>BPB-048-DTR3062-FMR</v>
          </cell>
          <cell r="F1011">
            <v>41913.351724537039</v>
          </cell>
          <cell r="H1011" t="str">
            <v>BPB-048-DTR3062-FM</v>
          </cell>
          <cell r="J1011">
            <v>1</v>
          </cell>
        </row>
        <row r="1012">
          <cell r="C1012" t="str">
            <v>B&amp;P-053-X-30205-MX</v>
          </cell>
          <cell r="F1012">
            <v>41913.359942129631</v>
          </cell>
          <cell r="H1012" t="str">
            <v>B&amp;P-003-TCX205</v>
          </cell>
          <cell r="J1012">
            <v>17</v>
          </cell>
        </row>
        <row r="1013">
          <cell r="C1013" t="str">
            <v>B&amp;P-053-X-30205-MX</v>
          </cell>
          <cell r="F1013">
            <v>41913.359942129631</v>
          </cell>
          <cell r="H1013" t="str">
            <v>B&amp;P-005-TCX205</v>
          </cell>
          <cell r="J1013">
            <v>1</v>
          </cell>
        </row>
        <row r="1014">
          <cell r="C1014" t="str">
            <v>B&amp;P-053-X-30205-MX</v>
          </cell>
          <cell r="F1014">
            <v>41913.359942129631</v>
          </cell>
          <cell r="H1014" t="str">
            <v>B&amp;P-053-TCX205</v>
          </cell>
          <cell r="J1014">
            <v>1</v>
          </cell>
        </row>
        <row r="1015">
          <cell r="C1015" t="str">
            <v>B&amp;P-053-X-30205-MX</v>
          </cell>
          <cell r="F1015">
            <v>41913.359942129631</v>
          </cell>
          <cell r="H1015" t="str">
            <v>B&amp;P-054-TCY205</v>
          </cell>
          <cell r="J1015">
            <v>1</v>
          </cell>
        </row>
        <row r="1016">
          <cell r="C1016" t="str">
            <v>B&amp;P-058-30205-MX</v>
          </cell>
          <cell r="F1016">
            <v>45174.614710648151</v>
          </cell>
          <cell r="H1016" t="str">
            <v>B&amp;P-003-TCX205</v>
          </cell>
          <cell r="J1016">
            <v>17</v>
          </cell>
        </row>
        <row r="1017">
          <cell r="C1017" t="str">
            <v>B&amp;P-058-30205-MX</v>
          </cell>
          <cell r="F1017">
            <v>45174.614710648151</v>
          </cell>
          <cell r="H1017" t="str">
            <v>B&amp;P-053-TCX205</v>
          </cell>
          <cell r="J1017">
            <v>1</v>
          </cell>
        </row>
        <row r="1018">
          <cell r="C1018" t="str">
            <v>B&amp;P-058-30205-MX</v>
          </cell>
          <cell r="F1018">
            <v>45174.614710648151</v>
          </cell>
          <cell r="H1018" t="str">
            <v>B&amp;P-005-TCX205</v>
          </cell>
          <cell r="J1018">
            <v>1</v>
          </cell>
        </row>
        <row r="1019">
          <cell r="C1019" t="str">
            <v>B&amp;P-058-30205-MX</v>
          </cell>
          <cell r="F1019">
            <v>45174.614710648151</v>
          </cell>
          <cell r="H1019" t="str">
            <v>B&amp;P-054-TCY205</v>
          </cell>
          <cell r="J1019">
            <v>1</v>
          </cell>
        </row>
        <row r="1020">
          <cell r="C1020" t="str">
            <v>B&amp;P-052-BUJ-MG206RR3</v>
          </cell>
          <cell r="F1020">
            <v>41940.40834490741</v>
          </cell>
          <cell r="H1020" t="str">
            <v>BPB-999-SAE1045Ø32</v>
          </cell>
          <cell r="J1020">
            <v>0.01</v>
          </cell>
        </row>
        <row r="1021">
          <cell r="C1021" t="str">
            <v>BPB-048-BP-12011-A2</v>
          </cell>
          <cell r="F1021">
            <v>41990.627245370371</v>
          </cell>
          <cell r="H1021" t="str">
            <v>BPB-999-SAE52100Ø28.</v>
          </cell>
          <cell r="J1021">
            <v>0.1052</v>
          </cell>
        </row>
        <row r="1022">
          <cell r="C1022" t="str">
            <v>BPB-058-30209-MX</v>
          </cell>
          <cell r="F1022">
            <v>44257.697083333333</v>
          </cell>
          <cell r="H1022" t="str">
            <v>B&amp;P-053-TCX209</v>
          </cell>
          <cell r="J1022">
            <v>1</v>
          </cell>
        </row>
        <row r="1023">
          <cell r="C1023" t="str">
            <v>BPB-058-30209-MX</v>
          </cell>
          <cell r="F1023">
            <v>44257.697083333333</v>
          </cell>
          <cell r="H1023" t="str">
            <v>B&amp;P-005-TCX209</v>
          </cell>
          <cell r="J1023">
            <v>1</v>
          </cell>
        </row>
        <row r="1024">
          <cell r="C1024" t="str">
            <v>BPB-058-30209-MX</v>
          </cell>
          <cell r="F1024">
            <v>44257.697083333333</v>
          </cell>
          <cell r="H1024" t="str">
            <v>B&amp;P-054-TCY209</v>
          </cell>
          <cell r="J1024">
            <v>1</v>
          </cell>
        </row>
        <row r="1025">
          <cell r="C1025" t="str">
            <v>BPB-058-30209-MX</v>
          </cell>
          <cell r="F1025">
            <v>44257.697083333333</v>
          </cell>
          <cell r="H1025" t="str">
            <v>B&amp;P-003-TCX209</v>
          </cell>
          <cell r="J1025">
            <v>19</v>
          </cell>
        </row>
        <row r="1026">
          <cell r="C1026" t="str">
            <v>BPB-048-BP-12011-02</v>
          </cell>
          <cell r="F1026">
            <v>42025.374699074076</v>
          </cell>
          <cell r="H1026" t="str">
            <v>BPB-048-BP-12011-C2</v>
          </cell>
          <cell r="J1026">
            <v>1</v>
          </cell>
        </row>
        <row r="1027">
          <cell r="C1027" t="str">
            <v>BPB-048-CF5202-2RST-</v>
          </cell>
          <cell r="F1027">
            <v>42423.318171296298</v>
          </cell>
          <cell r="H1027" t="str">
            <v>B&amp;P-001-CF5202-2RST</v>
          </cell>
          <cell r="J1027">
            <v>1</v>
          </cell>
        </row>
        <row r="1028">
          <cell r="C1028" t="str">
            <v>BPB-048-CF5202-2RST-</v>
          </cell>
          <cell r="F1028">
            <v>42423.318171296298</v>
          </cell>
          <cell r="H1028" t="str">
            <v>B&amp;P-002-CF5202-2RST</v>
          </cell>
          <cell r="J1028">
            <v>1</v>
          </cell>
        </row>
        <row r="1029">
          <cell r="C1029" t="str">
            <v>BPB-048-CF5202-2RST-</v>
          </cell>
          <cell r="F1029">
            <v>42423.318171296298</v>
          </cell>
          <cell r="H1029" t="str">
            <v>B&amp;P-005-CF5202-2RST</v>
          </cell>
          <cell r="J1029">
            <v>2</v>
          </cell>
        </row>
        <row r="1030">
          <cell r="C1030" t="str">
            <v>BPB-048-CF5202-2RST-</v>
          </cell>
          <cell r="F1030">
            <v>42423.318171296298</v>
          </cell>
          <cell r="H1030" t="str">
            <v>B&amp;P-004-CF5202-2RST</v>
          </cell>
          <cell r="J1030">
            <v>2</v>
          </cell>
        </row>
        <row r="1031">
          <cell r="C1031" t="str">
            <v>BPB-048-CF5202-2RST-</v>
          </cell>
          <cell r="F1031">
            <v>42423.318171296298</v>
          </cell>
          <cell r="H1031" t="str">
            <v>BPB-000-POLYREX-EM</v>
          </cell>
          <cell r="J1031">
            <v>1.4</v>
          </cell>
        </row>
        <row r="1032">
          <cell r="C1032" t="str">
            <v>BPB-048-CF5202-2RST-</v>
          </cell>
          <cell r="F1032">
            <v>42423.318171296298</v>
          </cell>
          <cell r="H1032" t="str">
            <v>BPB-037-3/16-G10</v>
          </cell>
          <cell r="J1032">
            <v>18</v>
          </cell>
        </row>
        <row r="1033">
          <cell r="C1033" t="str">
            <v>B&amp;P-037-BP-13014</v>
          </cell>
          <cell r="F1033">
            <v>42030.401261574072</v>
          </cell>
          <cell r="H1033" t="str">
            <v>B&amp;P-047-BP-13014-A</v>
          </cell>
          <cell r="J1033">
            <v>1</v>
          </cell>
        </row>
        <row r="1034">
          <cell r="C1034" t="str">
            <v>B&amp;P-041-BP-13008-A1</v>
          </cell>
          <cell r="F1034">
            <v>42041.468043981484</v>
          </cell>
          <cell r="H1034" t="str">
            <v>BPB-999-SAE52100Ø82</v>
          </cell>
          <cell r="J1034">
            <v>3.2000000000000001E-2</v>
          </cell>
        </row>
        <row r="1035">
          <cell r="C1035" t="str">
            <v>B&amp;P-041-BP-13008-A2</v>
          </cell>
          <cell r="F1035">
            <v>42069.443518518521</v>
          </cell>
          <cell r="H1035" t="str">
            <v>BPB-999-SAE52100Ø47</v>
          </cell>
          <cell r="J1035">
            <v>0.04</v>
          </cell>
        </row>
        <row r="1036">
          <cell r="C1036" t="str">
            <v>B&amp;P-002-MG5306RR3-A2</v>
          </cell>
          <cell r="F1036">
            <v>42074.505729166667</v>
          </cell>
          <cell r="H1036" t="str">
            <v>BPB-999-SAE52100Ø47</v>
          </cell>
          <cell r="J1036">
            <v>4.7E-2</v>
          </cell>
        </row>
        <row r="1037">
          <cell r="C1037" t="str">
            <v>BPB-041-BP-13007</v>
          </cell>
          <cell r="F1037">
            <v>42248.623553240737</v>
          </cell>
          <cell r="H1037" t="str">
            <v>BPB-001-BP-13007-01</v>
          </cell>
          <cell r="J1037">
            <v>1</v>
          </cell>
        </row>
        <row r="1038">
          <cell r="C1038" t="str">
            <v>BPB-041-BP-13007</v>
          </cell>
          <cell r="F1038">
            <v>42248.623553240737</v>
          </cell>
          <cell r="H1038" t="str">
            <v>BPB-002-BP-13007-02</v>
          </cell>
          <cell r="J1038">
            <v>1</v>
          </cell>
        </row>
        <row r="1039">
          <cell r="C1039" t="str">
            <v>BPB-041-BP-13007</v>
          </cell>
          <cell r="F1039">
            <v>42248.623553240737</v>
          </cell>
          <cell r="H1039" t="str">
            <v>B&amp;P-003-Ball-5/16</v>
          </cell>
          <cell r="J1039">
            <v>22</v>
          </cell>
        </row>
        <row r="1040">
          <cell r="C1040" t="str">
            <v>BPB-041-BP-13007</v>
          </cell>
          <cell r="F1040">
            <v>42248.623553240737</v>
          </cell>
          <cell r="H1040" t="str">
            <v>BPB-005-MG5306-17</v>
          </cell>
          <cell r="J1040">
            <v>2</v>
          </cell>
        </row>
        <row r="1041">
          <cell r="C1041" t="str">
            <v>BPB-041-BP-13007</v>
          </cell>
          <cell r="F1041">
            <v>42248.623553240737</v>
          </cell>
          <cell r="H1041" t="str">
            <v>BPB-004-MG5306-08</v>
          </cell>
          <cell r="J1041">
            <v>2</v>
          </cell>
        </row>
        <row r="1042">
          <cell r="C1042" t="str">
            <v>BPB-041-BP-13007</v>
          </cell>
          <cell r="F1042">
            <v>42248.623553240737</v>
          </cell>
          <cell r="H1042" t="str">
            <v>BPB-004-MG5306-18</v>
          </cell>
          <cell r="J1042">
            <v>2</v>
          </cell>
        </row>
        <row r="1043">
          <cell r="C1043" t="str">
            <v>BPB-041-BP-13007</v>
          </cell>
          <cell r="F1043">
            <v>42248.623553240737</v>
          </cell>
          <cell r="H1043" t="str">
            <v>BPB-000-POLYREX-EM</v>
          </cell>
          <cell r="J1043">
            <v>9.6</v>
          </cell>
        </row>
        <row r="1044">
          <cell r="C1044" t="str">
            <v>B&amp;P-047-SAB-206-20DG</v>
          </cell>
          <cell r="F1044">
            <v>42290.609675925924</v>
          </cell>
          <cell r="H1044" t="str">
            <v>B&amp;P-001-OR206-01</v>
          </cell>
          <cell r="J1044">
            <v>1</v>
          </cell>
        </row>
        <row r="1045">
          <cell r="C1045" t="str">
            <v>B&amp;P-047-SAB-206-20DG</v>
          </cell>
          <cell r="F1045">
            <v>42290.609675925924</v>
          </cell>
          <cell r="H1045" t="str">
            <v>B&amp;P-002-SAB206-20-02</v>
          </cell>
          <cell r="J1045">
            <v>1</v>
          </cell>
        </row>
        <row r="1046">
          <cell r="C1046" t="str">
            <v>B&amp;P-047-SAB-206-20DG</v>
          </cell>
          <cell r="F1046">
            <v>42290.609675925924</v>
          </cell>
          <cell r="H1046" t="str">
            <v>B&amp;P-003-Ball-3/8</v>
          </cell>
          <cell r="J1046">
            <v>9</v>
          </cell>
        </row>
        <row r="1047">
          <cell r="C1047" t="str">
            <v>B&amp;P-047-SAB-206-20DG</v>
          </cell>
          <cell r="F1047">
            <v>42290.609675925924</v>
          </cell>
          <cell r="H1047" t="str">
            <v>B&amp;P-005-CAGE206-17</v>
          </cell>
          <cell r="J1047">
            <v>1</v>
          </cell>
        </row>
        <row r="1048">
          <cell r="C1048" t="str">
            <v>B&amp;P-047-SAB-206-20DG</v>
          </cell>
          <cell r="F1048">
            <v>42290.609675925924</v>
          </cell>
          <cell r="H1048" t="str">
            <v>BPB-000-POLYREX-EM</v>
          </cell>
          <cell r="J1048">
            <v>5.5</v>
          </cell>
        </row>
        <row r="1049">
          <cell r="C1049" t="str">
            <v>B&amp;P-047-SAB-206-20DG</v>
          </cell>
          <cell r="F1049">
            <v>42290.609675925924</v>
          </cell>
          <cell r="H1049" t="str">
            <v>B&amp;P-004-206-DBL-08</v>
          </cell>
          <cell r="J1049">
            <v>2</v>
          </cell>
        </row>
        <row r="1050">
          <cell r="C1050" t="str">
            <v>B&amp;P-002-SAB207-35-02</v>
          </cell>
          <cell r="F1050">
            <v>42293.521840277775</v>
          </cell>
          <cell r="H1050" t="str">
            <v>B&amp;P-002-SAB207-35-A2</v>
          </cell>
          <cell r="J1050">
            <v>1</v>
          </cell>
        </row>
        <row r="1051">
          <cell r="C1051" t="str">
            <v>B&amp;P-001-OR207-01</v>
          </cell>
          <cell r="F1051">
            <v>42293.522858796299</v>
          </cell>
          <cell r="H1051" t="str">
            <v>B&amp;P-001-OR207-A1</v>
          </cell>
          <cell r="J1051">
            <v>1</v>
          </cell>
        </row>
        <row r="1052">
          <cell r="C1052" t="str">
            <v>PEE-041-6205-2RLD-C3</v>
          </cell>
          <cell r="F1052">
            <v>42300.308263888888</v>
          </cell>
          <cell r="H1052" t="str">
            <v>PEE-041-6205-ZZ-C3</v>
          </cell>
          <cell r="J1052">
            <v>1</v>
          </cell>
        </row>
        <row r="1053">
          <cell r="C1053" t="str">
            <v>PEE-041-6205-2RLD-C3</v>
          </cell>
          <cell r="F1053">
            <v>42300.308263888888</v>
          </cell>
          <cell r="H1053" t="str">
            <v>BPB-000-POLYREX-EM</v>
          </cell>
          <cell r="J1053">
            <v>1.7</v>
          </cell>
        </row>
        <row r="1054">
          <cell r="C1054" t="str">
            <v>PEE-041-6205-2RLD-C3</v>
          </cell>
          <cell r="F1054">
            <v>42300.308263888888</v>
          </cell>
          <cell r="H1054" t="str">
            <v>PEE-027-RLD-6205-RED</v>
          </cell>
          <cell r="J1054">
            <v>2</v>
          </cell>
        </row>
        <row r="1055">
          <cell r="C1055" t="str">
            <v>BPB-037-BP-12011-A3</v>
          </cell>
          <cell r="F1055">
            <v>42331.353796296295</v>
          </cell>
          <cell r="H1055" t="str">
            <v>BPB-999-SAE1045Ø27</v>
          </cell>
          <cell r="J1055">
            <v>3.1E-2</v>
          </cell>
        </row>
        <row r="1056">
          <cell r="C1056" t="str">
            <v>BPB-048-SAB5207-35</v>
          </cell>
          <cell r="F1056">
            <v>41989.327152777776</v>
          </cell>
          <cell r="H1056" t="str">
            <v>B&amp;P-001-OR-5207-01</v>
          </cell>
          <cell r="J1056">
            <v>1</v>
          </cell>
        </row>
        <row r="1057">
          <cell r="C1057" t="str">
            <v>BPB-048-SAB5207-35</v>
          </cell>
          <cell r="F1057">
            <v>41989.327152777776</v>
          </cell>
          <cell r="H1057" t="str">
            <v>B&amp;P-002-SAB-5207-02</v>
          </cell>
          <cell r="J1057">
            <v>1</v>
          </cell>
        </row>
        <row r="1058">
          <cell r="C1058" t="str">
            <v>BPB-048-SAB5207-35</v>
          </cell>
          <cell r="F1058">
            <v>41989.327152777776</v>
          </cell>
          <cell r="H1058" t="str">
            <v>B&amp;P-003-BALL-8.5</v>
          </cell>
          <cell r="J1058">
            <v>20</v>
          </cell>
        </row>
        <row r="1059">
          <cell r="C1059" t="str">
            <v>BPB-048-SAB5207-35</v>
          </cell>
          <cell r="F1059">
            <v>41989.327152777776</v>
          </cell>
          <cell r="H1059" t="str">
            <v>B&amp;P-005-CAGE-5207-17</v>
          </cell>
          <cell r="J1059">
            <v>2</v>
          </cell>
        </row>
        <row r="1060">
          <cell r="C1060" t="str">
            <v>BPB-048-SAB5207-35</v>
          </cell>
          <cell r="F1060">
            <v>41989.327152777776</v>
          </cell>
          <cell r="H1060" t="str">
            <v>BPB-000-POLYREX-EM</v>
          </cell>
          <cell r="J1060">
            <v>7</v>
          </cell>
        </row>
        <row r="1061">
          <cell r="C1061" t="str">
            <v>BPB-048-SAB5207-35</v>
          </cell>
          <cell r="F1061">
            <v>41989.327152777776</v>
          </cell>
          <cell r="H1061" t="str">
            <v>B&amp;P-004-5207-08</v>
          </cell>
          <cell r="J1061">
            <v>2</v>
          </cell>
        </row>
        <row r="1062">
          <cell r="C1062" t="str">
            <v>B&amp;P-058-3T-12413-MX</v>
          </cell>
          <cell r="F1062">
            <v>42158.58425925926</v>
          </cell>
          <cell r="H1062" t="str">
            <v>B&amp;P-003-3TX-12413</v>
          </cell>
          <cell r="J1062">
            <v>17</v>
          </cell>
        </row>
        <row r="1063">
          <cell r="C1063" t="str">
            <v>B&amp;P-058-3T-12413-MX</v>
          </cell>
          <cell r="F1063">
            <v>42158.58425925926</v>
          </cell>
          <cell r="H1063" t="str">
            <v>B&amp;P-005-3TX-12413</v>
          </cell>
          <cell r="J1063">
            <v>1</v>
          </cell>
        </row>
        <row r="1064">
          <cell r="C1064" t="str">
            <v>B&amp;P-058-3T-12413-MX</v>
          </cell>
          <cell r="F1064">
            <v>42158.58425925926</v>
          </cell>
          <cell r="H1064" t="str">
            <v>B&amp;P-053-3TX-12413</v>
          </cell>
          <cell r="J1064">
            <v>1</v>
          </cell>
        </row>
        <row r="1065">
          <cell r="C1065" t="str">
            <v>B&amp;P-058-3T-12413-MX</v>
          </cell>
          <cell r="F1065">
            <v>42158.58425925926</v>
          </cell>
          <cell r="H1065" t="str">
            <v>B&amp;P-054-3TY-12413</v>
          </cell>
          <cell r="J1065">
            <v>1</v>
          </cell>
        </row>
        <row r="1066">
          <cell r="C1066" t="str">
            <v>B&amp;P-058-3T-14123-MX</v>
          </cell>
          <cell r="F1066">
            <v>42158.605300925927</v>
          </cell>
          <cell r="H1066" t="str">
            <v>B&amp;P-003-3TX-14123</v>
          </cell>
          <cell r="J1066">
            <v>15</v>
          </cell>
        </row>
        <row r="1067">
          <cell r="C1067" t="str">
            <v>B&amp;P-058-3T-14123-MX</v>
          </cell>
          <cell r="F1067">
            <v>42158.605300925927</v>
          </cell>
          <cell r="H1067" t="str">
            <v>B&amp;P-005-3TX-14123</v>
          </cell>
          <cell r="J1067">
            <v>1</v>
          </cell>
        </row>
        <row r="1068">
          <cell r="C1068" t="str">
            <v>B&amp;P-058-3T-14123-MX</v>
          </cell>
          <cell r="F1068">
            <v>42158.605300925927</v>
          </cell>
          <cell r="H1068" t="str">
            <v>B&amp;P-053-3TX-14123</v>
          </cell>
          <cell r="J1068">
            <v>1</v>
          </cell>
        </row>
        <row r="1069">
          <cell r="C1069" t="str">
            <v>B&amp;P-058-3T-14123-MX</v>
          </cell>
          <cell r="F1069">
            <v>42158.605300925927</v>
          </cell>
          <cell r="H1069" t="str">
            <v>B&amp;P-054-3TY-14123</v>
          </cell>
          <cell r="J1069">
            <v>1</v>
          </cell>
        </row>
        <row r="1070">
          <cell r="C1070" t="str">
            <v>BPB-041-MS06-2RST</v>
          </cell>
          <cell r="F1070">
            <v>42404.318576388891</v>
          </cell>
          <cell r="H1070" t="str">
            <v>B&amp;P-001-MS06-D</v>
          </cell>
          <cell r="J1070">
            <v>1</v>
          </cell>
        </row>
        <row r="1071">
          <cell r="C1071" t="str">
            <v>BPB-041-MS06-2RST</v>
          </cell>
          <cell r="F1071">
            <v>42404.318576388891</v>
          </cell>
          <cell r="H1071" t="str">
            <v>B&amp;P-002-MS06-D</v>
          </cell>
          <cell r="J1071">
            <v>1</v>
          </cell>
        </row>
        <row r="1072">
          <cell r="C1072" t="str">
            <v>BPB-041-MS06-2RST</v>
          </cell>
          <cell r="F1072">
            <v>42404.318576388891</v>
          </cell>
          <cell r="H1072" t="str">
            <v>B&amp;P-005-RET/SET-MS06</v>
          </cell>
          <cell r="J1072">
            <v>1</v>
          </cell>
        </row>
        <row r="1073">
          <cell r="C1073" t="str">
            <v>BPB-041-MS06-2RST</v>
          </cell>
          <cell r="F1073">
            <v>42404.318576388891</v>
          </cell>
          <cell r="H1073" t="str">
            <v>B&amp;P-003-Ball-3/8</v>
          </cell>
          <cell r="J1073">
            <v>9</v>
          </cell>
        </row>
        <row r="1074">
          <cell r="C1074" t="str">
            <v>BPB-041-MS06-2RST</v>
          </cell>
          <cell r="F1074">
            <v>42404.318576388891</v>
          </cell>
          <cell r="H1074" t="str">
            <v>B&amp;P-004-MS06-2RST-08</v>
          </cell>
          <cell r="J1074">
            <v>2</v>
          </cell>
        </row>
        <row r="1075">
          <cell r="C1075" t="str">
            <v>BPB-041-MS06-2RST</v>
          </cell>
          <cell r="F1075">
            <v>42404.318576388891</v>
          </cell>
          <cell r="H1075" t="str">
            <v>BPB-000-POLYREX-EM</v>
          </cell>
          <cell r="J1075">
            <v>6</v>
          </cell>
        </row>
        <row r="1076">
          <cell r="C1076" t="str">
            <v>B&amp;P-EMQ-MS03-2RLD-C3</v>
          </cell>
          <cell r="F1076">
            <v>42416.335162037038</v>
          </cell>
          <cell r="H1076" t="str">
            <v>B&amp;P-EMQ-MS03-D-C3</v>
          </cell>
          <cell r="J1076">
            <v>1</v>
          </cell>
        </row>
        <row r="1077">
          <cell r="C1077" t="str">
            <v>B&amp;P-EMQ-MS03-2RLD-C3</v>
          </cell>
          <cell r="F1077">
            <v>42416.335162037038</v>
          </cell>
          <cell r="H1077" t="str">
            <v>B&amp;P-004-MS03RLD-BLUE</v>
          </cell>
          <cell r="J1077">
            <v>2</v>
          </cell>
        </row>
        <row r="1078">
          <cell r="C1078" t="str">
            <v>B&amp;P-EMQ-MS03-2RLD-C3</v>
          </cell>
          <cell r="F1078">
            <v>42416.335162037038</v>
          </cell>
          <cell r="H1078" t="str">
            <v>BPB-000-POLYREX-EM</v>
          </cell>
          <cell r="J1078">
            <v>1</v>
          </cell>
        </row>
        <row r="1079">
          <cell r="C1079" t="str">
            <v>BPB-047-T-205-13</v>
          </cell>
          <cell r="F1079">
            <v>42429.31082175926</v>
          </cell>
          <cell r="H1079" t="str">
            <v>B&amp;P-047-T-205</v>
          </cell>
          <cell r="J1079">
            <v>1</v>
          </cell>
        </row>
        <row r="1080">
          <cell r="C1080" t="str">
            <v>B&amp;P-037-BP-13002-01</v>
          </cell>
          <cell r="F1080">
            <v>42430.48170138889</v>
          </cell>
          <cell r="H1080" t="str">
            <v>B&amp;P-037-BP-13002-B1</v>
          </cell>
          <cell r="J1080">
            <v>1</v>
          </cell>
        </row>
        <row r="1081">
          <cell r="C1081" t="str">
            <v>B&amp;P-037-BP-13002-02</v>
          </cell>
          <cell r="F1081">
            <v>42430.483796296299</v>
          </cell>
          <cell r="H1081" t="str">
            <v>B&amp;P-037-BP-13002-B2</v>
          </cell>
          <cell r="J1081">
            <v>1</v>
          </cell>
        </row>
        <row r="1082">
          <cell r="C1082" t="str">
            <v>B&amp;P-047-F-207-M</v>
          </cell>
          <cell r="F1082">
            <v>43202.465428240743</v>
          </cell>
          <cell r="H1082" t="str">
            <v>B&amp;P-047-F-207</v>
          </cell>
          <cell r="J1082">
            <v>1</v>
          </cell>
        </row>
        <row r="1083">
          <cell r="C1083" t="str">
            <v>BPB-047-FT208-M</v>
          </cell>
          <cell r="F1083">
            <v>42432.430775462963</v>
          </cell>
          <cell r="H1083" t="str">
            <v>B&amp;P-047-FT-208</v>
          </cell>
          <cell r="J1083">
            <v>1</v>
          </cell>
        </row>
        <row r="1084">
          <cell r="C1084" t="str">
            <v>BPB-048-AG-3565-CH</v>
          </cell>
          <cell r="F1084">
            <v>44501.379942129628</v>
          </cell>
          <cell r="H1084" t="str">
            <v>BPB-056-ENG-3565-CH</v>
          </cell>
          <cell r="J1084">
            <v>1</v>
          </cell>
        </row>
        <row r="1085">
          <cell r="C1085" t="str">
            <v>BPB-048-AG-3565-CH</v>
          </cell>
          <cell r="F1085">
            <v>44501.379942129628</v>
          </cell>
          <cell r="H1085" t="str">
            <v>B&amp;P-048-AG-1235-B</v>
          </cell>
          <cell r="J1085">
            <v>1</v>
          </cell>
        </row>
        <row r="1086">
          <cell r="C1086" t="str">
            <v>BPB-052-SP205-05</v>
          </cell>
          <cell r="F1086">
            <v>42156.318402777775</v>
          </cell>
          <cell r="H1086" t="str">
            <v>BPB-037-AISI304Ø12</v>
          </cell>
          <cell r="J1086">
            <v>3.2000000000000001E-2</v>
          </cell>
        </row>
        <row r="1087">
          <cell r="C1087" t="str">
            <v>BPB-052-SP205-04</v>
          </cell>
          <cell r="F1087">
            <v>42156.320729166669</v>
          </cell>
          <cell r="H1087" t="str">
            <v>BPB-037-AISI304Ø12</v>
          </cell>
          <cell r="J1087">
            <v>2.7E-2</v>
          </cell>
        </row>
        <row r="1088">
          <cell r="C1088" t="str">
            <v>B&amp;P-058-3T-12012-MX</v>
          </cell>
          <cell r="F1088">
            <v>42156.600081018521</v>
          </cell>
          <cell r="H1088" t="str">
            <v>B&amp;P-053-3TX-12012</v>
          </cell>
          <cell r="J1088">
            <v>1</v>
          </cell>
        </row>
        <row r="1089">
          <cell r="C1089" t="str">
            <v>B&amp;P-058-3T-12012-MX</v>
          </cell>
          <cell r="F1089">
            <v>42156.600081018521</v>
          </cell>
          <cell r="H1089" t="str">
            <v>B&amp;P-005-3TX-12012</v>
          </cell>
          <cell r="J1089">
            <v>1</v>
          </cell>
        </row>
        <row r="1090">
          <cell r="C1090" t="str">
            <v>B&amp;P-058-3T-12012-MX</v>
          </cell>
          <cell r="F1090">
            <v>42156.600081018521</v>
          </cell>
          <cell r="H1090" t="str">
            <v>B&amp;P-003-3TX-12012</v>
          </cell>
          <cell r="J1090">
            <v>1</v>
          </cell>
        </row>
        <row r="1091">
          <cell r="C1091" t="str">
            <v>B&amp;P-058-3T-12012-MX</v>
          </cell>
          <cell r="F1091">
            <v>42156.600081018521</v>
          </cell>
          <cell r="H1091" t="str">
            <v>B&amp;P-054-3TY-12012</v>
          </cell>
          <cell r="J1091">
            <v>1</v>
          </cell>
        </row>
        <row r="1092">
          <cell r="C1092" t="str">
            <v>BPB-041-MS07-2RST</v>
          </cell>
          <cell r="F1092">
            <v>42220.478530092594</v>
          </cell>
          <cell r="H1092" t="str">
            <v>B&amp;P-001-MS07-D</v>
          </cell>
          <cell r="J1092">
            <v>1</v>
          </cell>
        </row>
        <row r="1093">
          <cell r="C1093" t="str">
            <v>BPB-041-MS07-2RST</v>
          </cell>
          <cell r="F1093">
            <v>42220.478530092594</v>
          </cell>
          <cell r="H1093" t="str">
            <v>B&amp;P-002-MS07-D</v>
          </cell>
          <cell r="J1093">
            <v>1</v>
          </cell>
        </row>
        <row r="1094">
          <cell r="C1094" t="str">
            <v>BPB-041-MS07-2RST</v>
          </cell>
          <cell r="F1094">
            <v>42220.478530092594</v>
          </cell>
          <cell r="H1094" t="str">
            <v>B&amp;P-005-RET/SET-MS07</v>
          </cell>
          <cell r="J1094">
            <v>1</v>
          </cell>
        </row>
        <row r="1095">
          <cell r="C1095" t="str">
            <v>BPB-041-MS07-2RST</v>
          </cell>
          <cell r="F1095">
            <v>42220.478530092594</v>
          </cell>
          <cell r="H1095" t="str">
            <v>B&amp;P-004-MS07-2RST-08</v>
          </cell>
          <cell r="J1095">
            <v>2</v>
          </cell>
        </row>
        <row r="1096">
          <cell r="C1096" t="str">
            <v>BPB-041-MS07-2RST</v>
          </cell>
          <cell r="F1096">
            <v>42220.478530092594</v>
          </cell>
          <cell r="H1096" t="str">
            <v>BPB-000-POLYREX-EM</v>
          </cell>
          <cell r="J1096">
            <v>8.6</v>
          </cell>
        </row>
        <row r="1097">
          <cell r="C1097" t="str">
            <v>BPB-041-MS07-2RST</v>
          </cell>
          <cell r="F1097">
            <v>42220.478530092594</v>
          </cell>
          <cell r="H1097" t="str">
            <v>B&amp;P-003-Ball-7/16</v>
          </cell>
          <cell r="J1097">
            <v>9</v>
          </cell>
        </row>
        <row r="1098">
          <cell r="C1098" t="str">
            <v>BPB-041-BP-13006</v>
          </cell>
          <cell r="F1098">
            <v>42236.500590277778</v>
          </cell>
          <cell r="H1098" t="str">
            <v>BPB-001-BP-13006-01</v>
          </cell>
          <cell r="J1098">
            <v>1</v>
          </cell>
        </row>
        <row r="1099">
          <cell r="C1099" t="str">
            <v>BPB-041-BP-13006</v>
          </cell>
          <cell r="F1099">
            <v>42236.500590277778</v>
          </cell>
          <cell r="H1099" t="str">
            <v>BPB-002-BP-13006-02</v>
          </cell>
          <cell r="J1099">
            <v>1</v>
          </cell>
        </row>
        <row r="1100">
          <cell r="C1100" t="str">
            <v>BPB-041-BP-13006</v>
          </cell>
          <cell r="F1100">
            <v>42236.500590277778</v>
          </cell>
          <cell r="H1100" t="str">
            <v>B&amp;P-003-Ball-5/16</v>
          </cell>
          <cell r="J1100">
            <v>22</v>
          </cell>
        </row>
        <row r="1101">
          <cell r="C1101" t="str">
            <v>BPB-041-BP-13006</v>
          </cell>
          <cell r="F1101">
            <v>42236.500590277778</v>
          </cell>
          <cell r="H1101" t="str">
            <v>BPB-005-MG5306-17</v>
          </cell>
          <cell r="J1101">
            <v>2</v>
          </cell>
        </row>
        <row r="1102">
          <cell r="C1102" t="str">
            <v>BPB-041-BP-13006</v>
          </cell>
          <cell r="F1102">
            <v>42236.500590277778</v>
          </cell>
          <cell r="H1102" t="str">
            <v>BPB-004-MG5306-08</v>
          </cell>
          <cell r="J1102">
            <v>2</v>
          </cell>
        </row>
        <row r="1103">
          <cell r="C1103" t="str">
            <v>BPB-041-BP-13006</v>
          </cell>
          <cell r="F1103">
            <v>42236.500590277778</v>
          </cell>
          <cell r="H1103" t="str">
            <v>BPB-004-MG5306-18</v>
          </cell>
          <cell r="J1103">
            <v>2</v>
          </cell>
        </row>
        <row r="1104">
          <cell r="C1104" t="str">
            <v>BPB-041-BP-13006</v>
          </cell>
          <cell r="F1104">
            <v>42236.500590277778</v>
          </cell>
          <cell r="H1104" t="str">
            <v>BPB-000-POLYREX-EM</v>
          </cell>
          <cell r="J1104">
            <v>8</v>
          </cell>
        </row>
        <row r="1105">
          <cell r="C1105" t="str">
            <v>BPB-001-BP-13007-01</v>
          </cell>
          <cell r="F1105">
            <v>42236.540613425925</v>
          </cell>
          <cell r="H1105" t="str">
            <v>BPB-001-BP-13007-B1</v>
          </cell>
          <cell r="J1105">
            <v>1</v>
          </cell>
        </row>
        <row r="1106">
          <cell r="C1106" t="str">
            <v>B&amp;P-HS--MS09-D-C3</v>
          </cell>
          <cell r="F1106">
            <v>42277.715196759258</v>
          </cell>
          <cell r="H1106" t="str">
            <v>B&amp;P-001-MS09-D</v>
          </cell>
          <cell r="J1106">
            <v>1</v>
          </cell>
        </row>
        <row r="1107">
          <cell r="C1107" t="str">
            <v>BPB-002-BP-13007-02</v>
          </cell>
          <cell r="F1107">
            <v>42236.542337962965</v>
          </cell>
          <cell r="H1107" t="str">
            <v>BPB-002-BP-13007-B2</v>
          </cell>
          <cell r="J1107">
            <v>1</v>
          </cell>
        </row>
        <row r="1108">
          <cell r="C1108" t="str">
            <v>B&amp;P-HS--MS09-D-C3</v>
          </cell>
          <cell r="F1108">
            <v>42277.715196759258</v>
          </cell>
          <cell r="H1108" t="str">
            <v>B&amp;P-002-MS09-D</v>
          </cell>
          <cell r="J1108">
            <v>1</v>
          </cell>
        </row>
        <row r="1109">
          <cell r="C1109" t="str">
            <v>B&amp;P-HS--MS09-D-C3</v>
          </cell>
          <cell r="F1109">
            <v>42277.715196759258</v>
          </cell>
          <cell r="H1109" t="str">
            <v>B&amp;P-005-RET/SET-MS09</v>
          </cell>
          <cell r="J1109">
            <v>1</v>
          </cell>
        </row>
        <row r="1110">
          <cell r="C1110" t="str">
            <v>B&amp;P-HS--MS09-D-C3</v>
          </cell>
          <cell r="F1110">
            <v>42277.715196759258</v>
          </cell>
          <cell r="H1110" t="str">
            <v>B&amp;P-003-BALL-1/2</v>
          </cell>
          <cell r="J1110">
            <v>9</v>
          </cell>
        </row>
        <row r="1111">
          <cell r="C1111" t="str">
            <v>B&amp;P-037-BP-12011-A5</v>
          </cell>
          <cell r="F1111">
            <v>42318.368252314816</v>
          </cell>
          <cell r="H1111" t="str">
            <v>BPB-999-SAE1045Ø36</v>
          </cell>
          <cell r="J1111">
            <v>8.9999999999999993E-3</v>
          </cell>
        </row>
        <row r="1112">
          <cell r="C1112" t="str">
            <v>B&amp;P-047-ACL-207-22</v>
          </cell>
          <cell r="F1112">
            <v>42342.470405092594</v>
          </cell>
          <cell r="H1112" t="str">
            <v>B&amp;P-001-OR207-01</v>
          </cell>
          <cell r="J1112">
            <v>1</v>
          </cell>
        </row>
        <row r="1113">
          <cell r="C1113" t="str">
            <v>B&amp;P-047-ACL-207-22</v>
          </cell>
          <cell r="F1113">
            <v>42342.470405092594</v>
          </cell>
          <cell r="H1113" t="str">
            <v>B&amp;P-002-ACL207-22-02</v>
          </cell>
          <cell r="J1113">
            <v>1</v>
          </cell>
        </row>
        <row r="1114">
          <cell r="C1114" t="str">
            <v>B&amp;P-047-ACL-207-22</v>
          </cell>
          <cell r="F1114">
            <v>42342.470405092594</v>
          </cell>
          <cell r="H1114" t="str">
            <v>B&amp;P-003-Ball-7/16</v>
          </cell>
          <cell r="J1114">
            <v>9</v>
          </cell>
        </row>
        <row r="1115">
          <cell r="C1115" t="str">
            <v>B&amp;P-047-ACL-207-22</v>
          </cell>
          <cell r="F1115">
            <v>42342.470405092594</v>
          </cell>
          <cell r="H1115" t="str">
            <v>B&amp;P-005-CAGE207-17</v>
          </cell>
          <cell r="J1115">
            <v>1</v>
          </cell>
        </row>
        <row r="1116">
          <cell r="C1116" t="str">
            <v>B&amp;P-047-ACL-207-22</v>
          </cell>
          <cell r="F1116">
            <v>42342.470405092594</v>
          </cell>
          <cell r="H1116" t="str">
            <v>B&amp;P-004-207-RST-08</v>
          </cell>
          <cell r="J1116">
            <v>2</v>
          </cell>
        </row>
        <row r="1117">
          <cell r="C1117" t="str">
            <v>B&amp;P-047-ACL-207-22</v>
          </cell>
          <cell r="F1117">
            <v>42342.470405092594</v>
          </cell>
          <cell r="H1117" t="str">
            <v>B&amp;P-010-LOC207-22</v>
          </cell>
          <cell r="J1117">
            <v>1</v>
          </cell>
        </row>
        <row r="1118">
          <cell r="C1118" t="str">
            <v>B&amp;P-047-ACL-207-22</v>
          </cell>
          <cell r="F1118">
            <v>42342.470405092594</v>
          </cell>
          <cell r="H1118" t="str">
            <v>BPB-000-POLYREX-EM</v>
          </cell>
          <cell r="J1118">
            <v>8.6</v>
          </cell>
        </row>
        <row r="1119">
          <cell r="C1119" t="str">
            <v>BPB-047-PE211-M</v>
          </cell>
          <cell r="F1119">
            <v>43747.529780092591</v>
          </cell>
          <cell r="H1119" t="str">
            <v>B&amp;P-047-PE-211</v>
          </cell>
          <cell r="J1119">
            <v>1</v>
          </cell>
        </row>
        <row r="1120">
          <cell r="C1120" t="str">
            <v>B&amp;P-002-SAB205-25-02</v>
          </cell>
          <cell r="F1120">
            <v>42457.432187500002</v>
          </cell>
          <cell r="H1120" t="str">
            <v>B&amp;P-002-SAB205-25-A2</v>
          </cell>
          <cell r="J1120">
            <v>1</v>
          </cell>
        </row>
        <row r="1121">
          <cell r="C1121" t="str">
            <v>B&amp;P-001-OR205-01</v>
          </cell>
          <cell r="F1121">
            <v>42479.34784722222</v>
          </cell>
          <cell r="H1121" t="str">
            <v>B&amp;P-001-OR205-A1</v>
          </cell>
          <cell r="J1121">
            <v>1</v>
          </cell>
        </row>
        <row r="1122">
          <cell r="C1122" t="str">
            <v>BPB-047-SP205-03</v>
          </cell>
          <cell r="F1122">
            <v>42481.606574074074</v>
          </cell>
          <cell r="H1122" t="str">
            <v>BPB-037-AL6061</v>
          </cell>
          <cell r="J1122">
            <v>0.05</v>
          </cell>
        </row>
        <row r="1123">
          <cell r="C1123" t="str">
            <v>B&amp;P-048-59196-20</v>
          </cell>
          <cell r="F1123">
            <v>42481.644467592596</v>
          </cell>
          <cell r="H1123" t="str">
            <v>B&amp;P-048-59196</v>
          </cell>
          <cell r="J1123">
            <v>1</v>
          </cell>
        </row>
        <row r="1124">
          <cell r="C1124" t="str">
            <v>BPB-042-22215-CW33C3</v>
          </cell>
          <cell r="F1124">
            <v>43039.684629629628</v>
          </cell>
          <cell r="H1124" t="str">
            <v>KGI-042-22215-CW33C3</v>
          </cell>
          <cell r="J1124">
            <v>1</v>
          </cell>
        </row>
        <row r="1125">
          <cell r="C1125" t="str">
            <v>BPB-048-206-K14</v>
          </cell>
          <cell r="F1125">
            <v>43040.341319444444</v>
          </cell>
          <cell r="H1125" t="str">
            <v>BPB-048-206-KRR14</v>
          </cell>
          <cell r="J1125">
            <v>1</v>
          </cell>
        </row>
        <row r="1126">
          <cell r="C1126" t="str">
            <v>B&amp;P-058-32007-MX</v>
          </cell>
          <cell r="F1126">
            <v>43047.630127314813</v>
          </cell>
          <cell r="H1126" t="str">
            <v>B&amp;P-053-TDX007</v>
          </cell>
          <cell r="J1126">
            <v>1</v>
          </cell>
        </row>
        <row r="1127">
          <cell r="C1127" t="str">
            <v>B&amp;P-058-32007-MX</v>
          </cell>
          <cell r="F1127">
            <v>43047.630127314813</v>
          </cell>
          <cell r="H1127" t="str">
            <v>B&amp;P-054-TDY007</v>
          </cell>
          <cell r="J1127">
            <v>1</v>
          </cell>
        </row>
        <row r="1128">
          <cell r="C1128" t="str">
            <v>BPB-048-GW-208-PPB22</v>
          </cell>
          <cell r="F1128">
            <v>43047.710081018522</v>
          </cell>
          <cell r="H1128" t="str">
            <v>B&amp;P-001-OR208-G</v>
          </cell>
          <cell r="J1128">
            <v>1</v>
          </cell>
        </row>
        <row r="1129">
          <cell r="C1129" t="str">
            <v>BPB-048-GW-208-PPB22</v>
          </cell>
          <cell r="F1129">
            <v>43047.710081018522</v>
          </cell>
          <cell r="H1129" t="str">
            <v>B&amp;P-002-208-16</v>
          </cell>
          <cell r="J1129">
            <v>1</v>
          </cell>
        </row>
        <row r="1130">
          <cell r="C1130" t="str">
            <v>BPB-048-GW-208-PPB22</v>
          </cell>
          <cell r="F1130">
            <v>43047.710081018522</v>
          </cell>
          <cell r="H1130" t="str">
            <v>B&amp;P-005-CAGE208-17</v>
          </cell>
          <cell r="J1130">
            <v>1</v>
          </cell>
        </row>
        <row r="1131">
          <cell r="C1131" t="str">
            <v>BPB-048-GW-208-PPB22</v>
          </cell>
          <cell r="F1131">
            <v>43047.710081018522</v>
          </cell>
          <cell r="H1131" t="str">
            <v>B&amp;P-003-BALL-1/2</v>
          </cell>
          <cell r="J1131">
            <v>9</v>
          </cell>
        </row>
        <row r="1132">
          <cell r="C1132" t="str">
            <v>BPB-048-GW-208-PPB22</v>
          </cell>
          <cell r="F1132">
            <v>43047.710081018522</v>
          </cell>
          <cell r="H1132" t="str">
            <v>B&amp;P-004-208-DBL-08</v>
          </cell>
          <cell r="J1132">
            <v>2</v>
          </cell>
        </row>
        <row r="1133">
          <cell r="C1133" t="str">
            <v>BPB-048-GW-208-PPB22</v>
          </cell>
          <cell r="F1133">
            <v>43047.710081018522</v>
          </cell>
          <cell r="H1133" t="str">
            <v>BPB-000-POLYREX-EM</v>
          </cell>
          <cell r="J1133">
            <v>12</v>
          </cell>
        </row>
        <row r="1134">
          <cell r="C1134" t="str">
            <v>B&amp;P-047-ECL207-35MM</v>
          </cell>
          <cell r="F1134">
            <v>43052.636608796296</v>
          </cell>
          <cell r="H1134" t="str">
            <v>B&amp;P-001-OR207</v>
          </cell>
          <cell r="J1134">
            <v>1</v>
          </cell>
        </row>
        <row r="1135">
          <cell r="C1135" t="str">
            <v>B&amp;P-047-ECL207-35MM</v>
          </cell>
          <cell r="F1135">
            <v>43052.636608796296</v>
          </cell>
          <cell r="H1135" t="str">
            <v>B&amp;P-002-ECL207-35-02</v>
          </cell>
          <cell r="J1135">
            <v>1</v>
          </cell>
        </row>
        <row r="1136">
          <cell r="C1136" t="str">
            <v>B&amp;P-047-ECL207-35MM</v>
          </cell>
          <cell r="F1136">
            <v>43052.636608796296</v>
          </cell>
          <cell r="H1136" t="str">
            <v>B&amp;P-003-Ball-7/16</v>
          </cell>
          <cell r="J1136">
            <v>9</v>
          </cell>
        </row>
        <row r="1137">
          <cell r="C1137" t="str">
            <v>B&amp;P-047-ECL207-35MM</v>
          </cell>
          <cell r="F1137">
            <v>43052.636608796296</v>
          </cell>
          <cell r="H1137" t="str">
            <v>B&amp;P-004-207-RST-08</v>
          </cell>
          <cell r="J1137">
            <v>2</v>
          </cell>
        </row>
        <row r="1138">
          <cell r="C1138" t="str">
            <v>B&amp;P-047-ECL207-35MM</v>
          </cell>
          <cell r="F1138">
            <v>43052.636608796296</v>
          </cell>
          <cell r="H1138" t="str">
            <v>B&amp;P-005-CAGE207-17</v>
          </cell>
          <cell r="J1138">
            <v>1</v>
          </cell>
        </row>
        <row r="1139">
          <cell r="C1139" t="str">
            <v>B&amp;P-047-ECL207-35MM</v>
          </cell>
          <cell r="F1139">
            <v>43052.636608796296</v>
          </cell>
          <cell r="H1139" t="str">
            <v>BPB-027-SLINGER-207</v>
          </cell>
          <cell r="J1139">
            <v>2</v>
          </cell>
        </row>
        <row r="1140">
          <cell r="C1140" t="str">
            <v>B&amp;P-047-ECL207-35MM</v>
          </cell>
          <cell r="F1140">
            <v>43052.636608796296</v>
          </cell>
          <cell r="H1140" t="str">
            <v>B&amp;P-010-LOC207-35</v>
          </cell>
          <cell r="J1140">
            <v>1</v>
          </cell>
        </row>
        <row r="1141">
          <cell r="C1141" t="str">
            <v>B&amp;P-047-ECL207-35MM</v>
          </cell>
          <cell r="F1141">
            <v>43052.636608796296</v>
          </cell>
          <cell r="H1141" t="str">
            <v>BPB-000-POLYREX-EM</v>
          </cell>
          <cell r="J1141">
            <v>9</v>
          </cell>
        </row>
        <row r="1142">
          <cell r="C1142" t="str">
            <v>B&amp;P-058-32008-MX</v>
          </cell>
          <cell r="F1142">
            <v>44336.338564814818</v>
          </cell>
          <cell r="H1142" t="str">
            <v>B&amp;P-053-X-32008</v>
          </cell>
          <cell r="J1142">
            <v>1</v>
          </cell>
        </row>
        <row r="1143">
          <cell r="C1143" t="str">
            <v>B&amp;P-058-32008-MX</v>
          </cell>
          <cell r="F1143">
            <v>44336.338564814818</v>
          </cell>
          <cell r="H1143" t="str">
            <v>B&amp;P-054-TDY008</v>
          </cell>
          <cell r="J1143">
            <v>1</v>
          </cell>
        </row>
        <row r="1144">
          <cell r="C1144" t="str">
            <v>B&amp;P-058-32013-MX</v>
          </cell>
          <cell r="F1144">
            <v>43055.657256944447</v>
          </cell>
          <cell r="H1144" t="str">
            <v>B&amp;P-053-X-32013</v>
          </cell>
          <cell r="J1144">
            <v>1</v>
          </cell>
        </row>
        <row r="1145">
          <cell r="C1145" t="str">
            <v>B&amp;P-058-32013-MX</v>
          </cell>
          <cell r="F1145">
            <v>43055.657256944447</v>
          </cell>
          <cell r="H1145" t="str">
            <v>B&amp;P-054-TDY013</v>
          </cell>
          <cell r="J1145">
            <v>1</v>
          </cell>
        </row>
        <row r="1146">
          <cell r="C1146" t="str">
            <v>BPB-037-BP-17011-A2</v>
          </cell>
          <cell r="F1146">
            <v>43083.386365740742</v>
          </cell>
          <cell r="H1146" t="str">
            <v>BPB-037-SAE8620Ø54</v>
          </cell>
          <cell r="J1146">
            <v>2.7E-2</v>
          </cell>
        </row>
        <row r="1147">
          <cell r="C1147" t="str">
            <v>BPB-041-6208</v>
          </cell>
          <cell r="F1147">
            <v>43089.703703703701</v>
          </cell>
          <cell r="H1147" t="str">
            <v>B&amp;P-041-MS08-2RST</v>
          </cell>
          <cell r="J1147">
            <v>1</v>
          </cell>
        </row>
        <row r="1148">
          <cell r="C1148" t="str">
            <v>B&amp;P-041-BP-13021</v>
          </cell>
          <cell r="F1148">
            <v>43118.379166666666</v>
          </cell>
          <cell r="H1148" t="str">
            <v>BPB-999-SAE1010Ø152</v>
          </cell>
          <cell r="J1148">
            <v>3.2000000000000001E-2</v>
          </cell>
        </row>
        <row r="1149">
          <cell r="C1149" t="str">
            <v>BPB-040-7207-B</v>
          </cell>
          <cell r="F1149">
            <v>43151.682905092595</v>
          </cell>
          <cell r="H1149" t="str">
            <v>KGI-042-7207-B</v>
          </cell>
          <cell r="J1149">
            <v>1</v>
          </cell>
        </row>
        <row r="1150">
          <cell r="C1150" t="str">
            <v>BPB-040-7209-B</v>
          </cell>
          <cell r="F1150">
            <v>43151.684502314813</v>
          </cell>
          <cell r="H1150" t="str">
            <v>KGI-042-7209-B</v>
          </cell>
          <cell r="J1150">
            <v>1</v>
          </cell>
        </row>
        <row r="1151">
          <cell r="C1151" t="str">
            <v>B&amp;P-ALU-EX-100</v>
          </cell>
          <cell r="F1151">
            <v>43167.427210648151</v>
          </cell>
          <cell r="H1151" t="str">
            <v>B&amp;P-ALU-DISI-EX100</v>
          </cell>
          <cell r="J1151">
            <v>1</v>
          </cell>
        </row>
        <row r="1152">
          <cell r="C1152" t="str">
            <v>BPB-048-203-KRR3</v>
          </cell>
          <cell r="F1152">
            <v>43175.406064814815</v>
          </cell>
          <cell r="H1152" t="str">
            <v>PEE-048-203-KRR3</v>
          </cell>
          <cell r="J1152">
            <v>1</v>
          </cell>
        </row>
        <row r="1153">
          <cell r="C1153" t="str">
            <v>BPB-048-203-KRR3</v>
          </cell>
          <cell r="F1153">
            <v>43175.406064814815</v>
          </cell>
          <cell r="H1153" t="str">
            <v>BPB-027-SEAL203KRR3</v>
          </cell>
          <cell r="J1153">
            <v>2</v>
          </cell>
        </row>
        <row r="1154">
          <cell r="C1154" t="str">
            <v>BPB-044-BP17011-A1</v>
          </cell>
          <cell r="F1154">
            <v>43140.357824074075</v>
          </cell>
          <cell r="H1154" t="str">
            <v>BPB-037-SAE8620Ø101.</v>
          </cell>
          <cell r="J1154">
            <v>2.1999999999999999E-2</v>
          </cell>
        </row>
        <row r="1155">
          <cell r="C1155" t="str">
            <v>B&amp;P-ALU-EX-100</v>
          </cell>
          <cell r="F1155">
            <v>43167.427210648151</v>
          </cell>
          <cell r="H1155" t="str">
            <v>B&amp;P-PCB-PCBEX105</v>
          </cell>
          <cell r="J1155">
            <v>1</v>
          </cell>
        </row>
        <row r="1156">
          <cell r="C1156" t="str">
            <v>BPB-044-BP17010-02</v>
          </cell>
          <cell r="F1156">
            <v>43167.503194444442</v>
          </cell>
          <cell r="H1156" t="str">
            <v>BPB-999-SAE1045Ø47.6</v>
          </cell>
          <cell r="J1156">
            <v>3.5999999999999997E-2</v>
          </cell>
        </row>
        <row r="1157">
          <cell r="C1157" t="str">
            <v>BPB-048-203-KRR3</v>
          </cell>
          <cell r="F1157">
            <v>43175.406064814815</v>
          </cell>
          <cell r="H1157" t="str">
            <v>BPB-000-POLYREX-EM</v>
          </cell>
          <cell r="J1157">
            <v>1.5</v>
          </cell>
        </row>
        <row r="1158">
          <cell r="C1158" t="str">
            <v>BPB-133-PB004761</v>
          </cell>
          <cell r="F1158">
            <v>43185.607881944445</v>
          </cell>
          <cell r="H1158" t="str">
            <v>BPB-033-ASA40-1-REEL</v>
          </cell>
          <cell r="J1158">
            <v>1.83</v>
          </cell>
        </row>
        <row r="1159">
          <cell r="C1159" t="str">
            <v>BPB-133-PB004761</v>
          </cell>
          <cell r="F1159">
            <v>43185.607881944445</v>
          </cell>
          <cell r="H1159" t="str">
            <v>BPB-033-CL-40-1</v>
          </cell>
          <cell r="J1159">
            <v>1</v>
          </cell>
        </row>
        <row r="1160">
          <cell r="C1160" t="str">
            <v>BPB-044-BP17010-01</v>
          </cell>
          <cell r="F1160">
            <v>43193.636284722219</v>
          </cell>
          <cell r="H1160" t="str">
            <v>BPB-044-BP17010-03</v>
          </cell>
          <cell r="J1160">
            <v>1</v>
          </cell>
        </row>
        <row r="1161">
          <cell r="C1161" t="str">
            <v>BPB-044-BP17010-01</v>
          </cell>
          <cell r="F1161">
            <v>43193.636284722219</v>
          </cell>
          <cell r="H1161" t="str">
            <v>BPB-044-BP17010-04</v>
          </cell>
          <cell r="J1161">
            <v>1</v>
          </cell>
        </row>
        <row r="1162">
          <cell r="C1162" t="str">
            <v>B&amp;P-DOB-LP100</v>
          </cell>
          <cell r="F1162">
            <v>43209.488518518519</v>
          </cell>
          <cell r="H1162" t="str">
            <v>B&amp;P-ALU-LP100-HOUSIN</v>
          </cell>
          <cell r="J1162">
            <v>1</v>
          </cell>
        </row>
        <row r="1163">
          <cell r="C1163" t="str">
            <v>B&amp;P-DOB-LP100</v>
          </cell>
          <cell r="F1163">
            <v>43209.488518518519</v>
          </cell>
          <cell r="H1163" t="str">
            <v>B&amp;P-DOB-LP100-PCB</v>
          </cell>
          <cell r="J1163">
            <v>1</v>
          </cell>
        </row>
        <row r="1164">
          <cell r="C1164" t="str">
            <v>B&amp;P-058-32311-MX</v>
          </cell>
          <cell r="F1164">
            <v>43228.444664351853</v>
          </cell>
          <cell r="H1164" t="str">
            <v>B&amp;P-053-X-32311</v>
          </cell>
          <cell r="J1164">
            <v>1</v>
          </cell>
        </row>
        <row r="1165">
          <cell r="C1165" t="str">
            <v>B&amp;P-058-32311-MX</v>
          </cell>
          <cell r="F1165">
            <v>43228.444664351853</v>
          </cell>
          <cell r="H1165" t="str">
            <v>B&amp;P-054-TDY311</v>
          </cell>
          <cell r="J1165">
            <v>1</v>
          </cell>
        </row>
        <row r="1166">
          <cell r="C1166" t="str">
            <v>B&amp;P-058-32310-MX</v>
          </cell>
          <cell r="F1166">
            <v>43228.445520833331</v>
          </cell>
          <cell r="H1166" t="str">
            <v>B&amp;P-053-TDX310</v>
          </cell>
          <cell r="J1166">
            <v>1</v>
          </cell>
        </row>
        <row r="1167">
          <cell r="C1167" t="str">
            <v>B&amp;P-058-32310-MX</v>
          </cell>
          <cell r="F1167">
            <v>43228.445520833331</v>
          </cell>
          <cell r="H1167" t="str">
            <v>B&amp;P-054-TDY310</v>
          </cell>
          <cell r="J1167">
            <v>1</v>
          </cell>
        </row>
        <row r="1168">
          <cell r="C1168" t="str">
            <v>B&amp;P-058-32309-MX</v>
          </cell>
          <cell r="F1168">
            <v>43228.446250000001</v>
          </cell>
          <cell r="H1168" t="str">
            <v>B&amp;P-053-X-32309</v>
          </cell>
          <cell r="J1168">
            <v>1</v>
          </cell>
        </row>
        <row r="1169">
          <cell r="C1169" t="str">
            <v>B&amp;P-058-32309-MX</v>
          </cell>
          <cell r="F1169">
            <v>43228.446250000001</v>
          </cell>
          <cell r="H1169" t="str">
            <v>B&amp;P-054-TDY309</v>
          </cell>
          <cell r="J1169">
            <v>1</v>
          </cell>
        </row>
        <row r="1170">
          <cell r="C1170" t="str">
            <v>B&amp;P-058-32312-MX</v>
          </cell>
          <cell r="F1170">
            <v>43228.454594907409</v>
          </cell>
          <cell r="H1170" t="str">
            <v>B&amp;P-053-X-32312</v>
          </cell>
          <cell r="J1170">
            <v>1</v>
          </cell>
        </row>
        <row r="1171">
          <cell r="C1171" t="str">
            <v>B&amp;P-058-32312-MX</v>
          </cell>
          <cell r="F1171">
            <v>43228.454594907409</v>
          </cell>
          <cell r="H1171" t="str">
            <v>B&amp;P-054-TDY312</v>
          </cell>
          <cell r="J1171">
            <v>1</v>
          </cell>
        </row>
        <row r="1172">
          <cell r="C1172" t="str">
            <v>B&amp;P-058-32307-MX</v>
          </cell>
          <cell r="F1172">
            <v>43228.462881944448</v>
          </cell>
          <cell r="H1172" t="str">
            <v>B&amp;P-053-X-32307</v>
          </cell>
          <cell r="J1172">
            <v>1</v>
          </cell>
        </row>
        <row r="1173">
          <cell r="C1173" t="str">
            <v>B&amp;P-058-32307-MX</v>
          </cell>
          <cell r="F1173">
            <v>43228.462881944448</v>
          </cell>
          <cell r="H1173" t="str">
            <v>B&amp;P-054-TDY307</v>
          </cell>
          <cell r="J1173">
            <v>1</v>
          </cell>
        </row>
        <row r="1174">
          <cell r="C1174" t="str">
            <v>B&amp;P-058-32306-MX</v>
          </cell>
          <cell r="F1174">
            <v>43228.463402777779</v>
          </cell>
          <cell r="H1174" t="str">
            <v>B&amp;P-053-X-32306</v>
          </cell>
          <cell r="J1174">
            <v>1</v>
          </cell>
        </row>
        <row r="1175">
          <cell r="C1175" t="str">
            <v>B&amp;P-058-32306-MX</v>
          </cell>
          <cell r="F1175">
            <v>43228.463402777779</v>
          </cell>
          <cell r="H1175" t="str">
            <v>B&amp;P-054-TDY306</v>
          </cell>
          <cell r="J1175">
            <v>1</v>
          </cell>
        </row>
        <row r="1176">
          <cell r="C1176" t="str">
            <v>B&amp;P-058-32217-MX</v>
          </cell>
          <cell r="F1176">
            <v>43228.464791666665</v>
          </cell>
          <cell r="H1176" t="str">
            <v>B&amp;P-053-X-32217</v>
          </cell>
          <cell r="J1176">
            <v>1</v>
          </cell>
        </row>
        <row r="1177">
          <cell r="C1177" t="str">
            <v>B&amp;P-058-32217-MX</v>
          </cell>
          <cell r="F1177">
            <v>43228.464791666665</v>
          </cell>
          <cell r="H1177" t="str">
            <v>B&amp;P-054-TDY217</v>
          </cell>
          <cell r="J1177">
            <v>1</v>
          </cell>
        </row>
        <row r="1178">
          <cell r="C1178" t="str">
            <v>B&amp;P-048-SAB5209-3</v>
          </cell>
          <cell r="F1178">
            <v>43266.398958333331</v>
          </cell>
          <cell r="H1178" t="str">
            <v>B&amp;P-048-SAB5209-45RR</v>
          </cell>
          <cell r="J1178">
            <v>1</v>
          </cell>
        </row>
        <row r="1179">
          <cell r="C1179" t="str">
            <v>B&amp;P-048-SAB5209-3</v>
          </cell>
          <cell r="F1179">
            <v>43266.398958333331</v>
          </cell>
          <cell r="H1179" t="str">
            <v>BPB-027-SAB5209-08</v>
          </cell>
          <cell r="J1179">
            <v>2</v>
          </cell>
        </row>
        <row r="1180">
          <cell r="C1180" t="str">
            <v>BPB-047-SAB205-25LG</v>
          </cell>
          <cell r="F1180">
            <v>43119.633090277777</v>
          </cell>
          <cell r="H1180" t="str">
            <v>B&amp;P-047-SAB-205-25DG</v>
          </cell>
          <cell r="J1180">
            <v>1</v>
          </cell>
        </row>
        <row r="1181">
          <cell r="C1181" t="str">
            <v>B&amp;P-058-32005-MX</v>
          </cell>
          <cell r="F1181">
            <v>43293.359432870369</v>
          </cell>
          <cell r="H1181" t="str">
            <v>B&amp;P-053-X-32005</v>
          </cell>
          <cell r="J1181">
            <v>1</v>
          </cell>
        </row>
        <row r="1182">
          <cell r="C1182" t="str">
            <v>B&amp;P-058-32005-MX</v>
          </cell>
          <cell r="F1182">
            <v>43293.359432870369</v>
          </cell>
          <cell r="H1182" t="str">
            <v>B&amp;P-054-TDY005</v>
          </cell>
          <cell r="J1182">
            <v>1</v>
          </cell>
        </row>
        <row r="1183">
          <cell r="C1183" t="str">
            <v>BPB-047-ASL-205-16-D</v>
          </cell>
          <cell r="F1183">
            <v>43313.755370370367</v>
          </cell>
          <cell r="H1183" t="str">
            <v>B&amp;P-047-ASL-205-25MM</v>
          </cell>
          <cell r="J1183">
            <v>1</v>
          </cell>
        </row>
        <row r="1184">
          <cell r="C1184" t="str">
            <v>BPB-133-PB002091</v>
          </cell>
          <cell r="F1184">
            <v>43327.656793981485</v>
          </cell>
          <cell r="H1184" t="str">
            <v>BPB-033-ASA40-1-REEL</v>
          </cell>
          <cell r="J1184">
            <v>0.97</v>
          </cell>
        </row>
        <row r="1185">
          <cell r="C1185" t="str">
            <v>BPB-133-PB002091</v>
          </cell>
          <cell r="F1185">
            <v>43327.656793981485</v>
          </cell>
          <cell r="H1185" t="str">
            <v>BPB-033-OL-40-1</v>
          </cell>
          <cell r="J1185">
            <v>1</v>
          </cell>
        </row>
        <row r="1186">
          <cell r="C1186" t="str">
            <v>BPB-133-PB002091</v>
          </cell>
          <cell r="F1186">
            <v>43327.656793981485</v>
          </cell>
          <cell r="H1186" t="str">
            <v>BPB-033-CL-40-1</v>
          </cell>
          <cell r="J1186">
            <v>1</v>
          </cell>
        </row>
        <row r="1187">
          <cell r="C1187" t="str">
            <v>BPB-133-PB005306</v>
          </cell>
          <cell r="F1187">
            <v>43327.658125000002</v>
          </cell>
          <cell r="H1187" t="str">
            <v>BPB-033-ASA40-1-REEL</v>
          </cell>
          <cell r="J1187">
            <v>1.04</v>
          </cell>
        </row>
        <row r="1188">
          <cell r="C1188" t="str">
            <v>BPB-133-PB005306</v>
          </cell>
          <cell r="F1188">
            <v>43327.658125000002</v>
          </cell>
          <cell r="H1188" t="str">
            <v>BPB-033-OL-40-1</v>
          </cell>
          <cell r="J1188">
            <v>1</v>
          </cell>
        </row>
        <row r="1189">
          <cell r="C1189" t="str">
            <v>BPB-133-PB005306</v>
          </cell>
          <cell r="F1189">
            <v>43327.658125000002</v>
          </cell>
          <cell r="H1189" t="str">
            <v>BPB-033-CL-40-1</v>
          </cell>
          <cell r="J1189">
            <v>1</v>
          </cell>
        </row>
        <row r="1190">
          <cell r="C1190" t="str">
            <v>BPB-133-PB005305</v>
          </cell>
          <cell r="F1190">
            <v>43327.658993055556</v>
          </cell>
          <cell r="H1190" t="str">
            <v>BPB-033-ASA40-1-REEL</v>
          </cell>
          <cell r="J1190">
            <v>1.07</v>
          </cell>
        </row>
        <row r="1191">
          <cell r="C1191" t="str">
            <v>BPB-133-PB005305</v>
          </cell>
          <cell r="F1191">
            <v>43327.658993055556</v>
          </cell>
          <cell r="H1191" t="str">
            <v>BPB-033-OL-40-1</v>
          </cell>
          <cell r="J1191">
            <v>1</v>
          </cell>
        </row>
        <row r="1192">
          <cell r="C1192" t="str">
            <v>BPB-133-PB005305</v>
          </cell>
          <cell r="F1192">
            <v>43327.658993055556</v>
          </cell>
          <cell r="H1192" t="str">
            <v>BPB-033-CL-40-1</v>
          </cell>
          <cell r="J1192">
            <v>1</v>
          </cell>
        </row>
        <row r="1193">
          <cell r="C1193" t="str">
            <v>BPB-133-PB004771</v>
          </cell>
          <cell r="F1193">
            <v>43327.660312499997</v>
          </cell>
          <cell r="H1193" t="str">
            <v>BPB-033-ASA40-1-REEL</v>
          </cell>
          <cell r="J1193">
            <v>1.0900000000000001</v>
          </cell>
        </row>
        <row r="1194">
          <cell r="C1194" t="str">
            <v>BPB-133-PB004771</v>
          </cell>
          <cell r="F1194">
            <v>43327.660312499997</v>
          </cell>
          <cell r="H1194" t="str">
            <v>BPB-033-OL-40-1</v>
          </cell>
          <cell r="J1194">
            <v>1</v>
          </cell>
        </row>
        <row r="1195">
          <cell r="C1195" t="str">
            <v>BPB-133-PB004771</v>
          </cell>
          <cell r="F1195">
            <v>43327.660312499997</v>
          </cell>
          <cell r="H1195" t="str">
            <v>BPB-033-CL-40-1</v>
          </cell>
          <cell r="J1195">
            <v>1</v>
          </cell>
        </row>
        <row r="1196">
          <cell r="C1196" t="str">
            <v>BPB-133-PB005307</v>
          </cell>
          <cell r="F1196">
            <v>43327.661203703705</v>
          </cell>
          <cell r="H1196" t="str">
            <v>BPB-033-ASA40-1-REEL</v>
          </cell>
          <cell r="J1196">
            <v>1.73</v>
          </cell>
        </row>
        <row r="1197">
          <cell r="C1197" t="str">
            <v>BPB-133-PB005307</v>
          </cell>
          <cell r="F1197">
            <v>43327.661203703705</v>
          </cell>
          <cell r="H1197" t="str">
            <v>BPB-033-OL-40-1</v>
          </cell>
          <cell r="J1197">
            <v>1</v>
          </cell>
        </row>
        <row r="1198">
          <cell r="C1198" t="str">
            <v>BPB-133-PB005307</v>
          </cell>
          <cell r="F1198">
            <v>43327.661203703705</v>
          </cell>
          <cell r="H1198" t="str">
            <v>BPB-033-CL-40-1</v>
          </cell>
          <cell r="J1198">
            <v>1</v>
          </cell>
        </row>
        <row r="1199">
          <cell r="C1199" t="str">
            <v>BPB-056-48703685</v>
          </cell>
          <cell r="F1199">
            <v>43347.399791666663</v>
          </cell>
          <cell r="H1199" t="str">
            <v>BPB-056-48703685-A</v>
          </cell>
          <cell r="J1199">
            <v>1</v>
          </cell>
        </row>
        <row r="1200">
          <cell r="C1200" t="str">
            <v>BPB-056-48703686</v>
          </cell>
          <cell r="F1200">
            <v>43347.405717592592</v>
          </cell>
          <cell r="H1200" t="str">
            <v>BPB-056-48703686-A</v>
          </cell>
          <cell r="J1200">
            <v>1</v>
          </cell>
        </row>
        <row r="1201">
          <cell r="C1201" t="str">
            <v>BPB-037-CB6203-1450A</v>
          </cell>
          <cell r="F1201">
            <v>43353.458958333336</v>
          </cell>
          <cell r="H1201" t="str">
            <v>000-CAÑ-48X1.6</v>
          </cell>
          <cell r="J1201">
            <v>1.5</v>
          </cell>
        </row>
        <row r="1202">
          <cell r="C1202" t="str">
            <v>BPB-043-CB6203-1450</v>
          </cell>
          <cell r="F1202">
            <v>43353.46197916667</v>
          </cell>
          <cell r="H1202" t="str">
            <v>BPB-037-B2001</v>
          </cell>
          <cell r="J1202">
            <v>2</v>
          </cell>
        </row>
        <row r="1203">
          <cell r="C1203" t="str">
            <v>BPB-048-NTB1613-2RST</v>
          </cell>
          <cell r="F1203">
            <v>43395.455046296294</v>
          </cell>
          <cell r="H1203" t="str">
            <v>BPB-001-NTB1613-01</v>
          </cell>
          <cell r="J1203">
            <v>1</v>
          </cell>
        </row>
        <row r="1204">
          <cell r="C1204" t="str">
            <v>BPB-048-NTB1613-2RST</v>
          </cell>
          <cell r="F1204">
            <v>43395.455046296294</v>
          </cell>
          <cell r="H1204" t="str">
            <v>BPB-002-NTB1613-02</v>
          </cell>
          <cell r="J1204">
            <v>1</v>
          </cell>
        </row>
        <row r="1205">
          <cell r="C1205" t="str">
            <v>BPB-048-NTB1613-2RST</v>
          </cell>
          <cell r="F1205">
            <v>43395.455046296294</v>
          </cell>
          <cell r="H1205" t="str">
            <v>B&amp;P-005-CF5202-2RST</v>
          </cell>
          <cell r="J1205">
            <v>2</v>
          </cell>
        </row>
        <row r="1206">
          <cell r="C1206" t="str">
            <v>BPB-048-NTB1613-2RST</v>
          </cell>
          <cell r="F1206">
            <v>43395.455046296294</v>
          </cell>
          <cell r="H1206" t="str">
            <v>B&amp;P-004-CF5202-2RST</v>
          </cell>
          <cell r="J1206">
            <v>2</v>
          </cell>
        </row>
        <row r="1207">
          <cell r="C1207" t="str">
            <v>BPB-048-NTB1613-2RST</v>
          </cell>
          <cell r="F1207">
            <v>43395.455046296294</v>
          </cell>
          <cell r="H1207" t="str">
            <v>BPB-037-3/16-G10</v>
          </cell>
          <cell r="J1207">
            <v>18</v>
          </cell>
        </row>
        <row r="1208">
          <cell r="C1208" t="str">
            <v>BPB-048-NTB1613-2RST</v>
          </cell>
          <cell r="F1208">
            <v>43395.455046296294</v>
          </cell>
          <cell r="H1208" t="str">
            <v>BPB-000-POLYREX-EM</v>
          </cell>
          <cell r="J1208">
            <v>1.6</v>
          </cell>
        </row>
        <row r="1209">
          <cell r="C1209" t="str">
            <v>B&amp;P-HS--MS07-2RLD-C3</v>
          </cell>
          <cell r="F1209">
            <v>43412.654537037037</v>
          </cell>
          <cell r="H1209" t="str">
            <v>BPB-041-MS07-D</v>
          </cell>
          <cell r="J1209">
            <v>1</v>
          </cell>
        </row>
        <row r="1210">
          <cell r="C1210" t="str">
            <v>BPB-041-5307-2RS-C3</v>
          </cell>
          <cell r="F1210">
            <v>43122.503506944442</v>
          </cell>
          <cell r="H1210" t="str">
            <v>PEE-043-5307-C3</v>
          </cell>
          <cell r="J1210">
            <v>1</v>
          </cell>
        </row>
        <row r="1211">
          <cell r="C1211" t="str">
            <v>BPB-041-5307-2RS-C3</v>
          </cell>
          <cell r="F1211">
            <v>43122.503506944442</v>
          </cell>
          <cell r="H1211" t="str">
            <v>BPB-027-SEAL-5307</v>
          </cell>
          <cell r="J1211">
            <v>2</v>
          </cell>
        </row>
        <row r="1212">
          <cell r="C1212" t="str">
            <v>BPB-041-5307-2RS-C3</v>
          </cell>
          <cell r="F1212">
            <v>43122.503506944442</v>
          </cell>
          <cell r="H1212" t="str">
            <v>BPB-000-POLYREX-EM</v>
          </cell>
          <cell r="J1212">
            <v>8.64</v>
          </cell>
        </row>
        <row r="1213">
          <cell r="C1213" t="str">
            <v>BPB-043-CB6203-1450</v>
          </cell>
          <cell r="F1213">
            <v>43353.46197916667</v>
          </cell>
          <cell r="H1213" t="str">
            <v>BPB-037-CB6203-1450B</v>
          </cell>
          <cell r="J1213">
            <v>1</v>
          </cell>
        </row>
        <row r="1214">
          <cell r="C1214" t="str">
            <v>B&amp;P-HS--MS07-2RLD-C3</v>
          </cell>
          <cell r="F1214">
            <v>43412.654537037037</v>
          </cell>
          <cell r="H1214" t="str">
            <v>B&amp;P-004-MS07RLD-BLUE</v>
          </cell>
          <cell r="J1214">
            <v>2</v>
          </cell>
        </row>
        <row r="1215">
          <cell r="C1215" t="str">
            <v>B&amp;P-HS--MS07-2RLD-C3</v>
          </cell>
          <cell r="F1215">
            <v>43412.654537037037</v>
          </cell>
          <cell r="H1215" t="str">
            <v>BPB-000-POLYREX-EM</v>
          </cell>
          <cell r="J1215">
            <v>4</v>
          </cell>
        </row>
        <row r="1216">
          <cell r="C1216" t="str">
            <v>BPB-002-BP-18013-A2</v>
          </cell>
          <cell r="F1216">
            <v>43451.411516203705</v>
          </cell>
          <cell r="H1216" t="str">
            <v>BPB-037-SAE52100Ø25</v>
          </cell>
          <cell r="J1216">
            <v>0.09</v>
          </cell>
        </row>
        <row r="1217">
          <cell r="C1217" t="str">
            <v>BPB-037-BP-18013-05</v>
          </cell>
          <cell r="F1217">
            <v>43493.448171296295</v>
          </cell>
          <cell r="H1217" t="str">
            <v>BPB-999-SAE1045Ø32</v>
          </cell>
          <cell r="J1217">
            <v>0.01</v>
          </cell>
        </row>
        <row r="1218">
          <cell r="C1218" t="str">
            <v>BPB-033-CA627-M40A-3</v>
          </cell>
          <cell r="F1218">
            <v>43551.408206018517</v>
          </cell>
          <cell r="H1218" t="str">
            <v>BPB-033-CA627-M40A</v>
          </cell>
          <cell r="J1218">
            <v>1.1499999999999999</v>
          </cell>
        </row>
        <row r="1219">
          <cell r="C1219" t="str">
            <v>BPB-048-AG-5575CHS</v>
          </cell>
          <cell r="F1219">
            <v>43563.38486111111</v>
          </cell>
          <cell r="H1219" t="str">
            <v>BPB-056-ENG5575CHS</v>
          </cell>
          <cell r="J1219">
            <v>1</v>
          </cell>
        </row>
        <row r="1220">
          <cell r="C1220" t="str">
            <v>BPB-048-AG-5575CHS</v>
          </cell>
          <cell r="F1220">
            <v>43563.38486111111</v>
          </cell>
          <cell r="H1220" t="str">
            <v>B&amp;P-048-AG-1235-PPZ9</v>
          </cell>
          <cell r="J1220">
            <v>1</v>
          </cell>
        </row>
        <row r="1221">
          <cell r="C1221" t="str">
            <v>BPB-041-BP-18017</v>
          </cell>
          <cell r="F1221">
            <v>43563.695300925923</v>
          </cell>
          <cell r="H1221" t="str">
            <v>BPB-041-BP-18017-01</v>
          </cell>
          <cell r="J1221">
            <v>1</v>
          </cell>
        </row>
        <row r="1222">
          <cell r="C1222" t="str">
            <v>BPB-041-BP-18017</v>
          </cell>
          <cell r="F1222">
            <v>43563.695300925923</v>
          </cell>
          <cell r="H1222" t="str">
            <v>BPB-037-BP-18017-A2</v>
          </cell>
          <cell r="J1222">
            <v>1</v>
          </cell>
        </row>
        <row r="1223">
          <cell r="C1223" t="str">
            <v>B&amp;P-058-33117-MX</v>
          </cell>
          <cell r="F1223">
            <v>43634.361145833333</v>
          </cell>
          <cell r="H1223" t="str">
            <v>B&amp;P-053-X-33117</v>
          </cell>
          <cell r="J1223">
            <v>1</v>
          </cell>
        </row>
        <row r="1224">
          <cell r="C1224" t="str">
            <v>B&amp;P-058-33207-MX</v>
          </cell>
          <cell r="F1224">
            <v>43726.62976851852</v>
          </cell>
          <cell r="H1224" t="str">
            <v>B&amp;P-053-X-33207</v>
          </cell>
          <cell r="J1224">
            <v>1</v>
          </cell>
        </row>
        <row r="1225">
          <cell r="C1225" t="str">
            <v>B&amp;P-058-33207-MX</v>
          </cell>
          <cell r="F1225">
            <v>43726.62976851852</v>
          </cell>
          <cell r="H1225" t="str">
            <v>B&amp;P-054-TTY207</v>
          </cell>
          <cell r="J1225">
            <v>1</v>
          </cell>
        </row>
        <row r="1226">
          <cell r="C1226" t="str">
            <v>BPB-999-30209-MX</v>
          </cell>
          <cell r="F1226">
            <v>43795.682835648149</v>
          </cell>
          <cell r="H1226" t="str">
            <v>000-053-X-30209</v>
          </cell>
          <cell r="J1226">
            <v>1</v>
          </cell>
        </row>
        <row r="1227">
          <cell r="C1227" t="str">
            <v>BPB-999-30209-MX</v>
          </cell>
          <cell r="F1227">
            <v>43795.682835648149</v>
          </cell>
          <cell r="H1227" t="str">
            <v>000-054-TCY209</v>
          </cell>
          <cell r="J1227">
            <v>1</v>
          </cell>
        </row>
        <row r="1228">
          <cell r="C1228" t="str">
            <v>BPB-044-BP-17010-A3</v>
          </cell>
          <cell r="F1228">
            <v>43168.47146990741</v>
          </cell>
          <cell r="H1228" t="str">
            <v>BPB-037-SAE1045Ø41.3</v>
          </cell>
          <cell r="J1228">
            <v>0.05</v>
          </cell>
        </row>
        <row r="1229">
          <cell r="C1229" t="str">
            <v>BPB-044-BP17011-01</v>
          </cell>
          <cell r="F1229">
            <v>43180.49927083333</v>
          </cell>
          <cell r="H1229" t="str">
            <v>BPB-044-BP17011-B1</v>
          </cell>
          <cell r="J1229">
            <v>1</v>
          </cell>
        </row>
        <row r="1230">
          <cell r="C1230" t="str">
            <v>BPB-037-BP-17011</v>
          </cell>
          <cell r="F1230">
            <v>43180.518275462964</v>
          </cell>
          <cell r="H1230" t="str">
            <v>BPB-044-BP17011-01</v>
          </cell>
          <cell r="J1230">
            <v>1</v>
          </cell>
        </row>
        <row r="1231">
          <cell r="C1231" t="str">
            <v>BPB-037-BP-17011</v>
          </cell>
          <cell r="F1231">
            <v>43180.518275462964</v>
          </cell>
          <cell r="H1231" t="str">
            <v>BPB-037-BP-17011-02</v>
          </cell>
          <cell r="J1231">
            <v>1</v>
          </cell>
        </row>
        <row r="1232">
          <cell r="C1232" t="str">
            <v>BPB-037-BP-17011</v>
          </cell>
          <cell r="F1232">
            <v>43180.518275462964</v>
          </cell>
          <cell r="H1232" t="str">
            <v>BPB-037-RNB6X16</v>
          </cell>
          <cell r="J1232">
            <v>6</v>
          </cell>
        </row>
        <row r="1233">
          <cell r="C1233" t="str">
            <v>BPB-037-BP-17011</v>
          </cell>
          <cell r="F1233">
            <v>43180.518275462964</v>
          </cell>
          <cell r="H1233" t="str">
            <v>BPB-037-BP-17007</v>
          </cell>
          <cell r="J1233">
            <v>12</v>
          </cell>
        </row>
        <row r="1234">
          <cell r="C1234" t="str">
            <v>BPB-037-BP-17011</v>
          </cell>
          <cell r="F1234">
            <v>43180.518275462964</v>
          </cell>
          <cell r="H1234" t="str">
            <v>BPB-037-BP-17011-03</v>
          </cell>
          <cell r="J1234">
            <v>2</v>
          </cell>
        </row>
        <row r="1235">
          <cell r="C1235" t="str">
            <v>BPB-999-30206-MX</v>
          </cell>
          <cell r="F1235">
            <v>43186.388275462959</v>
          </cell>
          <cell r="H1235" t="str">
            <v>000-053-X-30206</v>
          </cell>
          <cell r="J1235">
            <v>1</v>
          </cell>
        </row>
        <row r="1236">
          <cell r="C1236" t="str">
            <v>BPB-999-30206-MX</v>
          </cell>
          <cell r="F1236">
            <v>43186.388275462959</v>
          </cell>
          <cell r="H1236" t="str">
            <v>000-054-TCY206</v>
          </cell>
          <cell r="J1236">
            <v>1</v>
          </cell>
        </row>
        <row r="1237">
          <cell r="C1237" t="str">
            <v>B&amp;P-058-33112-MX</v>
          </cell>
          <cell r="F1237">
            <v>43222.629629629628</v>
          </cell>
          <cell r="H1237" t="str">
            <v>BPB-053-X-33112</v>
          </cell>
          <cell r="J1237">
            <v>1</v>
          </cell>
        </row>
        <row r="1238">
          <cell r="C1238" t="str">
            <v>B&amp;P-058-33112-MX</v>
          </cell>
          <cell r="F1238">
            <v>43222.629629629628</v>
          </cell>
          <cell r="H1238" t="str">
            <v>BPB-054-Y-33112</v>
          </cell>
          <cell r="J1238">
            <v>1</v>
          </cell>
        </row>
        <row r="1239">
          <cell r="C1239" t="str">
            <v>B&amp;P-058-33019-MX</v>
          </cell>
          <cell r="F1239">
            <v>43222.636944444443</v>
          </cell>
          <cell r="H1239" t="str">
            <v>B&amp;P-053-X-33019</v>
          </cell>
          <cell r="J1239">
            <v>1</v>
          </cell>
        </row>
        <row r="1240">
          <cell r="C1240" t="str">
            <v>B&amp;P-058-33019-MX</v>
          </cell>
          <cell r="F1240">
            <v>43222.636944444443</v>
          </cell>
          <cell r="H1240" t="str">
            <v>B&amp;P-054-TTY019</v>
          </cell>
          <cell r="J1240">
            <v>1</v>
          </cell>
        </row>
        <row r="1241">
          <cell r="C1241" t="str">
            <v>B&amp;P-058-32315-MX</v>
          </cell>
          <cell r="F1241">
            <v>43222.638182870367</v>
          </cell>
          <cell r="H1241" t="str">
            <v>B&amp;P-053-X-32315</v>
          </cell>
          <cell r="J1241">
            <v>1</v>
          </cell>
        </row>
        <row r="1242">
          <cell r="C1242" t="str">
            <v>B&amp;P-058-32315-MX</v>
          </cell>
          <cell r="F1242">
            <v>43222.638182870367</v>
          </cell>
          <cell r="H1242" t="str">
            <v>B&amp;P-054-TDY315</v>
          </cell>
          <cell r="J1242">
            <v>1</v>
          </cell>
        </row>
        <row r="1243">
          <cell r="C1243" t="str">
            <v>BPB-047-SP205-1</v>
          </cell>
          <cell r="F1243">
            <v>43227.453067129631</v>
          </cell>
          <cell r="H1243" t="str">
            <v>BPB-047-SP205-1-A</v>
          </cell>
          <cell r="J1243">
            <v>1</v>
          </cell>
        </row>
        <row r="1244">
          <cell r="C1244" t="str">
            <v>BPB-047-SP205-1-A</v>
          </cell>
          <cell r="F1244">
            <v>43227.454155092593</v>
          </cell>
          <cell r="H1244" t="str">
            <v>BPB-047-SP205-1-P</v>
          </cell>
          <cell r="J1244">
            <v>1</v>
          </cell>
        </row>
        <row r="1245">
          <cell r="C1245" t="str">
            <v>BPB-047-SP205-2</v>
          </cell>
          <cell r="F1245">
            <v>43227.456041666665</v>
          </cell>
          <cell r="H1245" t="str">
            <v>BPB-047-SP205-2-A</v>
          </cell>
          <cell r="J1245">
            <v>1</v>
          </cell>
        </row>
        <row r="1246">
          <cell r="C1246" t="str">
            <v>BPB-047-SP205-2-A</v>
          </cell>
          <cell r="F1246">
            <v>43227.458020833335</v>
          </cell>
          <cell r="H1246" t="str">
            <v>BPB-047-SP205-2-P</v>
          </cell>
          <cell r="J1246">
            <v>1</v>
          </cell>
        </row>
        <row r="1247">
          <cell r="C1247" t="str">
            <v>BPB-047-SP205</v>
          </cell>
          <cell r="F1247">
            <v>43227.478217592594</v>
          </cell>
          <cell r="H1247" t="str">
            <v>BPB-047-SP205-1</v>
          </cell>
          <cell r="J1247">
            <v>1</v>
          </cell>
        </row>
        <row r="1248">
          <cell r="C1248" t="str">
            <v>BPB-047-SP205</v>
          </cell>
          <cell r="F1248">
            <v>43227.478217592594</v>
          </cell>
          <cell r="H1248" t="str">
            <v>BPB-047-SP205-2</v>
          </cell>
          <cell r="J1248">
            <v>1</v>
          </cell>
        </row>
        <row r="1249">
          <cell r="C1249" t="str">
            <v>BPB-047-SP205</v>
          </cell>
          <cell r="F1249">
            <v>43227.478217592594</v>
          </cell>
          <cell r="H1249" t="str">
            <v>BPB-047-SP205-03</v>
          </cell>
          <cell r="J1249">
            <v>1</v>
          </cell>
        </row>
        <row r="1250">
          <cell r="C1250" t="str">
            <v>BPB-047-SP205</v>
          </cell>
          <cell r="F1250">
            <v>43227.478217592594</v>
          </cell>
          <cell r="H1250" t="str">
            <v>BPB-052-SP205-04</v>
          </cell>
          <cell r="J1250">
            <v>1</v>
          </cell>
        </row>
        <row r="1251">
          <cell r="C1251" t="str">
            <v>BPB-047-SP205</v>
          </cell>
          <cell r="F1251">
            <v>43227.478217592594</v>
          </cell>
          <cell r="H1251" t="str">
            <v>BPB-052-SP205-05</v>
          </cell>
          <cell r="J1251">
            <v>1</v>
          </cell>
        </row>
        <row r="1252">
          <cell r="C1252" t="str">
            <v>BPB-047-SP205</v>
          </cell>
          <cell r="F1252">
            <v>43227.478217592594</v>
          </cell>
          <cell r="H1252" t="str">
            <v>BPB-037-PRISI-M8X50</v>
          </cell>
          <cell r="J1252">
            <v>1</v>
          </cell>
        </row>
        <row r="1253">
          <cell r="C1253" t="str">
            <v>BPB-037-48703698</v>
          </cell>
          <cell r="F1253">
            <v>43341.432523148149</v>
          </cell>
          <cell r="H1253" t="str">
            <v>BPB-037-48703698-A</v>
          </cell>
          <cell r="J1253">
            <v>1</v>
          </cell>
        </row>
        <row r="1254">
          <cell r="C1254" t="str">
            <v>BPB-056-ENG458053CHS</v>
          </cell>
          <cell r="F1254">
            <v>43802.402939814812</v>
          </cell>
          <cell r="H1254" t="str">
            <v>BPB-056-ENG458053-C</v>
          </cell>
          <cell r="J1254">
            <v>1</v>
          </cell>
        </row>
        <row r="1255">
          <cell r="C1255" t="str">
            <v>B&amp;P-ALU-EX100-SMART</v>
          </cell>
          <cell r="F1255">
            <v>43847.596261574072</v>
          </cell>
          <cell r="H1255" t="str">
            <v>B&amp;P-ALU-DISI-EX100</v>
          </cell>
          <cell r="J1255">
            <v>1</v>
          </cell>
        </row>
        <row r="1256">
          <cell r="C1256" t="str">
            <v>B&amp;P-ALU-EX100-SMART</v>
          </cell>
          <cell r="F1256">
            <v>43847.596261574072</v>
          </cell>
          <cell r="H1256" t="str">
            <v>B&amp;P-PCB-PCBEX105-DIM</v>
          </cell>
          <cell r="J1256">
            <v>1</v>
          </cell>
        </row>
        <row r="1257">
          <cell r="C1257" t="str">
            <v>B&amp;P-ALU-EX100-SMART</v>
          </cell>
          <cell r="F1257">
            <v>43847.596261574072</v>
          </cell>
          <cell r="H1257" t="str">
            <v>B&amp;P-ALU-EX100-LENS</v>
          </cell>
          <cell r="J1257">
            <v>1</v>
          </cell>
        </row>
        <row r="1258">
          <cell r="C1258" t="str">
            <v>B&amp;P-ALU-EX100-SMART</v>
          </cell>
          <cell r="F1258">
            <v>43847.596261574072</v>
          </cell>
          <cell r="H1258" t="str">
            <v>B&amp;P-FAL-SPD-10KV</v>
          </cell>
          <cell r="J1258">
            <v>1</v>
          </cell>
        </row>
        <row r="1259">
          <cell r="C1259" t="str">
            <v>B&amp;P-ALU-EX100-SMART</v>
          </cell>
          <cell r="F1259">
            <v>43847.596261574072</v>
          </cell>
          <cell r="H1259" t="str">
            <v>B&amp;P-ALU-DIMMER-0-10V</v>
          </cell>
          <cell r="J1259">
            <v>1</v>
          </cell>
        </row>
        <row r="1260">
          <cell r="C1260" t="str">
            <v>B&amp;P-ALU-EX100-SMART</v>
          </cell>
          <cell r="F1260">
            <v>43847.596261574072</v>
          </cell>
          <cell r="H1260" t="str">
            <v>B&amp;P-ALU-NEMA3-CON</v>
          </cell>
          <cell r="J1260">
            <v>1</v>
          </cell>
        </row>
        <row r="1261">
          <cell r="C1261" t="str">
            <v>BPB-048-205-KYR2</v>
          </cell>
          <cell r="F1261">
            <v>43864.351793981485</v>
          </cell>
          <cell r="H1261" t="str">
            <v>B&amp;P-048-205-KYY5</v>
          </cell>
          <cell r="J1261">
            <v>1</v>
          </cell>
        </row>
        <row r="1262">
          <cell r="C1262" t="str">
            <v>BPB-048-205-KYR2</v>
          </cell>
          <cell r="F1262">
            <v>43864.351793981485</v>
          </cell>
          <cell r="H1262" t="str">
            <v>B&amp;P-004-205-DBL-08</v>
          </cell>
          <cell r="J1262">
            <v>1</v>
          </cell>
        </row>
        <row r="1263">
          <cell r="C1263" t="str">
            <v>BPB-999-32216-MX</v>
          </cell>
          <cell r="F1263">
            <v>43993.846585648149</v>
          </cell>
          <cell r="H1263" t="str">
            <v>000-053-X-32216</v>
          </cell>
          <cell r="J1263">
            <v>1</v>
          </cell>
        </row>
        <row r="1264">
          <cell r="C1264" t="str">
            <v>BPB-999-32216-MX</v>
          </cell>
          <cell r="F1264">
            <v>43993.846585648149</v>
          </cell>
          <cell r="H1264" t="str">
            <v>000-054-TDY216</v>
          </cell>
          <cell r="J1264">
            <v>1</v>
          </cell>
        </row>
        <row r="1265">
          <cell r="C1265" t="str">
            <v>BPB-999-30205-MX</v>
          </cell>
          <cell r="F1265">
            <v>44025.695451388892</v>
          </cell>
          <cell r="H1265" t="str">
            <v>000-053-X-30205</v>
          </cell>
          <cell r="J1265">
            <v>1</v>
          </cell>
        </row>
        <row r="1266">
          <cell r="C1266" t="str">
            <v>BPB-999-30205-MX</v>
          </cell>
          <cell r="F1266">
            <v>44025.695451388892</v>
          </cell>
          <cell r="H1266" t="str">
            <v>000-054-TCY205</v>
          </cell>
          <cell r="J1266">
            <v>1</v>
          </cell>
        </row>
        <row r="1267">
          <cell r="C1267" t="str">
            <v>BPB-999-32214-MX</v>
          </cell>
          <cell r="F1267">
            <v>44336.351678240739</v>
          </cell>
          <cell r="H1267" t="str">
            <v>000-053-X-32214</v>
          </cell>
          <cell r="J1267">
            <v>1</v>
          </cell>
        </row>
        <row r="1268">
          <cell r="C1268" t="str">
            <v>B&amp;P-058-32314-MX</v>
          </cell>
          <cell r="F1268">
            <v>43354.527511574073</v>
          </cell>
          <cell r="H1268" t="str">
            <v>B&amp;P-053-X-32314</v>
          </cell>
          <cell r="J1268">
            <v>1</v>
          </cell>
        </row>
        <row r="1269">
          <cell r="C1269" t="str">
            <v>B&amp;P-058-32314-MX</v>
          </cell>
          <cell r="F1269">
            <v>43354.527511574073</v>
          </cell>
          <cell r="H1269" t="str">
            <v>B&amp;P-054-TDY314</v>
          </cell>
          <cell r="J1269">
            <v>1</v>
          </cell>
        </row>
        <row r="1270">
          <cell r="C1270" t="str">
            <v>B&amp;P-047-SAB207-3</v>
          </cell>
          <cell r="F1270">
            <v>43934.624166666668</v>
          </cell>
          <cell r="H1270" t="str">
            <v>B&amp;P-047-SAB-207-35DG</v>
          </cell>
          <cell r="J1270">
            <v>1</v>
          </cell>
        </row>
        <row r="1271">
          <cell r="C1271" t="str">
            <v>B&amp;P-047-SAB207-3</v>
          </cell>
          <cell r="F1271">
            <v>43934.624166666668</v>
          </cell>
          <cell r="H1271" t="str">
            <v>BPB-027-GU207-1</v>
          </cell>
          <cell r="J1271">
            <v>1</v>
          </cell>
        </row>
        <row r="1272">
          <cell r="C1272" t="str">
            <v>B&amp;P-047-SAB207-3</v>
          </cell>
          <cell r="F1272">
            <v>43934.624166666668</v>
          </cell>
          <cell r="H1272" t="str">
            <v>BPB-027-GU207-2</v>
          </cell>
          <cell r="J1272">
            <v>1</v>
          </cell>
        </row>
        <row r="1273">
          <cell r="C1273" t="str">
            <v>BPB-041-MS00-2RS</v>
          </cell>
          <cell r="F1273">
            <v>44075.615254629629</v>
          </cell>
          <cell r="H1273" t="str">
            <v>B&amp;P-001-MS00-D</v>
          </cell>
          <cell r="J1273">
            <v>1</v>
          </cell>
        </row>
        <row r="1274">
          <cell r="C1274" t="str">
            <v>BPB-041-MS00-2RS</v>
          </cell>
          <cell r="F1274">
            <v>44075.615254629629</v>
          </cell>
          <cell r="H1274" t="str">
            <v>B&amp;P-002-MS00-D</v>
          </cell>
          <cell r="J1274">
            <v>1</v>
          </cell>
        </row>
        <row r="1275">
          <cell r="C1275" t="str">
            <v>BPB-041-MS00-2RS</v>
          </cell>
          <cell r="F1275">
            <v>44075.615254629629</v>
          </cell>
          <cell r="H1275" t="str">
            <v>B&amp;P-003-BALL-15/64</v>
          </cell>
          <cell r="J1275">
            <v>7</v>
          </cell>
        </row>
        <row r="1276">
          <cell r="C1276" t="str">
            <v>BPB-041-MS00-2RS</v>
          </cell>
          <cell r="F1276">
            <v>44075.615254629629</v>
          </cell>
          <cell r="H1276" t="str">
            <v>BPB-004-MS00RS-BLUE</v>
          </cell>
          <cell r="J1276">
            <v>2</v>
          </cell>
        </row>
        <row r="1277">
          <cell r="C1277" t="str">
            <v>BPB-041-MS00-2RS</v>
          </cell>
          <cell r="F1277">
            <v>44075.615254629629</v>
          </cell>
          <cell r="H1277" t="str">
            <v>B&amp;P-005-RET/SET-MS00</v>
          </cell>
          <cell r="J1277">
            <v>1</v>
          </cell>
        </row>
        <row r="1278">
          <cell r="C1278" t="str">
            <v>BPB-041-MS01-2RS</v>
          </cell>
          <cell r="F1278">
            <v>44075.619687500002</v>
          </cell>
          <cell r="H1278" t="str">
            <v>B&amp;P-001-MS01-D</v>
          </cell>
          <cell r="J1278">
            <v>1</v>
          </cell>
        </row>
        <row r="1279">
          <cell r="C1279" t="str">
            <v>BPB-041-MS01-2RS</v>
          </cell>
          <cell r="F1279">
            <v>44075.619687500002</v>
          </cell>
          <cell r="H1279" t="str">
            <v>B&amp;P-002-MS01-D</v>
          </cell>
          <cell r="J1279">
            <v>1</v>
          </cell>
        </row>
        <row r="1280">
          <cell r="C1280" t="str">
            <v>BPB-041-MS01-2RS</v>
          </cell>
          <cell r="F1280">
            <v>44075.619687500002</v>
          </cell>
          <cell r="H1280" t="str">
            <v>B&amp;P-003-BALL-15/64</v>
          </cell>
          <cell r="J1280">
            <v>7</v>
          </cell>
        </row>
        <row r="1281">
          <cell r="C1281" t="str">
            <v>BPB-041-MS01-2RS</v>
          </cell>
          <cell r="F1281">
            <v>44075.619687500002</v>
          </cell>
          <cell r="H1281" t="str">
            <v>BPB-004-MS01RS-BLUE</v>
          </cell>
          <cell r="J1281">
            <v>2</v>
          </cell>
        </row>
        <row r="1282">
          <cell r="C1282" t="str">
            <v>BPB-041-MS01-2RS</v>
          </cell>
          <cell r="F1282">
            <v>44075.619687500002</v>
          </cell>
          <cell r="H1282" t="str">
            <v>B&amp;P-005-RET/SET-MS01</v>
          </cell>
          <cell r="J1282">
            <v>1</v>
          </cell>
        </row>
        <row r="1283">
          <cell r="C1283" t="str">
            <v>BPB-041-MS03-2RS</v>
          </cell>
          <cell r="F1283">
            <v>44075.634560185186</v>
          </cell>
          <cell r="H1283" t="str">
            <v>B&amp;P-001-MS03-D</v>
          </cell>
          <cell r="J1283">
            <v>1</v>
          </cell>
        </row>
        <row r="1284">
          <cell r="C1284" t="str">
            <v>BPB-041-MS03-2RS</v>
          </cell>
          <cell r="F1284">
            <v>44075.634560185186</v>
          </cell>
          <cell r="H1284" t="str">
            <v>B&amp;P-002-MS03-D</v>
          </cell>
          <cell r="J1284">
            <v>1</v>
          </cell>
        </row>
        <row r="1285">
          <cell r="C1285" t="str">
            <v>BPB-041-MS03-2RS</v>
          </cell>
          <cell r="F1285">
            <v>44075.634560185186</v>
          </cell>
          <cell r="H1285" t="str">
            <v>B&amp;P-003-BALL-17/64</v>
          </cell>
          <cell r="J1285">
            <v>8</v>
          </cell>
        </row>
        <row r="1286">
          <cell r="C1286" t="str">
            <v>BPB-041-MS03-2RS</v>
          </cell>
          <cell r="F1286">
            <v>44075.634560185186</v>
          </cell>
          <cell r="H1286" t="str">
            <v>BPB-004-MS03RS-BLUE</v>
          </cell>
          <cell r="J1286">
            <v>2</v>
          </cell>
        </row>
        <row r="1287">
          <cell r="C1287" t="str">
            <v>BPB-041-MS03-2RS</v>
          </cell>
          <cell r="F1287">
            <v>44075.634560185186</v>
          </cell>
          <cell r="H1287" t="str">
            <v>B&amp;P-005-RET/SET-MS03</v>
          </cell>
          <cell r="J1287">
            <v>1</v>
          </cell>
        </row>
        <row r="1288">
          <cell r="C1288" t="str">
            <v>BPB-041-MS04-2RS</v>
          </cell>
          <cell r="F1288">
            <v>44075.636134259257</v>
          </cell>
          <cell r="H1288" t="str">
            <v>B&amp;P-001-MS04-D</v>
          </cell>
          <cell r="J1288">
            <v>1</v>
          </cell>
        </row>
        <row r="1289">
          <cell r="C1289" t="str">
            <v>BPB-041-MS04-2RS</v>
          </cell>
          <cell r="F1289">
            <v>44075.636134259257</v>
          </cell>
          <cell r="H1289" t="str">
            <v>B&amp;P-002-MS04-D</v>
          </cell>
          <cell r="J1289">
            <v>1</v>
          </cell>
        </row>
        <row r="1290">
          <cell r="C1290" t="str">
            <v>BPB-041-MS04-2RS</v>
          </cell>
          <cell r="F1290">
            <v>44075.636134259257</v>
          </cell>
          <cell r="H1290" t="str">
            <v>B&amp;P-003-Ball-5/16</v>
          </cell>
          <cell r="J1290">
            <v>8</v>
          </cell>
        </row>
        <row r="1291">
          <cell r="C1291" t="str">
            <v>BPB-041-MS04-2RS</v>
          </cell>
          <cell r="F1291">
            <v>44075.636134259257</v>
          </cell>
          <cell r="H1291" t="str">
            <v>BPB-004-MS04RS-BLUE</v>
          </cell>
          <cell r="J1291">
            <v>2</v>
          </cell>
        </row>
        <row r="1292">
          <cell r="C1292" t="str">
            <v>BPB-041-MS04-2RS</v>
          </cell>
          <cell r="F1292">
            <v>44075.636134259257</v>
          </cell>
          <cell r="H1292" t="str">
            <v>B&amp;P-005-RET/SET-MS04</v>
          </cell>
          <cell r="J1292">
            <v>1</v>
          </cell>
        </row>
        <row r="1293">
          <cell r="C1293" t="str">
            <v>BPB-041-MS05-2RS</v>
          </cell>
          <cell r="F1293">
            <v>44075.638136574074</v>
          </cell>
          <cell r="H1293" t="str">
            <v>B&amp;P-001-MS05-D</v>
          </cell>
          <cell r="J1293">
            <v>1</v>
          </cell>
        </row>
        <row r="1294">
          <cell r="C1294" t="str">
            <v>BPB-041-MS05-2RS</v>
          </cell>
          <cell r="F1294">
            <v>44075.638136574074</v>
          </cell>
          <cell r="H1294" t="str">
            <v>B&amp;P-002-MS05-D</v>
          </cell>
          <cell r="J1294">
            <v>1</v>
          </cell>
        </row>
        <row r="1295">
          <cell r="C1295" t="str">
            <v>BPB-041-MS05-2RS</v>
          </cell>
          <cell r="F1295">
            <v>44075.638136574074</v>
          </cell>
          <cell r="H1295" t="str">
            <v>B&amp;P-003-Ball-5/16</v>
          </cell>
          <cell r="J1295">
            <v>9</v>
          </cell>
        </row>
        <row r="1296">
          <cell r="C1296" t="str">
            <v>BPB-041-MS05-2RS</v>
          </cell>
          <cell r="F1296">
            <v>44075.638136574074</v>
          </cell>
          <cell r="H1296" t="str">
            <v>B&amp;P-005-RET/SET-MS05</v>
          </cell>
          <cell r="J1296">
            <v>1</v>
          </cell>
        </row>
        <row r="1297">
          <cell r="C1297" t="str">
            <v>BPB-041-MS05-2RS</v>
          </cell>
          <cell r="F1297">
            <v>44075.638136574074</v>
          </cell>
          <cell r="H1297" t="str">
            <v>BPB-004-MS05RS-BLUE</v>
          </cell>
          <cell r="J1297">
            <v>2</v>
          </cell>
        </row>
        <row r="1298">
          <cell r="C1298" t="str">
            <v>BPB-041-MS06-2RS</v>
          </cell>
          <cell r="F1298">
            <v>44075.639374999999</v>
          </cell>
          <cell r="H1298" t="str">
            <v>B&amp;P-001-MS06-D</v>
          </cell>
          <cell r="J1298">
            <v>1</v>
          </cell>
        </row>
        <row r="1299">
          <cell r="C1299" t="str">
            <v>BPB-041-MS06-2RS</v>
          </cell>
          <cell r="F1299">
            <v>44075.639374999999</v>
          </cell>
          <cell r="H1299" t="str">
            <v>B&amp;P-002-MS06-D</v>
          </cell>
          <cell r="J1299">
            <v>1</v>
          </cell>
        </row>
        <row r="1300">
          <cell r="C1300" t="str">
            <v>BPB-041-MS06-2RS</v>
          </cell>
          <cell r="F1300">
            <v>44075.639374999999</v>
          </cell>
          <cell r="H1300" t="str">
            <v>B&amp;P-003-Ball-3/8</v>
          </cell>
          <cell r="J1300">
            <v>9</v>
          </cell>
        </row>
        <row r="1301">
          <cell r="C1301" t="str">
            <v>BPB-041-MS06-2RS</v>
          </cell>
          <cell r="F1301">
            <v>44075.639374999999</v>
          </cell>
          <cell r="H1301" t="str">
            <v>BPB-004-MS06RS-BLUE</v>
          </cell>
          <cell r="J1301">
            <v>2</v>
          </cell>
        </row>
        <row r="1302">
          <cell r="C1302" t="str">
            <v>BPB-041-MS06-2RS</v>
          </cell>
          <cell r="F1302">
            <v>44075.639374999999</v>
          </cell>
          <cell r="H1302" t="str">
            <v>B&amp;P-005-RET/SET-MS06</v>
          </cell>
          <cell r="J1302">
            <v>1</v>
          </cell>
        </row>
        <row r="1303">
          <cell r="C1303" t="str">
            <v>BPB-999-SAB209-45DG</v>
          </cell>
          <cell r="F1303">
            <v>43899.673668981479</v>
          </cell>
          <cell r="H1303" t="str">
            <v>B&amp;P-004-209-DBL-08</v>
          </cell>
          <cell r="J1303">
            <v>2</v>
          </cell>
        </row>
        <row r="1304">
          <cell r="C1304" t="str">
            <v>B&amp;P-ALU-EX50-SOL</v>
          </cell>
          <cell r="F1304">
            <v>44033.580590277779</v>
          </cell>
          <cell r="H1304" t="str">
            <v>B&amp;P-ALU-DISI-EX50</v>
          </cell>
          <cell r="J1304">
            <v>1</v>
          </cell>
        </row>
        <row r="1305">
          <cell r="C1305" t="str">
            <v>B&amp;P-058-33210-MX</v>
          </cell>
          <cell r="F1305">
            <v>44071.397731481484</v>
          </cell>
          <cell r="H1305" t="str">
            <v>B&amp;P-053-X-33210</v>
          </cell>
          <cell r="J1305">
            <v>1</v>
          </cell>
        </row>
        <row r="1306">
          <cell r="C1306" t="str">
            <v>B&amp;P-058-33210-MX</v>
          </cell>
          <cell r="F1306">
            <v>44071.397731481484</v>
          </cell>
          <cell r="H1306" t="str">
            <v>B&amp;P-054-TTY210</v>
          </cell>
          <cell r="J1306">
            <v>1</v>
          </cell>
        </row>
        <row r="1307">
          <cell r="C1307" t="str">
            <v>BPB-999-SAB206-30DG</v>
          </cell>
          <cell r="F1307">
            <v>44071.490648148145</v>
          </cell>
          <cell r="H1307" t="str">
            <v>BPB-047-SAB206-30LG</v>
          </cell>
          <cell r="J1307">
            <v>1</v>
          </cell>
        </row>
        <row r="1308">
          <cell r="C1308" t="str">
            <v>BPB-999-SAB206-30DG</v>
          </cell>
          <cell r="F1308">
            <v>44071.490648148145</v>
          </cell>
          <cell r="H1308" t="str">
            <v>BPB-027-SEAL-206DBL</v>
          </cell>
          <cell r="J1308">
            <v>2</v>
          </cell>
        </row>
        <row r="1309">
          <cell r="C1309" t="str">
            <v>B&amp;P-041-LS06-2RST</v>
          </cell>
          <cell r="F1309">
            <v>44508.37840277778</v>
          </cell>
          <cell r="H1309" t="str">
            <v>B&amp;P-001-LS06-D</v>
          </cell>
          <cell r="J1309">
            <v>1</v>
          </cell>
        </row>
        <row r="1310">
          <cell r="C1310" t="str">
            <v>B&amp;P-041-LS06-2RST</v>
          </cell>
          <cell r="F1310">
            <v>44508.37840277778</v>
          </cell>
          <cell r="H1310" t="str">
            <v>B&amp;P-002-LS06-D</v>
          </cell>
          <cell r="J1310">
            <v>1</v>
          </cell>
        </row>
        <row r="1311">
          <cell r="C1311" t="str">
            <v>B&amp;P-041-LS06-2RST</v>
          </cell>
          <cell r="F1311">
            <v>44508.37840277778</v>
          </cell>
          <cell r="H1311" t="str">
            <v>B&amp;P-005-RET/SET-LS06</v>
          </cell>
          <cell r="J1311">
            <v>1</v>
          </cell>
        </row>
        <row r="1312">
          <cell r="C1312" t="str">
            <v>B&amp;P-041-LS06-2RST</v>
          </cell>
          <cell r="F1312">
            <v>44508.37840277778</v>
          </cell>
          <cell r="H1312" t="str">
            <v>B&amp;P-003-Ball-9/32</v>
          </cell>
          <cell r="J1312">
            <v>11</v>
          </cell>
        </row>
        <row r="1313">
          <cell r="C1313" t="str">
            <v>BPB-999-SAB207-35DG</v>
          </cell>
          <cell r="F1313">
            <v>44082.436701388891</v>
          </cell>
          <cell r="H1313" t="str">
            <v>BPB-047-SAB207-35LG</v>
          </cell>
          <cell r="J1313">
            <v>1</v>
          </cell>
        </row>
        <row r="1314">
          <cell r="C1314" t="str">
            <v>BPB-999-SAB207-35DG</v>
          </cell>
          <cell r="F1314">
            <v>44082.436701388891</v>
          </cell>
          <cell r="H1314" t="str">
            <v>B&amp;P-004-207-DBL-08</v>
          </cell>
          <cell r="J1314">
            <v>2</v>
          </cell>
        </row>
        <row r="1315">
          <cell r="C1315" t="str">
            <v>BPB-999-SAB210-50DG</v>
          </cell>
          <cell r="F1315">
            <v>44082.447106481479</v>
          </cell>
          <cell r="H1315" t="str">
            <v>BPB-047-SAB210-50LG</v>
          </cell>
          <cell r="J1315">
            <v>1</v>
          </cell>
        </row>
        <row r="1316">
          <cell r="C1316" t="str">
            <v>BPB-999-SAB210-50DG</v>
          </cell>
          <cell r="F1316">
            <v>44082.447106481479</v>
          </cell>
          <cell r="H1316" t="str">
            <v>B&amp;P-004-210-DBL-08</v>
          </cell>
          <cell r="J1316">
            <v>2</v>
          </cell>
        </row>
        <row r="1317">
          <cell r="C1317" t="str">
            <v>BPB-999-32210-MX</v>
          </cell>
          <cell r="F1317">
            <v>44091.347881944443</v>
          </cell>
          <cell r="H1317" t="str">
            <v>000-053-X-32210</v>
          </cell>
          <cell r="J1317">
            <v>1</v>
          </cell>
        </row>
        <row r="1318">
          <cell r="C1318" t="str">
            <v>BPB-999-32210-MX</v>
          </cell>
          <cell r="F1318">
            <v>44091.347881944443</v>
          </cell>
          <cell r="H1318" t="str">
            <v>000-054-TDY210</v>
          </cell>
          <cell r="J1318">
            <v>1</v>
          </cell>
        </row>
        <row r="1319">
          <cell r="C1319" t="str">
            <v>BPB-999-LM104949-911</v>
          </cell>
          <cell r="F1319">
            <v>44124.63789351852</v>
          </cell>
          <cell r="H1319" t="str">
            <v>000-053-104949</v>
          </cell>
          <cell r="J1319">
            <v>1</v>
          </cell>
        </row>
        <row r="1320">
          <cell r="C1320" t="str">
            <v>BPB-999-LM104949-911</v>
          </cell>
          <cell r="F1320">
            <v>44124.63789351852</v>
          </cell>
          <cell r="H1320" t="str">
            <v>000-054-104911</v>
          </cell>
          <cell r="J1320">
            <v>1</v>
          </cell>
        </row>
        <row r="1321">
          <cell r="C1321" t="str">
            <v>B&amp;P-047-SAB-208-40DG</v>
          </cell>
          <cell r="F1321">
            <v>44125.364895833336</v>
          </cell>
          <cell r="H1321" t="str">
            <v>B&amp;P-001-OR208-G</v>
          </cell>
          <cell r="J1321">
            <v>1</v>
          </cell>
        </row>
        <row r="1322">
          <cell r="C1322" t="str">
            <v>B&amp;P-047-SAB-208-40DG</v>
          </cell>
          <cell r="F1322">
            <v>44125.364895833336</v>
          </cell>
          <cell r="H1322" t="str">
            <v>B&amp;P-002-SAB208-40-02</v>
          </cell>
          <cell r="J1322">
            <v>1</v>
          </cell>
        </row>
        <row r="1323">
          <cell r="C1323" t="str">
            <v>B&amp;P-047-SAB-208-40DG</v>
          </cell>
          <cell r="F1323">
            <v>44125.364895833336</v>
          </cell>
          <cell r="H1323" t="str">
            <v>B&amp;P-005-CAGE208-17</v>
          </cell>
          <cell r="J1323">
            <v>1</v>
          </cell>
        </row>
        <row r="1324">
          <cell r="C1324" t="str">
            <v>B&amp;P-047-SAB-208-40DG</v>
          </cell>
          <cell r="F1324">
            <v>44125.364895833336</v>
          </cell>
          <cell r="H1324" t="str">
            <v>B&amp;P-003-BALL-1/2</v>
          </cell>
          <cell r="J1324">
            <v>9</v>
          </cell>
        </row>
        <row r="1325">
          <cell r="C1325" t="str">
            <v>B&amp;P-047-SAB-208-40DG</v>
          </cell>
          <cell r="F1325">
            <v>44125.364895833336</v>
          </cell>
          <cell r="H1325" t="str">
            <v>B&amp;P-004-208-DBL-08</v>
          </cell>
          <cell r="J1325">
            <v>2</v>
          </cell>
        </row>
        <row r="1326">
          <cell r="C1326" t="str">
            <v>B&amp;P-047-ACL206-19RG</v>
          </cell>
          <cell r="F1326">
            <v>44125.420219907406</v>
          </cell>
          <cell r="H1326" t="str">
            <v>B&amp;P-001-OR206-G18</v>
          </cell>
          <cell r="J1326">
            <v>1</v>
          </cell>
        </row>
        <row r="1327">
          <cell r="C1327" t="str">
            <v>B&amp;P-047-ACL206-19RG</v>
          </cell>
          <cell r="F1327">
            <v>44125.420219907406</v>
          </cell>
          <cell r="H1327" t="str">
            <v>B&amp;P-002-ACL206-19-02</v>
          </cell>
          <cell r="J1327">
            <v>1</v>
          </cell>
        </row>
        <row r="1328">
          <cell r="C1328" t="str">
            <v>B&amp;P-047-ACL206-19RG</v>
          </cell>
          <cell r="F1328">
            <v>44125.420219907406</v>
          </cell>
          <cell r="H1328" t="str">
            <v>B&amp;P-005-CAGE206-17</v>
          </cell>
          <cell r="J1328">
            <v>1</v>
          </cell>
        </row>
        <row r="1329">
          <cell r="C1329" t="str">
            <v>B&amp;P-047-ACL206-19RG</v>
          </cell>
          <cell r="F1329">
            <v>44125.420219907406</v>
          </cell>
          <cell r="H1329" t="str">
            <v>B&amp;P-003-Ball-3/8</v>
          </cell>
          <cell r="J1329">
            <v>9</v>
          </cell>
        </row>
        <row r="1330">
          <cell r="C1330" t="str">
            <v>B&amp;P-047-ACL206-19RG</v>
          </cell>
          <cell r="F1330">
            <v>44125.420219907406</v>
          </cell>
          <cell r="H1330" t="str">
            <v>B&amp;P-004-206-RW-08</v>
          </cell>
          <cell r="J1330">
            <v>2</v>
          </cell>
        </row>
        <row r="1331">
          <cell r="C1331" t="str">
            <v>B&amp;P-047-ACL206-19RG</v>
          </cell>
          <cell r="F1331">
            <v>44125.420219907406</v>
          </cell>
          <cell r="H1331" t="str">
            <v>B&amp;P-010-LOC206-19</v>
          </cell>
          <cell r="J1331">
            <v>1</v>
          </cell>
        </row>
        <row r="1332">
          <cell r="C1332" t="str">
            <v>B&amp;P-047-ECL-207-35DG</v>
          </cell>
          <cell r="F1332">
            <v>45904.379548611112</v>
          </cell>
          <cell r="H1332" t="str">
            <v>B&amp;P-001-OR207-01</v>
          </cell>
          <cell r="J1332">
            <v>1</v>
          </cell>
        </row>
        <row r="1333">
          <cell r="C1333" t="str">
            <v>B&amp;P-047-ECL-207-35DG</v>
          </cell>
          <cell r="F1333">
            <v>45904.379548611112</v>
          </cell>
          <cell r="H1333" t="str">
            <v>B&amp;P-002-ECL207-35-02</v>
          </cell>
          <cell r="J1333">
            <v>1</v>
          </cell>
        </row>
        <row r="1334">
          <cell r="C1334" t="str">
            <v>B&amp;P-047-ECL-207-35DG</v>
          </cell>
          <cell r="F1334">
            <v>45904.379548611112</v>
          </cell>
          <cell r="H1334" t="str">
            <v>B&amp;P-005-CAGE207-17</v>
          </cell>
          <cell r="J1334">
            <v>1</v>
          </cell>
        </row>
        <row r="1335">
          <cell r="C1335" t="str">
            <v>B&amp;P-047-ECL-207-35DG</v>
          </cell>
          <cell r="F1335">
            <v>45904.379548611112</v>
          </cell>
          <cell r="H1335" t="str">
            <v>B&amp;P-003-Ball-7/16</v>
          </cell>
          <cell r="J1335">
            <v>9</v>
          </cell>
        </row>
        <row r="1336">
          <cell r="C1336" t="str">
            <v>B&amp;P-047-ECL-207-35DG</v>
          </cell>
          <cell r="F1336">
            <v>45904.379548611112</v>
          </cell>
          <cell r="H1336" t="str">
            <v>BPB-027-SEAL-207DBL</v>
          </cell>
          <cell r="J1336">
            <v>2</v>
          </cell>
        </row>
        <row r="1337">
          <cell r="C1337" t="str">
            <v>B&amp;P-047-ECL-207-35DG</v>
          </cell>
          <cell r="F1337">
            <v>45904.379548611112</v>
          </cell>
          <cell r="H1337" t="str">
            <v>B&amp;P-010-LOC207-35</v>
          </cell>
          <cell r="J1337">
            <v>1</v>
          </cell>
        </row>
        <row r="1338">
          <cell r="C1338" t="str">
            <v>B&amp;P-047-ECL-206-30DG</v>
          </cell>
          <cell r="F1338">
            <v>44125.426921296297</v>
          </cell>
          <cell r="H1338" t="str">
            <v>B&amp;P-001-OR206-G18</v>
          </cell>
          <cell r="J1338">
            <v>1</v>
          </cell>
        </row>
        <row r="1339">
          <cell r="C1339" t="str">
            <v>B&amp;P-047-ECL-206-30DG</v>
          </cell>
          <cell r="F1339">
            <v>44125.426921296297</v>
          </cell>
          <cell r="H1339" t="str">
            <v>B&amp;P-002-ECL206-30-02</v>
          </cell>
          <cell r="J1339">
            <v>1</v>
          </cell>
        </row>
        <row r="1340">
          <cell r="C1340" t="str">
            <v>B&amp;P-047-ECL-206-30DG</v>
          </cell>
          <cell r="F1340">
            <v>44125.426921296297</v>
          </cell>
          <cell r="H1340" t="str">
            <v>B&amp;P-005-CAGE206-17</v>
          </cell>
          <cell r="J1340">
            <v>1</v>
          </cell>
        </row>
        <row r="1341">
          <cell r="C1341" t="str">
            <v>B&amp;P-047-ECL-206-30DG</v>
          </cell>
          <cell r="F1341">
            <v>44125.426921296297</v>
          </cell>
          <cell r="H1341" t="str">
            <v>B&amp;P-003-Ball-3/8</v>
          </cell>
          <cell r="J1341">
            <v>9</v>
          </cell>
        </row>
        <row r="1342">
          <cell r="C1342" t="str">
            <v>B&amp;P-047-ECL-206-30DG</v>
          </cell>
          <cell r="F1342">
            <v>44125.426921296297</v>
          </cell>
          <cell r="H1342" t="str">
            <v>B&amp;P-004-206-DBL-08</v>
          </cell>
          <cell r="J1342">
            <v>2</v>
          </cell>
        </row>
        <row r="1343">
          <cell r="C1343" t="str">
            <v>B&amp;P-047-ECL-206-30DG</v>
          </cell>
          <cell r="F1343">
            <v>44125.426921296297</v>
          </cell>
          <cell r="H1343" t="str">
            <v>B&amp;P-010-LOC206-30</v>
          </cell>
          <cell r="J1343">
            <v>1</v>
          </cell>
        </row>
        <row r="1344">
          <cell r="C1344" t="str">
            <v>B&amp;P-047-SAB-206-30DG</v>
          </cell>
          <cell r="F1344">
            <v>44125.429652777777</v>
          </cell>
          <cell r="H1344" t="str">
            <v>B&amp;P-001-OR206-G18</v>
          </cell>
          <cell r="J1344">
            <v>1</v>
          </cell>
        </row>
        <row r="1345">
          <cell r="C1345" t="str">
            <v>B&amp;P-047-SAB-206-30DG</v>
          </cell>
          <cell r="F1345">
            <v>44125.429652777777</v>
          </cell>
          <cell r="H1345" t="str">
            <v>B&amp;P-002-SAB206-30</v>
          </cell>
          <cell r="J1345">
            <v>1</v>
          </cell>
        </row>
        <row r="1346">
          <cell r="C1346" t="str">
            <v>B&amp;P-047-SAB-206-30DG</v>
          </cell>
          <cell r="F1346">
            <v>44125.429652777777</v>
          </cell>
          <cell r="H1346" t="str">
            <v>B&amp;P-005-CAGE206-17</v>
          </cell>
          <cell r="J1346">
            <v>1</v>
          </cell>
        </row>
        <row r="1347">
          <cell r="C1347" t="str">
            <v>B&amp;P-047-SAB-206-30DG</v>
          </cell>
          <cell r="F1347">
            <v>44125.429652777777</v>
          </cell>
          <cell r="H1347" t="str">
            <v>B&amp;P-003-Ball-3/8</v>
          </cell>
          <cell r="J1347">
            <v>9</v>
          </cell>
        </row>
        <row r="1348">
          <cell r="C1348" t="str">
            <v>B&amp;P-047-SAB-206-30DG</v>
          </cell>
          <cell r="F1348">
            <v>44125.429652777777</v>
          </cell>
          <cell r="H1348" t="str">
            <v>B&amp;P-004-206-DBL-08</v>
          </cell>
          <cell r="J1348">
            <v>2</v>
          </cell>
        </row>
        <row r="1349">
          <cell r="C1349" t="str">
            <v>B&amp;P-058-30211-MX</v>
          </cell>
          <cell r="F1349">
            <v>42698.501655092594</v>
          </cell>
          <cell r="H1349" t="str">
            <v>B&amp;P-054-TCY211</v>
          </cell>
          <cell r="J1349">
            <v>1</v>
          </cell>
        </row>
        <row r="1350">
          <cell r="C1350" t="str">
            <v>B&amp;P-053-X-30210</v>
          </cell>
          <cell r="F1350">
            <v>42517.378877314812</v>
          </cell>
          <cell r="H1350" t="str">
            <v>B&amp;P-053-TCX210</v>
          </cell>
          <cell r="J1350">
            <v>1</v>
          </cell>
        </row>
        <row r="1351">
          <cell r="C1351" t="str">
            <v>B&amp;P-053-X-30210</v>
          </cell>
          <cell r="F1351">
            <v>42517.378877314812</v>
          </cell>
          <cell r="H1351" t="str">
            <v>B&amp;P-005-TCX210</v>
          </cell>
          <cell r="J1351">
            <v>1</v>
          </cell>
        </row>
        <row r="1352">
          <cell r="C1352" t="str">
            <v>B&amp;P-053-X-30210</v>
          </cell>
          <cell r="F1352">
            <v>42517.378877314812</v>
          </cell>
          <cell r="H1352" t="str">
            <v>B&amp;P-003-TCX210</v>
          </cell>
          <cell r="J1352">
            <v>19</v>
          </cell>
        </row>
        <row r="1353">
          <cell r="C1353" t="str">
            <v>BPB-048-205SB</v>
          </cell>
          <cell r="F1353">
            <v>42520.39571759259</v>
          </cell>
          <cell r="H1353" t="str">
            <v>B&amp;P-048-AG-1235-PPZ9</v>
          </cell>
          <cell r="J1353">
            <v>1</v>
          </cell>
        </row>
        <row r="1354">
          <cell r="C1354" t="str">
            <v>B&amp;P-053-X-30208</v>
          </cell>
          <cell r="F1354">
            <v>42521.601307870369</v>
          </cell>
          <cell r="H1354" t="str">
            <v>B&amp;P-003-TCX208</v>
          </cell>
          <cell r="J1354">
            <v>17</v>
          </cell>
        </row>
        <row r="1355">
          <cell r="C1355" t="str">
            <v>B&amp;P-053-X-30208</v>
          </cell>
          <cell r="F1355">
            <v>42521.601307870369</v>
          </cell>
          <cell r="H1355" t="str">
            <v>B&amp;P-005-TCX208</v>
          </cell>
          <cell r="J1355">
            <v>1</v>
          </cell>
        </row>
        <row r="1356">
          <cell r="C1356" t="str">
            <v>B&amp;P-053-X-30208</v>
          </cell>
          <cell r="F1356">
            <v>42521.601307870369</v>
          </cell>
          <cell r="H1356" t="str">
            <v>B&amp;P-053-TCX208</v>
          </cell>
          <cell r="J1356">
            <v>1</v>
          </cell>
        </row>
        <row r="1357">
          <cell r="C1357" t="str">
            <v>BPB-037-BP-16007-A</v>
          </cell>
          <cell r="F1357">
            <v>42537.343831018516</v>
          </cell>
          <cell r="H1357" t="str">
            <v>BPB-999-AISI420Ø25.4</v>
          </cell>
          <cell r="J1357">
            <v>4.2000000000000003E-2</v>
          </cell>
        </row>
        <row r="1358">
          <cell r="C1358" t="str">
            <v>B&amp;P-001-BP12011-01-1</v>
          </cell>
          <cell r="F1358">
            <v>42509.478854166664</v>
          </cell>
          <cell r="H1358" t="str">
            <v>BPB-048-BP-12011-C1</v>
          </cell>
          <cell r="J1358">
            <v>1</v>
          </cell>
        </row>
        <row r="1359">
          <cell r="C1359" t="str">
            <v>B&amp;P-002-BP12011-01-2</v>
          </cell>
          <cell r="F1359">
            <v>42509.717280092591</v>
          </cell>
          <cell r="H1359" t="str">
            <v>BPB-048-BP-12011-C2</v>
          </cell>
          <cell r="J1359">
            <v>1</v>
          </cell>
        </row>
        <row r="1360">
          <cell r="C1360" t="str">
            <v>B&amp;P-002-ECL207-35-02</v>
          </cell>
          <cell r="F1360">
            <v>42524.339375000003</v>
          </cell>
          <cell r="H1360" t="str">
            <v>B&amp;P-002-ECL207-35-A2</v>
          </cell>
          <cell r="J1360">
            <v>1</v>
          </cell>
        </row>
        <row r="1361">
          <cell r="C1361" t="str">
            <v>B&amp;P-058-32218-MX</v>
          </cell>
          <cell r="F1361">
            <v>42524.426620370374</v>
          </cell>
          <cell r="H1361" t="str">
            <v>B&amp;P-053-TDX218</v>
          </cell>
          <cell r="J1361">
            <v>1</v>
          </cell>
        </row>
        <row r="1362">
          <cell r="C1362" t="str">
            <v>B&amp;P-058-32218-MX</v>
          </cell>
          <cell r="F1362">
            <v>42524.426620370374</v>
          </cell>
          <cell r="H1362" t="str">
            <v>B&amp;P-005-TDX218</v>
          </cell>
          <cell r="J1362">
            <v>1</v>
          </cell>
        </row>
        <row r="1363">
          <cell r="C1363" t="str">
            <v>B&amp;P-058-32218-MX</v>
          </cell>
          <cell r="F1363">
            <v>42524.426620370374</v>
          </cell>
          <cell r="H1363" t="str">
            <v>B&amp;P-003-TDX218</v>
          </cell>
          <cell r="J1363">
            <v>20</v>
          </cell>
        </row>
        <row r="1364">
          <cell r="C1364" t="str">
            <v>B&amp;P-058-32218-MX</v>
          </cell>
          <cell r="F1364">
            <v>42524.426620370374</v>
          </cell>
          <cell r="H1364" t="str">
            <v>B&amp;P-054-TDY218</v>
          </cell>
          <cell r="J1364">
            <v>1</v>
          </cell>
        </row>
        <row r="1365">
          <cell r="C1365" t="str">
            <v>BPB-037-BP-16006-A</v>
          </cell>
          <cell r="F1365">
            <v>42524.704212962963</v>
          </cell>
          <cell r="H1365" t="str">
            <v>BPB-999-SAE8620Ø25.4</v>
          </cell>
          <cell r="J1365">
            <v>4.2000000000000003E-2</v>
          </cell>
        </row>
        <row r="1366">
          <cell r="C1366" t="str">
            <v>B&amp;P-058-30306-MX</v>
          </cell>
          <cell r="F1366">
            <v>43410.392928240741</v>
          </cell>
          <cell r="H1366" t="str">
            <v>B&amp;P-053-X-30306</v>
          </cell>
          <cell r="J1366">
            <v>1</v>
          </cell>
        </row>
        <row r="1367">
          <cell r="C1367" t="str">
            <v>B&amp;P-058-30306-MX</v>
          </cell>
          <cell r="F1367">
            <v>43410.392928240741</v>
          </cell>
          <cell r="H1367" t="str">
            <v>B&amp;P-054-TCY306</v>
          </cell>
          <cell r="J1367">
            <v>1</v>
          </cell>
        </row>
        <row r="1368">
          <cell r="C1368" t="str">
            <v>B&amp;P-058-30305-MX</v>
          </cell>
          <cell r="F1368">
            <v>43410.405277777776</v>
          </cell>
          <cell r="H1368" t="str">
            <v>BPB-053-X-30305-MX</v>
          </cell>
          <cell r="J1368">
            <v>1</v>
          </cell>
        </row>
        <row r="1369">
          <cell r="C1369" t="str">
            <v>B&amp;P-058-30305-MX</v>
          </cell>
          <cell r="F1369">
            <v>43410.405277777776</v>
          </cell>
          <cell r="H1369" t="str">
            <v>B&amp;P-054-TCY305</v>
          </cell>
          <cell r="J1369">
            <v>1</v>
          </cell>
        </row>
        <row r="1370">
          <cell r="C1370" t="str">
            <v>B&amp;P-058-30214-MX</v>
          </cell>
          <cell r="F1370">
            <v>43410.424131944441</v>
          </cell>
          <cell r="H1370" t="str">
            <v>B&amp;P-053-X-30214</v>
          </cell>
          <cell r="J1370">
            <v>1</v>
          </cell>
        </row>
        <row r="1371">
          <cell r="C1371" t="str">
            <v>B&amp;P-058-30214-MX</v>
          </cell>
          <cell r="F1371">
            <v>43410.424131944441</v>
          </cell>
          <cell r="H1371" t="str">
            <v>B&amp;P-054-TCY214</v>
          </cell>
          <cell r="J1371">
            <v>1</v>
          </cell>
        </row>
        <row r="1372">
          <cell r="C1372" t="str">
            <v>B&amp;P-058-30307-MX</v>
          </cell>
          <cell r="F1372">
            <v>43410.46197916667</v>
          </cell>
          <cell r="H1372" t="str">
            <v>B&amp;P-053-X-30307</v>
          </cell>
          <cell r="J1372">
            <v>1</v>
          </cell>
        </row>
        <row r="1373">
          <cell r="C1373" t="str">
            <v>B&amp;P-058-30307-MX</v>
          </cell>
          <cell r="F1373">
            <v>43410.46197916667</v>
          </cell>
          <cell r="H1373" t="str">
            <v>B&amp;P-054-TCY307</v>
          </cell>
          <cell r="J1373">
            <v>1</v>
          </cell>
        </row>
        <row r="1374">
          <cell r="C1374" t="str">
            <v>B&amp;P-058-30219-MX</v>
          </cell>
          <cell r="F1374">
            <v>43410.463888888888</v>
          </cell>
          <cell r="H1374" t="str">
            <v>B&amp;P-053-X-30219</v>
          </cell>
          <cell r="J1374">
            <v>1</v>
          </cell>
        </row>
        <row r="1375">
          <cell r="C1375" t="str">
            <v>B&amp;P-058-30219-MX</v>
          </cell>
          <cell r="F1375">
            <v>43410.463888888888</v>
          </cell>
          <cell r="H1375" t="str">
            <v>B&amp;P-054-TCY219</v>
          </cell>
          <cell r="J1375">
            <v>1</v>
          </cell>
        </row>
        <row r="1376">
          <cell r="C1376" t="str">
            <v>B&amp;P-058-30218-MX</v>
          </cell>
          <cell r="F1376">
            <v>43410.464386574073</v>
          </cell>
          <cell r="H1376" t="str">
            <v>B&amp;P-053-X-30218</v>
          </cell>
          <cell r="J1376">
            <v>1</v>
          </cell>
        </row>
        <row r="1377">
          <cell r="C1377" t="str">
            <v>B&amp;P-058-30218-MX</v>
          </cell>
          <cell r="F1377">
            <v>43410.464386574073</v>
          </cell>
          <cell r="H1377" t="str">
            <v>B&amp;P-054-TCY218</v>
          </cell>
          <cell r="J1377">
            <v>1</v>
          </cell>
        </row>
        <row r="1378">
          <cell r="C1378" t="str">
            <v>B&amp;P-058-30220-MX</v>
          </cell>
          <cell r="F1378">
            <v>43410.46503472222</v>
          </cell>
          <cell r="H1378" t="str">
            <v>B&amp;P-053-X-30220</v>
          </cell>
          <cell r="J1378">
            <v>1</v>
          </cell>
        </row>
        <row r="1379">
          <cell r="C1379" t="str">
            <v>B&amp;P-058-30220-MX</v>
          </cell>
          <cell r="F1379">
            <v>43410.46503472222</v>
          </cell>
          <cell r="H1379" t="str">
            <v>B&amp;P-054-TCY220</v>
          </cell>
          <cell r="J1379">
            <v>1</v>
          </cell>
        </row>
        <row r="1380">
          <cell r="C1380" t="str">
            <v>B&amp;P-058-30217-MX</v>
          </cell>
          <cell r="F1380">
            <v>43410.465613425928</v>
          </cell>
          <cell r="H1380" t="str">
            <v>B&amp;P-053-X-30217</v>
          </cell>
          <cell r="J1380">
            <v>1</v>
          </cell>
        </row>
        <row r="1381">
          <cell r="C1381" t="str">
            <v>B&amp;P-058-30217-MX</v>
          </cell>
          <cell r="F1381">
            <v>43410.465613425928</v>
          </cell>
          <cell r="H1381" t="str">
            <v>B&amp;P-054-TCY217</v>
          </cell>
          <cell r="J1381">
            <v>1</v>
          </cell>
        </row>
        <row r="1382">
          <cell r="C1382" t="str">
            <v>B&amp;P-058-30308-MX</v>
          </cell>
          <cell r="F1382">
            <v>43410.466435185182</v>
          </cell>
          <cell r="H1382" t="str">
            <v>BPB-053-X-30308-MX</v>
          </cell>
          <cell r="J1382">
            <v>1</v>
          </cell>
        </row>
        <row r="1383">
          <cell r="C1383" t="str">
            <v>B&amp;P-058-30308-MX</v>
          </cell>
          <cell r="F1383">
            <v>43410.466435185182</v>
          </cell>
          <cell r="H1383" t="str">
            <v>B&amp;P-054-TCY308</v>
          </cell>
          <cell r="J1383">
            <v>1</v>
          </cell>
        </row>
        <row r="1384">
          <cell r="C1384" t="str">
            <v>BPB-037-BP-18013-03</v>
          </cell>
          <cell r="F1384">
            <v>43438.610937500001</v>
          </cell>
          <cell r="H1384" t="str">
            <v>BPB-037-SAE1045Ø25.4</v>
          </cell>
          <cell r="J1384">
            <v>2.1999999999999999E-2</v>
          </cell>
        </row>
        <row r="1385">
          <cell r="C1385" t="str">
            <v>BPB-037-BP-18018</v>
          </cell>
          <cell r="F1385">
            <v>43462.382777777777</v>
          </cell>
          <cell r="H1385" t="str">
            <v>BPB-037-BP-18018-A2</v>
          </cell>
          <cell r="J1385">
            <v>1</v>
          </cell>
        </row>
        <row r="1386">
          <cell r="C1386" t="str">
            <v>BPB-047-BP-18011</v>
          </cell>
          <cell r="F1386">
            <v>43472.693726851852</v>
          </cell>
          <cell r="H1386" t="str">
            <v>BPB-047-BP-18011-A</v>
          </cell>
          <cell r="J1386">
            <v>1</v>
          </cell>
        </row>
        <row r="1387">
          <cell r="C1387" t="str">
            <v>BPB-002-BP-18013-02</v>
          </cell>
          <cell r="F1387">
            <v>43487.388425925928</v>
          </cell>
          <cell r="H1387" t="str">
            <v>BPB-002-BP-18013-B2</v>
          </cell>
          <cell r="J1387">
            <v>1</v>
          </cell>
        </row>
        <row r="1388">
          <cell r="C1388" t="str">
            <v>BPB-056-ENG5575CHS-A</v>
          </cell>
          <cell r="F1388">
            <v>43500.440081018518</v>
          </cell>
          <cell r="H1388" t="str">
            <v>BPB-037-SAE1045Ø140</v>
          </cell>
          <cell r="J1388">
            <v>3.1E-2</v>
          </cell>
        </row>
        <row r="1389">
          <cell r="C1389" t="str">
            <v>BPB-037-BP-18017-A2</v>
          </cell>
          <cell r="F1389">
            <v>43550.438958333332</v>
          </cell>
          <cell r="H1389" t="str">
            <v>BPB-037-SAE4140Ø15.8</v>
          </cell>
          <cell r="J1389">
            <v>1.9E-2</v>
          </cell>
        </row>
        <row r="1390">
          <cell r="C1390" t="str">
            <v>BPB-048-AG-3565-CH9</v>
          </cell>
          <cell r="F1390">
            <v>44483.392407407409</v>
          </cell>
          <cell r="H1390" t="str">
            <v>B&amp;P-048-AG-1235-PPZ9</v>
          </cell>
          <cell r="J1390">
            <v>1</v>
          </cell>
        </row>
        <row r="1391">
          <cell r="C1391" t="str">
            <v>BPB-048-AG-3565-CH9</v>
          </cell>
          <cell r="F1391">
            <v>44483.392407407409</v>
          </cell>
          <cell r="H1391" t="str">
            <v>BPB-048-ENG-3565-CH9</v>
          </cell>
          <cell r="J1391">
            <v>1</v>
          </cell>
        </row>
        <row r="1392">
          <cell r="C1392" t="str">
            <v>BPB-027-SAB5209-08</v>
          </cell>
          <cell r="F1392">
            <v>43570.694421296299</v>
          </cell>
          <cell r="H1392" t="str">
            <v>BPB-027-SAB5209-A8</v>
          </cell>
          <cell r="J1392">
            <v>1</v>
          </cell>
        </row>
        <row r="1393">
          <cell r="C1393" t="str">
            <v>BPB-056-AG-04.038.1</v>
          </cell>
          <cell r="F1393">
            <v>45511.379537037035</v>
          </cell>
          <cell r="H1393" t="str">
            <v>BPB-056-ENG-04.038.1</v>
          </cell>
          <cell r="J1393">
            <v>1</v>
          </cell>
        </row>
        <row r="1394">
          <cell r="C1394" t="str">
            <v>BPB-056-AG-04.038.1</v>
          </cell>
          <cell r="F1394">
            <v>45511.379537037035</v>
          </cell>
          <cell r="H1394" t="str">
            <v>B&amp;P-048-204-KYY7</v>
          </cell>
          <cell r="J1394">
            <v>1</v>
          </cell>
        </row>
        <row r="1395">
          <cell r="C1395" t="str">
            <v>BPB-133-PB001459</v>
          </cell>
          <cell r="F1395">
            <v>42823.447557870371</v>
          </cell>
          <cell r="H1395" t="str">
            <v>BPB-033-ASA40-1-REEL</v>
          </cell>
          <cell r="J1395">
            <v>1.32</v>
          </cell>
        </row>
        <row r="1396">
          <cell r="C1396" t="str">
            <v>BPB-133-PB001459</v>
          </cell>
          <cell r="F1396">
            <v>42823.447557870371</v>
          </cell>
          <cell r="H1396" t="str">
            <v>BPB-033-OL-40-1</v>
          </cell>
          <cell r="J1396">
            <v>1</v>
          </cell>
        </row>
        <row r="1397">
          <cell r="C1397" t="str">
            <v>BPB-133-PB000850</v>
          </cell>
          <cell r="F1397">
            <v>42823.450798611113</v>
          </cell>
          <cell r="H1397" t="str">
            <v>BPB-033-ASA40-1-REEL</v>
          </cell>
          <cell r="J1397">
            <v>1.91</v>
          </cell>
        </row>
        <row r="1398">
          <cell r="C1398" t="str">
            <v>BPB-133-PB000850</v>
          </cell>
          <cell r="F1398">
            <v>42823.450798611113</v>
          </cell>
          <cell r="H1398" t="str">
            <v>BPB-033-CL-40-1</v>
          </cell>
          <cell r="J1398">
            <v>1</v>
          </cell>
        </row>
        <row r="1399">
          <cell r="C1399" t="str">
            <v>BPB-133-PB000862</v>
          </cell>
          <cell r="F1399">
            <v>42823.451435185183</v>
          </cell>
          <cell r="H1399" t="str">
            <v>BPB-033-ASA40-1-REEL</v>
          </cell>
          <cell r="J1399">
            <v>1.37</v>
          </cell>
        </row>
        <row r="1400">
          <cell r="C1400" t="str">
            <v>BPB-133-PB000862</v>
          </cell>
          <cell r="F1400">
            <v>42823.451435185183</v>
          </cell>
          <cell r="H1400" t="str">
            <v>BPB-033-CL-40-1</v>
          </cell>
          <cell r="J1400">
            <v>1</v>
          </cell>
        </row>
        <row r="1401">
          <cell r="C1401" t="str">
            <v>BPB-133-PB001429</v>
          </cell>
          <cell r="F1401">
            <v>42823.454027777778</v>
          </cell>
          <cell r="H1401" t="str">
            <v>BPB-033-ASA40-1-REEL</v>
          </cell>
          <cell r="J1401">
            <v>0.94</v>
          </cell>
        </row>
        <row r="1402">
          <cell r="C1402" t="str">
            <v>BPB-133-PB001429</v>
          </cell>
          <cell r="F1402">
            <v>42823.454027777778</v>
          </cell>
          <cell r="H1402" t="str">
            <v>BPB-033-CL-40-1</v>
          </cell>
          <cell r="J1402">
            <v>1</v>
          </cell>
        </row>
        <row r="1403">
          <cell r="C1403" t="str">
            <v>BPB-133-PB001440</v>
          </cell>
          <cell r="F1403">
            <v>42823.455034722225</v>
          </cell>
          <cell r="H1403" t="str">
            <v>BPB-033-ASA40-1-REEL</v>
          </cell>
          <cell r="J1403">
            <v>1.42</v>
          </cell>
        </row>
        <row r="1404">
          <cell r="C1404" t="str">
            <v>BPB-133-PB001440</v>
          </cell>
          <cell r="F1404">
            <v>42823.455034722225</v>
          </cell>
          <cell r="H1404" t="str">
            <v>BPB-033-CL-40-1</v>
          </cell>
          <cell r="J1404">
            <v>1</v>
          </cell>
        </row>
        <row r="1405">
          <cell r="C1405" t="str">
            <v>BPB-133-PB003254</v>
          </cell>
          <cell r="F1405">
            <v>42823.455706018518</v>
          </cell>
          <cell r="H1405" t="str">
            <v>BPB-033-ASA40-1-REEL</v>
          </cell>
          <cell r="J1405">
            <v>1.04</v>
          </cell>
        </row>
        <row r="1406">
          <cell r="C1406" t="str">
            <v>BPB-133-PB003254</v>
          </cell>
          <cell r="F1406">
            <v>42823.455706018518</v>
          </cell>
          <cell r="H1406" t="str">
            <v>BPB-033-CL-40-1</v>
          </cell>
          <cell r="J1406">
            <v>1</v>
          </cell>
        </row>
        <row r="1407">
          <cell r="C1407" t="str">
            <v>BPB-133-PB000152</v>
          </cell>
          <cell r="F1407">
            <v>42823.489050925928</v>
          </cell>
          <cell r="H1407" t="str">
            <v>BPB-033-ASA50-1-REEL</v>
          </cell>
          <cell r="J1407">
            <v>2.25</v>
          </cell>
        </row>
        <row r="1408">
          <cell r="C1408" t="str">
            <v>BPB-133-PB000152</v>
          </cell>
          <cell r="F1408">
            <v>42823.489050925928</v>
          </cell>
          <cell r="H1408" t="str">
            <v>BPB-033-OL-50-1</v>
          </cell>
          <cell r="J1408">
            <v>1</v>
          </cell>
        </row>
        <row r="1409">
          <cell r="C1409" t="str">
            <v>BPB-133-PB000159</v>
          </cell>
          <cell r="F1409">
            <v>42823.491597222222</v>
          </cell>
          <cell r="H1409" t="str">
            <v>BPB-033-ASA50-1-REEL</v>
          </cell>
          <cell r="J1409">
            <v>0.63</v>
          </cell>
        </row>
        <row r="1410">
          <cell r="C1410" t="str">
            <v>BPB-133-PB000159</v>
          </cell>
          <cell r="F1410">
            <v>42823.491597222222</v>
          </cell>
          <cell r="H1410" t="str">
            <v>BPB-033-OL-50-1</v>
          </cell>
          <cell r="J1410">
            <v>1</v>
          </cell>
        </row>
        <row r="1411">
          <cell r="C1411" t="str">
            <v>BPB-133-PB001470</v>
          </cell>
          <cell r="F1411">
            <v>42823.494629629633</v>
          </cell>
          <cell r="H1411" t="str">
            <v>BPB-033-ASA50-1-REEL</v>
          </cell>
          <cell r="J1411">
            <v>1.81</v>
          </cell>
        </row>
        <row r="1412">
          <cell r="C1412" t="str">
            <v>BPB-133-PB001470</v>
          </cell>
          <cell r="F1412">
            <v>42823.494629629633</v>
          </cell>
          <cell r="H1412" t="str">
            <v>BPB-033-OL-50-1</v>
          </cell>
          <cell r="J1412">
            <v>1</v>
          </cell>
        </row>
        <row r="1413">
          <cell r="C1413" t="str">
            <v>BPB-133-PB001540</v>
          </cell>
          <cell r="F1413">
            <v>42823.496064814812</v>
          </cell>
          <cell r="H1413" t="str">
            <v>BPB-033-ASA50-1-REEL</v>
          </cell>
          <cell r="J1413">
            <v>0.6</v>
          </cell>
        </row>
        <row r="1414">
          <cell r="C1414" t="str">
            <v>BPB-133-PB001540</v>
          </cell>
          <cell r="F1414">
            <v>42823.496064814812</v>
          </cell>
          <cell r="H1414" t="str">
            <v>BPB-033-OL-50-1</v>
          </cell>
          <cell r="J1414">
            <v>1</v>
          </cell>
        </row>
        <row r="1415">
          <cell r="C1415" t="str">
            <v>BPB-133-PB001600</v>
          </cell>
          <cell r="F1415">
            <v>42823.496898148151</v>
          </cell>
          <cell r="H1415" t="str">
            <v>BPB-033-ASA50-1-REEL</v>
          </cell>
          <cell r="J1415">
            <v>0.56999999999999995</v>
          </cell>
        </row>
        <row r="1416">
          <cell r="C1416" t="str">
            <v>BPB-133-PB001600</v>
          </cell>
          <cell r="F1416">
            <v>42823.496898148151</v>
          </cell>
          <cell r="H1416" t="str">
            <v>BPB-033-OL-50-1</v>
          </cell>
          <cell r="J1416">
            <v>1</v>
          </cell>
        </row>
        <row r="1417">
          <cell r="C1417" t="str">
            <v>BPB-133-PB001349</v>
          </cell>
          <cell r="F1417">
            <v>42823.498240740744</v>
          </cell>
          <cell r="H1417" t="str">
            <v>BPB-033-ASA50-1-REEL</v>
          </cell>
          <cell r="J1417">
            <v>0.51</v>
          </cell>
        </row>
        <row r="1418">
          <cell r="C1418" t="str">
            <v>BPB-133-PB001349</v>
          </cell>
          <cell r="F1418">
            <v>42823.498240740744</v>
          </cell>
          <cell r="H1418" t="str">
            <v>BPB-033-CL-50-1</v>
          </cell>
          <cell r="J1418">
            <v>1</v>
          </cell>
        </row>
        <row r="1419">
          <cell r="C1419" t="str">
            <v>BPB-133-PB002862</v>
          </cell>
          <cell r="F1419">
            <v>42823.498726851853</v>
          </cell>
          <cell r="H1419" t="str">
            <v>BPB-033-ASA50-1-REEL</v>
          </cell>
          <cell r="J1419">
            <v>1.1399999999999999</v>
          </cell>
        </row>
        <row r="1420">
          <cell r="C1420" t="str">
            <v>BPB-133-PB002862</v>
          </cell>
          <cell r="F1420">
            <v>42823.498726851853</v>
          </cell>
          <cell r="H1420" t="str">
            <v>BPB-033-CL-50-1</v>
          </cell>
          <cell r="J1420">
            <v>1</v>
          </cell>
        </row>
        <row r="1421">
          <cell r="C1421" t="str">
            <v>BPB-037-BP-16012-02</v>
          </cell>
          <cell r="F1421">
            <v>42817.72556712963</v>
          </cell>
          <cell r="H1421" t="str">
            <v>BPB-037-AISI316LØ40</v>
          </cell>
          <cell r="J1421">
            <v>0.02</v>
          </cell>
        </row>
        <row r="1422">
          <cell r="C1422" t="str">
            <v>B&amp;P-LED-OV-5490-5</v>
          </cell>
          <cell r="F1422">
            <v>42829.712002314816</v>
          </cell>
          <cell r="H1422" t="str">
            <v>B&amp;P-LED-OV90-5-01</v>
          </cell>
          <cell r="J1422">
            <v>1</v>
          </cell>
        </row>
        <row r="1423">
          <cell r="C1423" t="str">
            <v>B&amp;P-LED-OV-5490-5</v>
          </cell>
          <cell r="F1423">
            <v>42829.712002314816</v>
          </cell>
          <cell r="H1423" t="str">
            <v>B&amp;P-PCB-HB-905000K</v>
          </cell>
          <cell r="J1423">
            <v>1</v>
          </cell>
        </row>
        <row r="1424">
          <cell r="C1424" t="str">
            <v>B&amp;P-LED-OV-54200-5</v>
          </cell>
          <cell r="F1424">
            <v>42829.7187037037</v>
          </cell>
          <cell r="H1424" t="str">
            <v>B&amp;P-LED-OV200-5-01</v>
          </cell>
          <cell r="J1424">
            <v>1</v>
          </cell>
        </row>
        <row r="1425">
          <cell r="C1425" t="str">
            <v>B&amp;P-LED-OV-54200-5</v>
          </cell>
          <cell r="F1425">
            <v>42829.7187037037</v>
          </cell>
          <cell r="H1425" t="str">
            <v>B&amp;P-PCB-HB-2005000K</v>
          </cell>
          <cell r="J1425">
            <v>1</v>
          </cell>
        </row>
        <row r="1426">
          <cell r="C1426" t="str">
            <v>B&amp;P-LED-OV-54300-5</v>
          </cell>
          <cell r="F1426">
            <v>42829.732604166667</v>
          </cell>
          <cell r="H1426" t="str">
            <v>B&amp;P-LED-OV300-5-01</v>
          </cell>
          <cell r="J1426">
            <v>1</v>
          </cell>
        </row>
        <row r="1427">
          <cell r="C1427" t="str">
            <v>B&amp;P-LED-OV-54300-5</v>
          </cell>
          <cell r="F1427">
            <v>42829.732604166667</v>
          </cell>
          <cell r="H1427" t="str">
            <v>B&amp;P-PCB-HB-3005000K</v>
          </cell>
          <cell r="J1427">
            <v>1</v>
          </cell>
        </row>
        <row r="1428">
          <cell r="C1428" t="str">
            <v>B&amp;P-LED-OV-54330-5</v>
          </cell>
          <cell r="F1428">
            <v>42831.727731481478</v>
          </cell>
          <cell r="H1428" t="str">
            <v>B&amp;P-LED-OV300-5-01</v>
          </cell>
          <cell r="J1428">
            <v>1</v>
          </cell>
        </row>
        <row r="1429">
          <cell r="C1429" t="str">
            <v>B&amp;P-LED-OV-54330-5</v>
          </cell>
          <cell r="F1429">
            <v>42831.727731481478</v>
          </cell>
          <cell r="H1429" t="str">
            <v>B&amp;P-PCB-HB-3005000K</v>
          </cell>
          <cell r="J1429">
            <v>1</v>
          </cell>
        </row>
        <row r="1430">
          <cell r="C1430" t="str">
            <v>B&amp;P-LED-OV-54330-5</v>
          </cell>
          <cell r="F1430">
            <v>42831.727731481478</v>
          </cell>
          <cell r="H1430" t="str">
            <v>B&amp;P-LED-Lens-OV300-3</v>
          </cell>
          <cell r="J1430">
            <v>1</v>
          </cell>
        </row>
        <row r="1431">
          <cell r="C1431" t="str">
            <v>BPB-037-9011</v>
          </cell>
          <cell r="F1431">
            <v>42849.45722222222</v>
          </cell>
          <cell r="H1431" t="str">
            <v>BPB-037-609011</v>
          </cell>
          <cell r="J1431">
            <v>1</v>
          </cell>
        </row>
        <row r="1432">
          <cell r="C1432" t="str">
            <v>BPB-041-MS04-1RLD-C3</v>
          </cell>
          <cell r="F1432">
            <v>42857.348090277781</v>
          </cell>
          <cell r="H1432" t="str">
            <v>B&amp;P-HS--MS04-D-C3</v>
          </cell>
          <cell r="J1432">
            <v>1</v>
          </cell>
        </row>
        <row r="1433">
          <cell r="C1433" t="str">
            <v>BPB-041-MS04-1RLD-C3</v>
          </cell>
          <cell r="F1433">
            <v>42857.348090277781</v>
          </cell>
          <cell r="H1433" t="str">
            <v>B&amp;P-004-MS04RLD-BLUE</v>
          </cell>
          <cell r="J1433">
            <v>1</v>
          </cell>
        </row>
        <row r="1434">
          <cell r="C1434" t="str">
            <v>B&amp;P-LED-NX-180</v>
          </cell>
          <cell r="F1434">
            <v>42860.656006944446</v>
          </cell>
          <cell r="H1434" t="str">
            <v>B&amp;P-FAL-BP-200H-54B</v>
          </cell>
          <cell r="J1434">
            <v>1</v>
          </cell>
        </row>
        <row r="1435">
          <cell r="C1435" t="str">
            <v>B&amp;P-LED-NX-180</v>
          </cell>
          <cell r="F1435">
            <v>42860.656006944446</v>
          </cell>
          <cell r="H1435" t="str">
            <v>B&amp;P-FAL-SP1</v>
          </cell>
          <cell r="J1435">
            <v>1</v>
          </cell>
        </row>
        <row r="1436">
          <cell r="C1436" t="str">
            <v>B&amp;P-LED-NX-180</v>
          </cell>
          <cell r="F1436">
            <v>42860.656006944446</v>
          </cell>
          <cell r="H1436" t="str">
            <v>B&amp;P-LED-NX-180-Housi</v>
          </cell>
          <cell r="J1436">
            <v>1</v>
          </cell>
        </row>
        <row r="1437">
          <cell r="C1437" t="str">
            <v>B&amp;P-LED-NX-180</v>
          </cell>
          <cell r="F1437">
            <v>42860.656006944446</v>
          </cell>
          <cell r="H1437" t="str">
            <v>B&amp;P-PCB-NX-1805000K</v>
          </cell>
          <cell r="J1437">
            <v>1</v>
          </cell>
        </row>
        <row r="1438">
          <cell r="C1438" t="str">
            <v>BPB-041-HD06-2RST</v>
          </cell>
          <cell r="F1438">
            <v>42863.392974537041</v>
          </cell>
          <cell r="H1438" t="str">
            <v>BPB-999-HD06-2RST</v>
          </cell>
          <cell r="J1438">
            <v>1</v>
          </cell>
        </row>
        <row r="1439">
          <cell r="C1439" t="str">
            <v>BPB-041-HD06-2RST</v>
          </cell>
          <cell r="F1439">
            <v>42863.392974537041</v>
          </cell>
          <cell r="H1439" t="str">
            <v>BPB-004-HD06-2RST-08</v>
          </cell>
          <cell r="J1439">
            <v>2</v>
          </cell>
        </row>
        <row r="1440">
          <cell r="C1440" t="str">
            <v>000-058-32207-MX</v>
          </cell>
          <cell r="F1440">
            <v>42825.458275462966</v>
          </cell>
          <cell r="H1440" t="str">
            <v>000-053-TDX207</v>
          </cell>
          <cell r="J1440">
            <v>1</v>
          </cell>
        </row>
        <row r="1441">
          <cell r="C1441" t="str">
            <v>000-058-32207-MX</v>
          </cell>
          <cell r="F1441">
            <v>42825.458275462966</v>
          </cell>
          <cell r="H1441" t="str">
            <v>000-005-TDX207</v>
          </cell>
          <cell r="J1441">
            <v>1</v>
          </cell>
        </row>
        <row r="1442">
          <cell r="C1442" t="str">
            <v>000-058-32207-MX</v>
          </cell>
          <cell r="F1442">
            <v>42825.458275462966</v>
          </cell>
          <cell r="H1442" t="str">
            <v>000-003-TDX207</v>
          </cell>
          <cell r="J1442">
            <v>17</v>
          </cell>
        </row>
        <row r="1443">
          <cell r="C1443" t="str">
            <v>000-058-32207-MX</v>
          </cell>
          <cell r="F1443">
            <v>42825.458275462966</v>
          </cell>
          <cell r="H1443" t="str">
            <v>000-054-TDY207</v>
          </cell>
          <cell r="J1443">
            <v>1</v>
          </cell>
        </row>
        <row r="1444">
          <cell r="C1444" t="str">
            <v>B&amp;P-LED-NX-120</v>
          </cell>
          <cell r="F1444">
            <v>42843.456944444442</v>
          </cell>
          <cell r="H1444" t="str">
            <v>B&amp;P-LED-NX-54120</v>
          </cell>
          <cell r="J1444">
            <v>1</v>
          </cell>
        </row>
        <row r="1445">
          <cell r="C1445" t="str">
            <v>B&amp;P-LED-NX-120</v>
          </cell>
          <cell r="F1445">
            <v>42843.456944444442</v>
          </cell>
          <cell r="H1445" t="str">
            <v>B&amp;P-FAL-BP-120H-54B</v>
          </cell>
          <cell r="J1445">
            <v>1</v>
          </cell>
        </row>
        <row r="1446">
          <cell r="C1446" t="str">
            <v>B&amp;P-LED-NX-120</v>
          </cell>
          <cell r="F1446">
            <v>42843.456944444442</v>
          </cell>
          <cell r="H1446" t="str">
            <v>B&amp;P-FAL-SP1</v>
          </cell>
          <cell r="J1446">
            <v>1</v>
          </cell>
        </row>
        <row r="1447">
          <cell r="C1447" t="str">
            <v>B&amp;P-041-5206-2RST</v>
          </cell>
          <cell r="F1447">
            <v>42843.492384259262</v>
          </cell>
          <cell r="H1447" t="str">
            <v>BPB-999-5206-2RST</v>
          </cell>
          <cell r="J1447">
            <v>1</v>
          </cell>
        </row>
        <row r="1448">
          <cell r="C1448" t="str">
            <v>B&amp;P-041-5206-2RST</v>
          </cell>
          <cell r="F1448">
            <v>42843.492384259262</v>
          </cell>
          <cell r="H1448" t="str">
            <v>BPB-027-RST-5206</v>
          </cell>
          <cell r="J1448">
            <v>2</v>
          </cell>
        </row>
        <row r="1449">
          <cell r="C1449" t="str">
            <v>B&amp;P-041-5206-2RST</v>
          </cell>
          <cell r="F1449">
            <v>42843.492384259262</v>
          </cell>
          <cell r="H1449" t="str">
            <v>BPB-000-POLYREX-EM</v>
          </cell>
          <cell r="J1449">
            <v>10</v>
          </cell>
        </row>
        <row r="1450">
          <cell r="C1450" t="str">
            <v>BPB-047-F-209-3</v>
          </cell>
          <cell r="F1450">
            <v>42857.435520833336</v>
          </cell>
          <cell r="H1450" t="str">
            <v>BPB-047-F-209-3-A</v>
          </cell>
          <cell r="J1450">
            <v>1</v>
          </cell>
        </row>
        <row r="1451">
          <cell r="C1451" t="str">
            <v>BPB-048-207-KRRB9</v>
          </cell>
          <cell r="F1451">
            <v>42865.45821759259</v>
          </cell>
          <cell r="H1451" t="str">
            <v>B&amp;P-001-OR207-17</v>
          </cell>
          <cell r="J1451">
            <v>1</v>
          </cell>
        </row>
        <row r="1452">
          <cell r="C1452" t="str">
            <v>BPB-048-207-KRRB9</v>
          </cell>
          <cell r="F1452">
            <v>42865.45821759259</v>
          </cell>
          <cell r="H1452" t="str">
            <v>B&amp;P-002-207-K9</v>
          </cell>
          <cell r="J1452">
            <v>1</v>
          </cell>
        </row>
        <row r="1453">
          <cell r="C1453" t="str">
            <v>BPB-048-207-KRRB9</v>
          </cell>
          <cell r="F1453">
            <v>42865.45821759259</v>
          </cell>
          <cell r="H1453" t="str">
            <v>B&amp;P-004-207-RST-08</v>
          </cell>
          <cell r="J1453">
            <v>2</v>
          </cell>
        </row>
        <row r="1454">
          <cell r="C1454" t="str">
            <v>BPB-048-207-KRRB9</v>
          </cell>
          <cell r="F1454">
            <v>42865.45821759259</v>
          </cell>
          <cell r="H1454" t="str">
            <v>B&amp;P-003-Ball-7/16</v>
          </cell>
          <cell r="J1454">
            <v>9</v>
          </cell>
        </row>
        <row r="1455">
          <cell r="C1455" t="str">
            <v>BPB-048-207-KRRB9</v>
          </cell>
          <cell r="F1455">
            <v>42865.45821759259</v>
          </cell>
          <cell r="H1455" t="str">
            <v>B&amp;P-005-CAGE207-17</v>
          </cell>
          <cell r="J1455">
            <v>1</v>
          </cell>
        </row>
        <row r="1456">
          <cell r="C1456" t="str">
            <v>BPB-048-207-KRRB9</v>
          </cell>
          <cell r="F1456">
            <v>42865.45821759259</v>
          </cell>
          <cell r="H1456" t="str">
            <v>BPB-000-POLYREX-EM</v>
          </cell>
          <cell r="J1456">
            <v>8</v>
          </cell>
        </row>
        <row r="1457">
          <cell r="C1457" t="str">
            <v>BPB-133-PB003292</v>
          </cell>
          <cell r="F1457">
            <v>42884.420937499999</v>
          </cell>
          <cell r="H1457" t="str">
            <v>BPB-033-ASA40-1-REEL</v>
          </cell>
          <cell r="J1457">
            <v>1.22</v>
          </cell>
        </row>
        <row r="1458">
          <cell r="C1458" t="str">
            <v>BPB-133-PB003292</v>
          </cell>
          <cell r="F1458">
            <v>42884.420937499999</v>
          </cell>
          <cell r="H1458" t="str">
            <v>BPB-033-CL-40-1</v>
          </cell>
          <cell r="J1458">
            <v>1</v>
          </cell>
        </row>
        <row r="1459">
          <cell r="C1459" t="str">
            <v>B&amp;P-002-ACL207-35-02</v>
          </cell>
          <cell r="F1459">
            <v>42898.372928240744</v>
          </cell>
          <cell r="H1459" t="str">
            <v>B&amp;P-002-ACL207-35-A2</v>
          </cell>
          <cell r="J1459">
            <v>1</v>
          </cell>
        </row>
        <row r="1460">
          <cell r="C1460" t="str">
            <v>BPB-047-FT-203-47</v>
          </cell>
          <cell r="F1460">
            <v>42907.62767361111</v>
          </cell>
          <cell r="H1460" t="str">
            <v>BPB-047-FT-203</v>
          </cell>
          <cell r="J1460">
            <v>1</v>
          </cell>
        </row>
        <row r="1461">
          <cell r="C1461" t="str">
            <v>B&amp;P-DOB-BULB-50W-5K</v>
          </cell>
          <cell r="F1461">
            <v>42915.477719907409</v>
          </cell>
          <cell r="H1461" t="str">
            <v>B&amp;P-ALU-BULB50-Housi</v>
          </cell>
          <cell r="J1461">
            <v>1</v>
          </cell>
        </row>
        <row r="1462">
          <cell r="C1462" t="str">
            <v>B&amp;P-DOB-BULB-50W-5K</v>
          </cell>
          <cell r="F1462">
            <v>42915.477719907409</v>
          </cell>
          <cell r="H1462" t="str">
            <v>B&amp;P-DOB-50-R-5000</v>
          </cell>
          <cell r="J1462">
            <v>1</v>
          </cell>
        </row>
        <row r="1463">
          <cell r="C1463" t="str">
            <v>B&amp;P-DOB-BULB-50W-3K</v>
          </cell>
          <cell r="F1463">
            <v>42915.482071759259</v>
          </cell>
          <cell r="H1463" t="str">
            <v>B&amp;P-ALU-BULB50-Housi</v>
          </cell>
          <cell r="J1463">
            <v>1</v>
          </cell>
        </row>
        <row r="1464">
          <cell r="C1464" t="str">
            <v>B&amp;P-DOB-BULB-50W-3K</v>
          </cell>
          <cell r="F1464">
            <v>42915.482071759259</v>
          </cell>
          <cell r="H1464" t="str">
            <v>B&amp;P-DOB-50-R-3000K</v>
          </cell>
          <cell r="J1464">
            <v>1</v>
          </cell>
        </row>
        <row r="1465">
          <cell r="C1465" t="str">
            <v>BPB-133-PB004764</v>
          </cell>
          <cell r="F1465">
            <v>42919.445370370369</v>
          </cell>
          <cell r="H1465" t="str">
            <v>BPB-033-ASA40-1-REEL</v>
          </cell>
          <cell r="J1465">
            <v>0.97</v>
          </cell>
        </row>
        <row r="1466">
          <cell r="C1466" t="str">
            <v>BPB-133-PB004764</v>
          </cell>
          <cell r="F1466">
            <v>42919.445370370369</v>
          </cell>
          <cell r="H1466" t="str">
            <v>BPB-033-CL-40-1</v>
          </cell>
          <cell r="J1466">
            <v>1</v>
          </cell>
        </row>
        <row r="1467">
          <cell r="C1467" t="str">
            <v>BPB-047-ECL-305DG</v>
          </cell>
          <cell r="F1467">
            <v>42905.612870370373</v>
          </cell>
          <cell r="H1467" t="str">
            <v>B&amp;P-001-OR206-G18</v>
          </cell>
          <cell r="J1467">
            <v>1</v>
          </cell>
        </row>
        <row r="1468">
          <cell r="C1468" t="str">
            <v>BPB-047-ECL-305DG</v>
          </cell>
          <cell r="F1468">
            <v>42905.612870370373</v>
          </cell>
          <cell r="H1468" t="str">
            <v>B&amp;P-002-ECL305-02</v>
          </cell>
          <cell r="J1468">
            <v>1</v>
          </cell>
        </row>
        <row r="1469">
          <cell r="C1469" t="str">
            <v>BPB-047-ECL-305DG</v>
          </cell>
          <cell r="F1469">
            <v>42905.612870370373</v>
          </cell>
          <cell r="H1469" t="str">
            <v>B&amp;P-003-Ball-3/8</v>
          </cell>
          <cell r="J1469">
            <v>9</v>
          </cell>
        </row>
        <row r="1470">
          <cell r="C1470" t="str">
            <v>BPB-047-ECL-305DG</v>
          </cell>
          <cell r="F1470">
            <v>42905.612870370373</v>
          </cell>
          <cell r="H1470" t="str">
            <v>B&amp;P-005-CAGE206-17</v>
          </cell>
          <cell r="J1470">
            <v>1</v>
          </cell>
        </row>
        <row r="1471">
          <cell r="C1471" t="str">
            <v>BPB-047-ECL-305DG</v>
          </cell>
          <cell r="F1471">
            <v>42905.612870370373</v>
          </cell>
          <cell r="H1471" t="str">
            <v>BPB-000-POLYREX-EM</v>
          </cell>
          <cell r="J1471">
            <v>5.5</v>
          </cell>
        </row>
        <row r="1472">
          <cell r="C1472" t="str">
            <v>BPB-047-ECL-305DG</v>
          </cell>
          <cell r="F1472">
            <v>42905.612870370373</v>
          </cell>
          <cell r="H1472" t="str">
            <v>B&amp;P-004-206-DBL-08</v>
          </cell>
          <cell r="J1472">
            <v>2</v>
          </cell>
        </row>
        <row r="1473">
          <cell r="C1473" t="str">
            <v>BPB-047-ECL-305DG</v>
          </cell>
          <cell r="F1473">
            <v>42905.612870370373</v>
          </cell>
          <cell r="H1473" t="str">
            <v>B&amp;P-010-LOC206-25</v>
          </cell>
          <cell r="J1473">
            <v>1</v>
          </cell>
        </row>
        <row r="1474">
          <cell r="C1474" t="str">
            <v>BPB-133-PB004763</v>
          </cell>
          <cell r="F1474">
            <v>42919.452106481483</v>
          </cell>
          <cell r="H1474" t="str">
            <v>BPB-033-ASA40-1-REEL</v>
          </cell>
          <cell r="J1474">
            <v>1.63</v>
          </cell>
        </row>
        <row r="1475">
          <cell r="C1475" t="str">
            <v>BPB-133-PB004763</v>
          </cell>
          <cell r="F1475">
            <v>42919.452106481483</v>
          </cell>
          <cell r="H1475" t="str">
            <v>BPB-033-CL-40-1</v>
          </cell>
          <cell r="J1475">
            <v>1</v>
          </cell>
        </row>
        <row r="1476">
          <cell r="C1476" t="str">
            <v>BPB-133-PB004773</v>
          </cell>
          <cell r="F1476">
            <v>42919.453888888886</v>
          </cell>
          <cell r="H1476" t="str">
            <v>BPB-033-ASA50-1-REEL</v>
          </cell>
          <cell r="J1476">
            <v>0.95</v>
          </cell>
        </row>
        <row r="1477">
          <cell r="C1477" t="str">
            <v>BPB-133-PB004773</v>
          </cell>
          <cell r="F1477">
            <v>42919.453888888886</v>
          </cell>
          <cell r="H1477" t="str">
            <v>BPB-033-CL-50-1</v>
          </cell>
          <cell r="J1477">
            <v>1</v>
          </cell>
        </row>
        <row r="1478">
          <cell r="C1478" t="str">
            <v>BPB-133-PB004758</v>
          </cell>
          <cell r="F1478">
            <v>42919.454988425925</v>
          </cell>
          <cell r="H1478" t="str">
            <v>BPB-033-ASA50-1-REEL</v>
          </cell>
          <cell r="J1478">
            <v>2.2200000000000002</v>
          </cell>
        </row>
        <row r="1479">
          <cell r="C1479" t="str">
            <v>BPB-133-PB004758</v>
          </cell>
          <cell r="F1479">
            <v>42919.454988425925</v>
          </cell>
          <cell r="H1479" t="str">
            <v>BPB-033-CL-50-1</v>
          </cell>
          <cell r="J1479">
            <v>1</v>
          </cell>
        </row>
        <row r="1480">
          <cell r="C1480" t="str">
            <v>BPB-133-PB001335</v>
          </cell>
          <cell r="F1480">
            <v>42919.455833333333</v>
          </cell>
          <cell r="H1480" t="str">
            <v>BPB-033-ASA50-1-REEL</v>
          </cell>
          <cell r="J1480">
            <v>0.76</v>
          </cell>
        </row>
        <row r="1481">
          <cell r="C1481" t="str">
            <v>BPB-133-PB001335</v>
          </cell>
          <cell r="F1481">
            <v>42919.455833333333</v>
          </cell>
          <cell r="H1481" t="str">
            <v>BPB-033-CL-50-1</v>
          </cell>
          <cell r="J1481">
            <v>1</v>
          </cell>
        </row>
        <row r="1482">
          <cell r="C1482" t="str">
            <v>BPB-133-PB001097</v>
          </cell>
          <cell r="F1482">
            <v>42919.486400462964</v>
          </cell>
          <cell r="H1482" t="str">
            <v>BPB-033-ASA40-1-REEL</v>
          </cell>
          <cell r="J1482">
            <v>0.91</v>
          </cell>
        </row>
        <row r="1483">
          <cell r="C1483" t="str">
            <v>BPB-133-PB001097</v>
          </cell>
          <cell r="F1483">
            <v>42919.486400462964</v>
          </cell>
          <cell r="H1483" t="str">
            <v>BPB-033-CL-40-1</v>
          </cell>
          <cell r="J1483">
            <v>1</v>
          </cell>
        </row>
        <row r="1484">
          <cell r="C1484" t="str">
            <v>BPB-133-PB000154</v>
          </cell>
          <cell r="F1484">
            <v>42919.499236111114</v>
          </cell>
          <cell r="H1484" t="str">
            <v>BPB-033-ASA50-1-REEL</v>
          </cell>
          <cell r="J1484">
            <v>2.35</v>
          </cell>
        </row>
        <row r="1485">
          <cell r="C1485" t="str">
            <v>BPB-133-PB000154</v>
          </cell>
          <cell r="F1485">
            <v>42919.499236111114</v>
          </cell>
          <cell r="H1485" t="str">
            <v>BPB-033-CL-50-1</v>
          </cell>
          <cell r="J1485">
            <v>1</v>
          </cell>
        </row>
        <row r="1486">
          <cell r="C1486" t="str">
            <v>B&amp;P-DOB-1CW50</v>
          </cell>
          <cell r="F1486">
            <v>42942.67328703704</v>
          </cell>
          <cell r="H1486" t="str">
            <v>B&amp;P-ALU-DOB50-Housin</v>
          </cell>
          <cell r="J1486">
            <v>1</v>
          </cell>
        </row>
        <row r="1487">
          <cell r="C1487" t="str">
            <v>B&amp;P-DOB-1CW50</v>
          </cell>
          <cell r="F1487">
            <v>42942.67328703704</v>
          </cell>
          <cell r="H1487" t="str">
            <v>B&amp;P-DOB-50-C-5000K</v>
          </cell>
          <cell r="J1487">
            <v>1</v>
          </cell>
        </row>
        <row r="1488">
          <cell r="C1488" t="str">
            <v>BPB-047-ECL212-60D-3</v>
          </cell>
          <cell r="F1488">
            <v>43535.628344907411</v>
          </cell>
          <cell r="H1488" t="str">
            <v>B&amp;P-047-ECL-212-60DG</v>
          </cell>
          <cell r="J1488">
            <v>1</v>
          </cell>
        </row>
        <row r="1489">
          <cell r="C1489" t="str">
            <v>BPB-033-CA627-M40A-9</v>
          </cell>
          <cell r="F1489">
            <v>43544.61787037037</v>
          </cell>
          <cell r="H1489" t="str">
            <v>BPB-033-CA627-M40A</v>
          </cell>
          <cell r="J1489">
            <v>1.4</v>
          </cell>
        </row>
        <row r="1490">
          <cell r="C1490" t="str">
            <v>B&amp;P-058-32012-MX</v>
          </cell>
          <cell r="F1490">
            <v>43550.378634259258</v>
          </cell>
          <cell r="H1490" t="str">
            <v>B&amp;P-054-TDY012</v>
          </cell>
          <cell r="J1490">
            <v>1</v>
          </cell>
        </row>
        <row r="1491">
          <cell r="C1491" t="str">
            <v>B&amp;P-058-32012-MX</v>
          </cell>
          <cell r="F1491">
            <v>43550.378634259258</v>
          </cell>
          <cell r="H1491" t="str">
            <v>B&amp;P-053-X-32012</v>
          </cell>
          <cell r="J1491">
            <v>1</v>
          </cell>
        </row>
        <row r="1492">
          <cell r="C1492" t="str">
            <v>BPB-041-5307-2RSC3NR</v>
          </cell>
          <cell r="F1492">
            <v>43577.47928240741</v>
          </cell>
          <cell r="H1492" t="str">
            <v>BPB-041-5307-2RS-C3</v>
          </cell>
          <cell r="J1492">
            <v>1</v>
          </cell>
        </row>
        <row r="1493">
          <cell r="C1493" t="str">
            <v>BPB-041-5307-2RSC3NR</v>
          </cell>
          <cell r="F1493">
            <v>43577.47928240741</v>
          </cell>
          <cell r="H1493" t="str">
            <v>BPB-037-SP-80</v>
          </cell>
          <cell r="J1493">
            <v>1</v>
          </cell>
        </row>
        <row r="1494">
          <cell r="C1494" t="str">
            <v>BPB-133-PB005519</v>
          </cell>
          <cell r="F1494">
            <v>43616.493796296294</v>
          </cell>
          <cell r="H1494" t="str">
            <v>BPB-033-ASA40-1-REEL</v>
          </cell>
          <cell r="J1494">
            <v>1.2</v>
          </cell>
        </row>
        <row r="1495">
          <cell r="C1495" t="str">
            <v>BPB-133-PB005519</v>
          </cell>
          <cell r="F1495">
            <v>43616.493796296294</v>
          </cell>
          <cell r="H1495" t="str">
            <v>BPB-033-CL-40-1</v>
          </cell>
          <cell r="J1495">
            <v>1</v>
          </cell>
        </row>
        <row r="1496">
          <cell r="C1496" t="str">
            <v>BPB-037-9014</v>
          </cell>
          <cell r="F1496">
            <v>43616.606215277781</v>
          </cell>
          <cell r="H1496" t="str">
            <v>BPB-037-609011</v>
          </cell>
          <cell r="J1496">
            <v>1</v>
          </cell>
        </row>
        <row r="1497">
          <cell r="C1497" t="str">
            <v>B&amp;P-058-33117-MX</v>
          </cell>
          <cell r="F1497">
            <v>43634.361145833333</v>
          </cell>
          <cell r="H1497" t="str">
            <v>B&amp;P-054-TTY117</v>
          </cell>
          <cell r="J1497">
            <v>1</v>
          </cell>
        </row>
        <row r="1498">
          <cell r="C1498" t="str">
            <v>B&amp;P-ALU-EX100-5/NSPD</v>
          </cell>
          <cell r="F1498">
            <v>43796.693425925929</v>
          </cell>
          <cell r="H1498" t="str">
            <v>B&amp;P-ALU-DISI-EX100</v>
          </cell>
          <cell r="J1498">
            <v>1</v>
          </cell>
        </row>
        <row r="1499">
          <cell r="C1499" t="str">
            <v>B&amp;P-ALU-EX100-5/NSPD</v>
          </cell>
          <cell r="F1499">
            <v>43796.693425925929</v>
          </cell>
          <cell r="H1499" t="str">
            <v>B&amp;P-ALU-EX100-LENS</v>
          </cell>
          <cell r="J1499">
            <v>1</v>
          </cell>
        </row>
        <row r="1500">
          <cell r="C1500" t="str">
            <v>B&amp;P-ALU-EX100-5/NSPD</v>
          </cell>
          <cell r="F1500">
            <v>43796.693425925929</v>
          </cell>
          <cell r="H1500" t="str">
            <v>B&amp;P-PCB-PCBEX105</v>
          </cell>
          <cell r="J1500">
            <v>1</v>
          </cell>
        </row>
        <row r="1501">
          <cell r="C1501" t="str">
            <v>BPB-056-ENG458053-B</v>
          </cell>
          <cell r="F1501">
            <v>43802.390289351853</v>
          </cell>
          <cell r="H1501" t="str">
            <v>BPB-056-ENG458053-A</v>
          </cell>
          <cell r="J1501">
            <v>1</v>
          </cell>
        </row>
        <row r="1502">
          <cell r="C1502" t="str">
            <v>BPB-056-ENG256553-B</v>
          </cell>
          <cell r="F1502">
            <v>43802.409016203703</v>
          </cell>
          <cell r="H1502" t="str">
            <v>BPB-056-ENG256553-A</v>
          </cell>
          <cell r="J1502">
            <v>1</v>
          </cell>
        </row>
        <row r="1503">
          <cell r="C1503" t="str">
            <v>BPB-056-ENG256553CHS</v>
          </cell>
          <cell r="F1503">
            <v>43802.40965277778</v>
          </cell>
          <cell r="H1503" t="str">
            <v>BPB-056-ENG256553-C</v>
          </cell>
          <cell r="J1503">
            <v>1</v>
          </cell>
        </row>
        <row r="1504">
          <cell r="C1504" t="str">
            <v>BPB-999-30212-MX</v>
          </cell>
          <cell r="F1504">
            <v>43850.362372685187</v>
          </cell>
          <cell r="H1504" t="str">
            <v>000-053-X-30212</v>
          </cell>
          <cell r="J1504">
            <v>1</v>
          </cell>
        </row>
        <row r="1505">
          <cell r="C1505" t="str">
            <v>BPB-999-30212-MX</v>
          </cell>
          <cell r="F1505">
            <v>43850.362372685187</v>
          </cell>
          <cell r="H1505" t="str">
            <v>000-054-TCY212</v>
          </cell>
          <cell r="J1505">
            <v>1</v>
          </cell>
        </row>
        <row r="1506">
          <cell r="C1506" t="str">
            <v>BPB-133-PB000842</v>
          </cell>
          <cell r="F1506">
            <v>43853.431932870371</v>
          </cell>
          <cell r="H1506" t="str">
            <v>BPB-033-ASA40-1-REEL</v>
          </cell>
          <cell r="J1506">
            <v>1.5</v>
          </cell>
        </row>
        <row r="1507">
          <cell r="C1507" t="str">
            <v>BPB-133-PB000842</v>
          </cell>
          <cell r="F1507">
            <v>43853.431932870371</v>
          </cell>
          <cell r="H1507" t="str">
            <v>BPB-033-CL-40-1</v>
          </cell>
          <cell r="J1507">
            <v>1</v>
          </cell>
        </row>
        <row r="1508">
          <cell r="C1508" t="str">
            <v>BPB-048-205-KYR2</v>
          </cell>
          <cell r="F1508">
            <v>43864.351793981485</v>
          </cell>
          <cell r="H1508" t="str">
            <v>B&amp;P-004-205-RST-08</v>
          </cell>
          <cell r="J1508">
            <v>1</v>
          </cell>
        </row>
        <row r="1509">
          <cell r="C1509" t="str">
            <v>BPB-133-PB005641</v>
          </cell>
          <cell r="F1509">
            <v>43871.365891203706</v>
          </cell>
          <cell r="H1509" t="str">
            <v>BPB-033-ASA40-1-REEL</v>
          </cell>
          <cell r="J1509">
            <v>1.2</v>
          </cell>
        </row>
        <row r="1510">
          <cell r="C1510" t="str">
            <v>BPB-133-PB005641</v>
          </cell>
          <cell r="F1510">
            <v>43871.365891203706</v>
          </cell>
          <cell r="H1510" t="str">
            <v>BPB-033-OL-40-1</v>
          </cell>
          <cell r="J1510">
            <v>1</v>
          </cell>
        </row>
        <row r="1511">
          <cell r="C1511" t="str">
            <v>BPB-133-PB005641</v>
          </cell>
          <cell r="F1511">
            <v>43871.365891203706</v>
          </cell>
          <cell r="H1511" t="str">
            <v>BPB-033-CL-40-1</v>
          </cell>
          <cell r="J1511">
            <v>1</v>
          </cell>
        </row>
        <row r="1512">
          <cell r="C1512" t="str">
            <v>BPB-133-PB005642</v>
          </cell>
          <cell r="F1512">
            <v>43871.366666666669</v>
          </cell>
          <cell r="H1512" t="str">
            <v>BPB-033-ASA40-1-REEL</v>
          </cell>
          <cell r="J1512">
            <v>0.5</v>
          </cell>
        </row>
        <row r="1513">
          <cell r="C1513" t="str">
            <v>BPB-133-PB005642</v>
          </cell>
          <cell r="F1513">
            <v>43871.366666666669</v>
          </cell>
          <cell r="H1513" t="str">
            <v>BPB-033-OL-40-1</v>
          </cell>
          <cell r="J1513">
            <v>1</v>
          </cell>
        </row>
        <row r="1514">
          <cell r="C1514" t="str">
            <v>BPB-133-PB005642</v>
          </cell>
          <cell r="F1514">
            <v>43871.366666666669</v>
          </cell>
          <cell r="H1514" t="str">
            <v>BPB-033-CL-40-1</v>
          </cell>
          <cell r="J1514">
            <v>1</v>
          </cell>
        </row>
        <row r="1515">
          <cell r="C1515" t="str">
            <v>BPB-027-GU207-A1</v>
          </cell>
          <cell r="F1515">
            <v>43893.656886574077</v>
          </cell>
          <cell r="H1515" t="str">
            <v>BPB-999-SAE1045LØ70</v>
          </cell>
          <cell r="J1515">
            <v>1.6E-2</v>
          </cell>
        </row>
        <row r="1516">
          <cell r="C1516" t="str">
            <v>BPB-027-GU207-A2</v>
          </cell>
          <cell r="F1516">
            <v>43893.657488425924</v>
          </cell>
          <cell r="H1516" t="str">
            <v>BPB-999-SAE1045LØ70</v>
          </cell>
          <cell r="J1516">
            <v>1.6E-2</v>
          </cell>
        </row>
        <row r="1517">
          <cell r="C1517" t="str">
            <v>BPB-999-SAB209-45DG</v>
          </cell>
          <cell r="F1517">
            <v>43899.673668981479</v>
          </cell>
          <cell r="H1517" t="str">
            <v>BPB-047-SAB209-45LG</v>
          </cell>
          <cell r="J1517">
            <v>1</v>
          </cell>
        </row>
        <row r="1518">
          <cell r="C1518" t="str">
            <v>B&amp;P-058-32205-MX</v>
          </cell>
          <cell r="F1518">
            <v>44005.474687499998</v>
          </cell>
          <cell r="H1518" t="str">
            <v>B&amp;P-053-X-32205</v>
          </cell>
          <cell r="J1518">
            <v>1</v>
          </cell>
        </row>
        <row r="1519">
          <cell r="C1519" t="str">
            <v>B&amp;P-058-32205-MX</v>
          </cell>
          <cell r="F1519">
            <v>44005.474687499998</v>
          </cell>
          <cell r="H1519" t="str">
            <v>B&amp;P-054-TDY205</v>
          </cell>
          <cell r="J1519">
            <v>1</v>
          </cell>
        </row>
        <row r="1520">
          <cell r="C1520" t="str">
            <v>BPB-048-206-KYY6</v>
          </cell>
          <cell r="F1520">
            <v>44036.38795138889</v>
          </cell>
          <cell r="H1520" t="str">
            <v>B&amp;P-001-MS06-D</v>
          </cell>
          <cell r="J1520">
            <v>1</v>
          </cell>
        </row>
        <row r="1521">
          <cell r="C1521" t="str">
            <v>BPB-048-206-KYY6</v>
          </cell>
          <cell r="F1521">
            <v>44036.38795138889</v>
          </cell>
          <cell r="H1521" t="str">
            <v>B&amp;P-002-206-K6</v>
          </cell>
          <cell r="J1521">
            <v>1</v>
          </cell>
        </row>
        <row r="1522">
          <cell r="C1522" t="str">
            <v>BPB-048-206-KYY6</v>
          </cell>
          <cell r="F1522">
            <v>44036.38795138889</v>
          </cell>
          <cell r="H1522" t="str">
            <v>BPB-027-SEAL-206DBL</v>
          </cell>
          <cell r="J1522">
            <v>2</v>
          </cell>
        </row>
        <row r="1523">
          <cell r="C1523" t="str">
            <v>BPB-048-206-KYY6</v>
          </cell>
          <cell r="F1523">
            <v>44036.38795138889</v>
          </cell>
          <cell r="H1523" t="str">
            <v>B&amp;P-005-CAGE206-17</v>
          </cell>
          <cell r="J1523">
            <v>1</v>
          </cell>
        </row>
        <row r="1524">
          <cell r="C1524" t="str">
            <v>BPB-048-206-KYY6</v>
          </cell>
          <cell r="F1524">
            <v>44036.38795138889</v>
          </cell>
          <cell r="H1524" t="str">
            <v>B&amp;P-003-Ball-3/8</v>
          </cell>
          <cell r="J1524">
            <v>9</v>
          </cell>
        </row>
        <row r="1525">
          <cell r="C1525" t="str">
            <v>BPB-048-206-KYY6</v>
          </cell>
          <cell r="F1525">
            <v>44036.38795138889</v>
          </cell>
          <cell r="H1525" t="str">
            <v>BPB-000-POLYREX-EM</v>
          </cell>
          <cell r="J1525">
            <v>6.5</v>
          </cell>
        </row>
        <row r="1526">
          <cell r="C1526" t="str">
            <v>BPB-999-32214-MX</v>
          </cell>
          <cell r="F1526">
            <v>44336.351678240739</v>
          </cell>
          <cell r="H1526" t="str">
            <v>000-054-TDY214</v>
          </cell>
          <cell r="J1526">
            <v>1</v>
          </cell>
        </row>
        <row r="1527">
          <cell r="C1527" t="str">
            <v>B&amp;P-041-LS03-2RST</v>
          </cell>
          <cell r="F1527">
            <v>44075.692210648151</v>
          </cell>
          <cell r="H1527" t="str">
            <v>B&amp;P-001-LS03-D</v>
          </cell>
          <cell r="J1527">
            <v>1</v>
          </cell>
        </row>
        <row r="1528">
          <cell r="C1528" t="str">
            <v>B&amp;P-041-LS03-2RST</v>
          </cell>
          <cell r="F1528">
            <v>44075.692210648151</v>
          </cell>
          <cell r="H1528" t="str">
            <v>B&amp;P-002-LS03-D</v>
          </cell>
          <cell r="J1528">
            <v>1</v>
          </cell>
        </row>
        <row r="1529">
          <cell r="C1529" t="str">
            <v>B&amp;P-041-LS03-2RST</v>
          </cell>
          <cell r="F1529">
            <v>44075.692210648151</v>
          </cell>
          <cell r="H1529" t="str">
            <v>B&amp;P-004-LS03-2RST-08</v>
          </cell>
          <cell r="J1529">
            <v>2</v>
          </cell>
        </row>
        <row r="1530">
          <cell r="C1530" t="str">
            <v>B&amp;P-041-LS03-2RST</v>
          </cell>
          <cell r="F1530">
            <v>44075.692210648151</v>
          </cell>
          <cell r="H1530" t="str">
            <v>B&amp;P-005-RET/SET-LS03</v>
          </cell>
          <cell r="J1530">
            <v>1</v>
          </cell>
        </row>
        <row r="1531">
          <cell r="C1531" t="str">
            <v>B&amp;P-041-LS03-2RST</v>
          </cell>
          <cell r="F1531">
            <v>44075.692210648151</v>
          </cell>
          <cell r="H1531" t="str">
            <v>B&amp;P-003-Ball-3/16</v>
          </cell>
          <cell r="J1531">
            <v>10</v>
          </cell>
        </row>
        <row r="1532">
          <cell r="C1532" t="str">
            <v>B&amp;P-041-MS05-2RST</v>
          </cell>
          <cell r="F1532">
            <v>44075.694976851853</v>
          </cell>
          <cell r="H1532" t="str">
            <v>B&amp;P-001-MS05-D</v>
          </cell>
          <cell r="J1532">
            <v>1</v>
          </cell>
        </row>
        <row r="1533">
          <cell r="C1533" t="str">
            <v>B&amp;P-041-MS05-2RST</v>
          </cell>
          <cell r="F1533">
            <v>44075.694976851853</v>
          </cell>
          <cell r="H1533" t="str">
            <v>B&amp;P-002-MS05-D</v>
          </cell>
          <cell r="J1533">
            <v>1</v>
          </cell>
        </row>
        <row r="1534">
          <cell r="C1534" t="str">
            <v>B&amp;P-041-MS05-2RST</v>
          </cell>
          <cell r="F1534">
            <v>44075.694976851853</v>
          </cell>
          <cell r="H1534" t="str">
            <v>B&amp;P-004-MS05-2RST-08</v>
          </cell>
          <cell r="J1534">
            <v>2</v>
          </cell>
        </row>
        <row r="1535">
          <cell r="C1535" t="str">
            <v>B&amp;P-041-MS05-2RST</v>
          </cell>
          <cell r="F1535">
            <v>44075.694976851853</v>
          </cell>
          <cell r="H1535" t="str">
            <v>B&amp;P-005-RET/SET-MS05</v>
          </cell>
          <cell r="J1535">
            <v>1</v>
          </cell>
        </row>
        <row r="1536">
          <cell r="C1536" t="str">
            <v>B&amp;P-041-MS05-2RST</v>
          </cell>
          <cell r="F1536">
            <v>44075.694976851853</v>
          </cell>
          <cell r="H1536" t="str">
            <v>B&amp;P-003-Ball-5/16</v>
          </cell>
          <cell r="J1536">
            <v>9</v>
          </cell>
        </row>
        <row r="1537">
          <cell r="C1537" t="str">
            <v>B&amp;P-ALU-EX50-SOL</v>
          </cell>
          <cell r="F1537">
            <v>44033.580590277779</v>
          </cell>
          <cell r="H1537" t="str">
            <v>B&amp;P-PCB-EX5024VDC</v>
          </cell>
          <cell r="J1537">
            <v>1</v>
          </cell>
        </row>
        <row r="1538">
          <cell r="C1538" t="str">
            <v>B&amp;P-ALU-EX50-SOL</v>
          </cell>
          <cell r="F1538">
            <v>44033.580590277779</v>
          </cell>
          <cell r="H1538" t="str">
            <v>B&amp;P-ALU-EX50-LENS</v>
          </cell>
          <cell r="J1538">
            <v>1</v>
          </cell>
        </row>
        <row r="1539">
          <cell r="C1539" t="str">
            <v>B&amp;P-041-LS06-2RST</v>
          </cell>
          <cell r="F1539">
            <v>44508.37840277778</v>
          </cell>
          <cell r="H1539" t="str">
            <v>B&amp;P-004-LS06-2RST-08</v>
          </cell>
          <cell r="J1539">
            <v>2</v>
          </cell>
        </row>
        <row r="1540">
          <cell r="C1540" t="str">
            <v>BPB-041-6307</v>
          </cell>
          <cell r="F1540">
            <v>44099.627129629633</v>
          </cell>
          <cell r="H1540" t="str">
            <v>BPB-041-HD07-2RST</v>
          </cell>
          <cell r="J1540">
            <v>1</v>
          </cell>
        </row>
        <row r="1541">
          <cell r="C1541" t="str">
            <v>BPB-999-3984-20</v>
          </cell>
          <cell r="F1541">
            <v>44103.331296296295</v>
          </cell>
          <cell r="H1541" t="str">
            <v>000-053-3984</v>
          </cell>
          <cell r="J1541">
            <v>1</v>
          </cell>
        </row>
        <row r="1542">
          <cell r="C1542" t="str">
            <v>BPB-999-3984-20</v>
          </cell>
          <cell r="F1542">
            <v>44103.331296296295</v>
          </cell>
          <cell r="H1542" t="str">
            <v>000-054-3920</v>
          </cell>
          <cell r="J1542">
            <v>1</v>
          </cell>
        </row>
        <row r="1543">
          <cell r="C1543" t="str">
            <v>BPB-041-MS01-2RST</v>
          </cell>
          <cell r="F1543">
            <v>44127.406875000001</v>
          </cell>
          <cell r="H1543" t="str">
            <v>B&amp;P-001-MS01-D</v>
          </cell>
          <cell r="J1543">
            <v>1</v>
          </cell>
        </row>
        <row r="1544">
          <cell r="C1544" t="str">
            <v>BPB-041-MS01-2RST</v>
          </cell>
          <cell r="F1544">
            <v>44127.406875000001</v>
          </cell>
          <cell r="H1544" t="str">
            <v>B&amp;P-002-MS01-D</v>
          </cell>
          <cell r="J1544">
            <v>1</v>
          </cell>
        </row>
        <row r="1545">
          <cell r="C1545" t="str">
            <v>BPB-041-MS01-2RST</v>
          </cell>
          <cell r="F1545">
            <v>44127.406875000001</v>
          </cell>
          <cell r="H1545" t="str">
            <v>B&amp;P-005-RET/SET-MS01</v>
          </cell>
          <cell r="J1545">
            <v>1</v>
          </cell>
        </row>
        <row r="1546">
          <cell r="C1546" t="str">
            <v>BPB-041-MS01-2RST</v>
          </cell>
          <cell r="F1546">
            <v>44127.406875000001</v>
          </cell>
          <cell r="H1546" t="str">
            <v>B&amp;P-003-BALL-15/64</v>
          </cell>
          <cell r="J1546">
            <v>7</v>
          </cell>
        </row>
        <row r="1547">
          <cell r="C1547" t="str">
            <v>BPB-041-MS01-2RST</v>
          </cell>
          <cell r="F1547">
            <v>44127.406875000001</v>
          </cell>
          <cell r="H1547" t="str">
            <v>B&amp;P-004-MS01-2RST-08</v>
          </cell>
          <cell r="J1547">
            <v>2</v>
          </cell>
        </row>
        <row r="1548">
          <cell r="C1548" t="str">
            <v>BPB-999-32213-MX</v>
          </cell>
          <cell r="F1548">
            <v>44133.470092592594</v>
          </cell>
          <cell r="H1548" t="str">
            <v>000-053-X-32213</v>
          </cell>
          <cell r="J1548">
            <v>1</v>
          </cell>
        </row>
        <row r="1549">
          <cell r="C1549" t="str">
            <v>BPB-999-32213-MX</v>
          </cell>
          <cell r="F1549">
            <v>44133.470092592594</v>
          </cell>
          <cell r="H1549" t="str">
            <v>000-054-TDY213</v>
          </cell>
          <cell r="J1549">
            <v>1</v>
          </cell>
        </row>
        <row r="1550">
          <cell r="C1550" t="str">
            <v>B&amp;P-047-SAB-204-20DG</v>
          </cell>
          <cell r="F1550">
            <v>44134.566516203704</v>
          </cell>
          <cell r="H1550" t="str">
            <v>B&amp;P-001-OR204-G</v>
          </cell>
          <cell r="J1550">
            <v>1</v>
          </cell>
        </row>
        <row r="1551">
          <cell r="C1551" t="str">
            <v>B&amp;P-047-SAB-204-20DG</v>
          </cell>
          <cell r="F1551">
            <v>44134.566516203704</v>
          </cell>
          <cell r="H1551" t="str">
            <v>B&amp;P-002-SAB204-20-02</v>
          </cell>
          <cell r="J1551">
            <v>1</v>
          </cell>
        </row>
        <row r="1552">
          <cell r="C1552" t="str">
            <v>B&amp;P-047-SAB-204-20DG</v>
          </cell>
          <cell r="F1552">
            <v>44134.566516203704</v>
          </cell>
          <cell r="H1552" t="str">
            <v>B&amp;P-005-CAGE204-17</v>
          </cell>
          <cell r="J1552">
            <v>1</v>
          </cell>
        </row>
        <row r="1553">
          <cell r="C1553" t="str">
            <v>B&amp;P-047-SAB-204-20DG</v>
          </cell>
          <cell r="F1553">
            <v>44134.566516203704</v>
          </cell>
          <cell r="H1553" t="str">
            <v>B&amp;P-003-Ball-5/16</v>
          </cell>
          <cell r="J1553">
            <v>8</v>
          </cell>
        </row>
        <row r="1554">
          <cell r="C1554" t="str">
            <v>B&amp;P-047-SAB-204-20DG</v>
          </cell>
          <cell r="F1554">
            <v>44134.566516203704</v>
          </cell>
          <cell r="H1554" t="str">
            <v>B&amp;P-004-204-DBL-08</v>
          </cell>
          <cell r="J1554">
            <v>2</v>
          </cell>
        </row>
        <row r="1555">
          <cell r="C1555" t="str">
            <v>B&amp;P-047-ECL-204-20DG</v>
          </cell>
          <cell r="F1555">
            <v>44134.569004629629</v>
          </cell>
          <cell r="H1555" t="str">
            <v>B&amp;P-001-OR204-G</v>
          </cell>
          <cell r="J1555">
            <v>1</v>
          </cell>
        </row>
        <row r="1556">
          <cell r="C1556" t="str">
            <v>B&amp;P-047-ECL-204-20DG</v>
          </cell>
          <cell r="F1556">
            <v>44134.569004629629</v>
          </cell>
          <cell r="H1556" t="str">
            <v>B&amp;P-002-ECL204-20-02</v>
          </cell>
          <cell r="J1556">
            <v>1</v>
          </cell>
        </row>
        <row r="1557">
          <cell r="C1557" t="str">
            <v>B&amp;P-047-ECL-204-20DG</v>
          </cell>
          <cell r="F1557">
            <v>44134.569004629629</v>
          </cell>
          <cell r="H1557" t="str">
            <v>B&amp;P-005-CAGE204-17</v>
          </cell>
          <cell r="J1557">
            <v>1</v>
          </cell>
        </row>
        <row r="1558">
          <cell r="C1558" t="str">
            <v>B&amp;P-047-ECL-204-20DG</v>
          </cell>
          <cell r="F1558">
            <v>44134.569004629629</v>
          </cell>
          <cell r="H1558" t="str">
            <v>B&amp;P-003-Ball-5/16</v>
          </cell>
          <cell r="J1558">
            <v>8</v>
          </cell>
        </row>
        <row r="1559">
          <cell r="C1559" t="str">
            <v>B&amp;P-047-ECL-204-20DG</v>
          </cell>
          <cell r="F1559">
            <v>44134.569004629629</v>
          </cell>
          <cell r="H1559" t="str">
            <v>B&amp;P-004-204-DBL-08</v>
          </cell>
          <cell r="J1559">
            <v>2</v>
          </cell>
        </row>
        <row r="1560">
          <cell r="C1560" t="str">
            <v>B&amp;P-047-ECL-204-20DG</v>
          </cell>
          <cell r="F1560">
            <v>44134.569004629629</v>
          </cell>
          <cell r="H1560" t="str">
            <v>B&amp;P-010-LOC204-20</v>
          </cell>
          <cell r="J1560">
            <v>1</v>
          </cell>
        </row>
        <row r="1561">
          <cell r="C1561" t="str">
            <v>B&amp;P-048-204-KRRB2</v>
          </cell>
          <cell r="F1561">
            <v>44134.570509259262</v>
          </cell>
          <cell r="H1561" t="str">
            <v>B&amp;P-001-OR204-14</v>
          </cell>
          <cell r="J1561">
            <v>1</v>
          </cell>
        </row>
        <row r="1562">
          <cell r="C1562" t="str">
            <v>B&amp;P-048-204-KRRB2</v>
          </cell>
          <cell r="F1562">
            <v>44134.570509259262</v>
          </cell>
          <cell r="H1562" t="str">
            <v>B&amp;P-002-204-K2</v>
          </cell>
          <cell r="J1562">
            <v>1</v>
          </cell>
        </row>
        <row r="1563">
          <cell r="C1563" t="str">
            <v>B&amp;P-048-204-KRRB2</v>
          </cell>
          <cell r="F1563">
            <v>44134.570509259262</v>
          </cell>
          <cell r="H1563" t="str">
            <v>B&amp;P-005-CAGE204-17</v>
          </cell>
          <cell r="J1563">
            <v>1</v>
          </cell>
        </row>
        <row r="1564">
          <cell r="C1564" t="str">
            <v>B&amp;P-048-204-KRRB2</v>
          </cell>
          <cell r="F1564">
            <v>44134.570509259262</v>
          </cell>
          <cell r="H1564" t="str">
            <v>B&amp;P-003-Ball-5/16</v>
          </cell>
          <cell r="J1564">
            <v>8</v>
          </cell>
        </row>
        <row r="1565">
          <cell r="C1565" t="str">
            <v>B&amp;P-048-204-KRRB2</v>
          </cell>
          <cell r="F1565">
            <v>44134.570509259262</v>
          </cell>
          <cell r="H1565" t="str">
            <v>B&amp;P-004-204-RST-08</v>
          </cell>
          <cell r="J1565">
            <v>2</v>
          </cell>
        </row>
        <row r="1566">
          <cell r="C1566" t="str">
            <v>B&amp;P-047-ACL204-20RG</v>
          </cell>
          <cell r="F1566">
            <v>44134.572002314817</v>
          </cell>
          <cell r="H1566" t="str">
            <v>B&amp;P-001-OR204-G</v>
          </cell>
          <cell r="J1566">
            <v>1</v>
          </cell>
        </row>
        <row r="1567">
          <cell r="C1567" t="str">
            <v>B&amp;P-047-ACL204-20RG</v>
          </cell>
          <cell r="F1567">
            <v>44134.572002314817</v>
          </cell>
          <cell r="H1567" t="str">
            <v>B&amp;P-002-ACL204-20-02</v>
          </cell>
          <cell r="J1567">
            <v>1</v>
          </cell>
        </row>
        <row r="1568">
          <cell r="C1568" t="str">
            <v>B&amp;P-047-ACL204-20RG</v>
          </cell>
          <cell r="F1568">
            <v>44134.572002314817</v>
          </cell>
          <cell r="H1568" t="str">
            <v>B&amp;P-005-CAGE204-17</v>
          </cell>
          <cell r="J1568">
            <v>1</v>
          </cell>
        </row>
        <row r="1569">
          <cell r="C1569" t="str">
            <v>B&amp;P-047-ACL204-20RG</v>
          </cell>
          <cell r="F1569">
            <v>44134.572002314817</v>
          </cell>
          <cell r="H1569" t="str">
            <v>B&amp;P-003-Ball-5/16</v>
          </cell>
          <cell r="J1569">
            <v>8</v>
          </cell>
        </row>
        <row r="1570">
          <cell r="C1570" t="str">
            <v>B&amp;P-047-ACL204-20RG</v>
          </cell>
          <cell r="F1570">
            <v>44134.572002314817</v>
          </cell>
          <cell r="H1570" t="str">
            <v>B&amp;P-004-204-RW-08</v>
          </cell>
          <cell r="J1570">
            <v>2</v>
          </cell>
        </row>
        <row r="1571">
          <cell r="C1571" t="str">
            <v>B&amp;P-047-ACL204-20RG</v>
          </cell>
          <cell r="F1571">
            <v>44134.572002314817</v>
          </cell>
          <cell r="H1571" t="str">
            <v>B&amp;P-010-LOC204-20</v>
          </cell>
          <cell r="J1571">
            <v>1</v>
          </cell>
        </row>
        <row r="1572">
          <cell r="C1572" t="str">
            <v>BPB-047-SAB205-16DG</v>
          </cell>
          <cell r="F1572">
            <v>44134.574340277781</v>
          </cell>
          <cell r="H1572" t="str">
            <v>B&amp;P-001-OR205-G</v>
          </cell>
          <cell r="J1572">
            <v>1</v>
          </cell>
        </row>
        <row r="1573">
          <cell r="C1573" t="str">
            <v>BPB-047-SAB205-16DG</v>
          </cell>
          <cell r="F1573">
            <v>44134.574340277781</v>
          </cell>
          <cell r="H1573" t="str">
            <v>B&amp;P-002-SAB205-16-02</v>
          </cell>
          <cell r="J1573">
            <v>1</v>
          </cell>
        </row>
        <row r="1574">
          <cell r="C1574" t="str">
            <v>BPB-047-SAB205-16DG</v>
          </cell>
          <cell r="F1574">
            <v>44134.574340277781</v>
          </cell>
          <cell r="H1574" t="str">
            <v>B&amp;P-005-CAGE205-17</v>
          </cell>
          <cell r="J1574">
            <v>1</v>
          </cell>
        </row>
        <row r="1575">
          <cell r="C1575" t="str">
            <v>BPB-047-SAB205-16DG</v>
          </cell>
          <cell r="F1575">
            <v>44134.574340277781</v>
          </cell>
          <cell r="H1575" t="str">
            <v>B&amp;P-003-Ball-5/16</v>
          </cell>
          <cell r="J1575">
            <v>9</v>
          </cell>
        </row>
        <row r="1576">
          <cell r="C1576" t="str">
            <v>BPB-047-SAB205-16DG</v>
          </cell>
          <cell r="F1576">
            <v>44134.574340277781</v>
          </cell>
          <cell r="H1576" t="str">
            <v>B&amp;P-004-205-DBL-08</v>
          </cell>
          <cell r="J1576">
            <v>2</v>
          </cell>
        </row>
        <row r="1577">
          <cell r="C1577" t="str">
            <v>B&amp;P-047-ACL-205-25MM</v>
          </cell>
          <cell r="F1577">
            <v>44134.576805555553</v>
          </cell>
          <cell r="H1577" t="str">
            <v>B&amp;P-001-OR205-G</v>
          </cell>
          <cell r="J1577">
            <v>1</v>
          </cell>
        </row>
        <row r="1578">
          <cell r="C1578" t="str">
            <v>B&amp;P-047-ACL-205-25MM</v>
          </cell>
          <cell r="F1578">
            <v>44134.576805555553</v>
          </cell>
          <cell r="H1578" t="str">
            <v>B&amp;P-002-ACL205-25-02</v>
          </cell>
          <cell r="J1578">
            <v>1</v>
          </cell>
        </row>
        <row r="1579">
          <cell r="C1579" t="str">
            <v>B&amp;P-047-ACL-205-25MM</v>
          </cell>
          <cell r="F1579">
            <v>44134.576805555553</v>
          </cell>
          <cell r="H1579" t="str">
            <v>B&amp;P-005-CAGE205-17</v>
          </cell>
          <cell r="J1579">
            <v>1</v>
          </cell>
        </row>
        <row r="1580">
          <cell r="C1580" t="str">
            <v>B&amp;P-047-ACL-205-25MM</v>
          </cell>
          <cell r="F1580">
            <v>44134.576805555553</v>
          </cell>
          <cell r="H1580" t="str">
            <v>B&amp;P-003-Ball-5/16</v>
          </cell>
          <cell r="J1580">
            <v>9</v>
          </cell>
        </row>
        <row r="1581">
          <cell r="C1581" t="str">
            <v>B&amp;P-047-ACL-205-25MM</v>
          </cell>
          <cell r="F1581">
            <v>44134.576805555553</v>
          </cell>
          <cell r="H1581" t="str">
            <v>B&amp;P-004-205-RW-08</v>
          </cell>
          <cell r="J1581">
            <v>2</v>
          </cell>
        </row>
        <row r="1582">
          <cell r="C1582" t="str">
            <v>B&amp;P-047-ACL-205-25MM</v>
          </cell>
          <cell r="F1582">
            <v>44134.576805555553</v>
          </cell>
          <cell r="H1582" t="str">
            <v>B&amp;P-010-LOC205-25</v>
          </cell>
          <cell r="J1582">
            <v>1</v>
          </cell>
        </row>
        <row r="1583">
          <cell r="C1583" t="str">
            <v>B&amp;P-047-ECL207-23DG</v>
          </cell>
          <cell r="F1583">
            <v>44134.57849537037</v>
          </cell>
          <cell r="H1583" t="str">
            <v>B&amp;P-001-OR207-G</v>
          </cell>
          <cell r="J1583">
            <v>1</v>
          </cell>
        </row>
        <row r="1584">
          <cell r="C1584" t="str">
            <v>B&amp;P-047-ECL207-23DG</v>
          </cell>
          <cell r="F1584">
            <v>44134.57849537037</v>
          </cell>
          <cell r="H1584" t="str">
            <v>B&amp;P-002-ECL207-23-02</v>
          </cell>
          <cell r="J1584">
            <v>1</v>
          </cell>
        </row>
        <row r="1585">
          <cell r="C1585" t="str">
            <v>B&amp;P-047-ECL207-23DG</v>
          </cell>
          <cell r="F1585">
            <v>44134.57849537037</v>
          </cell>
          <cell r="H1585" t="str">
            <v>B&amp;P-005-CAGE207-17</v>
          </cell>
          <cell r="J1585">
            <v>1</v>
          </cell>
        </row>
        <row r="1586">
          <cell r="C1586" t="str">
            <v>B&amp;P-047-ECL207-23DG</v>
          </cell>
          <cell r="F1586">
            <v>44134.57849537037</v>
          </cell>
          <cell r="H1586" t="str">
            <v>B&amp;P-003-Ball-7/16</v>
          </cell>
          <cell r="J1586">
            <v>9</v>
          </cell>
        </row>
        <row r="1587">
          <cell r="C1587" t="str">
            <v>B&amp;P-047-ECL207-23DG</v>
          </cell>
          <cell r="F1587">
            <v>44134.57849537037</v>
          </cell>
          <cell r="H1587" t="str">
            <v>B&amp;P-004-207-DBL-08</v>
          </cell>
          <cell r="J1587">
            <v>2</v>
          </cell>
        </row>
        <row r="1588">
          <cell r="C1588" t="str">
            <v>B&amp;P-047-ECL207-23DG</v>
          </cell>
          <cell r="F1588">
            <v>44134.57849537037</v>
          </cell>
          <cell r="H1588" t="str">
            <v>B&amp;P-010-LOC207-23</v>
          </cell>
          <cell r="J1588">
            <v>1</v>
          </cell>
        </row>
        <row r="1589">
          <cell r="C1589" t="str">
            <v>B&amp;P-047-ECL-208-40DG</v>
          </cell>
          <cell r="F1589">
            <v>44134.580057870371</v>
          </cell>
          <cell r="H1589" t="str">
            <v>B&amp;P-001-OR208-G</v>
          </cell>
          <cell r="J1589">
            <v>1</v>
          </cell>
        </row>
        <row r="1590">
          <cell r="C1590" t="str">
            <v>B&amp;P-047-ECL-208-40DG</v>
          </cell>
          <cell r="F1590">
            <v>44134.580057870371</v>
          </cell>
          <cell r="H1590" t="str">
            <v>B&amp;P-002-ECL208-40-02</v>
          </cell>
          <cell r="J1590">
            <v>1</v>
          </cell>
        </row>
        <row r="1591">
          <cell r="C1591" t="str">
            <v>B&amp;P-047-ECL-208-40DG</v>
          </cell>
          <cell r="F1591">
            <v>44134.580057870371</v>
          </cell>
          <cell r="H1591" t="str">
            <v>B&amp;P-005-CAGE208-17</v>
          </cell>
          <cell r="J1591">
            <v>1</v>
          </cell>
        </row>
        <row r="1592">
          <cell r="C1592" t="str">
            <v>B&amp;P-047-ECL-208-40DG</v>
          </cell>
          <cell r="F1592">
            <v>44134.580057870371</v>
          </cell>
          <cell r="H1592" t="str">
            <v>B&amp;P-003-BALL-1/2</v>
          </cell>
          <cell r="J1592">
            <v>9</v>
          </cell>
        </row>
        <row r="1593">
          <cell r="C1593" t="str">
            <v>B&amp;P-047-ECL-208-40DG</v>
          </cell>
          <cell r="F1593">
            <v>44134.580057870371</v>
          </cell>
          <cell r="H1593" t="str">
            <v>B&amp;P-004-208-DBL-08</v>
          </cell>
          <cell r="J1593">
            <v>2</v>
          </cell>
        </row>
        <row r="1594">
          <cell r="C1594" t="str">
            <v>B&amp;P-047-ECL-208-40DG</v>
          </cell>
          <cell r="F1594">
            <v>44134.580057870371</v>
          </cell>
          <cell r="H1594" t="str">
            <v>B&amp;P-010-LOC208-40</v>
          </cell>
          <cell r="J1594">
            <v>1</v>
          </cell>
        </row>
        <row r="1595">
          <cell r="C1595" t="str">
            <v>B&amp;P-048-208-KRR4</v>
          </cell>
          <cell r="F1595">
            <v>44134.581458333334</v>
          </cell>
          <cell r="H1595" t="str">
            <v>B&amp;P-001-OR208-21</v>
          </cell>
          <cell r="J1595">
            <v>1</v>
          </cell>
        </row>
        <row r="1596">
          <cell r="C1596" t="str">
            <v>B&amp;P-048-208-KRR4</v>
          </cell>
          <cell r="F1596">
            <v>44134.581458333334</v>
          </cell>
          <cell r="H1596" t="str">
            <v>B&amp;P-002-208-K4</v>
          </cell>
          <cell r="J1596">
            <v>1</v>
          </cell>
        </row>
        <row r="1597">
          <cell r="C1597" t="str">
            <v>B&amp;P-048-208-KRR4</v>
          </cell>
          <cell r="F1597">
            <v>44134.581458333334</v>
          </cell>
          <cell r="H1597" t="str">
            <v>B&amp;P-005-CAGE208-17</v>
          </cell>
          <cell r="J1597">
            <v>1</v>
          </cell>
        </row>
        <row r="1598">
          <cell r="C1598" t="str">
            <v>B&amp;P-048-208-KRR4</v>
          </cell>
          <cell r="F1598">
            <v>44134.581458333334</v>
          </cell>
          <cell r="H1598" t="str">
            <v>B&amp;P-003-BALL-1/2</v>
          </cell>
          <cell r="J1598">
            <v>9</v>
          </cell>
        </row>
        <row r="1599">
          <cell r="C1599" t="str">
            <v>B&amp;P-048-208-KRR4</v>
          </cell>
          <cell r="F1599">
            <v>44134.581458333334</v>
          </cell>
          <cell r="H1599" t="str">
            <v>B&amp;P-004-208-RST-08</v>
          </cell>
          <cell r="J1599">
            <v>2</v>
          </cell>
        </row>
        <row r="1600">
          <cell r="C1600" t="str">
            <v>B&amp;P-048-G-209-KYYB2</v>
          </cell>
          <cell r="F1600">
            <v>44134.582870370374</v>
          </cell>
          <cell r="H1600" t="str">
            <v>B&amp;P-001-OR209-G19</v>
          </cell>
          <cell r="J1600">
            <v>1</v>
          </cell>
        </row>
        <row r="1601">
          <cell r="C1601" t="str">
            <v>B&amp;P-048-G-209-KYYB2</v>
          </cell>
          <cell r="F1601">
            <v>44134.582870370374</v>
          </cell>
          <cell r="H1601" t="str">
            <v>B&amp;P-002-209-K2</v>
          </cell>
          <cell r="J1601">
            <v>1</v>
          </cell>
        </row>
        <row r="1602">
          <cell r="C1602" t="str">
            <v>B&amp;P-048-G-209-KYYB2</v>
          </cell>
          <cell r="F1602">
            <v>44134.582870370374</v>
          </cell>
          <cell r="H1602" t="str">
            <v>B&amp;P-005-CAGE209-17</v>
          </cell>
          <cell r="J1602">
            <v>1</v>
          </cell>
        </row>
        <row r="1603">
          <cell r="C1603" t="str">
            <v>B&amp;P-048-G-209-KYYB2</v>
          </cell>
          <cell r="F1603">
            <v>44134.582870370374</v>
          </cell>
          <cell r="H1603" t="str">
            <v>B&amp;P-003-BALL-1/2</v>
          </cell>
          <cell r="J1603">
            <v>9</v>
          </cell>
        </row>
        <row r="1604">
          <cell r="C1604" t="str">
            <v>B&amp;P-048-G-209-KYYB2</v>
          </cell>
          <cell r="F1604">
            <v>44134.582870370374</v>
          </cell>
          <cell r="H1604" t="str">
            <v>B&amp;P-004-209-DBL-08</v>
          </cell>
          <cell r="J1604">
            <v>2</v>
          </cell>
        </row>
        <row r="1605">
          <cell r="C1605" t="str">
            <v>B&amp;P-047-SAB-211-55DG</v>
          </cell>
          <cell r="F1605">
            <v>44134.584236111114</v>
          </cell>
          <cell r="H1605" t="str">
            <v>B&amp;P-001-OR211-G</v>
          </cell>
          <cell r="J1605">
            <v>1</v>
          </cell>
        </row>
        <row r="1606">
          <cell r="C1606" t="str">
            <v>B&amp;P-047-SAB-211-55DG</v>
          </cell>
          <cell r="F1606">
            <v>44134.584236111114</v>
          </cell>
          <cell r="H1606" t="str">
            <v>B&amp;P-002-SAB211-55-02</v>
          </cell>
          <cell r="J1606">
            <v>1</v>
          </cell>
        </row>
        <row r="1607">
          <cell r="C1607" t="str">
            <v>B&amp;P-047-SAB-211-55DG</v>
          </cell>
          <cell r="F1607">
            <v>44134.584236111114</v>
          </cell>
          <cell r="H1607" t="str">
            <v>B&amp;P-005-CAGE211-17</v>
          </cell>
          <cell r="J1607">
            <v>1</v>
          </cell>
        </row>
        <row r="1608">
          <cell r="C1608" t="str">
            <v>B&amp;P-047-SAB-211-55DG</v>
          </cell>
          <cell r="F1608">
            <v>44134.584236111114</v>
          </cell>
          <cell r="H1608" t="str">
            <v>B&amp;P-003-9/16</v>
          </cell>
          <cell r="J1608">
            <v>10</v>
          </cell>
        </row>
        <row r="1609">
          <cell r="C1609" t="str">
            <v>B&amp;P-047-SAB-211-55DG</v>
          </cell>
          <cell r="F1609">
            <v>44134.584236111114</v>
          </cell>
          <cell r="H1609" t="str">
            <v>B&amp;P-004-211-DBL-08</v>
          </cell>
          <cell r="J1609">
            <v>2</v>
          </cell>
        </row>
        <row r="1610">
          <cell r="C1610" t="str">
            <v>BPB-999-30208-MX</v>
          </cell>
          <cell r="F1610">
            <v>44137.465092592596</v>
          </cell>
          <cell r="H1610" t="str">
            <v>000-053-X-30208</v>
          </cell>
          <cell r="J1610">
            <v>1</v>
          </cell>
        </row>
        <row r="1611">
          <cell r="C1611" t="str">
            <v>BPB-999-30208-MX</v>
          </cell>
          <cell r="F1611">
            <v>44137.465092592596</v>
          </cell>
          <cell r="H1611" t="str">
            <v>000-054-TCY208</v>
          </cell>
          <cell r="J1611">
            <v>1</v>
          </cell>
        </row>
        <row r="1612">
          <cell r="C1612" t="str">
            <v>BPB-999-33209-MX</v>
          </cell>
          <cell r="F1612">
            <v>44154.370995370373</v>
          </cell>
          <cell r="H1612" t="str">
            <v>000-053-X-33209</v>
          </cell>
          <cell r="J1612">
            <v>1</v>
          </cell>
        </row>
        <row r="1613">
          <cell r="C1613" t="str">
            <v>BPB-999-33209-MX</v>
          </cell>
          <cell r="F1613">
            <v>44154.370995370373</v>
          </cell>
          <cell r="H1613" t="str">
            <v>000-054-TTY209</v>
          </cell>
          <cell r="J1613">
            <v>1</v>
          </cell>
        </row>
        <row r="1614">
          <cell r="C1614" t="str">
            <v>B&amp;P-048-W-208-YYB22</v>
          </cell>
          <cell r="F1614">
            <v>44188.545474537037</v>
          </cell>
          <cell r="H1614" t="str">
            <v>B&amp;P-001-OR208-21</v>
          </cell>
          <cell r="J1614">
            <v>1</v>
          </cell>
        </row>
        <row r="1615">
          <cell r="C1615" t="str">
            <v>B&amp;P-048-W-208-YYB22</v>
          </cell>
          <cell r="F1615">
            <v>44188.545474537037</v>
          </cell>
          <cell r="H1615" t="str">
            <v>B&amp;P-002-208-16</v>
          </cell>
          <cell r="J1615">
            <v>1</v>
          </cell>
        </row>
        <row r="1616">
          <cell r="C1616" t="str">
            <v>B&amp;P-048-W-208-YYB22</v>
          </cell>
          <cell r="F1616">
            <v>44188.545474537037</v>
          </cell>
          <cell r="H1616" t="str">
            <v>B&amp;P-005-CAGE208-17</v>
          </cell>
          <cell r="J1616">
            <v>1</v>
          </cell>
        </row>
        <row r="1617">
          <cell r="C1617" t="str">
            <v>B&amp;P-048-W-208-YYB22</v>
          </cell>
          <cell r="F1617">
            <v>44188.545474537037</v>
          </cell>
          <cell r="H1617" t="str">
            <v>B&amp;P-003-BALL-1/2</v>
          </cell>
          <cell r="J1617">
            <v>9</v>
          </cell>
        </row>
        <row r="1618">
          <cell r="C1618" t="str">
            <v>B&amp;P-048-W-208-YYB22</v>
          </cell>
          <cell r="F1618">
            <v>44188.545474537037</v>
          </cell>
          <cell r="H1618" t="str">
            <v>B&amp;P-004-208-DBL-08</v>
          </cell>
          <cell r="J1618">
            <v>2</v>
          </cell>
        </row>
        <row r="1619">
          <cell r="C1619" t="str">
            <v>B&amp;P-048-GW-208-PPB22</v>
          </cell>
          <cell r="F1619">
            <v>44188.548750000002</v>
          </cell>
          <cell r="H1619" t="str">
            <v>B&amp;P-001-OR208-G21</v>
          </cell>
          <cell r="J1619">
            <v>1</v>
          </cell>
        </row>
        <row r="1620">
          <cell r="C1620" t="str">
            <v>B&amp;P-048-GW-208-PPB22</v>
          </cell>
          <cell r="F1620">
            <v>44188.548750000002</v>
          </cell>
          <cell r="H1620" t="str">
            <v>B&amp;P-002-208-16</v>
          </cell>
          <cell r="J1620">
            <v>1</v>
          </cell>
        </row>
        <row r="1621">
          <cell r="C1621" t="str">
            <v>B&amp;P-048-GW-208-PPB22</v>
          </cell>
          <cell r="F1621">
            <v>44188.548750000002</v>
          </cell>
          <cell r="H1621" t="str">
            <v>B&amp;P-005-CAGE208-17</v>
          </cell>
          <cell r="J1621">
            <v>1</v>
          </cell>
        </row>
        <row r="1622">
          <cell r="C1622" t="str">
            <v>B&amp;P-048-GW-208-PPB22</v>
          </cell>
          <cell r="F1622">
            <v>44188.548750000002</v>
          </cell>
          <cell r="H1622" t="str">
            <v>B&amp;P-003-BALL-1/2</v>
          </cell>
          <cell r="J1622">
            <v>9</v>
          </cell>
        </row>
        <row r="1623">
          <cell r="C1623" t="str">
            <v>B&amp;P-048-GW-208-PPB22</v>
          </cell>
          <cell r="F1623">
            <v>44188.548750000002</v>
          </cell>
          <cell r="H1623" t="str">
            <v>B&amp;P-004-208-TPL-08</v>
          </cell>
          <cell r="J1623">
            <v>2</v>
          </cell>
        </row>
        <row r="1624">
          <cell r="C1624" t="str">
            <v>B&amp;P-048-W-208-PP21-N</v>
          </cell>
          <cell r="F1624">
            <v>44188.551099537035</v>
          </cell>
          <cell r="H1624" t="str">
            <v>B&amp;P-001-OR208-R18</v>
          </cell>
          <cell r="J1624">
            <v>1</v>
          </cell>
        </row>
        <row r="1625">
          <cell r="C1625" t="str">
            <v>B&amp;P-048-W-208-PP21-N</v>
          </cell>
          <cell r="F1625">
            <v>44188.551099537035</v>
          </cell>
          <cell r="H1625" t="str">
            <v>B&amp;P-002-208-16</v>
          </cell>
          <cell r="J1625">
            <v>1</v>
          </cell>
        </row>
        <row r="1626">
          <cell r="C1626" t="str">
            <v>B&amp;P-048-W-208-PP21-N</v>
          </cell>
          <cell r="F1626">
            <v>44188.551099537035</v>
          </cell>
          <cell r="H1626" t="str">
            <v>B&amp;P-005-CAGE208-17</v>
          </cell>
          <cell r="J1626">
            <v>1</v>
          </cell>
        </row>
        <row r="1627">
          <cell r="C1627" t="str">
            <v>B&amp;P-048-W-208-PP21-N</v>
          </cell>
          <cell r="F1627">
            <v>44188.551099537035</v>
          </cell>
          <cell r="H1627" t="str">
            <v>B&amp;P-003-BALL-1/2</v>
          </cell>
          <cell r="J1627">
            <v>9</v>
          </cell>
        </row>
        <row r="1628">
          <cell r="C1628" t="str">
            <v>B&amp;P-048-W-208-PP21-N</v>
          </cell>
          <cell r="F1628">
            <v>44188.551099537035</v>
          </cell>
          <cell r="H1628" t="str">
            <v>B&amp;P-004-208-TPL-08</v>
          </cell>
          <cell r="J1628">
            <v>2</v>
          </cell>
        </row>
        <row r="1629">
          <cell r="C1629" t="str">
            <v>BPB-048-206-KRR6</v>
          </cell>
          <cell r="F1629">
            <v>44188.585439814815</v>
          </cell>
          <cell r="H1629" t="str">
            <v>B&amp;P-001-OR206-R16</v>
          </cell>
          <cell r="J1629">
            <v>1</v>
          </cell>
        </row>
        <row r="1630">
          <cell r="C1630" t="str">
            <v>BPB-048-206-KRR6</v>
          </cell>
          <cell r="F1630">
            <v>44188.585439814815</v>
          </cell>
          <cell r="H1630" t="str">
            <v>B&amp;P-002-206-K6</v>
          </cell>
          <cell r="J1630">
            <v>1</v>
          </cell>
        </row>
        <row r="1631">
          <cell r="C1631" t="str">
            <v>BPB-048-206-KRR6</v>
          </cell>
          <cell r="F1631">
            <v>44188.585439814815</v>
          </cell>
          <cell r="H1631" t="str">
            <v>B&amp;P-005-RET/SET-MS06</v>
          </cell>
          <cell r="J1631">
            <v>1</v>
          </cell>
        </row>
        <row r="1632">
          <cell r="C1632" t="str">
            <v>BPB-048-206-KRR6</v>
          </cell>
          <cell r="F1632">
            <v>44188.585439814815</v>
          </cell>
          <cell r="H1632" t="str">
            <v>B&amp;P-003-Ball-3/8</v>
          </cell>
          <cell r="J1632">
            <v>9</v>
          </cell>
        </row>
        <row r="1633">
          <cell r="C1633" t="str">
            <v>BPB-048-206-KRR6</v>
          </cell>
          <cell r="F1633">
            <v>44188.585439814815</v>
          </cell>
          <cell r="H1633" t="str">
            <v>B&amp;P-004-206-RST-08</v>
          </cell>
          <cell r="J1633">
            <v>2</v>
          </cell>
        </row>
        <row r="1634">
          <cell r="C1634" t="str">
            <v>B&amp;P-048-208KPPB52</v>
          </cell>
          <cell r="F1634">
            <v>44188.588726851849</v>
          </cell>
          <cell r="H1634" t="str">
            <v>B&amp;P-001-OR208-18</v>
          </cell>
          <cell r="J1634">
            <v>1</v>
          </cell>
        </row>
        <row r="1635">
          <cell r="C1635" t="str">
            <v>B&amp;P-048-208KPPB52</v>
          </cell>
          <cell r="F1635">
            <v>44188.588726851849</v>
          </cell>
          <cell r="H1635" t="str">
            <v>B&amp;P-002-208-K52</v>
          </cell>
          <cell r="J1635">
            <v>1</v>
          </cell>
        </row>
        <row r="1636">
          <cell r="C1636" t="str">
            <v>B&amp;P-048-208KPPB52</v>
          </cell>
          <cell r="F1636">
            <v>44188.588726851849</v>
          </cell>
          <cell r="H1636" t="str">
            <v>B&amp;P-005-CAGE208-17</v>
          </cell>
          <cell r="J1636">
            <v>1</v>
          </cell>
        </row>
        <row r="1637">
          <cell r="C1637" t="str">
            <v>B&amp;P-048-208KPPB52</v>
          </cell>
          <cell r="F1637">
            <v>44188.588726851849</v>
          </cell>
          <cell r="H1637" t="str">
            <v>B&amp;P-003-BALL-1/2</v>
          </cell>
          <cell r="J1637">
            <v>9</v>
          </cell>
        </row>
        <row r="1638">
          <cell r="C1638" t="str">
            <v>B&amp;P-048-208KPPB52</v>
          </cell>
          <cell r="F1638">
            <v>44188.588726851849</v>
          </cell>
          <cell r="H1638" t="str">
            <v>B&amp;P-004-208-TPL-08</v>
          </cell>
          <cell r="J1638">
            <v>2</v>
          </cell>
        </row>
        <row r="1639">
          <cell r="C1639" t="str">
            <v>B&amp;P-999-SAB205-25DG</v>
          </cell>
          <cell r="F1639">
            <v>44189.371805555558</v>
          </cell>
          <cell r="H1639" t="str">
            <v>BPB-047-SAB205-25LG</v>
          </cell>
          <cell r="J1639">
            <v>1</v>
          </cell>
        </row>
        <row r="1640">
          <cell r="C1640" t="str">
            <v>B&amp;P-999-SAB205-25DG</v>
          </cell>
          <cell r="F1640">
            <v>44189.371805555558</v>
          </cell>
          <cell r="H1640" t="str">
            <v>B&amp;P-004-205-DBL-08</v>
          </cell>
          <cell r="J1640">
            <v>2</v>
          </cell>
        </row>
        <row r="1641">
          <cell r="C1641" t="str">
            <v>BPB-999-30210-MX</v>
          </cell>
          <cell r="F1641">
            <v>44189.378171296295</v>
          </cell>
          <cell r="H1641" t="str">
            <v>000-053-X-30210</v>
          </cell>
          <cell r="J1641">
            <v>1</v>
          </cell>
        </row>
        <row r="1642">
          <cell r="C1642" t="str">
            <v>BPB-999-30210-MX</v>
          </cell>
          <cell r="F1642">
            <v>44189.378171296295</v>
          </cell>
          <cell r="H1642" t="str">
            <v>000-054-TCY210</v>
          </cell>
          <cell r="J1642">
            <v>1</v>
          </cell>
        </row>
        <row r="1643">
          <cell r="C1643" t="str">
            <v>B&amp;P-041-LS07-2RST</v>
          </cell>
          <cell r="F1643">
            <v>44201.38554398148</v>
          </cell>
          <cell r="H1643" t="str">
            <v>BPB-001-LS07-D</v>
          </cell>
          <cell r="J1643">
            <v>1</v>
          </cell>
        </row>
        <row r="1644">
          <cell r="C1644" t="str">
            <v>B&amp;P-041-LS07-2RST</v>
          </cell>
          <cell r="F1644">
            <v>44201.38554398148</v>
          </cell>
          <cell r="H1644" t="str">
            <v>BPB-002-LS07-D</v>
          </cell>
          <cell r="J1644">
            <v>1</v>
          </cell>
        </row>
        <row r="1645">
          <cell r="C1645" t="str">
            <v>B&amp;P-041-LS07-2RST</v>
          </cell>
          <cell r="F1645">
            <v>44201.38554398148</v>
          </cell>
          <cell r="H1645" t="str">
            <v>B&amp;P-003-Ball-5/16</v>
          </cell>
          <cell r="J1645">
            <v>11</v>
          </cell>
        </row>
        <row r="1646">
          <cell r="C1646" t="str">
            <v>B&amp;P-041-LS07-2RST</v>
          </cell>
          <cell r="F1646">
            <v>44201.38554398148</v>
          </cell>
          <cell r="H1646" t="str">
            <v>BPB-005-RET/SET-LS07</v>
          </cell>
          <cell r="J1646">
            <v>1</v>
          </cell>
        </row>
        <row r="1647">
          <cell r="C1647" t="str">
            <v>B&amp;P-041-LS07-2RST</v>
          </cell>
          <cell r="F1647">
            <v>44201.38554398148</v>
          </cell>
          <cell r="H1647" t="str">
            <v>B&amp;P-004-LS07-2RST-08</v>
          </cell>
          <cell r="J1647">
            <v>2</v>
          </cell>
        </row>
        <row r="1648">
          <cell r="C1648" t="str">
            <v>B&amp;P-058-32014-MX</v>
          </cell>
          <cell r="F1648">
            <v>44222.36550925926</v>
          </cell>
          <cell r="H1648" t="str">
            <v>B&amp;P-053-X-32014</v>
          </cell>
          <cell r="J1648">
            <v>1</v>
          </cell>
        </row>
        <row r="1649">
          <cell r="C1649" t="str">
            <v>B&amp;P-ALU-EX50/NSPD</v>
          </cell>
          <cell r="F1649">
            <v>44138.338993055557</v>
          </cell>
          <cell r="H1649" t="str">
            <v>B&amp;P-ALU-DISI-EX50</v>
          </cell>
          <cell r="J1649">
            <v>1</v>
          </cell>
        </row>
        <row r="1650">
          <cell r="C1650" t="str">
            <v>B&amp;P-ALU-EX50/NSPD</v>
          </cell>
          <cell r="F1650">
            <v>44138.338993055557</v>
          </cell>
          <cell r="H1650" t="str">
            <v>B&amp;P-PCB-PCBEX55</v>
          </cell>
          <cell r="J1650">
            <v>1</v>
          </cell>
        </row>
        <row r="1651">
          <cell r="C1651" t="str">
            <v>B&amp;P-ALU-EX50/NSPD</v>
          </cell>
          <cell r="F1651">
            <v>44138.338993055557</v>
          </cell>
          <cell r="H1651" t="str">
            <v>B&amp;P-ALU-EX50-LENS</v>
          </cell>
          <cell r="J1651">
            <v>1</v>
          </cell>
        </row>
        <row r="1652">
          <cell r="C1652" t="str">
            <v>BPB-041-MS07-2RS</v>
          </cell>
          <cell r="F1652">
            <v>44642.395416666666</v>
          </cell>
          <cell r="H1652" t="str">
            <v>BPB-001-6207-D</v>
          </cell>
          <cell r="J1652">
            <v>1</v>
          </cell>
        </row>
        <row r="1653">
          <cell r="C1653" t="str">
            <v>BPB-041-MS07-2RS</v>
          </cell>
          <cell r="F1653">
            <v>44642.395416666666</v>
          </cell>
          <cell r="H1653" t="str">
            <v>B&amp;P-002-MS07-D</v>
          </cell>
          <cell r="J1653">
            <v>1</v>
          </cell>
        </row>
        <row r="1654">
          <cell r="C1654" t="str">
            <v>BPB-041-MS07-2RS</v>
          </cell>
          <cell r="F1654">
            <v>44642.395416666666</v>
          </cell>
          <cell r="H1654" t="str">
            <v>BPB-005-RET/SET-MS07</v>
          </cell>
          <cell r="J1654">
            <v>1</v>
          </cell>
        </row>
        <row r="1655">
          <cell r="C1655" t="str">
            <v>BPB-041-MS07-2RS</v>
          </cell>
          <cell r="F1655">
            <v>44642.395416666666</v>
          </cell>
          <cell r="H1655" t="str">
            <v>BPB-003-BALLS-7/16</v>
          </cell>
          <cell r="J1655">
            <v>9</v>
          </cell>
        </row>
        <row r="1656">
          <cell r="C1656" t="str">
            <v>BPB-041-MS07-2RS</v>
          </cell>
          <cell r="F1656">
            <v>44642.395416666666</v>
          </cell>
          <cell r="H1656" t="str">
            <v>BPB-004-MS07RS-BLUE</v>
          </cell>
          <cell r="J1656">
            <v>2</v>
          </cell>
        </row>
        <row r="1657">
          <cell r="C1657" t="str">
            <v>BPB-999-33117-MX</v>
          </cell>
          <cell r="F1657">
            <v>44209.366388888891</v>
          </cell>
          <cell r="H1657" t="str">
            <v>000-053-X-33117</v>
          </cell>
          <cell r="J1657">
            <v>1</v>
          </cell>
        </row>
        <row r="1658">
          <cell r="C1658" t="str">
            <v>BPB-999-33117-MX</v>
          </cell>
          <cell r="F1658">
            <v>44209.366388888891</v>
          </cell>
          <cell r="H1658" t="str">
            <v>000-054-TTY117</v>
          </cell>
          <cell r="J1658">
            <v>1</v>
          </cell>
        </row>
        <row r="1659">
          <cell r="C1659" t="str">
            <v>B&amp;P-058-32014-MX</v>
          </cell>
          <cell r="F1659">
            <v>44222.36550925926</v>
          </cell>
          <cell r="H1659" t="str">
            <v>B&amp;P-054-TDY014</v>
          </cell>
          <cell r="J1659">
            <v>1</v>
          </cell>
        </row>
        <row r="1660">
          <cell r="C1660" t="str">
            <v>BPB-999-32218-MX</v>
          </cell>
          <cell r="F1660">
            <v>44249.529976851853</v>
          </cell>
          <cell r="H1660" t="str">
            <v>000-053-X-32218</v>
          </cell>
          <cell r="J1660">
            <v>1</v>
          </cell>
        </row>
        <row r="1661">
          <cell r="C1661" t="str">
            <v>BPB-999-32218-MX</v>
          </cell>
          <cell r="F1661">
            <v>44249.529976851853</v>
          </cell>
          <cell r="H1661" t="str">
            <v>000-054-TDY218</v>
          </cell>
          <cell r="J1661">
            <v>1</v>
          </cell>
        </row>
        <row r="1662">
          <cell r="C1662" t="str">
            <v>B&amp;P-002-MG206-02</v>
          </cell>
          <cell r="F1662">
            <v>44250.348101851851</v>
          </cell>
          <cell r="H1662" t="str">
            <v>B&amp;P-002-MG206-A2</v>
          </cell>
          <cell r="J1662">
            <v>1</v>
          </cell>
        </row>
        <row r="1663">
          <cell r="C1663" t="str">
            <v>B&amp;P-001-MG206-01</v>
          </cell>
          <cell r="F1663">
            <v>44250.349004629628</v>
          </cell>
          <cell r="H1663" t="str">
            <v>B&amp;P-001-MG206-A1</v>
          </cell>
          <cell r="J1663">
            <v>1</v>
          </cell>
        </row>
        <row r="1664">
          <cell r="C1664" t="str">
            <v>B&amp;P-058-32316-MX</v>
          </cell>
          <cell r="F1664">
            <v>44250.37939814815</v>
          </cell>
          <cell r="H1664" t="str">
            <v>B&amp;P-053-X-32316</v>
          </cell>
          <cell r="J1664">
            <v>1</v>
          </cell>
        </row>
        <row r="1665">
          <cell r="C1665" t="str">
            <v>B&amp;P-058-32316-MX</v>
          </cell>
          <cell r="F1665">
            <v>44250.37939814815</v>
          </cell>
          <cell r="H1665" t="str">
            <v>B&amp;P-054-TDY316</v>
          </cell>
          <cell r="J1665">
            <v>1</v>
          </cell>
        </row>
        <row r="1666">
          <cell r="C1666" t="str">
            <v>BPB-999-30220-MX</v>
          </cell>
          <cell r="F1666">
            <v>44250.457349537035</v>
          </cell>
          <cell r="H1666" t="str">
            <v>000-053-X-30220</v>
          </cell>
          <cell r="J1666">
            <v>1</v>
          </cell>
        </row>
        <row r="1667">
          <cell r="C1667" t="str">
            <v>BPB-999-30220-MX</v>
          </cell>
          <cell r="F1667">
            <v>44250.457349537035</v>
          </cell>
          <cell r="H1667" t="str">
            <v>000-054-TCY220</v>
          </cell>
          <cell r="J1667">
            <v>1</v>
          </cell>
        </row>
        <row r="1668">
          <cell r="C1668" t="str">
            <v>BPB-133-PB006004</v>
          </cell>
          <cell r="F1668">
            <v>44251.356979166667</v>
          </cell>
          <cell r="H1668" t="str">
            <v>BPB-033-ASA50-1-REEL</v>
          </cell>
          <cell r="J1668">
            <v>2.1</v>
          </cell>
        </row>
        <row r="1669">
          <cell r="C1669" t="str">
            <v>BPB-133-PB006004</v>
          </cell>
          <cell r="F1669">
            <v>44251.356979166667</v>
          </cell>
          <cell r="H1669" t="str">
            <v>BPB-033-CL-50-1</v>
          </cell>
          <cell r="J1669">
            <v>1</v>
          </cell>
        </row>
        <row r="1670">
          <cell r="C1670" t="str">
            <v>BPB-133-PB006005</v>
          </cell>
          <cell r="F1670">
            <v>44251.358472222222</v>
          </cell>
          <cell r="H1670" t="str">
            <v>BPB-033-ASA50-1-REEL</v>
          </cell>
          <cell r="J1670">
            <v>1.3</v>
          </cell>
        </row>
        <row r="1671">
          <cell r="C1671" t="str">
            <v>BPB-133-PB006005</v>
          </cell>
          <cell r="F1671">
            <v>44251.358472222222</v>
          </cell>
          <cell r="H1671" t="str">
            <v>BPB-033-CL-50-1</v>
          </cell>
          <cell r="J1671">
            <v>1</v>
          </cell>
        </row>
        <row r="1672">
          <cell r="C1672" t="str">
            <v>BPB-999-30203-MX</v>
          </cell>
          <cell r="F1672">
            <v>44258.398622685185</v>
          </cell>
          <cell r="H1672" t="str">
            <v>000-053-X-30203</v>
          </cell>
          <cell r="J1672">
            <v>1</v>
          </cell>
        </row>
        <row r="1673">
          <cell r="C1673" t="str">
            <v>B&amp;P-047-FC-207-M</v>
          </cell>
          <cell r="F1673">
            <v>44266.38181712963</v>
          </cell>
          <cell r="H1673" t="str">
            <v>B&amp;P-047-FC-207</v>
          </cell>
          <cell r="J1673">
            <v>1</v>
          </cell>
        </row>
        <row r="1674">
          <cell r="C1674" t="str">
            <v>BPB-133-PB006001</v>
          </cell>
          <cell r="F1674">
            <v>44271.548958333333</v>
          </cell>
          <cell r="H1674" t="str">
            <v>BPB-033-ASA50-1-REEL</v>
          </cell>
          <cell r="J1674">
            <v>1.22</v>
          </cell>
        </row>
        <row r="1675">
          <cell r="C1675" t="str">
            <v>BPB-133-PB006001</v>
          </cell>
          <cell r="F1675">
            <v>44271.548958333333</v>
          </cell>
          <cell r="H1675" t="str">
            <v>BPB-033-CL-50-1</v>
          </cell>
          <cell r="J1675">
            <v>1</v>
          </cell>
        </row>
        <row r="1676">
          <cell r="C1676" t="str">
            <v>B&amp;P-047-ECL-210-50DG</v>
          </cell>
          <cell r="F1676">
            <v>44277.332662037035</v>
          </cell>
          <cell r="H1676" t="str">
            <v>B&amp;P-001-OR210-G</v>
          </cell>
          <cell r="J1676">
            <v>1</v>
          </cell>
        </row>
        <row r="1677">
          <cell r="C1677" t="str">
            <v>B&amp;P-047-ECL-210-50DG</v>
          </cell>
          <cell r="F1677">
            <v>44277.332662037035</v>
          </cell>
          <cell r="H1677" t="str">
            <v>B&amp;P-002-ECL210-50-02</v>
          </cell>
          <cell r="J1677">
            <v>1</v>
          </cell>
        </row>
        <row r="1678">
          <cell r="C1678" t="str">
            <v>B&amp;P-047-ECL-210-50DG</v>
          </cell>
          <cell r="F1678">
            <v>44277.332662037035</v>
          </cell>
          <cell r="H1678" t="str">
            <v>B&amp;P-005-CAGE210-17</v>
          </cell>
          <cell r="J1678">
            <v>1</v>
          </cell>
        </row>
        <row r="1679">
          <cell r="C1679" t="str">
            <v>B&amp;P-047-ECL-210-50DG</v>
          </cell>
          <cell r="F1679">
            <v>44277.332662037035</v>
          </cell>
          <cell r="H1679" t="str">
            <v>B&amp;P-003-BALL-1/2</v>
          </cell>
          <cell r="J1679">
            <v>10</v>
          </cell>
        </row>
        <row r="1680">
          <cell r="C1680" t="str">
            <v>B&amp;P-047-ECL-210-50DG</v>
          </cell>
          <cell r="F1680">
            <v>44277.332662037035</v>
          </cell>
          <cell r="H1680" t="str">
            <v>B&amp;P-004-210-DBL-08</v>
          </cell>
          <cell r="J1680">
            <v>2</v>
          </cell>
        </row>
        <row r="1681">
          <cell r="C1681" t="str">
            <v>B&amp;P-047-ECL-210-50DG</v>
          </cell>
          <cell r="F1681">
            <v>44277.332662037035</v>
          </cell>
          <cell r="H1681" t="str">
            <v>B&amp;P-010-LOC210-50</v>
          </cell>
          <cell r="J1681">
            <v>1</v>
          </cell>
        </row>
        <row r="1682">
          <cell r="C1682" t="str">
            <v>B&amp;P-047-ECL207-35DD</v>
          </cell>
          <cell r="F1682">
            <v>45810.420960648145</v>
          </cell>
          <cell r="H1682" t="str">
            <v>B&amp;P-001-OR207</v>
          </cell>
          <cell r="J1682">
            <v>1</v>
          </cell>
        </row>
        <row r="1683">
          <cell r="C1683" t="str">
            <v>B&amp;P-047-ECL207-35DD</v>
          </cell>
          <cell r="F1683">
            <v>45810.420960648145</v>
          </cell>
          <cell r="H1683" t="str">
            <v>B&amp;P-002-ECL207-35-02</v>
          </cell>
          <cell r="J1683">
            <v>1</v>
          </cell>
        </row>
        <row r="1684">
          <cell r="C1684" t="str">
            <v>B&amp;P-047-ECL207-35DD</v>
          </cell>
          <cell r="F1684">
            <v>45810.420960648145</v>
          </cell>
          <cell r="H1684" t="str">
            <v>B&amp;P-005-CAGE207-17</v>
          </cell>
          <cell r="J1684">
            <v>1</v>
          </cell>
        </row>
        <row r="1685">
          <cell r="C1685" t="str">
            <v>B&amp;P-047-ECL207-35DD</v>
          </cell>
          <cell r="F1685">
            <v>45810.420960648145</v>
          </cell>
          <cell r="H1685" t="str">
            <v>B&amp;P-003-Ball-7/16</v>
          </cell>
          <cell r="J1685">
            <v>9</v>
          </cell>
        </row>
        <row r="1686">
          <cell r="C1686" t="str">
            <v>B&amp;P-047-ECL207-35DD</v>
          </cell>
          <cell r="F1686">
            <v>45810.420960648145</v>
          </cell>
          <cell r="H1686" t="str">
            <v>B&amp;P-004-207-DBL-08</v>
          </cell>
          <cell r="J1686">
            <v>2</v>
          </cell>
        </row>
        <row r="1687">
          <cell r="C1687" t="str">
            <v>B&amp;P-047-ECL207-35DD</v>
          </cell>
          <cell r="F1687">
            <v>45810.420960648145</v>
          </cell>
          <cell r="H1687" t="str">
            <v>B&amp;P-010-LOC207-35</v>
          </cell>
          <cell r="J1687">
            <v>1</v>
          </cell>
        </row>
        <row r="1688">
          <cell r="C1688" t="str">
            <v>B&amp;P-047-SAB-205-25DG</v>
          </cell>
          <cell r="F1688">
            <v>44277.376076388886</v>
          </cell>
          <cell r="H1688" t="str">
            <v>B&amp;P-001-OR205-G</v>
          </cell>
          <cell r="J1688">
            <v>1</v>
          </cell>
        </row>
        <row r="1689">
          <cell r="C1689" t="str">
            <v>B&amp;P-047-SAB-205-25DG</v>
          </cell>
          <cell r="F1689">
            <v>44277.376076388886</v>
          </cell>
          <cell r="H1689" t="str">
            <v>B&amp;P-002-SAB205-25-02</v>
          </cell>
          <cell r="J1689">
            <v>1</v>
          </cell>
        </row>
        <row r="1690">
          <cell r="C1690" t="str">
            <v>B&amp;P-047-SAB-205-25DG</v>
          </cell>
          <cell r="F1690">
            <v>44277.376076388886</v>
          </cell>
          <cell r="H1690" t="str">
            <v>B&amp;P-005-CAGE205-17</v>
          </cell>
          <cell r="J1690">
            <v>1</v>
          </cell>
        </row>
        <row r="1691">
          <cell r="C1691" t="str">
            <v>B&amp;P-047-SAB-205-25DG</v>
          </cell>
          <cell r="F1691">
            <v>44277.376076388886</v>
          </cell>
          <cell r="H1691" t="str">
            <v>B&amp;P-003-Ball-5/16</v>
          </cell>
          <cell r="J1691">
            <v>9</v>
          </cell>
        </row>
        <row r="1692">
          <cell r="C1692" t="str">
            <v>B&amp;P-047-SAB-205-25DG</v>
          </cell>
          <cell r="F1692">
            <v>44277.376076388886</v>
          </cell>
          <cell r="H1692" t="str">
            <v>B&amp;P-004-205-DBL-08</v>
          </cell>
          <cell r="J1692">
            <v>2</v>
          </cell>
        </row>
        <row r="1693">
          <cell r="C1693" t="str">
            <v>BPB-047-ACL205-16RG</v>
          </cell>
          <cell r="F1693">
            <v>44277.394155092596</v>
          </cell>
          <cell r="H1693" t="str">
            <v>B&amp;P-001-OR205-G</v>
          </cell>
          <cell r="J1693">
            <v>1</v>
          </cell>
        </row>
        <row r="1694">
          <cell r="C1694" t="str">
            <v>BPB-047-ACL205-16RG</v>
          </cell>
          <cell r="F1694">
            <v>44277.394155092596</v>
          </cell>
          <cell r="H1694" t="str">
            <v>B&amp;P-002-ACL205-16-02</v>
          </cell>
          <cell r="J1694">
            <v>1</v>
          </cell>
        </row>
        <row r="1695">
          <cell r="C1695" t="str">
            <v>BPB-047-ACL205-16RG</v>
          </cell>
          <cell r="F1695">
            <v>44277.394155092596</v>
          </cell>
          <cell r="H1695" t="str">
            <v>B&amp;P-005-CAGE205-17</v>
          </cell>
          <cell r="J1695">
            <v>1</v>
          </cell>
        </row>
        <row r="1696">
          <cell r="C1696" t="str">
            <v>BPB-047-ACL205-16RG</v>
          </cell>
          <cell r="F1696">
            <v>44277.394155092596</v>
          </cell>
          <cell r="H1696" t="str">
            <v>B&amp;P-003-Ball-5/16</v>
          </cell>
          <cell r="J1696">
            <v>9</v>
          </cell>
        </row>
        <row r="1697">
          <cell r="C1697" t="str">
            <v>BPB-047-ACL205-16RG</v>
          </cell>
          <cell r="F1697">
            <v>44277.394155092596</v>
          </cell>
          <cell r="H1697" t="str">
            <v>B&amp;P-004-205-RW-08</v>
          </cell>
          <cell r="J1697">
            <v>2</v>
          </cell>
        </row>
        <row r="1698">
          <cell r="C1698" t="str">
            <v>BPB-047-ACL205-16RG</v>
          </cell>
          <cell r="F1698">
            <v>44277.394155092596</v>
          </cell>
          <cell r="H1698" t="str">
            <v>B&amp;P-010-LOC205-16</v>
          </cell>
          <cell r="J1698">
            <v>1</v>
          </cell>
        </row>
        <row r="1699">
          <cell r="C1699" t="str">
            <v>BPB-047-ECL-212-39-D</v>
          </cell>
          <cell r="F1699">
            <v>44277.3987037037</v>
          </cell>
          <cell r="H1699" t="str">
            <v>B&amp;P-001-OR212-G</v>
          </cell>
          <cell r="J1699">
            <v>1</v>
          </cell>
        </row>
        <row r="1700">
          <cell r="C1700" t="str">
            <v>BPB-047-ECL-212-39-D</v>
          </cell>
          <cell r="F1700">
            <v>44277.3987037037</v>
          </cell>
          <cell r="H1700" t="str">
            <v>B&amp;P-002-ECL212-39-02</v>
          </cell>
          <cell r="J1700">
            <v>1</v>
          </cell>
        </row>
        <row r="1701">
          <cell r="C1701" t="str">
            <v>BPB-047-ECL-212-39-D</v>
          </cell>
          <cell r="F1701">
            <v>44277.3987037037</v>
          </cell>
          <cell r="H1701" t="str">
            <v>B&amp;P-005-CAGE212-17</v>
          </cell>
          <cell r="J1701">
            <v>1</v>
          </cell>
        </row>
        <row r="1702">
          <cell r="C1702" t="str">
            <v>BPB-047-ECL-212-39-D</v>
          </cell>
          <cell r="F1702">
            <v>44277.3987037037</v>
          </cell>
          <cell r="H1702" t="str">
            <v>BPB-003-19/32-G10</v>
          </cell>
          <cell r="J1702">
            <v>10</v>
          </cell>
        </row>
        <row r="1703">
          <cell r="C1703" t="str">
            <v>BPB-047-ECL-212-39-D</v>
          </cell>
          <cell r="F1703">
            <v>44277.3987037037</v>
          </cell>
          <cell r="H1703" t="str">
            <v>B&amp;P-004-212-DBL-08</v>
          </cell>
          <cell r="J1703">
            <v>2</v>
          </cell>
        </row>
        <row r="1704">
          <cell r="C1704" t="str">
            <v>BPB-047-ECL-212-39-D</v>
          </cell>
          <cell r="F1704">
            <v>44277.3987037037</v>
          </cell>
          <cell r="H1704" t="str">
            <v>B&amp;P-010-LOC212-39</v>
          </cell>
          <cell r="J1704">
            <v>1</v>
          </cell>
        </row>
        <row r="1705">
          <cell r="C1705" t="str">
            <v>B&amp;P-047-ECL-205-25DG</v>
          </cell>
          <cell r="F1705">
            <v>45588.473599537036</v>
          </cell>
          <cell r="H1705" t="str">
            <v>B&amp;P-001-OR205-G</v>
          </cell>
          <cell r="J1705">
            <v>1</v>
          </cell>
        </row>
        <row r="1706">
          <cell r="C1706" t="str">
            <v>B&amp;P-047-ECL-205-25DG</v>
          </cell>
          <cell r="F1706">
            <v>45588.473599537036</v>
          </cell>
          <cell r="H1706" t="str">
            <v>B&amp;P-002-ECL205-25-02</v>
          </cell>
          <cell r="J1706">
            <v>1</v>
          </cell>
        </row>
        <row r="1707">
          <cell r="C1707" t="str">
            <v>B&amp;P-047-ECL-205-25DG</v>
          </cell>
          <cell r="F1707">
            <v>45588.473599537036</v>
          </cell>
          <cell r="H1707" t="str">
            <v>B&amp;P-005-CAGE205-17</v>
          </cell>
          <cell r="J1707">
            <v>1</v>
          </cell>
        </row>
        <row r="1708">
          <cell r="C1708" t="str">
            <v>B&amp;P-047-ECL-205-25DG</v>
          </cell>
          <cell r="F1708">
            <v>45588.473599537036</v>
          </cell>
          <cell r="H1708" t="str">
            <v>B&amp;P-003-Ball-5/16</v>
          </cell>
          <cell r="J1708">
            <v>9</v>
          </cell>
        </row>
        <row r="1709">
          <cell r="C1709" t="str">
            <v>B&amp;P-047-ECL-205-25DG</v>
          </cell>
          <cell r="F1709">
            <v>45588.473599537036</v>
          </cell>
          <cell r="H1709" t="str">
            <v>B&amp;P-004-205-DBL-08</v>
          </cell>
          <cell r="J1709">
            <v>2</v>
          </cell>
        </row>
        <row r="1710">
          <cell r="C1710" t="str">
            <v>B&amp;P-047-ECL-205-25DG</v>
          </cell>
          <cell r="F1710">
            <v>45588.473599537036</v>
          </cell>
          <cell r="H1710" t="str">
            <v>B&amp;P-010-LOC205-25</v>
          </cell>
          <cell r="J1710">
            <v>1</v>
          </cell>
        </row>
        <row r="1711">
          <cell r="C1711" t="str">
            <v>B&amp;P-047-SAB-207-35DG</v>
          </cell>
          <cell r="F1711">
            <v>45876.660752314812</v>
          </cell>
          <cell r="H1711" t="str">
            <v>B&amp;P-001-OR207-G</v>
          </cell>
          <cell r="J1711">
            <v>1</v>
          </cell>
        </row>
        <row r="1712">
          <cell r="C1712" t="str">
            <v>B&amp;P-047-SAB-207-35DG</v>
          </cell>
          <cell r="F1712">
            <v>45876.660752314812</v>
          </cell>
          <cell r="H1712" t="str">
            <v>B&amp;P-002-SAB207-35-02</v>
          </cell>
          <cell r="J1712">
            <v>1</v>
          </cell>
        </row>
        <row r="1713">
          <cell r="C1713" t="str">
            <v>B&amp;P-047-SAB-207-35DG</v>
          </cell>
          <cell r="F1713">
            <v>45876.660752314812</v>
          </cell>
          <cell r="H1713" t="str">
            <v>B&amp;P-005-CAGE207-17</v>
          </cell>
          <cell r="J1713">
            <v>1</v>
          </cell>
        </row>
        <row r="1714">
          <cell r="C1714" t="str">
            <v>B&amp;P-047-SAB-207-35DG</v>
          </cell>
          <cell r="F1714">
            <v>45876.660752314812</v>
          </cell>
          <cell r="H1714" t="str">
            <v>B&amp;P-003-Ball-7/16</v>
          </cell>
          <cell r="J1714">
            <v>9</v>
          </cell>
        </row>
        <row r="1715">
          <cell r="C1715" t="str">
            <v>B&amp;P-047-SAB-207-35DG</v>
          </cell>
          <cell r="F1715">
            <v>45876.660752314812</v>
          </cell>
          <cell r="H1715" t="str">
            <v>B&amp;P-004-207-DBL-08</v>
          </cell>
          <cell r="J1715">
            <v>2</v>
          </cell>
        </row>
        <row r="1716">
          <cell r="C1716" t="str">
            <v>BPB-047-ACL-207-35DG</v>
          </cell>
          <cell r="F1716">
            <v>44277.411122685182</v>
          </cell>
          <cell r="H1716" t="str">
            <v>B&amp;P-001-OR207-G</v>
          </cell>
          <cell r="J1716">
            <v>1</v>
          </cell>
        </row>
        <row r="1717">
          <cell r="C1717" t="str">
            <v>BPB-047-ACL-207-35DG</v>
          </cell>
          <cell r="F1717">
            <v>44277.411122685182</v>
          </cell>
          <cell r="H1717" t="str">
            <v>B&amp;P-002-ACL207-35-02</v>
          </cell>
          <cell r="J1717">
            <v>1</v>
          </cell>
        </row>
        <row r="1718">
          <cell r="C1718" t="str">
            <v>BPB-047-ACL-207-35DG</v>
          </cell>
          <cell r="F1718">
            <v>44277.411122685182</v>
          </cell>
          <cell r="H1718" t="str">
            <v>B&amp;P-005-CAGE207-17</v>
          </cell>
          <cell r="J1718">
            <v>1</v>
          </cell>
        </row>
        <row r="1719">
          <cell r="C1719" t="str">
            <v>BPB-047-ACL-207-35DG</v>
          </cell>
          <cell r="F1719">
            <v>44277.411122685182</v>
          </cell>
          <cell r="H1719" t="str">
            <v>B&amp;P-003-Ball-7/16</v>
          </cell>
          <cell r="J1719">
            <v>9</v>
          </cell>
        </row>
        <row r="1720">
          <cell r="C1720" t="str">
            <v>BPB-047-ACL-207-35DG</v>
          </cell>
          <cell r="F1720">
            <v>44277.411122685182</v>
          </cell>
          <cell r="H1720" t="str">
            <v>B&amp;P-004-207-RW-08</v>
          </cell>
          <cell r="J1720">
            <v>2</v>
          </cell>
        </row>
        <row r="1721">
          <cell r="C1721" t="str">
            <v>BPB-047-PE208-M</v>
          </cell>
          <cell r="F1721">
            <v>42437.735868055555</v>
          </cell>
          <cell r="H1721" t="str">
            <v>BPB-047-PE-208</v>
          </cell>
          <cell r="J1721">
            <v>1</v>
          </cell>
        </row>
        <row r="1722">
          <cell r="C1722" t="str">
            <v>PEE-047-FHS-205-25MM</v>
          </cell>
          <cell r="F1722">
            <v>42543.714768518519</v>
          </cell>
          <cell r="H1722" t="str">
            <v>B&amp;P-047-ASL-205-14RG</v>
          </cell>
          <cell r="J1722">
            <v>1</v>
          </cell>
        </row>
        <row r="1723">
          <cell r="C1723" t="str">
            <v>BPB-059-59502-02-A2</v>
          </cell>
          <cell r="F1723">
            <v>42562.429594907408</v>
          </cell>
          <cell r="H1723" t="str">
            <v>BPB-999-SAE1045Ø69.8</v>
          </cell>
          <cell r="J1723">
            <v>1.4999999999999999E-2</v>
          </cell>
        </row>
        <row r="1724">
          <cell r="C1724" t="str">
            <v>BPB-059-59502-03-A3</v>
          </cell>
          <cell r="F1724">
            <v>42562.432395833333</v>
          </cell>
          <cell r="H1724" t="str">
            <v>BPB-999-SAE1045Ø38.1</v>
          </cell>
          <cell r="J1724">
            <v>1.4E-2</v>
          </cell>
        </row>
        <row r="1725">
          <cell r="C1725" t="str">
            <v>BPB-059-59502-08-A8</v>
          </cell>
          <cell r="F1725">
            <v>42562.438356481478</v>
          </cell>
          <cell r="H1725" t="str">
            <v>BPB-037-SAE1045Ø31.7</v>
          </cell>
          <cell r="J1725">
            <v>2.5999999999999999E-2</v>
          </cell>
        </row>
        <row r="1726">
          <cell r="C1726" t="str">
            <v>BPB-037-9013</v>
          </cell>
          <cell r="F1726">
            <v>42564.360335648147</v>
          </cell>
          <cell r="H1726" t="str">
            <v>BPB-037-609013</v>
          </cell>
          <cell r="J1726">
            <v>1</v>
          </cell>
        </row>
        <row r="1727">
          <cell r="C1727" t="str">
            <v>BPB-037-9010</v>
          </cell>
          <cell r="F1727">
            <v>42564.361886574072</v>
          </cell>
          <cell r="H1727" t="str">
            <v>BPB-037-609010</v>
          </cell>
          <cell r="J1727">
            <v>1</v>
          </cell>
        </row>
        <row r="1728">
          <cell r="C1728" t="str">
            <v>BPB-032-BP15009</v>
          </cell>
          <cell r="F1728">
            <v>42570.604629629626</v>
          </cell>
          <cell r="H1728" t="str">
            <v>BPB-032-BP15009-01</v>
          </cell>
          <cell r="J1728">
            <v>2</v>
          </cell>
        </row>
        <row r="1729">
          <cell r="C1729" t="str">
            <v>BPB-032-BP15009</v>
          </cell>
          <cell r="F1729">
            <v>42570.604629629626</v>
          </cell>
          <cell r="H1729" t="str">
            <v>BPB-032-BP15009-02</v>
          </cell>
          <cell r="J1729">
            <v>18</v>
          </cell>
        </row>
        <row r="1730">
          <cell r="C1730" t="str">
            <v>BPB-032-BP15009</v>
          </cell>
          <cell r="F1730">
            <v>42570.604629629626</v>
          </cell>
          <cell r="H1730" t="str">
            <v>B&amp;P-048-BB203-KRR2FD</v>
          </cell>
          <cell r="J1730">
            <v>1</v>
          </cell>
        </row>
        <row r="1731">
          <cell r="C1731" t="str">
            <v>BPB-032-BP15010</v>
          </cell>
          <cell r="F1731">
            <v>42570.608217592591</v>
          </cell>
          <cell r="H1731" t="str">
            <v>BPB-032-BP15010-01</v>
          </cell>
          <cell r="J1731">
            <v>2</v>
          </cell>
        </row>
        <row r="1732">
          <cell r="C1732" t="str">
            <v>BPB-032-BP15010</v>
          </cell>
          <cell r="F1732">
            <v>42570.608217592591</v>
          </cell>
          <cell r="H1732" t="str">
            <v>BPB-032-BP15009-02</v>
          </cell>
          <cell r="J1732">
            <v>18</v>
          </cell>
        </row>
        <row r="1733">
          <cell r="C1733" t="str">
            <v>BPB-032-BP15010</v>
          </cell>
          <cell r="F1733">
            <v>42570.608217592591</v>
          </cell>
          <cell r="H1733" t="str">
            <v>B&amp;P-048-BB203-KRR2FD</v>
          </cell>
          <cell r="J1733">
            <v>1</v>
          </cell>
        </row>
        <row r="1734">
          <cell r="C1734" t="str">
            <v>BPB-033-CA-550-A01</v>
          </cell>
          <cell r="F1734">
            <v>42604.403506944444</v>
          </cell>
          <cell r="H1734" t="str">
            <v>BPB-033-CA-550-A1</v>
          </cell>
          <cell r="J1734">
            <v>5.3406000000000002</v>
          </cell>
        </row>
        <row r="1735">
          <cell r="C1735" t="str">
            <v>BPB-033-CA-550-A01</v>
          </cell>
          <cell r="F1735">
            <v>42604.403506944444</v>
          </cell>
          <cell r="H1735" t="str">
            <v>BPB-033-CA550-A1-CL</v>
          </cell>
          <cell r="J1735">
            <v>1</v>
          </cell>
        </row>
        <row r="1736">
          <cell r="C1736" t="str">
            <v>BPB-047-F-209-C</v>
          </cell>
          <cell r="F1736">
            <v>43186.468090277776</v>
          </cell>
          <cell r="H1736" t="str">
            <v>B&amp;P-047-F-209</v>
          </cell>
          <cell r="J1736">
            <v>1</v>
          </cell>
        </row>
        <row r="1737">
          <cell r="C1737" t="str">
            <v>BPB-047-F-210-C</v>
          </cell>
          <cell r="F1737">
            <v>44834.550671296296</v>
          </cell>
          <cell r="H1737" t="str">
            <v>B&amp;P-047-F-210</v>
          </cell>
          <cell r="J1737">
            <v>1</v>
          </cell>
        </row>
        <row r="1738">
          <cell r="C1738" t="str">
            <v>BPB-058-30216-MX</v>
          </cell>
          <cell r="F1738">
            <v>42613.509050925924</v>
          </cell>
          <cell r="H1738" t="str">
            <v>B&amp;P-053-TCX216</v>
          </cell>
          <cell r="J1738">
            <v>1</v>
          </cell>
        </row>
        <row r="1739">
          <cell r="C1739" t="str">
            <v>BPB-058-30216-MX</v>
          </cell>
          <cell r="F1739">
            <v>42613.509050925924</v>
          </cell>
          <cell r="H1739" t="str">
            <v>B&amp;P-005-TCX216</v>
          </cell>
          <cell r="J1739">
            <v>1</v>
          </cell>
        </row>
        <row r="1740">
          <cell r="C1740" t="str">
            <v>BPB-058-30216-MX</v>
          </cell>
          <cell r="F1740">
            <v>42613.509050925924</v>
          </cell>
          <cell r="H1740" t="str">
            <v>B&amp;P-003-TCX216</v>
          </cell>
          <cell r="J1740">
            <v>20</v>
          </cell>
        </row>
        <row r="1741">
          <cell r="C1741" t="str">
            <v>BPB-058-30216-MX</v>
          </cell>
          <cell r="F1741">
            <v>42613.509050925924</v>
          </cell>
          <cell r="H1741" t="str">
            <v>B&amp;P-054-TCY216</v>
          </cell>
          <cell r="J1741">
            <v>1</v>
          </cell>
        </row>
        <row r="1742">
          <cell r="C1742" t="str">
            <v>BPB-058-30309-MX</v>
          </cell>
          <cell r="F1742">
            <v>42613.526585648149</v>
          </cell>
          <cell r="H1742" t="str">
            <v>B&amp;P-053-TCX309</v>
          </cell>
          <cell r="J1742">
            <v>1</v>
          </cell>
        </row>
        <row r="1743">
          <cell r="C1743" t="str">
            <v>BPB-058-30309-MX</v>
          </cell>
          <cell r="F1743">
            <v>42613.526585648149</v>
          </cell>
          <cell r="H1743" t="str">
            <v>B&amp;P-005-TCX309</v>
          </cell>
          <cell r="J1743">
            <v>1</v>
          </cell>
        </row>
        <row r="1744">
          <cell r="C1744" t="str">
            <v>BPB-058-30309-MX</v>
          </cell>
          <cell r="F1744">
            <v>42613.526585648149</v>
          </cell>
          <cell r="H1744" t="str">
            <v>B&amp;P-003-TCX309</v>
          </cell>
          <cell r="J1744">
            <v>16</v>
          </cell>
        </row>
        <row r="1745">
          <cell r="C1745" t="str">
            <v>BPB-058-30309-MX</v>
          </cell>
          <cell r="F1745">
            <v>42613.526585648149</v>
          </cell>
          <cell r="H1745" t="str">
            <v>B&amp;P-054-TCY309</v>
          </cell>
          <cell r="J1745">
            <v>1</v>
          </cell>
        </row>
        <row r="1746">
          <cell r="C1746" t="str">
            <v>BPB-041-LS03-2RST</v>
          </cell>
          <cell r="F1746">
            <v>42626.506111111114</v>
          </cell>
          <cell r="H1746" t="str">
            <v>BPB-999-LS03-2RST</v>
          </cell>
          <cell r="J1746">
            <v>1</v>
          </cell>
        </row>
        <row r="1747">
          <cell r="C1747" t="str">
            <v>BPB-047-SAB-207-35MM</v>
          </cell>
          <cell r="F1747">
            <v>42635.324340277781</v>
          </cell>
          <cell r="H1747" t="str">
            <v>BPB-027-SLINGER-207</v>
          </cell>
          <cell r="J1747">
            <v>2</v>
          </cell>
        </row>
        <row r="1748">
          <cell r="C1748" t="str">
            <v>BPB-047-SAB-207-35MM</v>
          </cell>
          <cell r="F1748">
            <v>42635.324340277781</v>
          </cell>
          <cell r="H1748" t="str">
            <v>BPB-027-207-RST</v>
          </cell>
          <cell r="J1748">
            <v>2</v>
          </cell>
        </row>
        <row r="1749">
          <cell r="C1749" t="str">
            <v>BPB-047-SAB-207-35MM</v>
          </cell>
          <cell r="F1749">
            <v>42635.324340277781</v>
          </cell>
          <cell r="H1749" t="str">
            <v>B&amp;P-047-SAB207-35-C3</v>
          </cell>
          <cell r="J1749">
            <v>1</v>
          </cell>
        </row>
        <row r="1750">
          <cell r="C1750" t="str">
            <v>BPB-037-F490MGL01</v>
          </cell>
          <cell r="F1750">
            <v>42643.598032407404</v>
          </cell>
          <cell r="H1750" t="str">
            <v>000-CAÑ-25.4X1.2</v>
          </cell>
          <cell r="J1750">
            <v>0.13</v>
          </cell>
        </row>
        <row r="1751">
          <cell r="C1751" t="str">
            <v>BPB-037-44055-998</v>
          </cell>
          <cell r="F1751">
            <v>42648.570462962962</v>
          </cell>
          <cell r="H1751" t="str">
            <v>BPB-037-44055-998-A</v>
          </cell>
          <cell r="J1751">
            <v>1</v>
          </cell>
        </row>
        <row r="1752">
          <cell r="C1752" t="str">
            <v>BPB-037-44055-974</v>
          </cell>
          <cell r="F1752">
            <v>42648.573460648149</v>
          </cell>
          <cell r="H1752" t="str">
            <v>BPB-037-44055-974-A</v>
          </cell>
          <cell r="J1752">
            <v>1</v>
          </cell>
        </row>
        <row r="1753">
          <cell r="C1753" t="str">
            <v>B&amp;P-047-SAB-209-45DG</v>
          </cell>
          <cell r="F1753">
            <v>44146.351064814815</v>
          </cell>
          <cell r="H1753" t="str">
            <v>B&amp;P-001-OR209-G</v>
          </cell>
          <cell r="J1753">
            <v>1</v>
          </cell>
        </row>
        <row r="1754">
          <cell r="C1754" t="str">
            <v>B&amp;P-047-SAB-209-45DG</v>
          </cell>
          <cell r="F1754">
            <v>44146.351064814815</v>
          </cell>
          <cell r="H1754" t="str">
            <v>B&amp;P-002-SAB209-45-02</v>
          </cell>
          <cell r="J1754">
            <v>1</v>
          </cell>
        </row>
        <row r="1755">
          <cell r="C1755" t="str">
            <v>B&amp;P-047-SAB-209-45DG</v>
          </cell>
          <cell r="F1755">
            <v>44146.351064814815</v>
          </cell>
          <cell r="H1755" t="str">
            <v>B&amp;P-005-CAGE209-17</v>
          </cell>
          <cell r="J1755">
            <v>1</v>
          </cell>
        </row>
        <row r="1756">
          <cell r="C1756" t="str">
            <v>B&amp;P-047-SAB-209-45DG</v>
          </cell>
          <cell r="F1756">
            <v>44146.351064814815</v>
          </cell>
          <cell r="H1756" t="str">
            <v>B&amp;P-003-BALL-1/2</v>
          </cell>
          <cell r="J1756">
            <v>9</v>
          </cell>
        </row>
        <row r="1757">
          <cell r="C1757" t="str">
            <v>B&amp;P-047-SAB-209-45DG</v>
          </cell>
          <cell r="F1757">
            <v>44146.351064814815</v>
          </cell>
          <cell r="H1757" t="str">
            <v>B&amp;P-004-209-DBL-08</v>
          </cell>
          <cell r="J1757">
            <v>2</v>
          </cell>
        </row>
        <row r="1758">
          <cell r="C1758" t="str">
            <v>B&amp;P-047-ASL206-30RR</v>
          </cell>
          <cell r="F1758">
            <v>44146.436192129629</v>
          </cell>
          <cell r="H1758" t="str">
            <v>B&amp;P-001-OR206-18</v>
          </cell>
          <cell r="J1758">
            <v>1</v>
          </cell>
        </row>
        <row r="1759">
          <cell r="C1759" t="str">
            <v>B&amp;P-047-ASL206-30RR</v>
          </cell>
          <cell r="F1759">
            <v>44146.436192129629</v>
          </cell>
          <cell r="H1759" t="str">
            <v>B&amp;P-002-ASL206-30-02</v>
          </cell>
          <cell r="J1759">
            <v>1</v>
          </cell>
        </row>
        <row r="1760">
          <cell r="C1760" t="str">
            <v>B&amp;P-047-ASL206-30RR</v>
          </cell>
          <cell r="F1760">
            <v>44146.436192129629</v>
          </cell>
          <cell r="H1760" t="str">
            <v>B&amp;P-005-CAGE206-17</v>
          </cell>
          <cell r="J1760">
            <v>1</v>
          </cell>
        </row>
        <row r="1761">
          <cell r="C1761" t="str">
            <v>B&amp;P-047-ASL206-30RR</v>
          </cell>
          <cell r="F1761">
            <v>44146.436192129629</v>
          </cell>
          <cell r="H1761" t="str">
            <v>B&amp;P-003-Ball-3/8</v>
          </cell>
          <cell r="J1761">
            <v>9</v>
          </cell>
        </row>
        <row r="1762">
          <cell r="C1762" t="str">
            <v>B&amp;P-047-ASL206-30RR</v>
          </cell>
          <cell r="F1762">
            <v>44146.436192129629</v>
          </cell>
          <cell r="H1762" t="str">
            <v>B&amp;P-004-206-RW-08</v>
          </cell>
          <cell r="J1762">
            <v>2</v>
          </cell>
        </row>
        <row r="1763">
          <cell r="C1763" t="str">
            <v>B&amp;P-047-ACL-208-40mm</v>
          </cell>
          <cell r="F1763">
            <v>44146.440196759257</v>
          </cell>
          <cell r="H1763" t="str">
            <v>B&amp;P-001-OR208-G</v>
          </cell>
          <cell r="J1763">
            <v>1</v>
          </cell>
        </row>
        <row r="1764">
          <cell r="C1764" t="str">
            <v>B&amp;P-047-ACL-208-40mm</v>
          </cell>
          <cell r="F1764">
            <v>44146.440196759257</v>
          </cell>
          <cell r="H1764" t="str">
            <v>B&amp;P-002-ACL208-40-02</v>
          </cell>
          <cell r="J1764">
            <v>1</v>
          </cell>
        </row>
        <row r="1765">
          <cell r="C1765" t="str">
            <v>B&amp;P-047-ACL-208-40mm</v>
          </cell>
          <cell r="F1765">
            <v>44146.440196759257</v>
          </cell>
          <cell r="H1765" t="str">
            <v>B&amp;P-005-CAGE208-17</v>
          </cell>
          <cell r="J1765">
            <v>1</v>
          </cell>
        </row>
        <row r="1766">
          <cell r="C1766" t="str">
            <v>B&amp;P-047-ACL-208-40mm</v>
          </cell>
          <cell r="F1766">
            <v>44146.440196759257</v>
          </cell>
          <cell r="H1766" t="str">
            <v>B&amp;P-003-BALL-1/2</v>
          </cell>
          <cell r="J1766">
            <v>9</v>
          </cell>
        </row>
        <row r="1767">
          <cell r="C1767" t="str">
            <v>B&amp;P-047-ACL-208-40mm</v>
          </cell>
          <cell r="F1767">
            <v>44146.440196759257</v>
          </cell>
          <cell r="H1767" t="str">
            <v>B&amp;P-004-208-RST-08</v>
          </cell>
          <cell r="J1767">
            <v>2</v>
          </cell>
        </row>
        <row r="1768">
          <cell r="C1768" t="str">
            <v>B&amp;P-047-ACL-208-40mm</v>
          </cell>
          <cell r="F1768">
            <v>44146.440196759257</v>
          </cell>
          <cell r="H1768" t="str">
            <v>B&amp;P-010-LOC208-40</v>
          </cell>
          <cell r="J1768">
            <v>1</v>
          </cell>
        </row>
        <row r="1769">
          <cell r="C1769" t="str">
            <v>BPB-999-30203-MX</v>
          </cell>
          <cell r="F1769">
            <v>44258.398622685185</v>
          </cell>
          <cell r="H1769" t="str">
            <v>000-054-TCY203</v>
          </cell>
          <cell r="J1769">
            <v>1</v>
          </cell>
        </row>
        <row r="1770">
          <cell r="C1770" t="str">
            <v>BPB-999-30308-MX</v>
          </cell>
          <cell r="F1770">
            <v>44258.404016203705</v>
          </cell>
          <cell r="H1770" t="str">
            <v>000-053-X-30308</v>
          </cell>
          <cell r="J1770">
            <v>1</v>
          </cell>
        </row>
        <row r="1771">
          <cell r="C1771" t="str">
            <v>BPB-999-30308-MX</v>
          </cell>
          <cell r="F1771">
            <v>44258.404016203705</v>
          </cell>
          <cell r="H1771" t="str">
            <v>000-054-TCY308</v>
          </cell>
          <cell r="J1771">
            <v>1</v>
          </cell>
        </row>
        <row r="1772">
          <cell r="C1772" t="str">
            <v>B&amp;P-058-32016-MX</v>
          </cell>
          <cell r="F1772">
            <v>44258.408449074072</v>
          </cell>
          <cell r="H1772" t="str">
            <v>B&amp;P-053-X-32016</v>
          </cell>
          <cell r="J1772">
            <v>1</v>
          </cell>
        </row>
        <row r="1773">
          <cell r="C1773" t="str">
            <v>B&amp;P-058-32016-MX</v>
          </cell>
          <cell r="F1773">
            <v>44258.408449074072</v>
          </cell>
          <cell r="H1773" t="str">
            <v>B&amp;P-054-TDY016</v>
          </cell>
          <cell r="J1773">
            <v>1</v>
          </cell>
        </row>
        <row r="1774">
          <cell r="C1774" t="str">
            <v>B&amp;P-058-33211-MX</v>
          </cell>
          <cell r="F1774">
            <v>44258.412395833337</v>
          </cell>
          <cell r="H1774" t="str">
            <v>B&amp;P-053-X-33211</v>
          </cell>
          <cell r="J1774">
            <v>1</v>
          </cell>
        </row>
        <row r="1775">
          <cell r="C1775" t="str">
            <v>B&amp;P-058-33211-MX</v>
          </cell>
          <cell r="F1775">
            <v>44258.412395833337</v>
          </cell>
          <cell r="H1775" t="str">
            <v>B&amp;P-054-TTY211</v>
          </cell>
          <cell r="J1775">
            <v>1</v>
          </cell>
        </row>
        <row r="1776">
          <cell r="C1776" t="str">
            <v>BPB-133-PB006001</v>
          </cell>
          <cell r="F1776">
            <v>44271.548958333333</v>
          </cell>
          <cell r="H1776" t="str">
            <v>BPB-033-OL-50-1</v>
          </cell>
          <cell r="J1776">
            <v>1</v>
          </cell>
        </row>
        <row r="1777">
          <cell r="C1777" t="str">
            <v>BPB-133-PB006186</v>
          </cell>
          <cell r="F1777">
            <v>44271.557824074072</v>
          </cell>
          <cell r="H1777" t="str">
            <v>BPB-033-ASA40-1-REEL</v>
          </cell>
          <cell r="J1777">
            <v>1.64</v>
          </cell>
        </row>
        <row r="1778">
          <cell r="C1778" t="str">
            <v>BPB-133-PB006186</v>
          </cell>
          <cell r="F1778">
            <v>44271.557824074072</v>
          </cell>
          <cell r="H1778" t="str">
            <v>BPB-033-OL-40-1</v>
          </cell>
          <cell r="J1778">
            <v>1</v>
          </cell>
        </row>
        <row r="1779">
          <cell r="C1779" t="str">
            <v>BPB-133-PB006186</v>
          </cell>
          <cell r="F1779">
            <v>44271.557824074072</v>
          </cell>
          <cell r="H1779" t="str">
            <v>BPB-033-CL-40-1</v>
          </cell>
          <cell r="J1779">
            <v>1</v>
          </cell>
        </row>
        <row r="1780">
          <cell r="C1780" t="str">
            <v>BPB-047-ACL-207-35DG</v>
          </cell>
          <cell r="F1780">
            <v>44277.411122685182</v>
          </cell>
          <cell r="H1780" t="str">
            <v>B&amp;P-010-LOC207-35</v>
          </cell>
          <cell r="J1780">
            <v>1</v>
          </cell>
        </row>
        <row r="1781">
          <cell r="C1781" t="str">
            <v>BPB-999-32211-MX</v>
          </cell>
          <cell r="F1781">
            <v>44294.592800925922</v>
          </cell>
          <cell r="H1781" t="str">
            <v>000-053-X-32211</v>
          </cell>
          <cell r="J1781">
            <v>1</v>
          </cell>
        </row>
        <row r="1782">
          <cell r="C1782" t="str">
            <v>BPB-999-32211-MX</v>
          </cell>
          <cell r="F1782">
            <v>44294.592800925922</v>
          </cell>
          <cell r="H1782" t="str">
            <v>000-054-TDY211</v>
          </cell>
          <cell r="J1782">
            <v>1</v>
          </cell>
        </row>
        <row r="1783">
          <cell r="C1783" t="str">
            <v>BPB-041-MS09-2RS</v>
          </cell>
          <cell r="F1783">
            <v>44301.577407407407</v>
          </cell>
          <cell r="H1783" t="str">
            <v>B&amp;P-001-MS09-D</v>
          </cell>
          <cell r="J1783">
            <v>1</v>
          </cell>
        </row>
        <row r="1784">
          <cell r="C1784" t="str">
            <v>BPB-041-MS09-2RS</v>
          </cell>
          <cell r="F1784">
            <v>44301.577407407407</v>
          </cell>
          <cell r="H1784" t="str">
            <v>B&amp;P-002-MS09-D</v>
          </cell>
          <cell r="J1784">
            <v>1</v>
          </cell>
        </row>
        <row r="1785">
          <cell r="C1785" t="str">
            <v>BPB-041-MS09-2RS</v>
          </cell>
          <cell r="F1785">
            <v>44301.577407407407</v>
          </cell>
          <cell r="H1785" t="str">
            <v>B&amp;P-005-RET/SET-MS09</v>
          </cell>
          <cell r="J1785">
            <v>1</v>
          </cell>
        </row>
        <row r="1786">
          <cell r="C1786" t="str">
            <v>BPB-041-MS09-2RS</v>
          </cell>
          <cell r="F1786">
            <v>44301.577407407407</v>
          </cell>
          <cell r="H1786" t="str">
            <v>B&amp;P-003-BALL-1/2</v>
          </cell>
          <cell r="J1786">
            <v>9</v>
          </cell>
        </row>
        <row r="1787">
          <cell r="C1787" t="str">
            <v>BPB-041-MS09-2RS</v>
          </cell>
          <cell r="F1787">
            <v>44301.577407407407</v>
          </cell>
          <cell r="H1787" t="str">
            <v>B&amp;P-004-MS09RS-BLUE</v>
          </cell>
          <cell r="J1787">
            <v>2</v>
          </cell>
        </row>
        <row r="1788">
          <cell r="C1788" t="str">
            <v>BPB-133-PB001184</v>
          </cell>
          <cell r="F1788">
            <v>44305.690486111111</v>
          </cell>
          <cell r="H1788" t="str">
            <v>BPB-033-ASA50-1-REEL</v>
          </cell>
          <cell r="J1788">
            <v>1.19</v>
          </cell>
        </row>
        <row r="1789">
          <cell r="C1789" t="str">
            <v>BPB-133-PB001184</v>
          </cell>
          <cell r="F1789">
            <v>44305.690486111111</v>
          </cell>
          <cell r="H1789" t="str">
            <v>BPB-033-CL-50-1</v>
          </cell>
          <cell r="J1789">
            <v>1</v>
          </cell>
        </row>
        <row r="1790">
          <cell r="C1790" t="str">
            <v>BPB-133-PB001184</v>
          </cell>
          <cell r="F1790">
            <v>44305.690486111111</v>
          </cell>
          <cell r="H1790" t="str">
            <v>BPB-033-OL-50-1</v>
          </cell>
          <cell r="J1790">
            <v>1</v>
          </cell>
        </row>
        <row r="1791">
          <cell r="C1791" t="str">
            <v>B&amp;P-047-SAB-210-50DG</v>
          </cell>
          <cell r="F1791">
            <v>44301.429328703707</v>
          </cell>
          <cell r="H1791" t="str">
            <v>B&amp;P-001-OR210-G</v>
          </cell>
          <cell r="J1791">
            <v>1</v>
          </cell>
        </row>
        <row r="1792">
          <cell r="C1792" t="str">
            <v>B&amp;P-047-SAB-210-50DG</v>
          </cell>
          <cell r="F1792">
            <v>44301.429328703707</v>
          </cell>
          <cell r="H1792" t="str">
            <v>B&amp;P-002-SAB210-50-02</v>
          </cell>
          <cell r="J1792">
            <v>1</v>
          </cell>
        </row>
        <row r="1793">
          <cell r="C1793" t="str">
            <v>B&amp;P-047-SAB-210-50DG</v>
          </cell>
          <cell r="F1793">
            <v>44301.429328703707</v>
          </cell>
          <cell r="H1793" t="str">
            <v>B&amp;P-005-CAGE210-17</v>
          </cell>
          <cell r="J1793">
            <v>1</v>
          </cell>
        </row>
        <row r="1794">
          <cell r="C1794" t="str">
            <v>B&amp;P-047-SAB-210-50DG</v>
          </cell>
          <cell r="F1794">
            <v>44301.429328703707</v>
          </cell>
          <cell r="H1794" t="str">
            <v>B&amp;P-004-210-DBL-08</v>
          </cell>
          <cell r="J1794">
            <v>2</v>
          </cell>
        </row>
        <row r="1795">
          <cell r="C1795" t="str">
            <v>B&amp;P-047-SAB-210-50DG</v>
          </cell>
          <cell r="F1795">
            <v>44301.429328703707</v>
          </cell>
          <cell r="H1795" t="str">
            <v>B&amp;P-003-BALL-1/2</v>
          </cell>
          <cell r="J1795">
            <v>10</v>
          </cell>
        </row>
        <row r="1796">
          <cell r="C1796" t="str">
            <v>B&amp;P-047-ECL-209-45DG</v>
          </cell>
          <cell r="F1796">
            <v>44301.447233796294</v>
          </cell>
          <cell r="H1796" t="str">
            <v>B&amp;P-001-OR209-G</v>
          </cell>
          <cell r="J1796">
            <v>1</v>
          </cell>
        </row>
        <row r="1797">
          <cell r="C1797" t="str">
            <v>B&amp;P-047-ECL-209-45DG</v>
          </cell>
          <cell r="F1797">
            <v>44301.447233796294</v>
          </cell>
          <cell r="H1797" t="str">
            <v>B&amp;P-002-ECL209-45-02</v>
          </cell>
          <cell r="J1797">
            <v>1</v>
          </cell>
        </row>
        <row r="1798">
          <cell r="C1798" t="str">
            <v>B&amp;P-047-ECL-209-45DG</v>
          </cell>
          <cell r="F1798">
            <v>44301.447233796294</v>
          </cell>
          <cell r="H1798" t="str">
            <v>B&amp;P-005-CAGE209-17</v>
          </cell>
          <cell r="J1798">
            <v>1</v>
          </cell>
        </row>
        <row r="1799">
          <cell r="C1799" t="str">
            <v>B&amp;P-047-ECL-209-45DG</v>
          </cell>
          <cell r="F1799">
            <v>44301.447233796294</v>
          </cell>
          <cell r="H1799" t="str">
            <v>B&amp;P-004-209-DBL-08</v>
          </cell>
          <cell r="J1799">
            <v>2</v>
          </cell>
        </row>
        <row r="1800">
          <cell r="C1800" t="str">
            <v>B&amp;P-047-ECL-209-45DG</v>
          </cell>
          <cell r="F1800">
            <v>44301.447233796294</v>
          </cell>
          <cell r="H1800" t="str">
            <v>B&amp;P-003-BALL-1/2</v>
          </cell>
          <cell r="J1800">
            <v>9</v>
          </cell>
        </row>
        <row r="1801">
          <cell r="C1801" t="str">
            <v>B&amp;P-047-ECL-209-45DG</v>
          </cell>
          <cell r="F1801">
            <v>44301.447233796294</v>
          </cell>
          <cell r="H1801" t="str">
            <v>B&amp;P-010-LOC209-45</v>
          </cell>
          <cell r="J1801">
            <v>1</v>
          </cell>
        </row>
        <row r="1802">
          <cell r="C1802" t="str">
            <v>BPB-999-32013-MX</v>
          </cell>
          <cell r="F1802">
            <v>44308.331574074073</v>
          </cell>
          <cell r="H1802" t="str">
            <v>URB-040-32013-X</v>
          </cell>
          <cell r="J1802">
            <v>1</v>
          </cell>
        </row>
        <row r="1803">
          <cell r="C1803" t="str">
            <v>BPB-999-30211-MX</v>
          </cell>
          <cell r="F1803">
            <v>44319.602708333332</v>
          </cell>
          <cell r="H1803" t="str">
            <v>000-053-X-30211</v>
          </cell>
          <cell r="J1803">
            <v>1</v>
          </cell>
        </row>
        <row r="1804">
          <cell r="C1804" t="str">
            <v>BPB-999-30211-MX</v>
          </cell>
          <cell r="F1804">
            <v>44319.602708333332</v>
          </cell>
          <cell r="H1804" t="str">
            <v>000-054-TCY211</v>
          </cell>
          <cell r="J1804">
            <v>1</v>
          </cell>
        </row>
        <row r="1805">
          <cell r="C1805" t="str">
            <v>B&amp;P-HS--MS05-2RLD-C3</v>
          </cell>
          <cell r="F1805">
            <v>42961.666041666664</v>
          </cell>
          <cell r="H1805" t="str">
            <v>B&amp;P-041-MS05-2RST</v>
          </cell>
          <cell r="J1805">
            <v>1</v>
          </cell>
        </row>
        <row r="1806">
          <cell r="C1806" t="str">
            <v>B&amp;P-HS--MS05-2RLD-C3</v>
          </cell>
          <cell r="F1806">
            <v>42961.666041666664</v>
          </cell>
          <cell r="H1806" t="str">
            <v>B&amp;P-004-MS05RLD-BLUE</v>
          </cell>
          <cell r="J1806">
            <v>2</v>
          </cell>
        </row>
        <row r="1807">
          <cell r="C1807" t="str">
            <v>B&amp;P-HS--MS05-2RLD-C3</v>
          </cell>
          <cell r="F1807">
            <v>42961.666041666664</v>
          </cell>
          <cell r="H1807" t="str">
            <v>BPB-000-POLYREX-EM</v>
          </cell>
          <cell r="J1807">
            <v>2</v>
          </cell>
        </row>
        <row r="1808">
          <cell r="C1808" t="str">
            <v>BPB-033-ASA40-1-REEL</v>
          </cell>
          <cell r="F1808">
            <v>42965.520671296297</v>
          </cell>
          <cell r="H1808" t="str">
            <v>PEE-033-ASA-40-1</v>
          </cell>
          <cell r="J1808">
            <v>3.28</v>
          </cell>
        </row>
        <row r="1809">
          <cell r="C1809" t="str">
            <v>B&amp;P-041-MS03-2RST-C0</v>
          </cell>
          <cell r="F1809">
            <v>42971.323472222219</v>
          </cell>
          <cell r="H1809" t="str">
            <v>B&amp;P-001-MS03-D</v>
          </cell>
          <cell r="J1809">
            <v>1</v>
          </cell>
        </row>
        <row r="1810">
          <cell r="C1810" t="str">
            <v>B&amp;P-041-LS05-D</v>
          </cell>
          <cell r="F1810">
            <v>45028.380694444444</v>
          </cell>
          <cell r="H1810" t="str">
            <v>B&amp;P-001-LS05-D</v>
          </cell>
          <cell r="J1810">
            <v>1</v>
          </cell>
        </row>
        <row r="1811">
          <cell r="C1811" t="str">
            <v>B&amp;P-041-LS05-D</v>
          </cell>
          <cell r="F1811">
            <v>45028.380694444444</v>
          </cell>
          <cell r="H1811" t="str">
            <v>B&amp;P-002-LS05-D</v>
          </cell>
          <cell r="J1811">
            <v>1</v>
          </cell>
        </row>
        <row r="1812">
          <cell r="C1812" t="str">
            <v>B&amp;P-041-LS05-D</v>
          </cell>
          <cell r="F1812">
            <v>45028.380694444444</v>
          </cell>
          <cell r="H1812" t="str">
            <v>B&amp;P-005-RET/SET-LS05</v>
          </cell>
          <cell r="J1812">
            <v>1</v>
          </cell>
        </row>
        <row r="1813">
          <cell r="C1813" t="str">
            <v>B&amp;P-041-LS05-D</v>
          </cell>
          <cell r="F1813">
            <v>45028.380694444444</v>
          </cell>
          <cell r="H1813" t="str">
            <v>BPB-003-BALL-1/4</v>
          </cell>
          <cell r="J1813">
            <v>10</v>
          </cell>
        </row>
        <row r="1814">
          <cell r="C1814" t="str">
            <v>BPB-048-DTR3062-FM</v>
          </cell>
          <cell r="F1814">
            <v>42975.587048611109</v>
          </cell>
          <cell r="H1814" t="str">
            <v>MID-054-JRME3062-CUP</v>
          </cell>
          <cell r="J1814">
            <v>1</v>
          </cell>
        </row>
        <row r="1815">
          <cell r="C1815" t="str">
            <v>BPB-048-DTR3062-FM</v>
          </cell>
          <cell r="F1815">
            <v>42975.587048611109</v>
          </cell>
          <cell r="H1815" t="str">
            <v>MID-053-JRME3062-CON</v>
          </cell>
          <cell r="J1815">
            <v>2</v>
          </cell>
        </row>
        <row r="1816">
          <cell r="C1816" t="str">
            <v>BPB-048-DTR3062-FM</v>
          </cell>
          <cell r="F1816">
            <v>42975.587048611109</v>
          </cell>
          <cell r="H1816" t="str">
            <v>BPB-027-DTR-3062-08</v>
          </cell>
          <cell r="J1816">
            <v>2</v>
          </cell>
        </row>
        <row r="1817">
          <cell r="C1817" t="str">
            <v>BPB-048-DTR3062-FM</v>
          </cell>
          <cell r="F1817">
            <v>42975.587048611109</v>
          </cell>
          <cell r="H1817" t="str">
            <v>BPB-000-POLYREX-EM</v>
          </cell>
          <cell r="J1817">
            <v>8</v>
          </cell>
        </row>
        <row r="1818">
          <cell r="C1818" t="str">
            <v>URB-040-32013-X</v>
          </cell>
          <cell r="F1818">
            <v>42989.406701388885</v>
          </cell>
          <cell r="H1818" t="str">
            <v>BPB-050-32013</v>
          </cell>
          <cell r="J1818">
            <v>1</v>
          </cell>
        </row>
        <row r="1819">
          <cell r="C1819" t="str">
            <v>B&amp;P-058-33213-MX</v>
          </cell>
          <cell r="F1819">
            <v>42997.42</v>
          </cell>
          <cell r="H1819" t="str">
            <v>B&amp;P-054-TTY213</v>
          </cell>
          <cell r="J1819">
            <v>1</v>
          </cell>
        </row>
        <row r="1820">
          <cell r="C1820" t="str">
            <v>B&amp;P-058-33213-MX</v>
          </cell>
          <cell r="F1820">
            <v>42997.42</v>
          </cell>
          <cell r="H1820" t="str">
            <v>B&amp;P-053-X-33213</v>
          </cell>
          <cell r="J1820">
            <v>1</v>
          </cell>
        </row>
        <row r="1821">
          <cell r="C1821" t="str">
            <v>B&amp;P-058-33208-MX</v>
          </cell>
          <cell r="F1821">
            <v>42997.423321759263</v>
          </cell>
          <cell r="H1821" t="str">
            <v>B&amp;P-054-TTY208</v>
          </cell>
          <cell r="J1821">
            <v>1</v>
          </cell>
        </row>
        <row r="1822">
          <cell r="C1822" t="str">
            <v>B&amp;P-058-33208-MX</v>
          </cell>
          <cell r="F1822">
            <v>42997.423321759263</v>
          </cell>
          <cell r="H1822" t="str">
            <v>B&amp;P-053-X-33208</v>
          </cell>
          <cell r="J1822">
            <v>1</v>
          </cell>
        </row>
        <row r="1823">
          <cell r="C1823" t="str">
            <v>B&amp;P-058-33110-MX</v>
          </cell>
          <cell r="F1823">
            <v>42997.43273148148</v>
          </cell>
          <cell r="H1823" t="str">
            <v>B&amp;P-054-TTY110</v>
          </cell>
          <cell r="J1823">
            <v>1</v>
          </cell>
        </row>
        <row r="1824">
          <cell r="C1824" t="str">
            <v>B&amp;P-058-33110-MX</v>
          </cell>
          <cell r="F1824">
            <v>42997.43273148148</v>
          </cell>
          <cell r="H1824" t="str">
            <v>B&amp;P-053-X-33110</v>
          </cell>
          <cell r="J1824">
            <v>1</v>
          </cell>
        </row>
        <row r="1825">
          <cell r="C1825" t="str">
            <v>BPB-040-51118</v>
          </cell>
          <cell r="F1825">
            <v>43000.48741898148</v>
          </cell>
          <cell r="H1825" t="str">
            <v>PEE-040-51118</v>
          </cell>
          <cell r="J1825">
            <v>1</v>
          </cell>
        </row>
        <row r="1826">
          <cell r="C1826" t="str">
            <v>B&amp;P-DOB-1WW50</v>
          </cell>
          <cell r="F1826">
            <v>43007.605671296296</v>
          </cell>
          <cell r="H1826" t="str">
            <v>B&amp;P-DOB-50-C-3000K</v>
          </cell>
          <cell r="J1826">
            <v>1</v>
          </cell>
        </row>
        <row r="1827">
          <cell r="C1827" t="str">
            <v>B&amp;P-DOB-1CW30</v>
          </cell>
          <cell r="F1827">
            <v>43011.407708333332</v>
          </cell>
          <cell r="H1827" t="str">
            <v>B&amp;P-DOB-30-C-5000K</v>
          </cell>
          <cell r="J1827">
            <v>1</v>
          </cell>
        </row>
        <row r="1828">
          <cell r="C1828" t="str">
            <v>BPB-999-30207-MX</v>
          </cell>
          <cell r="F1828">
            <v>45943.457939814813</v>
          </cell>
          <cell r="H1828" t="str">
            <v>000-003-TCX207</v>
          </cell>
          <cell r="J1828">
            <v>17</v>
          </cell>
        </row>
        <row r="1829">
          <cell r="C1829" t="str">
            <v>B&amp;P-DOB-BULB-30W-5K</v>
          </cell>
          <cell r="F1829">
            <v>43026.437430555554</v>
          </cell>
          <cell r="H1829" t="str">
            <v>B&amp;P-ALU-BULB30-Housi</v>
          </cell>
          <cell r="J1829">
            <v>1</v>
          </cell>
        </row>
        <row r="1830">
          <cell r="C1830" t="str">
            <v>B&amp;P-DOB-BULB-30W-5K</v>
          </cell>
          <cell r="F1830">
            <v>43026.437430555554</v>
          </cell>
          <cell r="H1830" t="str">
            <v>B&amp;P-DOB-30-R-5000K</v>
          </cell>
          <cell r="J1830">
            <v>1</v>
          </cell>
        </row>
        <row r="1831">
          <cell r="C1831" t="str">
            <v>B&amp;P-DOB-BULB-30W-3K</v>
          </cell>
          <cell r="F1831">
            <v>43031.544247685182</v>
          </cell>
          <cell r="H1831" t="str">
            <v>B&amp;P-ALU-BULB30-Housi</v>
          </cell>
          <cell r="J1831">
            <v>1</v>
          </cell>
        </row>
        <row r="1832">
          <cell r="C1832" t="str">
            <v>B&amp;P-DOB-BULB-30W-3K</v>
          </cell>
          <cell r="F1832">
            <v>43031.544247685182</v>
          </cell>
          <cell r="H1832" t="str">
            <v>B&amp;P-DOB-30-R-3000K</v>
          </cell>
          <cell r="J1832">
            <v>1</v>
          </cell>
        </row>
        <row r="1833">
          <cell r="C1833" t="str">
            <v>B&amp;P-DOB-1WW30</v>
          </cell>
          <cell r="F1833">
            <v>43039.395960648151</v>
          </cell>
          <cell r="H1833" t="str">
            <v>B&amp;P-DOB-30-C-3000K</v>
          </cell>
          <cell r="J1833">
            <v>1</v>
          </cell>
        </row>
        <row r="1834">
          <cell r="C1834" t="str">
            <v>B&amp;P-DOB-1WW30</v>
          </cell>
          <cell r="F1834">
            <v>43039.395960648151</v>
          </cell>
          <cell r="H1834" t="str">
            <v>B&amp;P-ALU-DOB30-Housin</v>
          </cell>
          <cell r="J1834">
            <v>1</v>
          </cell>
        </row>
        <row r="1835">
          <cell r="C1835" t="str">
            <v>BPB-041-HD06-1RST</v>
          </cell>
          <cell r="F1835">
            <v>43072.903379629628</v>
          </cell>
          <cell r="H1835" t="str">
            <v>BPB-041-HD06-2RST</v>
          </cell>
          <cell r="J1835">
            <v>1</v>
          </cell>
        </row>
        <row r="1836">
          <cell r="C1836" t="str">
            <v>BPB-037-BP-17011-C2</v>
          </cell>
          <cell r="F1836">
            <v>43122.455462962964</v>
          </cell>
          <cell r="H1836" t="str">
            <v>BPB-037-BP-17011-B2</v>
          </cell>
          <cell r="J1836">
            <v>1</v>
          </cell>
        </row>
        <row r="1837">
          <cell r="C1837" t="str">
            <v>B&amp;P-047-F-211</v>
          </cell>
          <cell r="F1837">
            <v>44333.607314814813</v>
          </cell>
          <cell r="H1837" t="str">
            <v>BPB-047-F-211-A1</v>
          </cell>
          <cell r="J1837">
            <v>1</v>
          </cell>
        </row>
        <row r="1838">
          <cell r="C1838" t="str">
            <v>B&amp;P-047-F-211</v>
          </cell>
          <cell r="F1838">
            <v>44333.607314814813</v>
          </cell>
          <cell r="H1838" t="str">
            <v>BPB-037-ALEMIT1/4X28</v>
          </cell>
          <cell r="J1838">
            <v>1</v>
          </cell>
        </row>
        <row r="1839">
          <cell r="C1839" t="str">
            <v>B&amp;P-058-LM68149-110</v>
          </cell>
          <cell r="F1839">
            <v>44334.3596412037</v>
          </cell>
          <cell r="H1839" t="str">
            <v>BPB-053-68149</v>
          </cell>
          <cell r="J1839">
            <v>1</v>
          </cell>
        </row>
        <row r="1840">
          <cell r="C1840" t="str">
            <v>B&amp;P-058-LM68149-110</v>
          </cell>
          <cell r="F1840">
            <v>44334.3596412037</v>
          </cell>
          <cell r="H1840" t="str">
            <v>BPB-054-68110</v>
          </cell>
          <cell r="J1840">
            <v>1</v>
          </cell>
        </row>
        <row r="1841">
          <cell r="C1841" t="str">
            <v>BPB-999-33010-MX</v>
          </cell>
          <cell r="F1841">
            <v>44336.361400462964</v>
          </cell>
          <cell r="H1841" t="str">
            <v>000-053-X-33010</v>
          </cell>
          <cell r="J1841">
            <v>1</v>
          </cell>
        </row>
        <row r="1842">
          <cell r="C1842" t="str">
            <v>BPB-999-33010-MX</v>
          </cell>
          <cell r="F1842">
            <v>44336.361400462964</v>
          </cell>
          <cell r="H1842" t="str">
            <v>000-054-TTY010</v>
          </cell>
          <cell r="J1842">
            <v>1</v>
          </cell>
        </row>
        <row r="1843">
          <cell r="C1843" t="str">
            <v>BPB-048-AG-353016CHS</v>
          </cell>
          <cell r="F1843">
            <v>44337.674537037034</v>
          </cell>
          <cell r="H1843" t="str">
            <v>BPB-056-ENG353016CHS</v>
          </cell>
          <cell r="J1843">
            <v>1</v>
          </cell>
        </row>
        <row r="1844">
          <cell r="C1844" t="str">
            <v>BPB-048-AG-353016CHS</v>
          </cell>
          <cell r="F1844">
            <v>44337.674537037034</v>
          </cell>
          <cell r="H1844" t="str">
            <v>B&amp;P-048-5203-KYY9</v>
          </cell>
          <cell r="J1844">
            <v>1</v>
          </cell>
        </row>
        <row r="1845">
          <cell r="C1845" t="str">
            <v>BPB-059-PB003367A</v>
          </cell>
          <cell r="F1845">
            <v>44364.42596064815</v>
          </cell>
          <cell r="H1845" t="str">
            <v>BPB-999-SAE-HEX-38.1</v>
          </cell>
          <cell r="J1845">
            <v>0.1</v>
          </cell>
        </row>
        <row r="1846">
          <cell r="C1846" t="str">
            <v>BPB-047-FD-205</v>
          </cell>
          <cell r="F1846">
            <v>44369.447604166664</v>
          </cell>
          <cell r="H1846" t="str">
            <v>BPB-047-FD-205-A1</v>
          </cell>
          <cell r="J1846">
            <v>1</v>
          </cell>
        </row>
        <row r="1847">
          <cell r="C1847" t="str">
            <v>BPB-044-M041300001</v>
          </cell>
          <cell r="F1847">
            <v>44375.388379629629</v>
          </cell>
          <cell r="H1847" t="str">
            <v>BPB-037-UPN40x20</v>
          </cell>
          <cell r="J1847">
            <v>0.75</v>
          </cell>
        </row>
        <row r="1848">
          <cell r="C1848" t="str">
            <v>B&amp;P-059-AG590026-01</v>
          </cell>
          <cell r="F1848">
            <v>44404.412569444445</v>
          </cell>
          <cell r="H1848" t="str">
            <v>BPB-999-SAE4140Ø178</v>
          </cell>
          <cell r="J1848">
            <v>7.6999999999999999E-2</v>
          </cell>
        </row>
        <row r="1849">
          <cell r="C1849" t="str">
            <v>BPB-133-PB000157</v>
          </cell>
          <cell r="F1849">
            <v>44426.468842592592</v>
          </cell>
          <cell r="H1849" t="str">
            <v>BPB-033-ASA50-1-REEL</v>
          </cell>
          <cell r="J1849">
            <v>0.7</v>
          </cell>
        </row>
        <row r="1850">
          <cell r="C1850" t="str">
            <v>BPB-133-PB000157</v>
          </cell>
          <cell r="F1850">
            <v>44426.468842592592</v>
          </cell>
          <cell r="H1850" t="str">
            <v>BPB-033-CL-50-1</v>
          </cell>
          <cell r="J1850">
            <v>1</v>
          </cell>
        </row>
        <row r="1851">
          <cell r="C1851" t="str">
            <v>BPB-133-PB000157</v>
          </cell>
          <cell r="F1851">
            <v>44426.468842592592</v>
          </cell>
          <cell r="H1851" t="str">
            <v>BPB-033-OL-50-1</v>
          </cell>
          <cell r="J1851">
            <v>1</v>
          </cell>
        </row>
        <row r="1852">
          <cell r="C1852" t="str">
            <v>BPB-041-HD06-2RST1</v>
          </cell>
          <cell r="F1852">
            <v>44427.340138888889</v>
          </cell>
          <cell r="H1852" t="str">
            <v>B&amp;P-001-HD06-D</v>
          </cell>
          <cell r="J1852">
            <v>1</v>
          </cell>
        </row>
        <row r="1853">
          <cell r="C1853" t="str">
            <v>BPB-041-HD06-2RST1</v>
          </cell>
          <cell r="F1853">
            <v>44427.340138888889</v>
          </cell>
          <cell r="H1853" t="str">
            <v>B&amp;P-002-HD06-D</v>
          </cell>
          <cell r="J1853">
            <v>1</v>
          </cell>
        </row>
        <row r="1854">
          <cell r="C1854" t="str">
            <v>BPB-041-HD06-2RST1</v>
          </cell>
          <cell r="F1854">
            <v>44427.340138888889</v>
          </cell>
          <cell r="H1854" t="str">
            <v>B&amp;P-005-RET/SET-HD06</v>
          </cell>
          <cell r="J1854">
            <v>1</v>
          </cell>
        </row>
        <row r="1855">
          <cell r="C1855" t="str">
            <v>BPB-041-HD06-2RST1</v>
          </cell>
          <cell r="F1855">
            <v>44427.340138888889</v>
          </cell>
          <cell r="H1855" t="str">
            <v>BPB-003-BALL-15/32</v>
          </cell>
          <cell r="J1855">
            <v>8</v>
          </cell>
        </row>
        <row r="1856">
          <cell r="C1856" t="str">
            <v>BPB-041-HD06-2RST1</v>
          </cell>
          <cell r="F1856">
            <v>44427.340138888889</v>
          </cell>
          <cell r="H1856" t="str">
            <v>BPB-004-HD06-2RST-08</v>
          </cell>
          <cell r="J1856">
            <v>2</v>
          </cell>
        </row>
        <row r="1857">
          <cell r="C1857" t="str">
            <v>BPB-058-LM104949-911</v>
          </cell>
          <cell r="F1857">
            <v>44435.7</v>
          </cell>
          <cell r="H1857" t="str">
            <v>BPB-054-LM-104911</v>
          </cell>
          <cell r="J1857">
            <v>1</v>
          </cell>
        </row>
        <row r="1858">
          <cell r="C1858" t="str">
            <v>BPB-058-LM104949-911</v>
          </cell>
          <cell r="F1858">
            <v>44435.7</v>
          </cell>
          <cell r="H1858" t="str">
            <v>BPB-053-LM-104949</v>
          </cell>
          <cell r="J1858">
            <v>1</v>
          </cell>
        </row>
        <row r="1859">
          <cell r="C1859" t="str">
            <v>B&amp;P-059-AGHUB39FM20</v>
          </cell>
          <cell r="F1859">
            <v>44663.37599537037</v>
          </cell>
          <cell r="H1859" t="str">
            <v>B&amp;P-059-AG590026-01</v>
          </cell>
          <cell r="J1859">
            <v>1</v>
          </cell>
        </row>
        <row r="1860">
          <cell r="C1860" t="str">
            <v>B&amp;P-059-AGHUB39FM20</v>
          </cell>
          <cell r="F1860">
            <v>44663.37599537037</v>
          </cell>
          <cell r="H1860" t="str">
            <v>B&amp;P-059-AG590026-02</v>
          </cell>
          <cell r="J1860">
            <v>1</v>
          </cell>
        </row>
        <row r="1861">
          <cell r="C1861" t="str">
            <v>B&amp;P-059-AGHUB39FM20</v>
          </cell>
          <cell r="F1861">
            <v>44663.37599537037</v>
          </cell>
          <cell r="H1861" t="str">
            <v>B&amp;P-052-AG590026-03</v>
          </cell>
          <cell r="J1861">
            <v>1</v>
          </cell>
        </row>
        <row r="1862">
          <cell r="C1862" t="str">
            <v>B&amp;P-059-AGHUB39FM20</v>
          </cell>
          <cell r="F1862">
            <v>44663.37599537037</v>
          </cell>
          <cell r="H1862" t="str">
            <v>B&amp;P-059-AG590026-04</v>
          </cell>
          <cell r="J1862">
            <v>1</v>
          </cell>
        </row>
        <row r="1863">
          <cell r="C1863" t="str">
            <v>B&amp;P-059-AGHUB39FM20</v>
          </cell>
          <cell r="F1863">
            <v>44663.37599537037</v>
          </cell>
          <cell r="H1863" t="str">
            <v>B&amp;P-059-AG590026-05</v>
          </cell>
          <cell r="J1863">
            <v>1</v>
          </cell>
        </row>
        <row r="1864">
          <cell r="C1864" t="str">
            <v>B&amp;P-059-AGHUB39FM20</v>
          </cell>
          <cell r="F1864">
            <v>44663.37599537037</v>
          </cell>
          <cell r="H1864" t="str">
            <v>B&amp;P-037-AG590026-06</v>
          </cell>
          <cell r="J1864">
            <v>1</v>
          </cell>
        </row>
        <row r="1865">
          <cell r="C1865" t="str">
            <v>B&amp;P-059-AGHUB39FM20</v>
          </cell>
          <cell r="F1865">
            <v>44663.37599537037</v>
          </cell>
          <cell r="H1865" t="str">
            <v>B&amp;P-004-AG590026-07</v>
          </cell>
          <cell r="J1865">
            <v>1</v>
          </cell>
        </row>
        <row r="1866">
          <cell r="C1866" t="str">
            <v>B&amp;P-059-AGHUB39FM20</v>
          </cell>
          <cell r="F1866">
            <v>44663.37599537037</v>
          </cell>
          <cell r="H1866" t="str">
            <v>BPB-037-DIN-472-75</v>
          </cell>
          <cell r="J1866">
            <v>1</v>
          </cell>
        </row>
        <row r="1867">
          <cell r="C1867" t="str">
            <v>B&amp;P-059-AGHUB39FM20</v>
          </cell>
          <cell r="F1867">
            <v>44663.37599537037</v>
          </cell>
          <cell r="H1867" t="str">
            <v>B&amp;P-031-DAC-39740039</v>
          </cell>
          <cell r="J1867">
            <v>1</v>
          </cell>
        </row>
        <row r="1868">
          <cell r="C1868" t="str">
            <v>BPB-999-32009-MX</v>
          </cell>
          <cell r="F1868">
            <v>44473.440023148149</v>
          </cell>
          <cell r="H1868" t="str">
            <v>000-053-X-32009</v>
          </cell>
          <cell r="J1868">
            <v>1</v>
          </cell>
        </row>
        <row r="1869">
          <cell r="C1869" t="str">
            <v>BPB-999-32009-MX</v>
          </cell>
          <cell r="F1869">
            <v>44473.440023148149</v>
          </cell>
          <cell r="H1869" t="str">
            <v>000-054-TDY009</v>
          </cell>
          <cell r="J1869">
            <v>1</v>
          </cell>
        </row>
        <row r="1870">
          <cell r="C1870" t="str">
            <v>BPB-999-32219-MX</v>
          </cell>
          <cell r="F1870">
            <v>44473.443877314814</v>
          </cell>
          <cell r="H1870" t="str">
            <v>000-053-X-32219</v>
          </cell>
          <cell r="J1870">
            <v>1</v>
          </cell>
        </row>
        <row r="1871">
          <cell r="C1871" t="str">
            <v>BPB-999-32219-MX</v>
          </cell>
          <cell r="F1871">
            <v>44473.443877314814</v>
          </cell>
          <cell r="H1871" t="str">
            <v>000-054-TDY219</v>
          </cell>
          <cell r="J1871">
            <v>1</v>
          </cell>
        </row>
        <row r="1872">
          <cell r="C1872" t="str">
            <v>B&amp;P-048-205-KYY5</v>
          </cell>
          <cell r="F1872">
            <v>44517.388414351852</v>
          </cell>
          <cell r="H1872" t="str">
            <v>B&amp;P-001-OR205-R</v>
          </cell>
          <cell r="J1872">
            <v>1</v>
          </cell>
        </row>
        <row r="1873">
          <cell r="C1873" t="str">
            <v>B&amp;P-048-205-KYY5</v>
          </cell>
          <cell r="F1873">
            <v>44517.388414351852</v>
          </cell>
          <cell r="H1873" t="str">
            <v>B&amp;P-002-205-K2</v>
          </cell>
          <cell r="J1873">
            <v>1</v>
          </cell>
        </row>
        <row r="1874">
          <cell r="C1874" t="str">
            <v>B&amp;P-048-205-KYY5</v>
          </cell>
          <cell r="F1874">
            <v>44517.388414351852</v>
          </cell>
          <cell r="H1874" t="str">
            <v>B&amp;P-005-CAGE205-17</v>
          </cell>
          <cell r="J1874">
            <v>1</v>
          </cell>
        </row>
        <row r="1875">
          <cell r="C1875" t="str">
            <v>B&amp;P-048-205-KYY5</v>
          </cell>
          <cell r="F1875">
            <v>44517.388414351852</v>
          </cell>
          <cell r="H1875" t="str">
            <v>B&amp;P-003-Ball-5/16</v>
          </cell>
          <cell r="J1875">
            <v>9</v>
          </cell>
        </row>
        <row r="1876">
          <cell r="C1876" t="str">
            <v>B&amp;P-048-205-KYY5</v>
          </cell>
          <cell r="F1876">
            <v>44517.388414351852</v>
          </cell>
          <cell r="H1876" t="str">
            <v>B&amp;P-004-205-DBL-08</v>
          </cell>
          <cell r="J1876">
            <v>2</v>
          </cell>
        </row>
        <row r="1877">
          <cell r="C1877" t="str">
            <v>B&amp;P-048-205-KYYB5</v>
          </cell>
          <cell r="F1877">
            <v>44517.394745370373</v>
          </cell>
          <cell r="H1877" t="str">
            <v>B&amp;P-001-OR205</v>
          </cell>
          <cell r="J1877">
            <v>1</v>
          </cell>
        </row>
        <row r="1878">
          <cell r="C1878" t="str">
            <v>B&amp;P-048-205-KYYB5</v>
          </cell>
          <cell r="F1878">
            <v>44517.394745370373</v>
          </cell>
          <cell r="H1878" t="str">
            <v>B&amp;P-002-205-K2</v>
          </cell>
          <cell r="J1878">
            <v>1</v>
          </cell>
        </row>
        <row r="1879">
          <cell r="C1879" t="str">
            <v>B&amp;P-048-205-KYYB5</v>
          </cell>
          <cell r="F1879">
            <v>44517.394745370373</v>
          </cell>
          <cell r="H1879" t="str">
            <v>B&amp;P-005-CAGE205-17</v>
          </cell>
          <cell r="J1879">
            <v>1</v>
          </cell>
        </row>
        <row r="1880">
          <cell r="C1880" t="str">
            <v>B&amp;P-048-205-KYYB5</v>
          </cell>
          <cell r="F1880">
            <v>44517.394745370373</v>
          </cell>
          <cell r="H1880" t="str">
            <v>B&amp;P-003-Ball-5/16</v>
          </cell>
          <cell r="J1880">
            <v>9</v>
          </cell>
        </row>
        <row r="1881">
          <cell r="C1881" t="str">
            <v>B&amp;P-048-205-KYYB5</v>
          </cell>
          <cell r="F1881">
            <v>44517.394745370373</v>
          </cell>
          <cell r="H1881" t="str">
            <v>B&amp;P-004-205-DBL-08</v>
          </cell>
          <cell r="J1881">
            <v>2</v>
          </cell>
        </row>
        <row r="1882">
          <cell r="C1882" t="str">
            <v>BPB-047-ECL205-16DG</v>
          </cell>
          <cell r="F1882">
            <v>44517.449826388889</v>
          </cell>
          <cell r="H1882" t="str">
            <v>B&amp;P-001-OR205-G</v>
          </cell>
          <cell r="J1882">
            <v>1</v>
          </cell>
        </row>
        <row r="1883">
          <cell r="C1883" t="str">
            <v>BPB-047-ECL205-16DG</v>
          </cell>
          <cell r="F1883">
            <v>44517.449826388889</v>
          </cell>
          <cell r="H1883" t="str">
            <v>B&amp;P-002-ECL205-16-02</v>
          </cell>
          <cell r="J1883">
            <v>1</v>
          </cell>
        </row>
        <row r="1884">
          <cell r="C1884" t="str">
            <v>BPB-047-ECL205-16DG</v>
          </cell>
          <cell r="F1884">
            <v>44517.449826388889</v>
          </cell>
          <cell r="H1884" t="str">
            <v>B&amp;P-005-CAGE205-17</v>
          </cell>
          <cell r="J1884">
            <v>1</v>
          </cell>
        </row>
        <row r="1885">
          <cell r="C1885" t="str">
            <v>BPB-047-ECL205-16DG</v>
          </cell>
          <cell r="F1885">
            <v>44517.449826388889</v>
          </cell>
          <cell r="H1885" t="str">
            <v>B&amp;P-003-Ball-5/16</v>
          </cell>
          <cell r="J1885">
            <v>9</v>
          </cell>
        </row>
        <row r="1886">
          <cell r="C1886" t="str">
            <v>B&amp;P-050-HM-803146/10</v>
          </cell>
          <cell r="F1886">
            <v>44377.676053240742</v>
          </cell>
          <cell r="H1886" t="str">
            <v>B&amp;P-053-HM-803146</v>
          </cell>
          <cell r="J1886">
            <v>1</v>
          </cell>
        </row>
        <row r="1887">
          <cell r="C1887" t="str">
            <v>B&amp;P-050-HM-803146/10</v>
          </cell>
          <cell r="F1887">
            <v>44377.676053240742</v>
          </cell>
          <cell r="H1887" t="str">
            <v>B&amp;P-054-HM-803110</v>
          </cell>
          <cell r="J1887">
            <v>1</v>
          </cell>
        </row>
        <row r="1888">
          <cell r="C1888" t="str">
            <v>BPB-047-ECL205-16DG</v>
          </cell>
          <cell r="F1888">
            <v>44517.449826388889</v>
          </cell>
          <cell r="H1888" t="str">
            <v>B&amp;P-004-205-DBL-08</v>
          </cell>
          <cell r="J1888">
            <v>2</v>
          </cell>
        </row>
        <row r="1889">
          <cell r="C1889" t="str">
            <v>BPB-047-ECL205-16DG</v>
          </cell>
          <cell r="F1889">
            <v>44517.449826388889</v>
          </cell>
          <cell r="H1889" t="str">
            <v>B&amp;P-010-LOC205-16</v>
          </cell>
          <cell r="J1889">
            <v>1</v>
          </cell>
        </row>
        <row r="1890">
          <cell r="C1890" t="str">
            <v>BPB-047-SAB211-32TG</v>
          </cell>
          <cell r="F1890">
            <v>44517.469050925924</v>
          </cell>
          <cell r="H1890" t="str">
            <v>B&amp;P-001-OR211-G</v>
          </cell>
          <cell r="J1890">
            <v>1</v>
          </cell>
        </row>
        <row r="1891">
          <cell r="C1891" t="str">
            <v>BPB-047-SAB211-32TG</v>
          </cell>
          <cell r="F1891">
            <v>44517.469050925924</v>
          </cell>
          <cell r="H1891" t="str">
            <v>B&amp;P-002-SAB211-32-02</v>
          </cell>
          <cell r="J1891">
            <v>1</v>
          </cell>
        </row>
        <row r="1892">
          <cell r="C1892" t="str">
            <v>BPB-047-SAB211-32TG</v>
          </cell>
          <cell r="F1892">
            <v>44517.469050925924</v>
          </cell>
          <cell r="H1892" t="str">
            <v>B&amp;P-005-CAGE211-17</v>
          </cell>
          <cell r="J1892">
            <v>1</v>
          </cell>
        </row>
        <row r="1893">
          <cell r="C1893" t="str">
            <v>BPB-047-SAB211-32TG</v>
          </cell>
          <cell r="F1893">
            <v>44517.469050925924</v>
          </cell>
          <cell r="H1893" t="str">
            <v>B&amp;P-003-9/16</v>
          </cell>
          <cell r="J1893">
            <v>10</v>
          </cell>
        </row>
        <row r="1894">
          <cell r="C1894" t="str">
            <v>BPB-047-SAB211-32TG</v>
          </cell>
          <cell r="F1894">
            <v>44517.469050925924</v>
          </cell>
          <cell r="H1894" t="str">
            <v>B&amp;P-004-211-TPL-08</v>
          </cell>
          <cell r="J1894">
            <v>2</v>
          </cell>
        </row>
        <row r="1895">
          <cell r="C1895" t="str">
            <v>BPB-041-6202-2RLD-C3</v>
          </cell>
          <cell r="F1895">
            <v>44543.36577546296</v>
          </cell>
          <cell r="H1895" t="str">
            <v>BPB-041-6202-ZZ</v>
          </cell>
          <cell r="J1895">
            <v>1</v>
          </cell>
        </row>
        <row r="1896">
          <cell r="C1896" t="str">
            <v>BPB-041-6202-2RLD-C3</v>
          </cell>
          <cell r="F1896">
            <v>44543.36577546296</v>
          </cell>
          <cell r="H1896" t="str">
            <v>B&amp;P-004-MS02RLD-RED</v>
          </cell>
          <cell r="J1896">
            <v>2</v>
          </cell>
        </row>
        <row r="1897">
          <cell r="C1897" t="str">
            <v>BPB-047-ACL205-16RR</v>
          </cell>
          <cell r="F1897">
            <v>44547.652662037035</v>
          </cell>
          <cell r="H1897" t="str">
            <v>B&amp;P-001-OR205</v>
          </cell>
          <cell r="J1897">
            <v>1</v>
          </cell>
        </row>
        <row r="1898">
          <cell r="C1898" t="str">
            <v>BPB-047-ACL205-16RR</v>
          </cell>
          <cell r="F1898">
            <v>44547.652662037035</v>
          </cell>
          <cell r="H1898" t="str">
            <v>B&amp;P-002-ACL205-16-02</v>
          </cell>
          <cell r="J1898">
            <v>1</v>
          </cell>
        </row>
        <row r="1899">
          <cell r="C1899" t="str">
            <v>BPB-047-ACL205-16RR</v>
          </cell>
          <cell r="F1899">
            <v>44547.652662037035</v>
          </cell>
          <cell r="H1899" t="str">
            <v>B&amp;P-005-CAGE205-17</v>
          </cell>
          <cell r="J1899">
            <v>1</v>
          </cell>
        </row>
        <row r="1900">
          <cell r="C1900" t="str">
            <v>BPB-047-ACL205-16RR</v>
          </cell>
          <cell r="F1900">
            <v>44547.652662037035</v>
          </cell>
          <cell r="H1900" t="str">
            <v>B&amp;P-003-Ball-5/16</v>
          </cell>
          <cell r="J1900">
            <v>9</v>
          </cell>
        </row>
        <row r="1901">
          <cell r="C1901" t="str">
            <v>BPB-047-ACL205-16RR</v>
          </cell>
          <cell r="F1901">
            <v>44547.652662037035</v>
          </cell>
          <cell r="H1901" t="str">
            <v>B&amp;P-004-205-RW-08</v>
          </cell>
          <cell r="J1901">
            <v>2</v>
          </cell>
        </row>
        <row r="1902">
          <cell r="C1902" t="str">
            <v>BPB-047-ACL205-16RR</v>
          </cell>
          <cell r="F1902">
            <v>44547.652662037035</v>
          </cell>
          <cell r="H1902" t="str">
            <v>B&amp;P-010-LOC205-16</v>
          </cell>
          <cell r="J1902">
            <v>1</v>
          </cell>
        </row>
        <row r="1903">
          <cell r="C1903" t="str">
            <v>B&amp;P-046-FHFD205-16</v>
          </cell>
          <cell r="F1903">
            <v>44559.450428240743</v>
          </cell>
          <cell r="H1903" t="str">
            <v>BPB-047-FD-205</v>
          </cell>
          <cell r="J1903">
            <v>1</v>
          </cell>
        </row>
        <row r="1904">
          <cell r="C1904" t="str">
            <v>B&amp;P-046-FHFD205-16</v>
          </cell>
          <cell r="F1904">
            <v>44559.450428240743</v>
          </cell>
          <cell r="H1904" t="str">
            <v>BPB-047-ACL205-16RR</v>
          </cell>
          <cell r="J1904">
            <v>1</v>
          </cell>
        </row>
        <row r="1905">
          <cell r="C1905" t="str">
            <v>B&amp;P-046-FHF206-20G</v>
          </cell>
          <cell r="F1905">
            <v>44559.455104166664</v>
          </cell>
          <cell r="H1905" t="str">
            <v>B&amp;P-047-F-206</v>
          </cell>
          <cell r="J1905">
            <v>1</v>
          </cell>
        </row>
        <row r="1906">
          <cell r="C1906" t="str">
            <v>B&amp;P-046-FHF206-20G</v>
          </cell>
          <cell r="F1906">
            <v>44559.455104166664</v>
          </cell>
          <cell r="H1906" t="str">
            <v>BPB-047-ACL206-20</v>
          </cell>
          <cell r="J1906">
            <v>1</v>
          </cell>
        </row>
        <row r="1907">
          <cell r="C1907" t="str">
            <v>B&amp;P-046-FHF206-20G</v>
          </cell>
          <cell r="F1907">
            <v>44559.455104166664</v>
          </cell>
          <cell r="H1907" t="str">
            <v>BPB-037-ZF-1/4-28UNF</v>
          </cell>
          <cell r="J1907">
            <v>1</v>
          </cell>
        </row>
        <row r="1908">
          <cell r="C1908" t="str">
            <v>B&amp;P-046-FHF205-16G</v>
          </cell>
          <cell r="F1908">
            <v>44559.466724537036</v>
          </cell>
          <cell r="H1908" t="str">
            <v>BPB-047-F-205</v>
          </cell>
          <cell r="J1908">
            <v>1</v>
          </cell>
        </row>
        <row r="1909">
          <cell r="C1909" t="str">
            <v>B&amp;P-046-FHF205-16G</v>
          </cell>
          <cell r="F1909">
            <v>44559.466724537036</v>
          </cell>
          <cell r="H1909" t="str">
            <v>BPB-047-ACL205-16RG</v>
          </cell>
          <cell r="J1909">
            <v>1</v>
          </cell>
        </row>
        <row r="1910">
          <cell r="C1910" t="str">
            <v>B&amp;P-046-FHF205-16G</v>
          </cell>
          <cell r="F1910">
            <v>44559.466724537036</v>
          </cell>
          <cell r="H1910" t="str">
            <v>BPB-037-ZF-1/4-28UNF</v>
          </cell>
          <cell r="J1910">
            <v>1</v>
          </cell>
        </row>
        <row r="1911">
          <cell r="C1911" t="str">
            <v>B&amp;P-046-UCF211-32G</v>
          </cell>
          <cell r="F1911">
            <v>44559.486331018517</v>
          </cell>
          <cell r="H1911" t="str">
            <v>B&amp;P-047-F-211</v>
          </cell>
          <cell r="J1911">
            <v>1</v>
          </cell>
        </row>
        <row r="1912">
          <cell r="C1912" t="str">
            <v>B&amp;P-046-UCF211-32G</v>
          </cell>
          <cell r="F1912">
            <v>44559.486331018517</v>
          </cell>
          <cell r="H1912" t="str">
            <v>BPB-047-SAB211-32TG</v>
          </cell>
          <cell r="J1912">
            <v>1</v>
          </cell>
        </row>
        <row r="1913">
          <cell r="C1913" t="str">
            <v>B&amp;P-046-UCF211-32G</v>
          </cell>
          <cell r="F1913">
            <v>44559.486331018517</v>
          </cell>
          <cell r="H1913" t="str">
            <v>BPB-037-ZERK-PS-18</v>
          </cell>
          <cell r="J1913">
            <v>1</v>
          </cell>
        </row>
        <row r="1914">
          <cell r="C1914" t="str">
            <v>B&amp;P-048-GW211PP3</v>
          </cell>
          <cell r="F1914">
            <v>44560.347650462965</v>
          </cell>
          <cell r="H1914" t="str">
            <v>B&amp;P-001-211PP3-01</v>
          </cell>
          <cell r="J1914">
            <v>1</v>
          </cell>
        </row>
        <row r="1915">
          <cell r="C1915" t="str">
            <v>B&amp;P-048-GW211PP3</v>
          </cell>
          <cell r="F1915">
            <v>44560.347650462965</v>
          </cell>
          <cell r="H1915" t="str">
            <v>B&amp;P-002-211PP3-02</v>
          </cell>
          <cell r="J1915">
            <v>1</v>
          </cell>
        </row>
        <row r="1916">
          <cell r="C1916" t="str">
            <v>B&amp;P-048-GW211PP3</v>
          </cell>
          <cell r="F1916">
            <v>44560.347650462965</v>
          </cell>
          <cell r="H1916" t="str">
            <v>B&amp;P-005-CAGE211-17</v>
          </cell>
          <cell r="J1916">
            <v>1</v>
          </cell>
        </row>
        <row r="1917">
          <cell r="C1917" t="str">
            <v>B&amp;P-048-GW211PP3</v>
          </cell>
          <cell r="F1917">
            <v>44560.347650462965</v>
          </cell>
          <cell r="H1917" t="str">
            <v>B&amp;P-003-9/16</v>
          </cell>
          <cell r="J1917">
            <v>10</v>
          </cell>
        </row>
        <row r="1918">
          <cell r="C1918" t="str">
            <v>B&amp;P-048-GW211PP3</v>
          </cell>
          <cell r="F1918">
            <v>44560.347650462965</v>
          </cell>
          <cell r="H1918" t="str">
            <v>B&amp;P-004-211-TPL-08</v>
          </cell>
          <cell r="J1918">
            <v>2</v>
          </cell>
        </row>
        <row r="1919">
          <cell r="C1919" t="str">
            <v>B&amp;P-048-206KPP16</v>
          </cell>
          <cell r="F1919">
            <v>44560.350729166668</v>
          </cell>
          <cell r="H1919" t="str">
            <v>B&amp;P-001-OR206-R16</v>
          </cell>
          <cell r="J1919">
            <v>1</v>
          </cell>
        </row>
        <row r="1920">
          <cell r="C1920" t="str">
            <v>B&amp;P-048-206KPP16</v>
          </cell>
          <cell r="F1920">
            <v>44560.350729166668</v>
          </cell>
          <cell r="H1920" t="str">
            <v>B&amp;P-002-206-K016</v>
          </cell>
          <cell r="J1920">
            <v>1</v>
          </cell>
        </row>
        <row r="1921">
          <cell r="C1921" t="str">
            <v>B&amp;P-048-206KPP16</v>
          </cell>
          <cell r="F1921">
            <v>44560.350729166668</v>
          </cell>
          <cell r="H1921" t="str">
            <v>B&amp;P-005-CAGE206-17</v>
          </cell>
          <cell r="J1921">
            <v>1</v>
          </cell>
        </row>
        <row r="1922">
          <cell r="C1922" t="str">
            <v>B&amp;P-048-206KPP16</v>
          </cell>
          <cell r="F1922">
            <v>44560.350729166668</v>
          </cell>
          <cell r="H1922" t="str">
            <v>B&amp;P-003-Ball-3/8</v>
          </cell>
          <cell r="J1922">
            <v>9</v>
          </cell>
        </row>
        <row r="1923">
          <cell r="C1923" t="str">
            <v>B&amp;P-048-206KPP16</v>
          </cell>
          <cell r="F1923">
            <v>44560.350729166668</v>
          </cell>
          <cell r="H1923" t="str">
            <v>B&amp;P-004-206-TPL-08</v>
          </cell>
          <cell r="J1923">
            <v>2</v>
          </cell>
        </row>
        <row r="1924">
          <cell r="C1924" t="str">
            <v>B&amp;P-047-ECL206-20TG</v>
          </cell>
          <cell r="F1924">
            <v>44564.476979166669</v>
          </cell>
          <cell r="H1924" t="str">
            <v>B&amp;P-001-OR206-G18</v>
          </cell>
          <cell r="J1924">
            <v>1</v>
          </cell>
        </row>
        <row r="1925">
          <cell r="C1925" t="str">
            <v>B&amp;P-047-ECL206-20TG</v>
          </cell>
          <cell r="F1925">
            <v>44564.476979166669</v>
          </cell>
          <cell r="H1925" t="str">
            <v>B&amp;P-002-ECL206-20-02</v>
          </cell>
          <cell r="J1925">
            <v>1</v>
          </cell>
        </row>
        <row r="1926">
          <cell r="C1926" t="str">
            <v>B&amp;P-047-ECL206-20TG</v>
          </cell>
          <cell r="F1926">
            <v>44564.476979166669</v>
          </cell>
          <cell r="H1926" t="str">
            <v>B&amp;P-005-CAGE206-17</v>
          </cell>
          <cell r="J1926">
            <v>1</v>
          </cell>
        </row>
        <row r="1927">
          <cell r="C1927" t="str">
            <v>B&amp;P-047-ECL206-20TG</v>
          </cell>
          <cell r="F1927">
            <v>44564.476979166669</v>
          </cell>
          <cell r="H1927" t="str">
            <v>B&amp;P-003-Ball-3/8</v>
          </cell>
          <cell r="J1927">
            <v>9</v>
          </cell>
        </row>
        <row r="1928">
          <cell r="C1928" t="str">
            <v>B&amp;P-047-ECL206-20TG</v>
          </cell>
          <cell r="F1928">
            <v>44564.476979166669</v>
          </cell>
          <cell r="H1928" t="str">
            <v>B&amp;P-004-206-TPL-08</v>
          </cell>
          <cell r="J1928">
            <v>2</v>
          </cell>
        </row>
        <row r="1929">
          <cell r="C1929" t="str">
            <v>B&amp;P-047-ECL206-20TG</v>
          </cell>
          <cell r="F1929">
            <v>44564.476979166669</v>
          </cell>
          <cell r="H1929" t="str">
            <v>B&amp;P-010-LOC206-20</v>
          </cell>
          <cell r="J1929">
            <v>1</v>
          </cell>
        </row>
        <row r="1930">
          <cell r="C1930" t="str">
            <v>B&amp;P-048-207-KRRB19</v>
          </cell>
          <cell r="F1930">
            <v>44564.490648148145</v>
          </cell>
          <cell r="H1930" t="str">
            <v>B&amp;P-001-OR207</v>
          </cell>
          <cell r="J1930">
            <v>1</v>
          </cell>
        </row>
        <row r="1931">
          <cell r="C1931" t="str">
            <v>B&amp;P-048-207-KRRB19</v>
          </cell>
          <cell r="F1931">
            <v>44564.490648148145</v>
          </cell>
          <cell r="H1931" t="str">
            <v>B&amp;P-002-207-K19</v>
          </cell>
          <cell r="J1931">
            <v>1</v>
          </cell>
        </row>
        <row r="1932">
          <cell r="C1932" t="str">
            <v>B&amp;P-048-207-KRRB19</v>
          </cell>
          <cell r="F1932">
            <v>44564.490648148145</v>
          </cell>
          <cell r="H1932" t="str">
            <v>B&amp;P-005-CAGE207-17</v>
          </cell>
          <cell r="J1932">
            <v>1</v>
          </cell>
        </row>
        <row r="1933">
          <cell r="C1933" t="str">
            <v>B&amp;P-048-207-KRRB19</v>
          </cell>
          <cell r="F1933">
            <v>44564.490648148145</v>
          </cell>
          <cell r="H1933" t="str">
            <v>B&amp;P-003-Ball-7/16</v>
          </cell>
          <cell r="J1933">
            <v>9</v>
          </cell>
        </row>
        <row r="1934">
          <cell r="C1934" t="str">
            <v>B&amp;P-048-207-KRRB19</v>
          </cell>
          <cell r="F1934">
            <v>44564.490648148145</v>
          </cell>
          <cell r="H1934" t="str">
            <v>B&amp;P-004-207-RST-08</v>
          </cell>
          <cell r="J1934">
            <v>2</v>
          </cell>
        </row>
        <row r="1935">
          <cell r="C1935" t="str">
            <v>B&amp;P-048-207-KYYB2</v>
          </cell>
          <cell r="F1935">
            <v>44564.584837962961</v>
          </cell>
          <cell r="H1935" t="str">
            <v>B&amp;P-001-OR207</v>
          </cell>
          <cell r="J1935">
            <v>1</v>
          </cell>
        </row>
        <row r="1936">
          <cell r="C1936" t="str">
            <v>B&amp;P-048-207-KYYB2</v>
          </cell>
          <cell r="F1936">
            <v>44564.584837962961</v>
          </cell>
          <cell r="H1936" t="str">
            <v>B&amp;P-002-207-K9</v>
          </cell>
          <cell r="J1936">
            <v>1</v>
          </cell>
        </row>
        <row r="1937">
          <cell r="C1937" t="str">
            <v>B&amp;P-048-207-KYYB2</v>
          </cell>
          <cell r="F1937">
            <v>44564.584837962961</v>
          </cell>
          <cell r="H1937" t="str">
            <v>B&amp;P-005-CAGE207-17</v>
          </cell>
          <cell r="J1937">
            <v>1</v>
          </cell>
        </row>
        <row r="1938">
          <cell r="C1938" t="str">
            <v>B&amp;P-048-207-KYYB2</v>
          </cell>
          <cell r="F1938">
            <v>44564.584837962961</v>
          </cell>
          <cell r="H1938" t="str">
            <v>B&amp;P-003-Ball-7/16</v>
          </cell>
          <cell r="J1938">
            <v>9</v>
          </cell>
        </row>
        <row r="1939">
          <cell r="C1939" t="str">
            <v>B&amp;P-048-207-KYYB2</v>
          </cell>
          <cell r="F1939">
            <v>44564.584837962961</v>
          </cell>
          <cell r="H1939" t="str">
            <v>B&amp;P-004-207-RST-08</v>
          </cell>
          <cell r="J1939">
            <v>2</v>
          </cell>
        </row>
        <row r="1940">
          <cell r="C1940" t="str">
            <v>B&amp;P-048-203-KRR3-E2</v>
          </cell>
          <cell r="F1940">
            <v>44567.478333333333</v>
          </cell>
          <cell r="H1940" t="str">
            <v>BPB-048-203-KRR3-E2</v>
          </cell>
          <cell r="J1940">
            <v>1</v>
          </cell>
        </row>
        <row r="1941">
          <cell r="C1941" t="str">
            <v>B&amp;P-059-AG590026-02</v>
          </cell>
          <cell r="F1941">
            <v>44582.553136574075</v>
          </cell>
          <cell r="H1941" t="str">
            <v>BPB-999-SAE4140Ø50.8</v>
          </cell>
          <cell r="J1941">
            <v>9.0999999999999998E-2</v>
          </cell>
        </row>
        <row r="1942">
          <cell r="C1942" t="str">
            <v>B&amp;P-048-203-KRR2</v>
          </cell>
          <cell r="F1942">
            <v>44585.588888888888</v>
          </cell>
          <cell r="H1942" t="str">
            <v>B&amp;P-001-MS03-D</v>
          </cell>
          <cell r="J1942">
            <v>1</v>
          </cell>
        </row>
        <row r="1943">
          <cell r="C1943" t="str">
            <v>B&amp;P-048-203-KRR2</v>
          </cell>
          <cell r="F1943">
            <v>44585.588888888888</v>
          </cell>
          <cell r="H1943" t="str">
            <v>B&amp;P-002-203KRR2-02</v>
          </cell>
          <cell r="J1943">
            <v>1</v>
          </cell>
        </row>
        <row r="1944">
          <cell r="C1944" t="str">
            <v>B&amp;P-048-203-KRR2</v>
          </cell>
          <cell r="F1944">
            <v>44585.588888888888</v>
          </cell>
          <cell r="H1944" t="str">
            <v>B&amp;P-005-RET/SET-MS03</v>
          </cell>
          <cell r="J1944">
            <v>1</v>
          </cell>
        </row>
        <row r="1945">
          <cell r="C1945" t="str">
            <v>B&amp;P-048-203-KRR2</v>
          </cell>
          <cell r="F1945">
            <v>44585.588888888888</v>
          </cell>
          <cell r="H1945" t="str">
            <v>B&amp;P-003-BALL-17/64</v>
          </cell>
          <cell r="J1945">
            <v>8</v>
          </cell>
        </row>
        <row r="1946">
          <cell r="C1946" t="str">
            <v>B&amp;P-048-203-KRR2</v>
          </cell>
          <cell r="F1946">
            <v>44585.588888888888</v>
          </cell>
          <cell r="H1946" t="str">
            <v>B&amp;P-004-203-RST-08</v>
          </cell>
          <cell r="J1946">
            <v>2</v>
          </cell>
        </row>
        <row r="1947">
          <cell r="C1947" t="str">
            <v>BPB-133-PB001055</v>
          </cell>
          <cell r="F1947">
            <v>44603.423888888887</v>
          </cell>
          <cell r="H1947" t="str">
            <v>BPB-033-ASA40-1-REEL</v>
          </cell>
          <cell r="J1947">
            <v>1.4</v>
          </cell>
        </row>
        <row r="1948">
          <cell r="C1948" t="str">
            <v>BPB-133-PB001055</v>
          </cell>
          <cell r="F1948">
            <v>44603.423888888887</v>
          </cell>
          <cell r="H1948" t="str">
            <v>BPB-033-CL-40-1</v>
          </cell>
          <cell r="J1948">
            <v>1</v>
          </cell>
        </row>
        <row r="1949">
          <cell r="C1949" t="str">
            <v>BPB-133-PB001027</v>
          </cell>
          <cell r="F1949">
            <v>44603.425034722219</v>
          </cell>
          <cell r="H1949" t="str">
            <v>BPB-033-ASA50-1-REEL</v>
          </cell>
          <cell r="J1949">
            <v>1.9</v>
          </cell>
        </row>
        <row r="1950">
          <cell r="C1950" t="str">
            <v>BPB-133-PB001027</v>
          </cell>
          <cell r="F1950">
            <v>44603.425034722219</v>
          </cell>
          <cell r="H1950" t="str">
            <v>BPB-033-OL-50-1</v>
          </cell>
          <cell r="J1950">
            <v>1</v>
          </cell>
        </row>
        <row r="1951">
          <cell r="C1951" t="str">
            <v>BPB-133-PB001027</v>
          </cell>
          <cell r="F1951">
            <v>44603.425034722219</v>
          </cell>
          <cell r="H1951" t="str">
            <v>BPB-033-CL-50-1</v>
          </cell>
          <cell r="J1951">
            <v>1</v>
          </cell>
        </row>
        <row r="1952">
          <cell r="C1952" t="str">
            <v>BPB-133-PB001098</v>
          </cell>
          <cell r="F1952">
            <v>44603.428414351853</v>
          </cell>
          <cell r="H1952" t="str">
            <v>BPB-033-ASA50-1-REEL</v>
          </cell>
          <cell r="J1952">
            <v>2</v>
          </cell>
        </row>
        <row r="1953">
          <cell r="C1953" t="str">
            <v>BPB-133-PB001098</v>
          </cell>
          <cell r="F1953">
            <v>44603.428414351853</v>
          </cell>
          <cell r="H1953" t="str">
            <v>BPB-033-OL-50-1</v>
          </cell>
          <cell r="J1953">
            <v>1</v>
          </cell>
        </row>
        <row r="1954">
          <cell r="C1954" t="str">
            <v>BPB-133-PB001098</v>
          </cell>
          <cell r="F1954">
            <v>44603.428414351853</v>
          </cell>
          <cell r="H1954" t="str">
            <v>BPB-033-CL-50-1</v>
          </cell>
          <cell r="J1954">
            <v>1</v>
          </cell>
        </row>
        <row r="1955">
          <cell r="C1955" t="str">
            <v>BPB-133-PB003312</v>
          </cell>
          <cell r="F1955">
            <v>44603.429027777776</v>
          </cell>
          <cell r="H1955" t="str">
            <v>BPB-033-ASA40-1-REEL</v>
          </cell>
          <cell r="J1955">
            <v>1</v>
          </cell>
        </row>
        <row r="1956">
          <cell r="C1956" t="str">
            <v>B&amp;P-052-AG590026-03</v>
          </cell>
          <cell r="F1956">
            <v>44405.436412037037</v>
          </cell>
          <cell r="H1956" t="str">
            <v>BPB-999-SAE1045Ø55</v>
          </cell>
          <cell r="J1956">
            <v>2.7E-2</v>
          </cell>
        </row>
        <row r="1957">
          <cell r="C1957" t="str">
            <v>B&amp;P-037-AG590026-06</v>
          </cell>
          <cell r="F1957">
            <v>44405.435347222221</v>
          </cell>
          <cell r="H1957" t="str">
            <v>BPB-999-SAE4140Ø50.8</v>
          </cell>
          <cell r="J1957">
            <v>8.5000000000000006E-2</v>
          </cell>
        </row>
        <row r="1958">
          <cell r="C1958" t="str">
            <v>BPB-037-BP-18030</v>
          </cell>
          <cell r="F1958">
            <v>44440.393113425926</v>
          </cell>
          <cell r="H1958" t="str">
            <v>BPB-044-BP-18030-01</v>
          </cell>
          <cell r="J1958">
            <v>1</v>
          </cell>
        </row>
        <row r="1959">
          <cell r="C1959" t="str">
            <v>BPB-037-BP-18030</v>
          </cell>
          <cell r="F1959">
            <v>44440.393113425926</v>
          </cell>
          <cell r="H1959" t="str">
            <v>BPB-044-BP-18030-A2</v>
          </cell>
          <cell r="J1959">
            <v>2</v>
          </cell>
        </row>
        <row r="1960">
          <cell r="C1960" t="str">
            <v>BPB-037-BP-18030</v>
          </cell>
          <cell r="F1960">
            <v>44440.393113425926</v>
          </cell>
          <cell r="H1960" t="str">
            <v>BPB-044-BP-18030-04</v>
          </cell>
          <cell r="J1960">
            <v>34</v>
          </cell>
        </row>
        <row r="1961">
          <cell r="C1961" t="str">
            <v>BPB-037-BP-18030</v>
          </cell>
          <cell r="F1961">
            <v>44440.393113425926</v>
          </cell>
          <cell r="H1961" t="str">
            <v>B&amp;P-003-BALL-1/2</v>
          </cell>
          <cell r="J1961">
            <v>34</v>
          </cell>
        </row>
        <row r="1962">
          <cell r="C1962" t="str">
            <v>BPB-037-BP-18020</v>
          </cell>
          <cell r="F1962">
            <v>44440.406423611108</v>
          </cell>
          <cell r="H1962" t="str">
            <v>BPB-044-BP-18020-01</v>
          </cell>
          <cell r="J1962">
            <v>1</v>
          </cell>
        </row>
        <row r="1963">
          <cell r="C1963" t="str">
            <v>BPB-037-BP-18020</v>
          </cell>
          <cell r="F1963">
            <v>44440.406423611108</v>
          </cell>
          <cell r="H1963" t="str">
            <v>BPB-044-BP-18020-A1</v>
          </cell>
          <cell r="J1963">
            <v>2</v>
          </cell>
        </row>
        <row r="1964">
          <cell r="C1964" t="str">
            <v>BPB-037-BP-18020</v>
          </cell>
          <cell r="F1964">
            <v>44440.406423611108</v>
          </cell>
          <cell r="H1964" t="str">
            <v>B&amp;P-003-BALL-10mm</v>
          </cell>
          <cell r="J1964">
            <v>35</v>
          </cell>
        </row>
        <row r="1965">
          <cell r="C1965" t="str">
            <v>BPB-037-BP-18020</v>
          </cell>
          <cell r="F1965">
            <v>44440.406423611108</v>
          </cell>
          <cell r="H1965" t="str">
            <v>BPB-044-BP-18020-04</v>
          </cell>
          <cell r="J1965">
            <v>35</v>
          </cell>
        </row>
        <row r="1966">
          <cell r="C1966" t="str">
            <v>BPB-133-PB001028</v>
          </cell>
          <cell r="F1966">
            <v>44603.422986111109</v>
          </cell>
          <cell r="H1966" t="str">
            <v>BPB-033-ASA50-1-REEL</v>
          </cell>
          <cell r="J1966">
            <v>1.1000000000000001</v>
          </cell>
        </row>
        <row r="1967">
          <cell r="C1967" t="str">
            <v>BPB-133-PB001028</v>
          </cell>
          <cell r="F1967">
            <v>44603.422986111109</v>
          </cell>
          <cell r="H1967" t="str">
            <v>BPB-033-CL-50-1</v>
          </cell>
          <cell r="J1967">
            <v>1</v>
          </cell>
        </row>
        <row r="1968">
          <cell r="C1968" t="str">
            <v>BPB-133-PB003312</v>
          </cell>
          <cell r="F1968">
            <v>44603.429027777776</v>
          </cell>
          <cell r="H1968" t="str">
            <v>BPB-033-CL-40-1</v>
          </cell>
          <cell r="J1968">
            <v>1</v>
          </cell>
        </row>
        <row r="1969">
          <cell r="C1969" t="str">
            <v>B&amp;P-047-SAB-212-60DG</v>
          </cell>
          <cell r="F1969">
            <v>44613.702800925923</v>
          </cell>
          <cell r="H1969" t="str">
            <v>B&amp;P-001-OR212-G</v>
          </cell>
          <cell r="J1969">
            <v>1</v>
          </cell>
        </row>
        <row r="1970">
          <cell r="C1970" t="str">
            <v>B&amp;P-047-SAB-212-60DG</v>
          </cell>
          <cell r="F1970">
            <v>44613.702800925923</v>
          </cell>
          <cell r="H1970" t="str">
            <v>B&amp;P-002-SAB212-60-02</v>
          </cell>
          <cell r="J1970">
            <v>1</v>
          </cell>
        </row>
        <row r="1971">
          <cell r="C1971" t="str">
            <v>B&amp;P-047-SAB-212-60DG</v>
          </cell>
          <cell r="F1971">
            <v>44613.702800925923</v>
          </cell>
          <cell r="H1971" t="str">
            <v>B&amp;P-004-212-DBL-08</v>
          </cell>
          <cell r="J1971">
            <v>2</v>
          </cell>
        </row>
        <row r="1972">
          <cell r="C1972" t="str">
            <v>B&amp;P-047-SAB-212-60DG</v>
          </cell>
          <cell r="F1972">
            <v>44613.702800925923</v>
          </cell>
          <cell r="H1972" t="str">
            <v>B&amp;P-005-CAGE212-17</v>
          </cell>
          <cell r="J1972">
            <v>1</v>
          </cell>
        </row>
        <row r="1973">
          <cell r="C1973" t="str">
            <v>B&amp;P-047-SAB-212-60DG</v>
          </cell>
          <cell r="F1973">
            <v>44613.702800925923</v>
          </cell>
          <cell r="H1973" t="str">
            <v>BPB-003-19/32-G10</v>
          </cell>
          <cell r="J1973">
            <v>10</v>
          </cell>
        </row>
        <row r="1974">
          <cell r="C1974" t="str">
            <v>BPB-047-ECL-211-35-D</v>
          </cell>
          <cell r="F1974">
            <v>44614.3593287037</v>
          </cell>
          <cell r="H1974" t="str">
            <v>B&amp;P-002-ECL211-35-02</v>
          </cell>
          <cell r="J1974">
            <v>1</v>
          </cell>
        </row>
        <row r="1975">
          <cell r="C1975" t="str">
            <v>BPB-047-ECL-211-35-D</v>
          </cell>
          <cell r="F1975">
            <v>44614.3593287037</v>
          </cell>
          <cell r="H1975" t="str">
            <v>B&amp;P-001-OR211-G</v>
          </cell>
          <cell r="J1975">
            <v>1</v>
          </cell>
        </row>
        <row r="1976">
          <cell r="C1976" t="str">
            <v>BPB-047-ECL-211-35-D</v>
          </cell>
          <cell r="F1976">
            <v>44614.3593287037</v>
          </cell>
          <cell r="H1976" t="str">
            <v>B&amp;P-004-211-DBL-08</v>
          </cell>
          <cell r="J1976">
            <v>2</v>
          </cell>
        </row>
        <row r="1977">
          <cell r="C1977" t="str">
            <v>BPB-047-ECL-211-35-D</v>
          </cell>
          <cell r="F1977">
            <v>44614.3593287037</v>
          </cell>
          <cell r="H1977" t="str">
            <v>B&amp;P-005-CAGE211-17</v>
          </cell>
          <cell r="J1977">
            <v>1</v>
          </cell>
        </row>
        <row r="1978">
          <cell r="C1978" t="str">
            <v>BPB-047-ECL-211-35-D</v>
          </cell>
          <cell r="F1978">
            <v>44614.3593287037</v>
          </cell>
          <cell r="H1978" t="str">
            <v>B&amp;P-010-LOC211-35</v>
          </cell>
          <cell r="J1978">
            <v>1</v>
          </cell>
        </row>
        <row r="1979">
          <cell r="C1979" t="str">
            <v>BPB-047-ECL-211-35-D</v>
          </cell>
          <cell r="F1979">
            <v>44614.3593287037</v>
          </cell>
          <cell r="H1979" t="str">
            <v>B&amp;P-003-9/16</v>
          </cell>
          <cell r="J1979">
            <v>10</v>
          </cell>
        </row>
        <row r="1980">
          <cell r="C1980" t="str">
            <v>BPB-048-W-208-PP21-N</v>
          </cell>
          <cell r="F1980">
            <v>44614.644618055558</v>
          </cell>
          <cell r="H1980" t="str">
            <v>B&amp;P-001-OR208-R18</v>
          </cell>
          <cell r="J1980">
            <v>1</v>
          </cell>
        </row>
        <row r="1981">
          <cell r="C1981" t="str">
            <v>BPB-048-W-208-PP21-N</v>
          </cell>
          <cell r="F1981">
            <v>44614.644618055558</v>
          </cell>
          <cell r="H1981" t="str">
            <v>B&amp;P-002-208-16</v>
          </cell>
          <cell r="J1981">
            <v>1</v>
          </cell>
        </row>
        <row r="1982">
          <cell r="C1982" t="str">
            <v>BPB-048-W-208-PP21-N</v>
          </cell>
          <cell r="F1982">
            <v>44614.644618055558</v>
          </cell>
          <cell r="H1982" t="str">
            <v>B&amp;P-005-CAGE208-17</v>
          </cell>
          <cell r="J1982">
            <v>1</v>
          </cell>
        </row>
        <row r="1983">
          <cell r="C1983" t="str">
            <v>BPB-048-W-208-PP21-N</v>
          </cell>
          <cell r="F1983">
            <v>44614.644618055558</v>
          </cell>
          <cell r="H1983" t="str">
            <v>B&amp;P-003-BALL-1/2</v>
          </cell>
          <cell r="J1983">
            <v>9</v>
          </cell>
        </row>
        <row r="1984">
          <cell r="C1984" t="str">
            <v>BPB-048-W-208-PP21-N</v>
          </cell>
          <cell r="F1984">
            <v>44614.644618055558</v>
          </cell>
          <cell r="H1984" t="str">
            <v>B&amp;P-004-208-TPL-08</v>
          </cell>
          <cell r="J1984">
            <v>2</v>
          </cell>
        </row>
        <row r="1985">
          <cell r="C1985" t="str">
            <v>B&amp;P-046-HCFTS206-20</v>
          </cell>
          <cell r="F1985">
            <v>44615.636412037034</v>
          </cell>
          <cell r="H1985" t="str">
            <v>B&amp;P-047-FTS-206-4G</v>
          </cell>
          <cell r="J1985">
            <v>1</v>
          </cell>
        </row>
        <row r="1986">
          <cell r="C1986" t="str">
            <v>B&amp;P-046-HCFTS206-20</v>
          </cell>
          <cell r="F1986">
            <v>44615.636412037034</v>
          </cell>
          <cell r="H1986" t="str">
            <v>B&amp;P-047-ECL206-20TG</v>
          </cell>
          <cell r="J1986">
            <v>1</v>
          </cell>
        </row>
        <row r="1987">
          <cell r="C1987" t="str">
            <v>B&amp;P-041-MS06-2RST</v>
          </cell>
          <cell r="F1987">
            <v>44615.649212962962</v>
          </cell>
          <cell r="H1987" t="str">
            <v>B&amp;P-001-MS06-D</v>
          </cell>
          <cell r="J1987">
            <v>1</v>
          </cell>
        </row>
        <row r="1988">
          <cell r="C1988" t="str">
            <v>B&amp;P-041-MS06-2RST</v>
          </cell>
          <cell r="F1988">
            <v>44615.649212962962</v>
          </cell>
          <cell r="H1988" t="str">
            <v>B&amp;P-002-MS06-D</v>
          </cell>
          <cell r="J1988">
            <v>1</v>
          </cell>
        </row>
        <row r="1989">
          <cell r="C1989" t="str">
            <v>B&amp;P-041-MS06-2RST</v>
          </cell>
          <cell r="F1989">
            <v>44615.649212962962</v>
          </cell>
          <cell r="H1989" t="str">
            <v>B&amp;P-005-RET/SET-MS06</v>
          </cell>
          <cell r="J1989">
            <v>1</v>
          </cell>
        </row>
        <row r="1990">
          <cell r="C1990" t="str">
            <v>B&amp;P-041-MS06-2RST</v>
          </cell>
          <cell r="F1990">
            <v>44615.649212962962</v>
          </cell>
          <cell r="H1990" t="str">
            <v>B&amp;P-003-Ball-3/8</v>
          </cell>
          <cell r="J1990">
            <v>9</v>
          </cell>
        </row>
        <row r="1991">
          <cell r="C1991" t="str">
            <v>B&amp;P-041-MS06-2RST</v>
          </cell>
          <cell r="F1991">
            <v>44615.649212962962</v>
          </cell>
          <cell r="H1991" t="str">
            <v>B&amp;P-004-MS06-2RST-08</v>
          </cell>
          <cell r="J1991">
            <v>2</v>
          </cell>
        </row>
        <row r="1992">
          <cell r="C1992" t="str">
            <v>BPB-047-ECL207-20MG</v>
          </cell>
          <cell r="F1992">
            <v>44616.410370370373</v>
          </cell>
          <cell r="H1992" t="str">
            <v>B&amp;P-001-OR207-G</v>
          </cell>
          <cell r="J1992">
            <v>1</v>
          </cell>
        </row>
        <row r="1993">
          <cell r="C1993" t="str">
            <v>BPB-047-ECL207-20MG</v>
          </cell>
          <cell r="F1993">
            <v>44616.410370370373</v>
          </cell>
          <cell r="H1993" t="str">
            <v>B&amp;P-002-ECL207-20-02</v>
          </cell>
          <cell r="J1993">
            <v>1</v>
          </cell>
        </row>
        <row r="1994">
          <cell r="C1994" t="str">
            <v>BPB-047-ECL207-20MG</v>
          </cell>
          <cell r="F1994">
            <v>44616.410370370373</v>
          </cell>
          <cell r="H1994" t="str">
            <v>B&amp;P-005-CAGE207-17</v>
          </cell>
          <cell r="J1994">
            <v>1</v>
          </cell>
        </row>
        <row r="1995">
          <cell r="C1995" t="str">
            <v>BPB-048-CF5202-P</v>
          </cell>
          <cell r="F1995">
            <v>44438.616122685184</v>
          </cell>
          <cell r="H1995" t="str">
            <v>BPB-048-CF5202-2RST-</v>
          </cell>
          <cell r="J1995">
            <v>1</v>
          </cell>
        </row>
        <row r="1996">
          <cell r="C1996" t="str">
            <v>BPB-041-TS06-2RS</v>
          </cell>
          <cell r="F1996">
            <v>44459.347037037034</v>
          </cell>
          <cell r="H1996" t="str">
            <v>B&amp;P-001-TS06-D</v>
          </cell>
          <cell r="J1996">
            <v>1</v>
          </cell>
        </row>
        <row r="1997">
          <cell r="C1997" t="str">
            <v>BPB-041-TS06-2RS</v>
          </cell>
          <cell r="F1997">
            <v>44459.347037037034</v>
          </cell>
          <cell r="H1997" t="str">
            <v>B&amp;P-002-TS06-D</v>
          </cell>
          <cell r="J1997">
            <v>1</v>
          </cell>
        </row>
        <row r="1998">
          <cell r="C1998" t="str">
            <v>BPB-041-TS06-2RS</v>
          </cell>
          <cell r="F1998">
            <v>44459.347037037034</v>
          </cell>
          <cell r="H1998" t="str">
            <v>B&amp;P-005-RET/SET-TS06</v>
          </cell>
          <cell r="J1998">
            <v>1</v>
          </cell>
        </row>
        <row r="1999">
          <cell r="C1999" t="str">
            <v>BPB-041-TS06-2RS</v>
          </cell>
          <cell r="F1999">
            <v>44459.347037037034</v>
          </cell>
          <cell r="H1999" t="str">
            <v>B&amp;P-003-Ball-3/16</v>
          </cell>
          <cell r="J1999">
            <v>14</v>
          </cell>
        </row>
        <row r="2000">
          <cell r="C2000" t="str">
            <v>BPB-041-TS06-2RS</v>
          </cell>
          <cell r="F2000">
            <v>44459.347037037034</v>
          </cell>
          <cell r="H2000" t="str">
            <v>B&amp;P-004-TS06RS-BLUE</v>
          </cell>
          <cell r="J2000">
            <v>2</v>
          </cell>
        </row>
        <row r="2001">
          <cell r="C2001" t="str">
            <v>BPB-041-MS02-2RS</v>
          </cell>
          <cell r="F2001">
            <v>44459.3825462963</v>
          </cell>
          <cell r="H2001" t="str">
            <v>B&amp;P-001-MS02-D</v>
          </cell>
          <cell r="J2001">
            <v>1</v>
          </cell>
        </row>
        <row r="2002">
          <cell r="C2002" t="str">
            <v>BPB-041-MS02-2RS</v>
          </cell>
          <cell r="F2002">
            <v>44459.3825462963</v>
          </cell>
          <cell r="H2002" t="str">
            <v>B&amp;P-002-MS02-D</v>
          </cell>
          <cell r="J2002">
            <v>1</v>
          </cell>
        </row>
        <row r="2003">
          <cell r="C2003" t="str">
            <v>BPB-041-MS02-2RS</v>
          </cell>
          <cell r="F2003">
            <v>44459.3825462963</v>
          </cell>
          <cell r="H2003" t="str">
            <v>B&amp;P-005-RET/SET-MS02</v>
          </cell>
          <cell r="J2003">
            <v>1</v>
          </cell>
        </row>
        <row r="2004">
          <cell r="C2004" t="str">
            <v>BPB-041-MS02-2RS</v>
          </cell>
          <cell r="F2004">
            <v>44459.3825462963</v>
          </cell>
          <cell r="H2004" t="str">
            <v>B&amp;P-003-BALL-15/64</v>
          </cell>
          <cell r="J2004">
            <v>8</v>
          </cell>
        </row>
        <row r="2005">
          <cell r="C2005" t="str">
            <v>BPB-041-MS02-2RS</v>
          </cell>
          <cell r="F2005">
            <v>44459.3825462963</v>
          </cell>
          <cell r="H2005" t="str">
            <v>B&amp;P-004-MS02RLD-BLUE</v>
          </cell>
          <cell r="J2005">
            <v>2</v>
          </cell>
        </row>
        <row r="2006">
          <cell r="C2006" t="str">
            <v>BPB-041-MS08-2RLD</v>
          </cell>
          <cell r="F2006">
            <v>44459.430451388886</v>
          </cell>
          <cell r="H2006" t="str">
            <v>B&amp;P-001-MS08-D</v>
          </cell>
          <cell r="J2006">
            <v>1</v>
          </cell>
        </row>
        <row r="2007">
          <cell r="C2007" t="str">
            <v>BPB-041-MS08-2RLD</v>
          </cell>
          <cell r="F2007">
            <v>44459.430451388886</v>
          </cell>
          <cell r="H2007" t="str">
            <v>B&amp;P-002-MS08-D</v>
          </cell>
          <cell r="J2007">
            <v>1</v>
          </cell>
        </row>
        <row r="2008">
          <cell r="C2008" t="str">
            <v>BPB-041-MS08-2RLD</v>
          </cell>
          <cell r="F2008">
            <v>44459.430451388886</v>
          </cell>
          <cell r="H2008" t="str">
            <v>B&amp;P-003-BALL-1/2</v>
          </cell>
          <cell r="J2008">
            <v>9</v>
          </cell>
        </row>
        <row r="2009">
          <cell r="C2009" t="str">
            <v>BPB-041-MS08-2RLD</v>
          </cell>
          <cell r="F2009">
            <v>44459.430451388886</v>
          </cell>
          <cell r="H2009" t="str">
            <v>B&amp;P-005-RET/SET-MS08</v>
          </cell>
          <cell r="J2009">
            <v>1</v>
          </cell>
        </row>
        <row r="2010">
          <cell r="C2010" t="str">
            <v>BPB-041-MS08-2RLD</v>
          </cell>
          <cell r="F2010">
            <v>44459.430451388886</v>
          </cell>
          <cell r="H2010" t="str">
            <v>B&amp;P-004-MS08RS-BLUE</v>
          </cell>
          <cell r="J2010">
            <v>2</v>
          </cell>
        </row>
        <row r="2011">
          <cell r="C2011" t="str">
            <v>B&amp;P-041-LS12-2RLD</v>
          </cell>
          <cell r="F2011">
            <v>44459.437893518516</v>
          </cell>
          <cell r="H2011" t="str">
            <v>B&amp;P-001-LS12-D</v>
          </cell>
          <cell r="J2011">
            <v>1</v>
          </cell>
        </row>
        <row r="2012">
          <cell r="C2012" t="str">
            <v>B&amp;P-041-LS12-2RLD</v>
          </cell>
          <cell r="F2012">
            <v>44459.437893518516</v>
          </cell>
          <cell r="H2012" t="str">
            <v>B&amp;P-002-LS12-D</v>
          </cell>
          <cell r="J2012">
            <v>1</v>
          </cell>
        </row>
        <row r="2013">
          <cell r="C2013" t="str">
            <v>B&amp;P-041-LS12-2RLD</v>
          </cell>
          <cell r="F2013">
            <v>44459.437893518516</v>
          </cell>
          <cell r="H2013" t="str">
            <v>B&amp;P-005-RET/SET-LS12</v>
          </cell>
          <cell r="J2013">
            <v>1</v>
          </cell>
        </row>
        <row r="2014">
          <cell r="C2014" t="str">
            <v>B&amp;P-041-LS12-2RLD</v>
          </cell>
          <cell r="F2014">
            <v>44459.437893518516</v>
          </cell>
          <cell r="H2014" t="str">
            <v>BPB-003-BALLS-7/16</v>
          </cell>
          <cell r="J2014">
            <v>13</v>
          </cell>
        </row>
        <row r="2015">
          <cell r="C2015" t="str">
            <v>B&amp;P-041-LS12-2RLD</v>
          </cell>
          <cell r="F2015">
            <v>44459.437893518516</v>
          </cell>
          <cell r="H2015" t="str">
            <v>B&amp;P-004-LS12RLD-BLUE</v>
          </cell>
          <cell r="J2015">
            <v>2</v>
          </cell>
        </row>
        <row r="2016">
          <cell r="C2016" t="str">
            <v>BPB-041-LS04-2RST</v>
          </cell>
          <cell r="F2016">
            <v>44459.446215277778</v>
          </cell>
          <cell r="H2016" t="str">
            <v>B&amp;P-001-LS04-D</v>
          </cell>
          <cell r="J2016">
            <v>1</v>
          </cell>
        </row>
        <row r="2017">
          <cell r="C2017" t="str">
            <v>BPB-041-LS04-2RST</v>
          </cell>
          <cell r="F2017">
            <v>44459.446215277778</v>
          </cell>
          <cell r="H2017" t="str">
            <v>B&amp;P-002-LS04-D</v>
          </cell>
          <cell r="J2017">
            <v>1</v>
          </cell>
        </row>
        <row r="2018">
          <cell r="C2018" t="str">
            <v>BPB-041-LS04-2RST</v>
          </cell>
          <cell r="F2018">
            <v>44459.446215277778</v>
          </cell>
          <cell r="H2018" t="str">
            <v>B&amp;P-005-RET/SET-LS04</v>
          </cell>
          <cell r="J2018">
            <v>1</v>
          </cell>
        </row>
        <row r="2019">
          <cell r="C2019" t="str">
            <v>BPB-041-LS04-2RST</v>
          </cell>
          <cell r="F2019">
            <v>44459.446215277778</v>
          </cell>
          <cell r="H2019" t="str">
            <v>BPB-003-BALL-1/4</v>
          </cell>
          <cell r="J2019">
            <v>9</v>
          </cell>
        </row>
        <row r="2020">
          <cell r="C2020" t="str">
            <v>BPB-041-LS04-2RST</v>
          </cell>
          <cell r="F2020">
            <v>44459.446215277778</v>
          </cell>
          <cell r="H2020" t="str">
            <v>B&amp;P-004-LS04-2RST-08</v>
          </cell>
          <cell r="J2020">
            <v>2</v>
          </cell>
        </row>
        <row r="2021">
          <cell r="C2021" t="str">
            <v>BPB-041-LS03-2RS</v>
          </cell>
          <cell r="F2021">
            <v>44459.583148148151</v>
          </cell>
          <cell r="H2021" t="str">
            <v>B&amp;P-001-LS03-D</v>
          </cell>
          <cell r="J2021">
            <v>1</v>
          </cell>
        </row>
        <row r="2022">
          <cell r="C2022" t="str">
            <v>BPB-041-LS03-2RS</v>
          </cell>
          <cell r="F2022">
            <v>44459.583148148151</v>
          </cell>
          <cell r="H2022" t="str">
            <v>B&amp;P-002-LS03-D</v>
          </cell>
          <cell r="J2022">
            <v>1</v>
          </cell>
        </row>
        <row r="2023">
          <cell r="C2023" t="str">
            <v>BPB-041-LS03-2RS</v>
          </cell>
          <cell r="F2023">
            <v>44459.583148148151</v>
          </cell>
          <cell r="H2023" t="str">
            <v>B&amp;P-004-LS03RS-BLUE</v>
          </cell>
          <cell r="J2023">
            <v>2</v>
          </cell>
        </row>
        <row r="2024">
          <cell r="C2024" t="str">
            <v>BPB-041-LS03-2RS</v>
          </cell>
          <cell r="F2024">
            <v>44459.583148148151</v>
          </cell>
          <cell r="H2024" t="str">
            <v>B&amp;P-005-RET/SET-LS03</v>
          </cell>
          <cell r="J2024">
            <v>1</v>
          </cell>
        </row>
        <row r="2025">
          <cell r="C2025" t="str">
            <v>BPB-041-LS03-2RS</v>
          </cell>
          <cell r="F2025">
            <v>44459.583148148151</v>
          </cell>
          <cell r="H2025" t="str">
            <v>B&amp;P-003-Ball-3/16</v>
          </cell>
          <cell r="J2025">
            <v>10</v>
          </cell>
        </row>
        <row r="2026">
          <cell r="C2026" t="str">
            <v>B&amp;P-HS--MS06-D-C3</v>
          </cell>
          <cell r="F2026">
            <v>45140.357731481483</v>
          </cell>
          <cell r="H2026" t="str">
            <v>B&amp;P-001-MS06-D</v>
          </cell>
          <cell r="J2026">
            <v>1</v>
          </cell>
        </row>
        <row r="2027">
          <cell r="C2027" t="str">
            <v>B&amp;P-HS--MS06-D-C3</v>
          </cell>
          <cell r="F2027">
            <v>45140.357731481483</v>
          </cell>
          <cell r="H2027" t="str">
            <v>B&amp;P-002-MS06-D</v>
          </cell>
          <cell r="J2027">
            <v>1</v>
          </cell>
        </row>
        <row r="2028">
          <cell r="C2028" t="str">
            <v>B&amp;P-HS--MS06-D-C3</v>
          </cell>
          <cell r="F2028">
            <v>45140.357731481483</v>
          </cell>
          <cell r="H2028" t="str">
            <v>B&amp;P-005-RET/SET-MS06</v>
          </cell>
          <cell r="J2028">
            <v>1</v>
          </cell>
        </row>
        <row r="2029">
          <cell r="C2029" t="str">
            <v>B&amp;P-HS--MS06-D-C3</v>
          </cell>
          <cell r="F2029">
            <v>45140.357731481483</v>
          </cell>
          <cell r="H2029" t="str">
            <v>B&amp;P-003-Ball-3/8</v>
          </cell>
          <cell r="J2029">
            <v>9</v>
          </cell>
        </row>
        <row r="2030">
          <cell r="C2030" t="str">
            <v>BPB-133-PB001284</v>
          </cell>
          <cell r="F2030">
            <v>44484.414293981485</v>
          </cell>
          <cell r="H2030" t="str">
            <v>BPB-033-ASA-410-REEL</v>
          </cell>
          <cell r="J2030">
            <v>0.84</v>
          </cell>
        </row>
        <row r="2031">
          <cell r="C2031" t="str">
            <v>BPB-133-PB001284</v>
          </cell>
          <cell r="F2031">
            <v>44484.414293981485</v>
          </cell>
          <cell r="H2031" t="str">
            <v>BPB-033-CL-410</v>
          </cell>
          <cell r="J2031">
            <v>1</v>
          </cell>
        </row>
        <row r="2032">
          <cell r="C2032" t="str">
            <v>BPB-133-PB001284</v>
          </cell>
          <cell r="F2032">
            <v>44484.414293981485</v>
          </cell>
          <cell r="H2032" t="str">
            <v>BPB-033-OL-410</v>
          </cell>
          <cell r="J2032">
            <v>1</v>
          </cell>
        </row>
        <row r="2033">
          <cell r="C2033" t="str">
            <v>B&amp;P-048-205-KRR2</v>
          </cell>
          <cell r="F2033">
            <v>44509.597395833334</v>
          </cell>
          <cell r="H2033" t="str">
            <v>B&amp;P-001-OR205-R</v>
          </cell>
          <cell r="J2033">
            <v>1</v>
          </cell>
        </row>
        <row r="2034">
          <cell r="C2034" t="str">
            <v>B&amp;P-048-205-KRR2</v>
          </cell>
          <cell r="F2034">
            <v>44509.597395833334</v>
          </cell>
          <cell r="H2034" t="str">
            <v>B&amp;P-002-205-K2</v>
          </cell>
          <cell r="J2034">
            <v>1</v>
          </cell>
        </row>
        <row r="2035">
          <cell r="C2035" t="str">
            <v>B&amp;P-048-205-KRR2</v>
          </cell>
          <cell r="F2035">
            <v>44509.597395833334</v>
          </cell>
          <cell r="H2035" t="str">
            <v>B&amp;P-005-CAGE205-17</v>
          </cell>
          <cell r="J2035">
            <v>1</v>
          </cell>
        </row>
        <row r="2036">
          <cell r="C2036" t="str">
            <v>B&amp;P-048-205-KRR2</v>
          </cell>
          <cell r="F2036">
            <v>44509.597395833334</v>
          </cell>
          <cell r="H2036" t="str">
            <v>B&amp;P-003-Ball-5/16</v>
          </cell>
          <cell r="J2036">
            <v>9</v>
          </cell>
        </row>
        <row r="2037">
          <cell r="C2037" t="str">
            <v>B&amp;P-048-205-KRR2</v>
          </cell>
          <cell r="F2037">
            <v>44509.597395833334</v>
          </cell>
          <cell r="H2037" t="str">
            <v>B&amp;P-004-205-RST-08</v>
          </cell>
          <cell r="J2037">
            <v>2</v>
          </cell>
        </row>
        <row r="2038">
          <cell r="C2038" t="str">
            <v>BPB-048-205-KRRB2</v>
          </cell>
          <cell r="F2038">
            <v>44509.599004629628</v>
          </cell>
          <cell r="H2038" t="str">
            <v>B&amp;P-001-OR205</v>
          </cell>
          <cell r="J2038">
            <v>1</v>
          </cell>
        </row>
        <row r="2039">
          <cell r="C2039" t="str">
            <v>BPB-048-205-KRRB2</v>
          </cell>
          <cell r="F2039">
            <v>44509.599004629628</v>
          </cell>
          <cell r="H2039" t="str">
            <v>B&amp;P-002-205-K2</v>
          </cell>
          <cell r="J2039">
            <v>1</v>
          </cell>
        </row>
        <row r="2040">
          <cell r="C2040" t="str">
            <v>BPB-048-205-KRRB2</v>
          </cell>
          <cell r="F2040">
            <v>44509.599004629628</v>
          </cell>
          <cell r="H2040" t="str">
            <v>B&amp;P-005-CAGE205-17</v>
          </cell>
          <cell r="J2040">
            <v>1</v>
          </cell>
        </row>
        <row r="2041">
          <cell r="C2041" t="str">
            <v>BPB-048-205-KRRB2</v>
          </cell>
          <cell r="F2041">
            <v>44509.599004629628</v>
          </cell>
          <cell r="H2041" t="str">
            <v>B&amp;P-003-Ball-5/16</v>
          </cell>
          <cell r="J2041">
            <v>9</v>
          </cell>
        </row>
        <row r="2042">
          <cell r="C2042" t="str">
            <v>BPB-048-205-KRRB2</v>
          </cell>
          <cell r="F2042">
            <v>44509.599004629628</v>
          </cell>
          <cell r="H2042" t="str">
            <v>B&amp;P-004-205-RST-08</v>
          </cell>
          <cell r="J2042">
            <v>2</v>
          </cell>
        </row>
        <row r="2043">
          <cell r="C2043" t="str">
            <v>BPB-047-ECL207-20MG</v>
          </cell>
          <cell r="F2043">
            <v>44616.410370370373</v>
          </cell>
          <cell r="H2043" t="str">
            <v>B&amp;P-003-Ball-7/16</v>
          </cell>
          <cell r="J2043">
            <v>9</v>
          </cell>
        </row>
        <row r="2044">
          <cell r="C2044" t="str">
            <v>BPB-047-ECL207-20MG</v>
          </cell>
          <cell r="F2044">
            <v>44616.410370370373</v>
          </cell>
          <cell r="H2044" t="str">
            <v>B&amp;P-004-207-BR-08</v>
          </cell>
          <cell r="J2044">
            <v>2</v>
          </cell>
        </row>
        <row r="2045">
          <cell r="C2045" t="str">
            <v>BPB-047-ECL207-20MG</v>
          </cell>
          <cell r="F2045">
            <v>44616.410370370373</v>
          </cell>
          <cell r="H2045" t="str">
            <v>B&amp;P-027-207-BR-09</v>
          </cell>
          <cell r="J2045">
            <v>2</v>
          </cell>
        </row>
        <row r="2046">
          <cell r="C2046" t="str">
            <v>BPB-047-ECL207-20MG</v>
          </cell>
          <cell r="F2046">
            <v>44616.410370370373</v>
          </cell>
          <cell r="H2046" t="str">
            <v>B&amp;P-010-LOC207-20</v>
          </cell>
          <cell r="J2046">
            <v>1</v>
          </cell>
        </row>
        <row r="2047">
          <cell r="C2047" t="str">
            <v>BPB-047-SAB205-16MG</v>
          </cell>
          <cell r="F2047">
            <v>44616.430613425924</v>
          </cell>
          <cell r="H2047" t="str">
            <v>B&amp;P-001-OR205-G</v>
          </cell>
          <cell r="J2047">
            <v>1</v>
          </cell>
        </row>
        <row r="2048">
          <cell r="C2048" t="str">
            <v>BPB-047-SAB205-16MG</v>
          </cell>
          <cell r="F2048">
            <v>44616.430613425924</v>
          </cell>
          <cell r="H2048" t="str">
            <v>B&amp;P-002-SAB205-16-02</v>
          </cell>
          <cell r="J2048">
            <v>1</v>
          </cell>
        </row>
        <row r="2049">
          <cell r="C2049" t="str">
            <v>BPB-047-SAB205-16MG</v>
          </cell>
          <cell r="F2049">
            <v>44616.430613425924</v>
          </cell>
          <cell r="H2049" t="str">
            <v>B&amp;P-005-CAGE205-17</v>
          </cell>
          <cell r="J2049">
            <v>1</v>
          </cell>
        </row>
        <row r="2050">
          <cell r="C2050" t="str">
            <v>BPB-047-SAB205-16MG</v>
          </cell>
          <cell r="F2050">
            <v>44616.430613425924</v>
          </cell>
          <cell r="H2050" t="str">
            <v>B&amp;P-003-Ball-5/16</v>
          </cell>
          <cell r="J2050">
            <v>9</v>
          </cell>
        </row>
        <row r="2051">
          <cell r="C2051" t="str">
            <v>BPB-047-SAB205-16MG</v>
          </cell>
          <cell r="F2051">
            <v>44616.430613425924</v>
          </cell>
          <cell r="H2051" t="str">
            <v>B&amp;P-004-205-BR-08</v>
          </cell>
          <cell r="J2051">
            <v>2</v>
          </cell>
        </row>
        <row r="2052">
          <cell r="C2052" t="str">
            <v>BPB-047-SAB205-16MG</v>
          </cell>
          <cell r="F2052">
            <v>44616.430613425924</v>
          </cell>
          <cell r="H2052" t="str">
            <v>B&amp;P-027-205-BR-09</v>
          </cell>
          <cell r="J2052">
            <v>2</v>
          </cell>
        </row>
        <row r="2053">
          <cell r="C2053" t="str">
            <v>BPB-047-ECL205-16MM</v>
          </cell>
          <cell r="F2053">
            <v>44616.441446759258</v>
          </cell>
          <cell r="H2053" t="str">
            <v>B&amp;P-001-OR205</v>
          </cell>
          <cell r="J2053">
            <v>1</v>
          </cell>
        </row>
        <row r="2054">
          <cell r="C2054" t="str">
            <v>BPB-047-ECL205-16MM</v>
          </cell>
          <cell r="F2054">
            <v>44616.441446759258</v>
          </cell>
          <cell r="H2054" t="str">
            <v>B&amp;P-002-ECL205-16-02</v>
          </cell>
          <cell r="J2054">
            <v>1</v>
          </cell>
        </row>
        <row r="2055">
          <cell r="C2055" t="str">
            <v>BPB-047-ECL205-16MM</v>
          </cell>
          <cell r="F2055">
            <v>44616.441446759258</v>
          </cell>
          <cell r="H2055" t="str">
            <v>B&amp;P-005-CAGE205-17</v>
          </cell>
          <cell r="J2055">
            <v>1</v>
          </cell>
        </row>
        <row r="2056">
          <cell r="C2056" t="str">
            <v>BPB-047-ECL205-16MM</v>
          </cell>
          <cell r="F2056">
            <v>44616.441446759258</v>
          </cell>
          <cell r="H2056" t="str">
            <v>B&amp;P-003-Ball-5/16</v>
          </cell>
          <cell r="J2056">
            <v>9</v>
          </cell>
        </row>
        <row r="2057">
          <cell r="C2057" t="str">
            <v>BPB-047-ECL205-16MM</v>
          </cell>
          <cell r="F2057">
            <v>44616.441446759258</v>
          </cell>
          <cell r="H2057" t="str">
            <v>B&amp;P-004-205-BR-08</v>
          </cell>
          <cell r="J2057">
            <v>2</v>
          </cell>
        </row>
        <row r="2058">
          <cell r="C2058" t="str">
            <v>BPB-047-ECL205-16MM</v>
          </cell>
          <cell r="F2058">
            <v>44616.441446759258</v>
          </cell>
          <cell r="H2058" t="str">
            <v>B&amp;P-027-205-BR-09</v>
          </cell>
          <cell r="J2058">
            <v>2</v>
          </cell>
        </row>
        <row r="2059">
          <cell r="C2059" t="str">
            <v>BPB-047-ECL205-16MM</v>
          </cell>
          <cell r="F2059">
            <v>44616.441446759258</v>
          </cell>
          <cell r="H2059" t="str">
            <v>B&amp;P-010-LOC205-16</v>
          </cell>
          <cell r="J2059">
            <v>1</v>
          </cell>
        </row>
        <row r="2060">
          <cell r="C2060" t="str">
            <v>B&amp;P-047-ECL210-31TPL</v>
          </cell>
          <cell r="F2060">
            <v>44617.356620370374</v>
          </cell>
          <cell r="H2060" t="str">
            <v>B&amp;P-001-OR210-G</v>
          </cell>
          <cell r="J2060">
            <v>1</v>
          </cell>
        </row>
        <row r="2061">
          <cell r="C2061" t="str">
            <v>BPB-999-32220-MX</v>
          </cell>
          <cell r="F2061">
            <v>44446.64199074074</v>
          </cell>
          <cell r="H2061" t="str">
            <v>000-053-X-32220</v>
          </cell>
          <cell r="J2061">
            <v>1</v>
          </cell>
        </row>
        <row r="2062">
          <cell r="C2062" t="str">
            <v>BPB-999-32220-MX</v>
          </cell>
          <cell r="F2062">
            <v>44446.64199074074</v>
          </cell>
          <cell r="H2062" t="str">
            <v>000-054-TDY220</v>
          </cell>
          <cell r="J2062">
            <v>1</v>
          </cell>
        </row>
        <row r="2063">
          <cell r="C2063" t="str">
            <v>BPB-999-32010-MX</v>
          </cell>
          <cell r="F2063">
            <v>44447.378483796296</v>
          </cell>
          <cell r="H2063" t="str">
            <v>000-053-X-32010</v>
          </cell>
          <cell r="J2063">
            <v>1</v>
          </cell>
        </row>
        <row r="2064">
          <cell r="C2064" t="str">
            <v>BPB-999-32010-MX</v>
          </cell>
          <cell r="F2064">
            <v>44447.378483796296</v>
          </cell>
          <cell r="H2064" t="str">
            <v>000-054-TDY010</v>
          </cell>
          <cell r="J2064">
            <v>1</v>
          </cell>
        </row>
        <row r="2065">
          <cell r="C2065" t="str">
            <v>BPB-037-BP-20001</v>
          </cell>
          <cell r="F2065">
            <v>44448.524351851855</v>
          </cell>
          <cell r="H2065" t="str">
            <v>BPB-037-BP-20001-01</v>
          </cell>
          <cell r="J2065">
            <v>1</v>
          </cell>
        </row>
        <row r="2066">
          <cell r="C2066" t="str">
            <v>BPB-037-BP-20001</v>
          </cell>
          <cell r="F2066">
            <v>44448.524351851855</v>
          </cell>
          <cell r="H2066" t="str">
            <v>BPB-037-BP-20001-02</v>
          </cell>
          <cell r="J2066">
            <v>1</v>
          </cell>
        </row>
        <row r="2067">
          <cell r="C2067" t="str">
            <v>BPB-037-BP-20001</v>
          </cell>
          <cell r="F2067">
            <v>44448.524351851855</v>
          </cell>
          <cell r="H2067" t="str">
            <v>BPB-037-BP-20001-03</v>
          </cell>
          <cell r="J2067">
            <v>1</v>
          </cell>
        </row>
        <row r="2068">
          <cell r="C2068" t="str">
            <v>BPB-037-BP-20001</v>
          </cell>
          <cell r="F2068">
            <v>44448.524351851855</v>
          </cell>
          <cell r="H2068" t="str">
            <v>BPB-037-BP-20001-04</v>
          </cell>
          <cell r="J2068">
            <v>1</v>
          </cell>
        </row>
        <row r="2069">
          <cell r="C2069" t="str">
            <v>BPB-037-BP-20001</v>
          </cell>
          <cell r="F2069">
            <v>44448.524351851855</v>
          </cell>
          <cell r="H2069" t="str">
            <v>BPB-037-BP-20001-05</v>
          </cell>
          <cell r="J2069">
            <v>1</v>
          </cell>
        </row>
        <row r="2070">
          <cell r="C2070" t="str">
            <v>B&amp;P-047-ECL210-31TPL</v>
          </cell>
          <cell r="F2070">
            <v>44617.356620370374</v>
          </cell>
          <cell r="H2070" t="str">
            <v>B&amp;P-002-ECL210-31-02</v>
          </cell>
          <cell r="J2070">
            <v>1</v>
          </cell>
        </row>
        <row r="2071">
          <cell r="C2071" t="str">
            <v>B&amp;P-047-ECL210-31TPL</v>
          </cell>
          <cell r="F2071">
            <v>44617.356620370374</v>
          </cell>
          <cell r="H2071" t="str">
            <v>B&amp;P-005-CAGE210-17</v>
          </cell>
          <cell r="J2071">
            <v>1</v>
          </cell>
        </row>
        <row r="2072">
          <cell r="C2072" t="str">
            <v>B&amp;P-047-ECL210-31TPL</v>
          </cell>
          <cell r="F2072">
            <v>44617.356620370374</v>
          </cell>
          <cell r="H2072" t="str">
            <v>B&amp;P-003-BALL-1/2</v>
          </cell>
          <cell r="J2072">
            <v>10</v>
          </cell>
        </row>
        <row r="2073">
          <cell r="C2073" t="str">
            <v>B&amp;P-047-ECL210-31TPL</v>
          </cell>
          <cell r="F2073">
            <v>44617.356620370374</v>
          </cell>
          <cell r="H2073" t="str">
            <v>B&amp;P-004-210-TPL-08</v>
          </cell>
          <cell r="J2073">
            <v>2</v>
          </cell>
        </row>
        <row r="2074">
          <cell r="C2074" t="str">
            <v>B&amp;P-047-ECL210-31TPL</v>
          </cell>
          <cell r="F2074">
            <v>44617.356620370374</v>
          </cell>
          <cell r="H2074" t="str">
            <v>B&amp;P-010-LOC210-31</v>
          </cell>
          <cell r="J2074">
            <v>1</v>
          </cell>
        </row>
        <row r="2075">
          <cell r="C2075" t="str">
            <v>B&amp;P-046-HCFS210-31</v>
          </cell>
          <cell r="F2075">
            <v>44617.387280092589</v>
          </cell>
          <cell r="H2075" t="str">
            <v>B&amp;P-047-ECL210-31TT</v>
          </cell>
          <cell r="J2075">
            <v>1</v>
          </cell>
        </row>
        <row r="2076">
          <cell r="C2076" t="str">
            <v>B&amp;P-046-HCFS210-31</v>
          </cell>
          <cell r="F2076">
            <v>44617.387280092589</v>
          </cell>
          <cell r="H2076" t="str">
            <v>B&amp;P-047-FS-210-4G</v>
          </cell>
          <cell r="J2076">
            <v>1</v>
          </cell>
        </row>
        <row r="2077">
          <cell r="C2077" t="str">
            <v>B&amp;P-048-AG205KRP2-4P</v>
          </cell>
          <cell r="F2077">
            <v>44617.394733796296</v>
          </cell>
          <cell r="H2077" t="str">
            <v>B&amp;P-048-BB205KRP2</v>
          </cell>
          <cell r="J2077">
            <v>1</v>
          </cell>
        </row>
        <row r="2078">
          <cell r="C2078" t="str">
            <v>B&amp;P-046-HCFTS205-16</v>
          </cell>
          <cell r="F2078">
            <v>44628.626585648148</v>
          </cell>
          <cell r="H2078" t="str">
            <v>BPB-047-ECL205-16MM</v>
          </cell>
          <cell r="J2078">
            <v>1</v>
          </cell>
        </row>
        <row r="2079">
          <cell r="C2079" t="str">
            <v>B&amp;P-046-HCFTS205-16</v>
          </cell>
          <cell r="F2079">
            <v>44628.626585648148</v>
          </cell>
          <cell r="H2079" t="str">
            <v>B&amp;P-047-FTS-205-HA</v>
          </cell>
          <cell r="J2079">
            <v>1</v>
          </cell>
        </row>
        <row r="2080">
          <cell r="C2080" t="str">
            <v>B&amp;P-046-FHP208-24G</v>
          </cell>
          <cell r="F2080">
            <v>44638.391134259262</v>
          </cell>
          <cell r="H2080" t="str">
            <v>B&amp;P-047-PE-208-HAR</v>
          </cell>
          <cell r="J2080">
            <v>1</v>
          </cell>
        </row>
        <row r="2081">
          <cell r="C2081" t="str">
            <v>B&amp;P-046-FHP208-24G</v>
          </cell>
          <cell r="F2081">
            <v>44638.391134259262</v>
          </cell>
          <cell r="H2081" t="str">
            <v>BPB-047-ACL208-24RG</v>
          </cell>
          <cell r="J2081">
            <v>1</v>
          </cell>
        </row>
        <row r="2082">
          <cell r="C2082" t="str">
            <v>B&amp;P-046-FHLP205-16</v>
          </cell>
          <cell r="F2082">
            <v>44638.396192129629</v>
          </cell>
          <cell r="H2082" t="str">
            <v>B&amp;P-047-LP-205-4G</v>
          </cell>
          <cell r="J2082">
            <v>1</v>
          </cell>
        </row>
        <row r="2083">
          <cell r="C2083" t="str">
            <v>B&amp;P-046-FHLP205-16</v>
          </cell>
          <cell r="F2083">
            <v>44638.396192129629</v>
          </cell>
          <cell r="H2083" t="str">
            <v>BPB-047-ACL205-16RR</v>
          </cell>
          <cell r="J2083">
            <v>1</v>
          </cell>
        </row>
        <row r="2084">
          <cell r="C2084" t="str">
            <v>B&amp;P-046-HCP209-28</v>
          </cell>
          <cell r="F2084">
            <v>44638.437997685185</v>
          </cell>
          <cell r="H2084" t="str">
            <v>B&amp;P-047-PE-209-4G</v>
          </cell>
          <cell r="J2084">
            <v>1</v>
          </cell>
        </row>
        <row r="2085">
          <cell r="C2085" t="str">
            <v>B&amp;P-046-HCP209-28</v>
          </cell>
          <cell r="F2085">
            <v>44638.437997685185</v>
          </cell>
          <cell r="H2085" t="str">
            <v>BPB-047-ECL209-28MM</v>
          </cell>
          <cell r="J2085">
            <v>1</v>
          </cell>
        </row>
        <row r="2086">
          <cell r="C2086" t="str">
            <v>B&amp;P-041-LS11-D</v>
          </cell>
          <cell r="F2086">
            <v>44642.392858796295</v>
          </cell>
          <cell r="H2086" t="str">
            <v>B&amp;P-001-LS11-D</v>
          </cell>
          <cell r="J2086">
            <v>1</v>
          </cell>
        </row>
        <row r="2087">
          <cell r="C2087" t="str">
            <v>B&amp;P-041-LS11-D</v>
          </cell>
          <cell r="F2087">
            <v>44642.392858796295</v>
          </cell>
          <cell r="H2087" t="str">
            <v>B&amp;P-002-LS11-D</v>
          </cell>
          <cell r="J2087">
            <v>1</v>
          </cell>
        </row>
        <row r="2088">
          <cell r="C2088" t="str">
            <v>B&amp;P-041-LS11-D</v>
          </cell>
          <cell r="F2088">
            <v>44642.392858796295</v>
          </cell>
          <cell r="H2088" t="str">
            <v>B&amp;P-005-RET/SET-LS11</v>
          </cell>
          <cell r="J2088">
            <v>1</v>
          </cell>
        </row>
        <row r="2089">
          <cell r="C2089" t="str">
            <v>B&amp;P-041-LS11-D</v>
          </cell>
          <cell r="F2089">
            <v>44642.392858796295</v>
          </cell>
          <cell r="H2089" t="str">
            <v>BPB-003-BALLS-7/16</v>
          </cell>
          <cell r="J2089">
            <v>12</v>
          </cell>
        </row>
        <row r="2090">
          <cell r="C2090" t="str">
            <v>BPB-041-HD04-2RS</v>
          </cell>
          <cell r="F2090">
            <v>44642.412685185183</v>
          </cell>
          <cell r="H2090" t="str">
            <v>B&amp;P-001-HD04-D</v>
          </cell>
          <cell r="J2090">
            <v>1</v>
          </cell>
        </row>
        <row r="2091">
          <cell r="C2091" t="str">
            <v>BPB-041-HD04-2RS</v>
          </cell>
          <cell r="F2091">
            <v>44642.412685185183</v>
          </cell>
          <cell r="H2091" t="str">
            <v>B&amp;P-002-HD04-D</v>
          </cell>
          <cell r="J2091">
            <v>1</v>
          </cell>
        </row>
        <row r="2092">
          <cell r="C2092" t="str">
            <v>BPB-041-HD04-2RS</v>
          </cell>
          <cell r="F2092">
            <v>44642.412685185183</v>
          </cell>
          <cell r="H2092" t="str">
            <v>B&amp;P-004-HD04RS-BLUE</v>
          </cell>
          <cell r="J2092">
            <v>2</v>
          </cell>
        </row>
        <row r="2093">
          <cell r="C2093" t="str">
            <v>BPB-041-HD04-2RS</v>
          </cell>
          <cell r="F2093">
            <v>44642.412685185183</v>
          </cell>
          <cell r="H2093" t="str">
            <v>B&amp;P-005-RET/SET-HD04</v>
          </cell>
          <cell r="J2093">
            <v>1</v>
          </cell>
        </row>
        <row r="2094">
          <cell r="C2094" t="str">
            <v>BPB-041-HD04-2RS</v>
          </cell>
          <cell r="F2094">
            <v>44642.412685185183</v>
          </cell>
          <cell r="H2094" t="str">
            <v>B&amp;P-003-Ball-3/8</v>
          </cell>
          <cell r="J2094">
            <v>7</v>
          </cell>
        </row>
        <row r="2095">
          <cell r="C2095" t="str">
            <v>BPB-041-HD06-2RS</v>
          </cell>
          <cell r="F2095">
            <v>44642.415416666663</v>
          </cell>
          <cell r="H2095" t="str">
            <v>B&amp;P-001-HD06-D</v>
          </cell>
          <cell r="J2095">
            <v>1</v>
          </cell>
        </row>
        <row r="2096">
          <cell r="C2096" t="str">
            <v>BPB-041-HD06-2RS</v>
          </cell>
          <cell r="F2096">
            <v>44642.415416666663</v>
          </cell>
          <cell r="H2096" t="str">
            <v>B&amp;P-002-HD06-D</v>
          </cell>
          <cell r="J2096">
            <v>1</v>
          </cell>
        </row>
        <row r="2097">
          <cell r="C2097" t="str">
            <v>BPB-041-HD06-2RS</v>
          </cell>
          <cell r="F2097">
            <v>44642.415416666663</v>
          </cell>
          <cell r="H2097" t="str">
            <v>B&amp;P-005-RET/SET-HD06</v>
          </cell>
          <cell r="J2097">
            <v>1</v>
          </cell>
        </row>
        <row r="2098">
          <cell r="C2098" t="str">
            <v>BPB-041-HD06-2RS</v>
          </cell>
          <cell r="F2098">
            <v>44642.415416666663</v>
          </cell>
          <cell r="H2098" t="str">
            <v>BPB-003-BALL-15/32</v>
          </cell>
          <cell r="J2098">
            <v>8</v>
          </cell>
        </row>
        <row r="2099">
          <cell r="C2099" t="str">
            <v>BPB-041-LS04-2RS</v>
          </cell>
          <cell r="F2099">
            <v>44642.42019675926</v>
          </cell>
          <cell r="H2099" t="str">
            <v>B&amp;P-001-LS04-D</v>
          </cell>
          <cell r="J2099">
            <v>1</v>
          </cell>
        </row>
        <row r="2100">
          <cell r="C2100" t="str">
            <v>BPB-041-LS04-2RS</v>
          </cell>
          <cell r="F2100">
            <v>44642.42019675926</v>
          </cell>
          <cell r="H2100" t="str">
            <v>B&amp;P-002-LS04-D</v>
          </cell>
          <cell r="J2100">
            <v>1</v>
          </cell>
        </row>
        <row r="2101">
          <cell r="C2101" t="str">
            <v>BPB-041-LS04-2RS</v>
          </cell>
          <cell r="F2101">
            <v>44642.42019675926</v>
          </cell>
          <cell r="H2101" t="str">
            <v>B&amp;P-004-LS04RS-BLUE</v>
          </cell>
          <cell r="J2101">
            <v>2</v>
          </cell>
        </row>
        <row r="2102">
          <cell r="C2102" t="str">
            <v>BPB-041-LS04-2RS</v>
          </cell>
          <cell r="F2102">
            <v>44642.42019675926</v>
          </cell>
          <cell r="H2102" t="str">
            <v>B&amp;P-005-RET/SET-LS04</v>
          </cell>
          <cell r="J2102">
            <v>1</v>
          </cell>
        </row>
        <row r="2103">
          <cell r="C2103" t="str">
            <v>BPB-041-LS04-2RS</v>
          </cell>
          <cell r="F2103">
            <v>44642.42019675926</v>
          </cell>
          <cell r="H2103" t="str">
            <v>BPB-003-BALL-1/4</v>
          </cell>
          <cell r="J2103">
            <v>9</v>
          </cell>
        </row>
        <row r="2104">
          <cell r="C2104" t="str">
            <v>BPB-041-LS06-2RS</v>
          </cell>
          <cell r="F2104">
            <v>44642.434004629627</v>
          </cell>
          <cell r="H2104" t="str">
            <v>B&amp;P-001-LS06-D</v>
          </cell>
          <cell r="J2104">
            <v>1</v>
          </cell>
        </row>
        <row r="2105">
          <cell r="C2105" t="str">
            <v>BPB-041-LS06-2RS</v>
          </cell>
          <cell r="F2105">
            <v>44642.434004629627</v>
          </cell>
          <cell r="H2105" t="str">
            <v>B&amp;P-002-LS06-D</v>
          </cell>
          <cell r="J2105">
            <v>1</v>
          </cell>
        </row>
        <row r="2106">
          <cell r="C2106" t="str">
            <v>BPB-041-LS06-2RS</v>
          </cell>
          <cell r="F2106">
            <v>44642.434004629627</v>
          </cell>
          <cell r="H2106" t="str">
            <v>B&amp;P-005-RET/SET-LS06</v>
          </cell>
          <cell r="J2106">
            <v>1</v>
          </cell>
        </row>
        <row r="2107">
          <cell r="C2107" t="str">
            <v>BPB-041-LS06-2RS</v>
          </cell>
          <cell r="F2107">
            <v>44642.434004629627</v>
          </cell>
          <cell r="H2107" t="str">
            <v>B&amp;P-004-LS06RS-BLUE</v>
          </cell>
          <cell r="J2107">
            <v>2</v>
          </cell>
        </row>
        <row r="2108">
          <cell r="C2108" t="str">
            <v>BPB-041-LS06-2RS</v>
          </cell>
          <cell r="F2108">
            <v>44642.434004629627</v>
          </cell>
          <cell r="H2108" t="str">
            <v>B&amp;P-003-Ball-9/32</v>
          </cell>
          <cell r="J2108">
            <v>11</v>
          </cell>
        </row>
        <row r="2109">
          <cell r="C2109" t="str">
            <v>BPB-041-HD07-D</v>
          </cell>
          <cell r="F2109">
            <v>44642.445289351854</v>
          </cell>
          <cell r="H2109" t="str">
            <v>B&amp;P-001-HD07-D</v>
          </cell>
          <cell r="J2109">
            <v>1</v>
          </cell>
        </row>
        <row r="2110">
          <cell r="C2110" t="str">
            <v>BPB-041-HD07-D</v>
          </cell>
          <cell r="F2110">
            <v>44642.445289351854</v>
          </cell>
          <cell r="H2110" t="str">
            <v>B&amp;P-002-HD07-D</v>
          </cell>
          <cell r="J2110">
            <v>1</v>
          </cell>
        </row>
        <row r="2111">
          <cell r="C2111" t="str">
            <v>BPB-041-HD07-D</v>
          </cell>
          <cell r="F2111">
            <v>44642.445289351854</v>
          </cell>
          <cell r="H2111" t="str">
            <v>B&amp;P-005-RET/SET-HD07</v>
          </cell>
          <cell r="J2111">
            <v>1</v>
          </cell>
        </row>
        <row r="2112">
          <cell r="C2112" t="str">
            <v>BPB-041-HD07-D</v>
          </cell>
          <cell r="F2112">
            <v>44642.445289351854</v>
          </cell>
          <cell r="H2112" t="str">
            <v>B&amp;P-003-17/32</v>
          </cell>
          <cell r="J2112">
            <v>8</v>
          </cell>
        </row>
        <row r="2113">
          <cell r="C2113" t="str">
            <v>B&amp;P-047-SAB208-40DD</v>
          </cell>
          <cell r="F2113">
            <v>44452.417395833334</v>
          </cell>
          <cell r="H2113" t="str">
            <v>B&amp;P-001-OR208</v>
          </cell>
          <cell r="J2113">
            <v>1</v>
          </cell>
        </row>
        <row r="2114">
          <cell r="C2114" t="str">
            <v>B&amp;P-047-SAB208-40DD</v>
          </cell>
          <cell r="F2114">
            <v>44452.417395833334</v>
          </cell>
          <cell r="H2114" t="str">
            <v>B&amp;P-002-SAB208-40-02</v>
          </cell>
          <cell r="J2114">
            <v>1</v>
          </cell>
        </row>
        <row r="2115">
          <cell r="C2115" t="str">
            <v>B&amp;P-047-SAB208-40DD</v>
          </cell>
          <cell r="F2115">
            <v>44452.417395833334</v>
          </cell>
          <cell r="H2115" t="str">
            <v>B&amp;P-005-CAGE208-17</v>
          </cell>
          <cell r="J2115">
            <v>1</v>
          </cell>
        </row>
        <row r="2116">
          <cell r="C2116" t="str">
            <v>B&amp;P-047-SAB208-40DD</v>
          </cell>
          <cell r="F2116">
            <v>44452.417395833334</v>
          </cell>
          <cell r="H2116" t="str">
            <v>B&amp;P-003-BALL-1/2</v>
          </cell>
          <cell r="J2116">
            <v>9</v>
          </cell>
        </row>
        <row r="2117">
          <cell r="C2117" t="str">
            <v>B&amp;P-047-SAB208-40DD</v>
          </cell>
          <cell r="F2117">
            <v>44452.417395833334</v>
          </cell>
          <cell r="H2117" t="str">
            <v>B&amp;P-004-208-DBL-08</v>
          </cell>
          <cell r="J2117">
            <v>2</v>
          </cell>
        </row>
        <row r="2118">
          <cell r="C2118" t="str">
            <v>B&amp;P-047-SAB207-35DD</v>
          </cell>
          <cell r="F2118">
            <v>44452.431469907409</v>
          </cell>
          <cell r="H2118" t="str">
            <v>B&amp;P-001-OR207</v>
          </cell>
          <cell r="J2118">
            <v>1</v>
          </cell>
        </row>
        <row r="2119">
          <cell r="C2119" t="str">
            <v>B&amp;P-047-SAB207-35DD</v>
          </cell>
          <cell r="F2119">
            <v>44452.431469907409</v>
          </cell>
          <cell r="H2119" t="str">
            <v>B&amp;P-002-SAB207-35-02</v>
          </cell>
          <cell r="J2119">
            <v>1</v>
          </cell>
        </row>
        <row r="2120">
          <cell r="C2120" t="str">
            <v>B&amp;P-047-SAB207-35DD</v>
          </cell>
          <cell r="F2120">
            <v>44452.431469907409</v>
          </cell>
          <cell r="H2120" t="str">
            <v>B&amp;P-005-CAGE207-17</v>
          </cell>
          <cell r="J2120">
            <v>1</v>
          </cell>
        </row>
        <row r="2121">
          <cell r="C2121" t="str">
            <v>B&amp;P-047-SAB207-35DD</v>
          </cell>
          <cell r="F2121">
            <v>44452.431469907409</v>
          </cell>
          <cell r="H2121" t="str">
            <v>B&amp;P-003-Ball-7/16</v>
          </cell>
          <cell r="J2121">
            <v>9</v>
          </cell>
        </row>
        <row r="2122">
          <cell r="C2122" t="str">
            <v>B&amp;P-047-SAB207-35DD</v>
          </cell>
          <cell r="F2122">
            <v>44452.431469907409</v>
          </cell>
          <cell r="H2122" t="str">
            <v>B&amp;P-004-207-DBL-08</v>
          </cell>
          <cell r="J2122">
            <v>2</v>
          </cell>
        </row>
        <row r="2123">
          <cell r="C2123" t="str">
            <v>B&amp;P-041-MS03-2RS</v>
          </cell>
          <cell r="F2123">
            <v>44635.554525462961</v>
          </cell>
          <cell r="H2123" t="str">
            <v>B&amp;P-001-MS03-D</v>
          </cell>
          <cell r="J2123">
            <v>1</v>
          </cell>
        </row>
        <row r="2124">
          <cell r="C2124" t="str">
            <v>B&amp;P-041-MS03-2RS</v>
          </cell>
          <cell r="F2124">
            <v>44635.554525462961</v>
          </cell>
          <cell r="H2124" t="str">
            <v>B&amp;P-002-MS03-D</v>
          </cell>
          <cell r="J2124">
            <v>1</v>
          </cell>
        </row>
        <row r="2125">
          <cell r="C2125" t="str">
            <v>B&amp;P-041-MS03-2RS</v>
          </cell>
          <cell r="F2125">
            <v>44635.554525462961</v>
          </cell>
          <cell r="H2125" t="str">
            <v>B&amp;P-005-RET/SET-MS03</v>
          </cell>
          <cell r="J2125">
            <v>1</v>
          </cell>
        </row>
        <row r="2126">
          <cell r="C2126" t="str">
            <v>B&amp;P-041-MS03-2RS</v>
          </cell>
          <cell r="F2126">
            <v>44635.554525462961</v>
          </cell>
          <cell r="H2126" t="str">
            <v>B&amp;P-003-BALL-17/64</v>
          </cell>
          <cell r="J2126">
            <v>8</v>
          </cell>
        </row>
        <row r="2127">
          <cell r="C2127" t="str">
            <v>B&amp;P-041-MS03-2RS</v>
          </cell>
          <cell r="F2127">
            <v>44635.554525462961</v>
          </cell>
          <cell r="H2127" t="str">
            <v>BPB-004-MS03RS-BLUE</v>
          </cell>
          <cell r="J2127">
            <v>2</v>
          </cell>
        </row>
        <row r="2128">
          <cell r="C2128" t="str">
            <v>B&amp;P-041-MS04-2RS</v>
          </cell>
          <cell r="F2128">
            <v>44635.592592592591</v>
          </cell>
          <cell r="H2128" t="str">
            <v>B&amp;P-001-MS04-D</v>
          </cell>
          <cell r="J2128">
            <v>1</v>
          </cell>
        </row>
        <row r="2129">
          <cell r="C2129" t="str">
            <v>B&amp;P-041-MS04-2RS</v>
          </cell>
          <cell r="F2129">
            <v>44635.592592592591</v>
          </cell>
          <cell r="H2129" t="str">
            <v>B&amp;P-002-MS04-D</v>
          </cell>
          <cell r="J2129">
            <v>1</v>
          </cell>
        </row>
        <row r="2130">
          <cell r="C2130" t="str">
            <v>B&amp;P-041-MS04-2RS</v>
          </cell>
          <cell r="F2130">
            <v>44635.592592592591</v>
          </cell>
          <cell r="H2130" t="str">
            <v>B&amp;P-005-RET/SET-MS04</v>
          </cell>
          <cell r="J2130">
            <v>1</v>
          </cell>
        </row>
        <row r="2131">
          <cell r="C2131" t="str">
            <v>B&amp;P-041-MS04-2RS</v>
          </cell>
          <cell r="F2131">
            <v>44635.592592592591</v>
          </cell>
          <cell r="H2131" t="str">
            <v>B&amp;P-003-Ball-5/16</v>
          </cell>
          <cell r="J2131">
            <v>8</v>
          </cell>
        </row>
        <row r="2132">
          <cell r="C2132" t="str">
            <v>B&amp;P-041-MS04-2RS</v>
          </cell>
          <cell r="F2132">
            <v>44635.592592592591</v>
          </cell>
          <cell r="H2132" t="str">
            <v>BPB-004-MS04RS-BLUE</v>
          </cell>
          <cell r="J2132">
            <v>2</v>
          </cell>
        </row>
        <row r="2133">
          <cell r="C2133" t="str">
            <v>BPB-041-HD05-2RS</v>
          </cell>
          <cell r="F2133">
            <v>44635.628009259257</v>
          </cell>
          <cell r="H2133" t="str">
            <v>B&amp;P-001-HD05-D</v>
          </cell>
          <cell r="J2133">
            <v>1</v>
          </cell>
        </row>
        <row r="2134">
          <cell r="C2134" t="str">
            <v>BPB-041-HD05-2RS</v>
          </cell>
          <cell r="F2134">
            <v>44635.628009259257</v>
          </cell>
          <cell r="H2134" t="str">
            <v>B&amp;P-002-HD05-D</v>
          </cell>
          <cell r="J2134">
            <v>1</v>
          </cell>
        </row>
        <row r="2135">
          <cell r="C2135" t="str">
            <v>BPB-041-HD05-2RS</v>
          </cell>
          <cell r="F2135">
            <v>44635.628009259257</v>
          </cell>
          <cell r="H2135" t="str">
            <v>B&amp;P-005-RET/SET-HD05</v>
          </cell>
          <cell r="J2135">
            <v>1</v>
          </cell>
        </row>
        <row r="2136">
          <cell r="C2136" t="str">
            <v>BPB-041-HD05-2RS</v>
          </cell>
          <cell r="F2136">
            <v>44635.628009259257</v>
          </cell>
          <cell r="H2136" t="str">
            <v>B&amp;P-003-Ball-29/64</v>
          </cell>
          <cell r="J2136">
            <v>7</v>
          </cell>
        </row>
        <row r="2137">
          <cell r="C2137" t="str">
            <v>BPB-041-HD05-2RS</v>
          </cell>
          <cell r="F2137">
            <v>44635.628009259257</v>
          </cell>
          <cell r="H2137" t="str">
            <v>B&amp;P-004-HD05RS-BLUE</v>
          </cell>
          <cell r="J2137">
            <v>2</v>
          </cell>
        </row>
        <row r="2138">
          <cell r="C2138" t="str">
            <v>BPB-041-HD01-2RS</v>
          </cell>
          <cell r="F2138">
            <v>44635.629537037035</v>
          </cell>
          <cell r="H2138" t="str">
            <v>B&amp;P-001-HD01-D</v>
          </cell>
          <cell r="J2138">
            <v>1</v>
          </cell>
        </row>
        <row r="2139">
          <cell r="C2139" t="str">
            <v>BPB-041-HD01-2RS</v>
          </cell>
          <cell r="F2139">
            <v>44635.629537037035</v>
          </cell>
          <cell r="H2139" t="str">
            <v>B&amp;P-002-HD01-D</v>
          </cell>
          <cell r="J2139">
            <v>1</v>
          </cell>
        </row>
        <row r="2140">
          <cell r="C2140" t="str">
            <v>BPB-041-HD01-2RS</v>
          </cell>
          <cell r="F2140">
            <v>44635.629537037035</v>
          </cell>
          <cell r="H2140" t="str">
            <v>B&amp;P-005-RET/SET-HD01</v>
          </cell>
          <cell r="J2140">
            <v>1</v>
          </cell>
        </row>
        <row r="2141">
          <cell r="C2141" t="str">
            <v>BPB-041-HD01-2RS</v>
          </cell>
          <cell r="F2141">
            <v>44635.629537037035</v>
          </cell>
          <cell r="H2141" t="str">
            <v>B&amp;P-003-Ball-5/16</v>
          </cell>
          <cell r="J2141">
            <v>6</v>
          </cell>
        </row>
        <row r="2142">
          <cell r="C2142" t="str">
            <v>BPB-041-HD01-2RS</v>
          </cell>
          <cell r="F2142">
            <v>44635.629537037035</v>
          </cell>
          <cell r="H2142" t="str">
            <v>B&amp;P-004-HD01RS-BLUE</v>
          </cell>
          <cell r="J2142">
            <v>2</v>
          </cell>
        </row>
        <row r="2143">
          <cell r="C2143" t="str">
            <v>B&amp;P-047-ACL207-23RG</v>
          </cell>
          <cell r="F2143">
            <v>44635.649548611109</v>
          </cell>
          <cell r="H2143" t="str">
            <v>B&amp;P-001-OR207-G</v>
          </cell>
          <cell r="J2143">
            <v>1</v>
          </cell>
        </row>
        <row r="2144">
          <cell r="C2144" t="str">
            <v>B&amp;P-047-ACL207-23RG</v>
          </cell>
          <cell r="F2144">
            <v>44635.649548611109</v>
          </cell>
          <cell r="H2144" t="str">
            <v>B&amp;P-002-ACL207-23-02</v>
          </cell>
          <cell r="J2144">
            <v>1</v>
          </cell>
        </row>
        <row r="2145">
          <cell r="C2145" t="str">
            <v>B&amp;P-047-ACL207-23RG</v>
          </cell>
          <cell r="F2145">
            <v>44635.649548611109</v>
          </cell>
          <cell r="H2145" t="str">
            <v>B&amp;P-005-CAGE207-17</v>
          </cell>
          <cell r="J2145">
            <v>1</v>
          </cell>
        </row>
        <row r="2146">
          <cell r="C2146" t="str">
            <v>B&amp;P-047-ACL207-23RG</v>
          </cell>
          <cell r="F2146">
            <v>44635.649548611109</v>
          </cell>
          <cell r="H2146" t="str">
            <v>B&amp;P-003-Ball-7/16</v>
          </cell>
          <cell r="J2146">
            <v>9</v>
          </cell>
        </row>
        <row r="2147">
          <cell r="C2147" t="str">
            <v>B&amp;P-047-ACL207-23RG</v>
          </cell>
          <cell r="F2147">
            <v>44635.649548611109</v>
          </cell>
          <cell r="H2147" t="str">
            <v>B&amp;P-004-207-RW-08</v>
          </cell>
          <cell r="J2147">
            <v>2</v>
          </cell>
        </row>
        <row r="2148">
          <cell r="C2148" t="str">
            <v>B&amp;P-047-ACL207-23RG</v>
          </cell>
          <cell r="F2148">
            <v>44635.649548611109</v>
          </cell>
          <cell r="H2148" t="str">
            <v>B&amp;P-010-LOC207-35</v>
          </cell>
          <cell r="J2148">
            <v>1</v>
          </cell>
        </row>
        <row r="2149">
          <cell r="C2149" t="str">
            <v>BPB-041-HD07-2RS</v>
          </cell>
          <cell r="F2149">
            <v>44642.446851851855</v>
          </cell>
          <cell r="H2149" t="str">
            <v>B&amp;P-001-HD07-D</v>
          </cell>
          <cell r="J2149">
            <v>1</v>
          </cell>
        </row>
        <row r="2150">
          <cell r="C2150" t="str">
            <v>BPB-041-HD07-2RS</v>
          </cell>
          <cell r="F2150">
            <v>44642.446851851855</v>
          </cell>
          <cell r="H2150" t="str">
            <v>B&amp;P-002-HD07-D</v>
          </cell>
          <cell r="J2150">
            <v>1</v>
          </cell>
        </row>
        <row r="2151">
          <cell r="C2151" t="str">
            <v>BPB-041-HD07-2RS</v>
          </cell>
          <cell r="F2151">
            <v>44642.446851851855</v>
          </cell>
          <cell r="H2151" t="str">
            <v>B&amp;P-005-RET/SET-HD07</v>
          </cell>
          <cell r="J2151">
            <v>1</v>
          </cell>
        </row>
        <row r="2152">
          <cell r="C2152" t="str">
            <v>BPB-041-HD07-2RS</v>
          </cell>
          <cell r="F2152">
            <v>44642.446851851855</v>
          </cell>
          <cell r="H2152" t="str">
            <v>B&amp;P-003-17/32</v>
          </cell>
          <cell r="J2152">
            <v>8</v>
          </cell>
        </row>
        <row r="2153">
          <cell r="C2153" t="str">
            <v>BPB-041-HD07-2RS</v>
          </cell>
          <cell r="F2153">
            <v>44642.446851851855</v>
          </cell>
          <cell r="H2153" t="str">
            <v>B&amp;P-004-HD07RS-BLUE</v>
          </cell>
          <cell r="J2153">
            <v>2</v>
          </cell>
        </row>
        <row r="2154">
          <cell r="C2154" t="str">
            <v>B&amp;P-047-ECL-212-60DG</v>
          </cell>
          <cell r="F2154">
            <v>44642.470347222225</v>
          </cell>
          <cell r="H2154" t="str">
            <v>B&amp;P-001-OR212-G</v>
          </cell>
          <cell r="J2154">
            <v>1</v>
          </cell>
        </row>
        <row r="2155">
          <cell r="C2155" t="str">
            <v>B&amp;P-047-ECL-212-60DG</v>
          </cell>
          <cell r="F2155">
            <v>44642.470347222225</v>
          </cell>
          <cell r="H2155" t="str">
            <v>B&amp;P-002-ECL212-60-02</v>
          </cell>
          <cell r="J2155">
            <v>1</v>
          </cell>
        </row>
        <row r="2156">
          <cell r="C2156" t="str">
            <v>B&amp;P-047-ECL-212-60DG</v>
          </cell>
          <cell r="F2156">
            <v>44642.470347222225</v>
          </cell>
          <cell r="H2156" t="str">
            <v>B&amp;P-005-CAGE212-17</v>
          </cell>
          <cell r="J2156">
            <v>1</v>
          </cell>
        </row>
        <row r="2157">
          <cell r="C2157" t="str">
            <v>B&amp;P-047-ECL-212-60DG</v>
          </cell>
          <cell r="F2157">
            <v>44642.470347222225</v>
          </cell>
          <cell r="H2157" t="str">
            <v>BPB-003-19/32-G10</v>
          </cell>
          <cell r="J2157">
            <v>10</v>
          </cell>
        </row>
        <row r="2158">
          <cell r="C2158" t="str">
            <v>B&amp;P-047-ECL-212-60DG</v>
          </cell>
          <cell r="F2158">
            <v>44642.470347222225</v>
          </cell>
          <cell r="H2158" t="str">
            <v>B&amp;P-004-212-DBL-08</v>
          </cell>
          <cell r="J2158">
            <v>2</v>
          </cell>
        </row>
        <row r="2159">
          <cell r="C2159" t="str">
            <v>B&amp;P-047-ECL-212-60DG</v>
          </cell>
          <cell r="F2159">
            <v>44642.470347222225</v>
          </cell>
          <cell r="H2159" t="str">
            <v>B&amp;P-010-LOC212-60</v>
          </cell>
          <cell r="J2159">
            <v>1</v>
          </cell>
        </row>
        <row r="2160">
          <cell r="C2160" t="str">
            <v>BPB-048-204KYY2</v>
          </cell>
          <cell r="F2160">
            <v>44642.479791666665</v>
          </cell>
          <cell r="H2160" t="str">
            <v>B&amp;P-001-OR204-R14</v>
          </cell>
          <cell r="J2160">
            <v>1</v>
          </cell>
        </row>
        <row r="2161">
          <cell r="C2161" t="str">
            <v>BPB-048-204KYY2</v>
          </cell>
          <cell r="F2161">
            <v>44642.479791666665</v>
          </cell>
          <cell r="H2161" t="str">
            <v>B&amp;P-002-204-K2</v>
          </cell>
          <cell r="J2161">
            <v>1</v>
          </cell>
        </row>
        <row r="2162">
          <cell r="C2162" t="str">
            <v>BPB-048-204KYY2</v>
          </cell>
          <cell r="F2162">
            <v>44642.479791666665</v>
          </cell>
          <cell r="H2162" t="str">
            <v>B&amp;P-005-CAGE204-17</v>
          </cell>
          <cell r="J2162">
            <v>1</v>
          </cell>
        </row>
        <row r="2163">
          <cell r="C2163" t="str">
            <v>BPB-048-204KYY2</v>
          </cell>
          <cell r="F2163">
            <v>44642.479791666665</v>
          </cell>
          <cell r="H2163" t="str">
            <v>B&amp;P-003-Ball-5/16</v>
          </cell>
          <cell r="J2163">
            <v>8</v>
          </cell>
        </row>
        <row r="2164">
          <cell r="C2164" t="str">
            <v>BPB-048-204KYY2</v>
          </cell>
          <cell r="F2164">
            <v>44642.479791666665</v>
          </cell>
          <cell r="H2164" t="str">
            <v>B&amp;P-004-204-DBL-08</v>
          </cell>
          <cell r="J2164">
            <v>2</v>
          </cell>
        </row>
        <row r="2165">
          <cell r="C2165" t="str">
            <v>BPB-047-ACL206-30RR1</v>
          </cell>
          <cell r="F2165">
            <v>44642.494375000002</v>
          </cell>
          <cell r="H2165" t="str">
            <v>B&amp;P-001-OR206-18</v>
          </cell>
          <cell r="J2165">
            <v>1</v>
          </cell>
        </row>
        <row r="2166">
          <cell r="C2166" t="str">
            <v>BPB-047-ACL206-30RR1</v>
          </cell>
          <cell r="F2166">
            <v>44642.494375000002</v>
          </cell>
          <cell r="H2166" t="str">
            <v>B&amp;P-002-ACL206-30-02</v>
          </cell>
          <cell r="J2166">
            <v>1</v>
          </cell>
        </row>
        <row r="2167">
          <cell r="C2167" t="str">
            <v>BPB-047-ACL206-30RR1</v>
          </cell>
          <cell r="F2167">
            <v>44642.494375000002</v>
          </cell>
          <cell r="H2167" t="str">
            <v>B&amp;P-005-CAGE206-17</v>
          </cell>
          <cell r="J2167">
            <v>1</v>
          </cell>
        </row>
        <row r="2168">
          <cell r="C2168" t="str">
            <v>BPB-047-ACL206-30RR1</v>
          </cell>
          <cell r="F2168">
            <v>44642.494375000002</v>
          </cell>
          <cell r="H2168" t="str">
            <v>B&amp;P-003-Ball-3/8</v>
          </cell>
          <cell r="J2168">
            <v>9</v>
          </cell>
        </row>
        <row r="2169">
          <cell r="C2169" t="str">
            <v>BPB-047-ACL206-30RR1</v>
          </cell>
          <cell r="F2169">
            <v>44642.494375000002</v>
          </cell>
          <cell r="H2169" t="str">
            <v>B&amp;P-004-206-RW-08</v>
          </cell>
          <cell r="J2169">
            <v>2</v>
          </cell>
        </row>
        <row r="2170">
          <cell r="C2170" t="str">
            <v>BPB-047-ACL206-30RR1</v>
          </cell>
          <cell r="F2170">
            <v>44642.494375000002</v>
          </cell>
          <cell r="H2170" t="str">
            <v>B&amp;P-010-LOC206-30</v>
          </cell>
          <cell r="J2170">
            <v>1</v>
          </cell>
        </row>
        <row r="2171">
          <cell r="C2171" t="str">
            <v>BPB-047-ACL206-30RG</v>
          </cell>
          <cell r="F2171">
            <v>44642.527094907404</v>
          </cell>
          <cell r="H2171" t="str">
            <v>B&amp;P-001-OR206-G18</v>
          </cell>
          <cell r="J2171">
            <v>1</v>
          </cell>
        </row>
        <row r="2172">
          <cell r="C2172" t="str">
            <v>BPB-047-ACL206-30RG</v>
          </cell>
          <cell r="F2172">
            <v>44642.527094907404</v>
          </cell>
          <cell r="H2172" t="str">
            <v>B&amp;P-002-ACL206-30-02</v>
          </cell>
          <cell r="J2172">
            <v>1</v>
          </cell>
        </row>
        <row r="2173">
          <cell r="C2173" t="str">
            <v>BPB-047-ACL206-30RG</v>
          </cell>
          <cell r="F2173">
            <v>44642.527094907404</v>
          </cell>
          <cell r="H2173" t="str">
            <v>B&amp;P-005-CAGE206-17</v>
          </cell>
          <cell r="J2173">
            <v>1</v>
          </cell>
        </row>
        <row r="2174">
          <cell r="C2174" t="str">
            <v>BPB-047-ACL206-30RG</v>
          </cell>
          <cell r="F2174">
            <v>44642.527094907404</v>
          </cell>
          <cell r="H2174" t="str">
            <v>B&amp;P-003-Ball-3/8</v>
          </cell>
          <cell r="J2174">
            <v>9</v>
          </cell>
        </row>
        <row r="2175">
          <cell r="C2175" t="str">
            <v>BPB-047-ACL206-30RG</v>
          </cell>
          <cell r="F2175">
            <v>44642.527094907404</v>
          </cell>
          <cell r="H2175" t="str">
            <v>B&amp;P-004-206-RW-08</v>
          </cell>
          <cell r="J2175">
            <v>2</v>
          </cell>
        </row>
        <row r="2176">
          <cell r="C2176" t="str">
            <v>BPB-047-ACL206-30RG</v>
          </cell>
          <cell r="F2176">
            <v>44642.527094907404</v>
          </cell>
          <cell r="H2176" t="str">
            <v>B&amp;P-010-LOC206-30</v>
          </cell>
          <cell r="J2176">
            <v>1</v>
          </cell>
        </row>
        <row r="2177">
          <cell r="C2177" t="str">
            <v>BPB-047-ECL-207-22-D</v>
          </cell>
          <cell r="F2177">
            <v>44642.58934027778</v>
          </cell>
          <cell r="H2177" t="str">
            <v>B&amp;P-001-OR207-G</v>
          </cell>
          <cell r="J2177">
            <v>1</v>
          </cell>
        </row>
        <row r="2178">
          <cell r="C2178" t="str">
            <v>BPB-047-ECL-207-22-D</v>
          </cell>
          <cell r="F2178">
            <v>44642.58934027778</v>
          </cell>
          <cell r="H2178" t="str">
            <v>B&amp;P-002-ECL207-22-02</v>
          </cell>
          <cell r="J2178">
            <v>1</v>
          </cell>
        </row>
        <row r="2179">
          <cell r="C2179" t="str">
            <v>BPB-047-ECL-207-22-D</v>
          </cell>
          <cell r="F2179">
            <v>44642.58934027778</v>
          </cell>
          <cell r="H2179" t="str">
            <v>B&amp;P-005-CAGE207-17</v>
          </cell>
          <cell r="J2179">
            <v>1</v>
          </cell>
        </row>
        <row r="2180">
          <cell r="C2180" t="str">
            <v>BPB-047-ECL-207-22-D</v>
          </cell>
          <cell r="F2180">
            <v>44642.58934027778</v>
          </cell>
          <cell r="H2180" t="str">
            <v>B&amp;P-004-207-DBL-08</v>
          </cell>
          <cell r="J2180">
            <v>2</v>
          </cell>
        </row>
        <row r="2181">
          <cell r="C2181" t="str">
            <v>B&amp;P-047-F-206</v>
          </cell>
          <cell r="F2181">
            <v>44501.696215277778</v>
          </cell>
          <cell r="H2181" t="str">
            <v>BPB-047-F-206-A1</v>
          </cell>
          <cell r="J2181">
            <v>1</v>
          </cell>
        </row>
        <row r="2182">
          <cell r="C2182" t="str">
            <v>BPB-041-HD06-2RS</v>
          </cell>
          <cell r="F2182">
            <v>44642.415416666663</v>
          </cell>
          <cell r="H2182" t="str">
            <v>B&amp;P-004-HD06RS-BLUE</v>
          </cell>
          <cell r="J2182">
            <v>2</v>
          </cell>
        </row>
        <row r="2183">
          <cell r="C2183" t="str">
            <v>BPB-047-ECL-207-22-D</v>
          </cell>
          <cell r="F2183">
            <v>44642.58934027778</v>
          </cell>
          <cell r="H2183" t="str">
            <v>B&amp;P-010-LOC207-22</v>
          </cell>
          <cell r="J2183">
            <v>1</v>
          </cell>
        </row>
        <row r="2184">
          <cell r="C2184" t="str">
            <v>BPB-047-ECL-207-22-D</v>
          </cell>
          <cell r="F2184">
            <v>44642.58934027778</v>
          </cell>
          <cell r="H2184" t="str">
            <v>B&amp;P-003-Ball-7/16</v>
          </cell>
          <cell r="J2184">
            <v>9</v>
          </cell>
        </row>
        <row r="2185">
          <cell r="C2185" t="str">
            <v>B&amp;P-048-210-PP20</v>
          </cell>
          <cell r="F2185">
            <v>44642.599895833337</v>
          </cell>
          <cell r="H2185" t="str">
            <v>B&amp;P-001-OR210-R</v>
          </cell>
          <cell r="J2185">
            <v>1</v>
          </cell>
        </row>
        <row r="2186">
          <cell r="C2186" t="str">
            <v>B&amp;P-048-210-PP20</v>
          </cell>
          <cell r="F2186">
            <v>44642.599895833337</v>
          </cell>
          <cell r="H2186" t="str">
            <v>B&amp;P-002-210-20</v>
          </cell>
          <cell r="J2186">
            <v>1</v>
          </cell>
        </row>
        <row r="2187">
          <cell r="C2187" t="str">
            <v>B&amp;P-048-210-PP20</v>
          </cell>
          <cell r="F2187">
            <v>44642.599895833337</v>
          </cell>
          <cell r="H2187" t="str">
            <v>B&amp;P-005-CAGE210-17</v>
          </cell>
          <cell r="J2187">
            <v>1</v>
          </cell>
        </row>
        <row r="2188">
          <cell r="C2188" t="str">
            <v>B&amp;P-048-210-PP20</v>
          </cell>
          <cell r="F2188">
            <v>44642.599895833337</v>
          </cell>
          <cell r="H2188" t="str">
            <v>B&amp;P-003-BALL-1/2</v>
          </cell>
          <cell r="J2188">
            <v>10</v>
          </cell>
        </row>
        <row r="2189">
          <cell r="C2189" t="str">
            <v>B&amp;P-048-210-PP20</v>
          </cell>
          <cell r="F2189">
            <v>44642.599895833337</v>
          </cell>
          <cell r="H2189" t="str">
            <v>B&amp;P-004-210-TPL-08</v>
          </cell>
          <cell r="J2189">
            <v>2</v>
          </cell>
        </row>
        <row r="2190">
          <cell r="C2190" t="str">
            <v>B&amp;P-046-HCP207-20G</v>
          </cell>
          <cell r="F2190">
            <v>44649.337835648148</v>
          </cell>
          <cell r="H2190" t="str">
            <v>B&amp;P-047-PE-207-HAR</v>
          </cell>
          <cell r="J2190">
            <v>1</v>
          </cell>
        </row>
        <row r="2191">
          <cell r="C2191" t="str">
            <v>B&amp;P-046-HCP207-20G</v>
          </cell>
          <cell r="F2191">
            <v>44649.337835648148</v>
          </cell>
          <cell r="H2191" t="str">
            <v>BPB-047-ECL207-20MG</v>
          </cell>
          <cell r="J2191">
            <v>1</v>
          </cell>
        </row>
        <row r="2192">
          <cell r="C2192" t="str">
            <v>B&amp;P-046-HCP207-22G</v>
          </cell>
          <cell r="F2192">
            <v>44649.339259259257</v>
          </cell>
          <cell r="H2192" t="str">
            <v>BPB-047-ECL207-22MG</v>
          </cell>
          <cell r="J2192">
            <v>1</v>
          </cell>
        </row>
        <row r="2193">
          <cell r="C2193" t="str">
            <v>B&amp;P-046-HCP207-22G</v>
          </cell>
          <cell r="F2193">
            <v>44649.339259259257</v>
          </cell>
          <cell r="H2193" t="str">
            <v>B&amp;P-047-PE-207-HAR</v>
          </cell>
          <cell r="J2193">
            <v>1</v>
          </cell>
        </row>
        <row r="2194">
          <cell r="C2194" t="str">
            <v>B&amp;P-046-HCP211-32G</v>
          </cell>
          <cell r="F2194">
            <v>44649.666759259257</v>
          </cell>
          <cell r="H2194" t="str">
            <v>B&amp;P-047-PE-211-HT</v>
          </cell>
          <cell r="J2194">
            <v>1</v>
          </cell>
        </row>
        <row r="2195">
          <cell r="C2195" t="str">
            <v>B&amp;P-046-HCP211-32G</v>
          </cell>
          <cell r="F2195">
            <v>44649.666759259257</v>
          </cell>
          <cell r="H2195" t="str">
            <v>BPB-047-ECL211-32MG</v>
          </cell>
          <cell r="J2195">
            <v>1</v>
          </cell>
        </row>
        <row r="2196">
          <cell r="C2196" t="str">
            <v>B&amp;P-047-SAB209-3</v>
          </cell>
          <cell r="F2196">
            <v>44657.39912037037</v>
          </cell>
          <cell r="H2196" t="str">
            <v>B&amp;P-047-SAB-209-45DG</v>
          </cell>
          <cell r="J2196">
            <v>1</v>
          </cell>
        </row>
        <row r="2197">
          <cell r="C2197" t="str">
            <v>B&amp;P-047-SAB209-3</v>
          </cell>
          <cell r="F2197">
            <v>44657.39912037037</v>
          </cell>
          <cell r="H2197" t="str">
            <v>BPB-027-SAB5209-08</v>
          </cell>
          <cell r="J2197">
            <v>2</v>
          </cell>
        </row>
        <row r="2198">
          <cell r="C2198" t="str">
            <v>B&amp;P-041-HD03-2RST</v>
          </cell>
          <cell r="F2198">
            <v>44677.487164351849</v>
          </cell>
          <cell r="H2198" t="str">
            <v>B&amp;P-001-HD03-D</v>
          </cell>
          <cell r="J2198">
            <v>1</v>
          </cell>
        </row>
        <row r="2199">
          <cell r="C2199" t="str">
            <v>B&amp;P-041-HD03-2RST</v>
          </cell>
          <cell r="F2199">
            <v>44677.487164351849</v>
          </cell>
          <cell r="H2199" t="str">
            <v>B&amp;P-002-HD03-D</v>
          </cell>
          <cell r="J2199">
            <v>1</v>
          </cell>
        </row>
        <row r="2200">
          <cell r="C2200" t="str">
            <v>B&amp;P-041-HD03-2RST</v>
          </cell>
          <cell r="F2200">
            <v>44677.487164351849</v>
          </cell>
          <cell r="H2200" t="str">
            <v>B&amp;P-005-RET/SET-HD03</v>
          </cell>
          <cell r="J2200">
            <v>1</v>
          </cell>
        </row>
        <row r="2201">
          <cell r="C2201" t="str">
            <v>B&amp;P-041-HD03-2RST</v>
          </cell>
          <cell r="F2201">
            <v>44677.487164351849</v>
          </cell>
          <cell r="H2201" t="str">
            <v>BPB-003-BALL-11/32</v>
          </cell>
          <cell r="J2201">
            <v>7</v>
          </cell>
        </row>
        <row r="2202">
          <cell r="C2202" t="str">
            <v>B&amp;P-041-HD03-2RST</v>
          </cell>
          <cell r="F2202">
            <v>44677.487164351849</v>
          </cell>
          <cell r="H2202" t="str">
            <v>B&amp;P-004-HD03-2RST-08</v>
          </cell>
          <cell r="J2202">
            <v>2</v>
          </cell>
        </row>
        <row r="2203">
          <cell r="C2203" t="str">
            <v>BPB-048-CF5202-RM16</v>
          </cell>
          <cell r="F2203">
            <v>44701.408703703702</v>
          </cell>
          <cell r="H2203" t="str">
            <v>BPB-999-SAE4140Ø25.4</v>
          </cell>
          <cell r="J2203">
            <v>9.5000000000000001E-2</v>
          </cell>
        </row>
        <row r="2204">
          <cell r="C2204" t="str">
            <v>BPB-048-CF5202-RM16</v>
          </cell>
          <cell r="F2204">
            <v>44701.408703703702</v>
          </cell>
          <cell r="H2204" t="str">
            <v>BPB-048-CF5202-2RST-</v>
          </cell>
          <cell r="J2204">
            <v>1</v>
          </cell>
        </row>
        <row r="2205">
          <cell r="C2205" t="str">
            <v>B&amp;P-048-204-KYY7</v>
          </cell>
          <cell r="F2205">
            <v>44708.700659722221</v>
          </cell>
          <cell r="H2205" t="str">
            <v>B&amp;P-001-204-KYY7</v>
          </cell>
          <cell r="J2205">
            <v>1</v>
          </cell>
        </row>
        <row r="2206">
          <cell r="C2206" t="str">
            <v>B&amp;P-048-204-KYY7</v>
          </cell>
          <cell r="F2206">
            <v>44708.700659722221</v>
          </cell>
          <cell r="H2206" t="str">
            <v>B&amp;P-002-204-KYY7</v>
          </cell>
          <cell r="J2206">
            <v>1</v>
          </cell>
        </row>
        <row r="2207">
          <cell r="C2207" t="str">
            <v>B&amp;P-048-204-KYY7</v>
          </cell>
          <cell r="F2207">
            <v>44708.700659722221</v>
          </cell>
          <cell r="H2207" t="str">
            <v>B&amp;P-005-204-KYY7</v>
          </cell>
          <cell r="J2207">
            <v>1</v>
          </cell>
        </row>
        <row r="2208">
          <cell r="C2208" t="str">
            <v>B&amp;P-048-204-KYY7</v>
          </cell>
          <cell r="F2208">
            <v>44708.700659722221</v>
          </cell>
          <cell r="H2208" t="str">
            <v>B&amp;P-003-Ball-5/16</v>
          </cell>
          <cell r="J2208">
            <v>8</v>
          </cell>
        </row>
        <row r="2209">
          <cell r="C2209" t="str">
            <v>B&amp;P-048-204-KYY7</v>
          </cell>
          <cell r="F2209">
            <v>44708.700659722221</v>
          </cell>
          <cell r="H2209" t="str">
            <v>B&amp;P-004-204-KYY7</v>
          </cell>
          <cell r="J2209">
            <v>2</v>
          </cell>
        </row>
        <row r="2210">
          <cell r="C2210" t="str">
            <v>B&amp;P-048-207-KRRB9</v>
          </cell>
          <cell r="F2210">
            <v>44708.703333333331</v>
          </cell>
          <cell r="H2210" t="str">
            <v>B&amp;P-001-OR207-17</v>
          </cell>
          <cell r="J2210">
            <v>1</v>
          </cell>
        </row>
        <row r="2211">
          <cell r="C2211" t="str">
            <v>B&amp;P-048-207-KRRB9</v>
          </cell>
          <cell r="F2211">
            <v>44708.703333333331</v>
          </cell>
          <cell r="H2211" t="str">
            <v>B&amp;P-002-207-K9</v>
          </cell>
          <cell r="J2211">
            <v>1</v>
          </cell>
        </row>
        <row r="2212">
          <cell r="C2212" t="str">
            <v>B&amp;P-048-207-KRRB9</v>
          </cell>
          <cell r="F2212">
            <v>44708.703333333331</v>
          </cell>
          <cell r="H2212" t="str">
            <v>B&amp;P-005-CAGE207-17</v>
          </cell>
          <cell r="J2212">
            <v>1</v>
          </cell>
        </row>
        <row r="2213">
          <cell r="C2213" t="str">
            <v>B&amp;P-048-207-KRRB9</v>
          </cell>
          <cell r="F2213">
            <v>44708.703333333331</v>
          </cell>
          <cell r="H2213" t="str">
            <v>B&amp;P-003-Ball-7/16</v>
          </cell>
          <cell r="J2213">
            <v>9</v>
          </cell>
        </row>
        <row r="2214">
          <cell r="C2214" t="str">
            <v>B&amp;P-048-207-KRRB9</v>
          </cell>
          <cell r="F2214">
            <v>44708.703333333331</v>
          </cell>
          <cell r="H2214" t="str">
            <v>B&amp;P-004-207-RST-08</v>
          </cell>
          <cell r="J2214">
            <v>2</v>
          </cell>
        </row>
        <row r="2215">
          <cell r="C2215" t="str">
            <v>BPB-037-BP-12011-BI2</v>
          </cell>
          <cell r="F2215">
            <v>44774.385300925926</v>
          </cell>
          <cell r="H2215" t="str">
            <v>BPB-999-BP-12011-BI</v>
          </cell>
          <cell r="J2215">
            <v>1</v>
          </cell>
        </row>
        <row r="2216">
          <cell r="C2216" t="str">
            <v>BPB-037-BP-12011-BI2</v>
          </cell>
          <cell r="F2216">
            <v>44774.385300925926</v>
          </cell>
          <cell r="H2216" t="str">
            <v>BPB-999-BP-12011-BD</v>
          </cell>
          <cell r="J2216">
            <v>1</v>
          </cell>
        </row>
        <row r="2217">
          <cell r="C2217" t="str">
            <v>BPB-037-BP-12011-Bd2</v>
          </cell>
          <cell r="F2217">
            <v>44774.401574074072</v>
          </cell>
          <cell r="H2217" t="str">
            <v>BPB-999-BP-12011-BI</v>
          </cell>
          <cell r="J2217">
            <v>1</v>
          </cell>
        </row>
        <row r="2218">
          <cell r="C2218" t="str">
            <v>BPB-037-BP-12011-Bd2</v>
          </cell>
          <cell r="F2218">
            <v>44774.401574074072</v>
          </cell>
          <cell r="H2218" t="str">
            <v>BPB-999-BP-12011-BD</v>
          </cell>
          <cell r="J2218">
            <v>1</v>
          </cell>
        </row>
        <row r="2219">
          <cell r="C2219" t="str">
            <v>BPB-048-AG256514-CH</v>
          </cell>
          <cell r="F2219">
            <v>44839.469386574077</v>
          </cell>
          <cell r="H2219" t="str">
            <v>BPB-056-ENG-2565-CHS</v>
          </cell>
          <cell r="J2219">
            <v>1</v>
          </cell>
        </row>
        <row r="2220">
          <cell r="C2220" t="str">
            <v>BPB-048-AG256514-CH</v>
          </cell>
          <cell r="F2220">
            <v>44839.469386574077</v>
          </cell>
          <cell r="H2220" t="str">
            <v>B&amp;P-048-AG-1235-PPZ9</v>
          </cell>
          <cell r="J2220">
            <v>1</v>
          </cell>
        </row>
        <row r="2221">
          <cell r="C2221" t="str">
            <v>000-001-0</v>
          </cell>
          <cell r="F2221">
            <v>42251.417129629626</v>
          </cell>
          <cell r="H2221" t="str">
            <v>000-000-1</v>
          </cell>
          <cell r="J2221">
            <v>1</v>
          </cell>
        </row>
        <row r="2222">
          <cell r="C2222" t="str">
            <v>BPB-047-ECL209-45D-3</v>
          </cell>
          <cell r="F2222">
            <v>42846.394259259258</v>
          </cell>
          <cell r="H2222" t="str">
            <v>B&amp;P-047-ECL-209-45DG</v>
          </cell>
          <cell r="J2222">
            <v>1</v>
          </cell>
        </row>
        <row r="2223">
          <cell r="C2223" t="str">
            <v>B&amp;P-HS--MS03-2RLD-C0</v>
          </cell>
          <cell r="F2223">
            <v>42262.688298611109</v>
          </cell>
          <cell r="H2223" t="str">
            <v>B&amp;P-041-MS03-D-C0</v>
          </cell>
          <cell r="J2223">
            <v>1</v>
          </cell>
        </row>
        <row r="2224">
          <cell r="C2224" t="str">
            <v>B&amp;P-HS--MS03-2RLD-C0</v>
          </cell>
          <cell r="F2224">
            <v>42262.688298611109</v>
          </cell>
          <cell r="H2224" t="str">
            <v>BPB-000-POLYREX-EM</v>
          </cell>
          <cell r="J2224">
            <v>0.9</v>
          </cell>
        </row>
        <row r="2225">
          <cell r="C2225" t="str">
            <v>B&amp;P-HS--MS03-2RLD-C0</v>
          </cell>
          <cell r="F2225">
            <v>42262.688298611109</v>
          </cell>
          <cell r="H2225" t="str">
            <v>B&amp;P-004-MS03RLD-BLUE</v>
          </cell>
          <cell r="J2225">
            <v>2</v>
          </cell>
        </row>
        <row r="2226">
          <cell r="C2226" t="str">
            <v>B&amp;P-047-ECL-206-19DG</v>
          </cell>
          <cell r="F2226">
            <v>42290.38722222222</v>
          </cell>
          <cell r="H2226" t="str">
            <v>B&amp;P-001-OR206-01</v>
          </cell>
          <cell r="J2226">
            <v>1</v>
          </cell>
        </row>
        <row r="2227">
          <cell r="C2227" t="str">
            <v>B&amp;P-047-ECL-206-19DG</v>
          </cell>
          <cell r="F2227">
            <v>42290.38722222222</v>
          </cell>
          <cell r="H2227" t="str">
            <v>B&amp;P-002-ECL206-19-02</v>
          </cell>
          <cell r="J2227">
            <v>1</v>
          </cell>
        </row>
        <row r="2228">
          <cell r="C2228" t="str">
            <v>B&amp;P-047-ECL-206-19DG</v>
          </cell>
          <cell r="F2228">
            <v>42290.38722222222</v>
          </cell>
          <cell r="H2228" t="str">
            <v>B&amp;P-003-Ball-3/8</v>
          </cell>
          <cell r="J2228">
            <v>9</v>
          </cell>
        </row>
        <row r="2229">
          <cell r="C2229" t="str">
            <v>B&amp;P-047-ECL-206-19DG</v>
          </cell>
          <cell r="F2229">
            <v>42290.38722222222</v>
          </cell>
          <cell r="H2229" t="str">
            <v>B&amp;P-005-CAGE206-17</v>
          </cell>
          <cell r="J2229">
            <v>1</v>
          </cell>
        </row>
        <row r="2230">
          <cell r="C2230" t="str">
            <v>B&amp;P-047-ECL-206-19DG</v>
          </cell>
          <cell r="F2230">
            <v>42290.38722222222</v>
          </cell>
          <cell r="H2230" t="str">
            <v>BPB-000-POLYREX-EM</v>
          </cell>
          <cell r="J2230">
            <v>5.5</v>
          </cell>
        </row>
        <row r="2231">
          <cell r="C2231" t="str">
            <v>B&amp;P-047-ECL-206-19DG</v>
          </cell>
          <cell r="F2231">
            <v>42290.38722222222</v>
          </cell>
          <cell r="H2231" t="str">
            <v>B&amp;P-004-206-DBL-08</v>
          </cell>
          <cell r="J2231">
            <v>2</v>
          </cell>
        </row>
        <row r="2232">
          <cell r="C2232" t="str">
            <v>B&amp;P-047-ECL-206-19DG</v>
          </cell>
          <cell r="F2232">
            <v>42290.38722222222</v>
          </cell>
          <cell r="H2232" t="str">
            <v>B&amp;P-010-LOC206-19</v>
          </cell>
          <cell r="J2232">
            <v>1</v>
          </cell>
        </row>
        <row r="2233">
          <cell r="C2233" t="str">
            <v>PEE-047-HC-209-28-DB</v>
          </cell>
          <cell r="F2233">
            <v>42314.350682870368</v>
          </cell>
          <cell r="H2233" t="str">
            <v>PEE-048-UEL-209-26DB</v>
          </cell>
          <cell r="J2233">
            <v>1</v>
          </cell>
        </row>
        <row r="2234">
          <cell r="C2234" t="str">
            <v>BPB-047-PE209-M</v>
          </cell>
          <cell r="F2234">
            <v>43692.358113425929</v>
          </cell>
          <cell r="H2234" t="str">
            <v>BPB-047-PE-209</v>
          </cell>
          <cell r="J2234">
            <v>1</v>
          </cell>
        </row>
        <row r="2235">
          <cell r="C2235" t="str">
            <v>BPB-047-PE214-M</v>
          </cell>
          <cell r="F2235">
            <v>42382.448344907411</v>
          </cell>
          <cell r="H2235" t="str">
            <v>B&amp;P-047-PE-214</v>
          </cell>
          <cell r="J2235">
            <v>1</v>
          </cell>
        </row>
        <row r="2236">
          <cell r="C2236" t="str">
            <v>BPB-047-ACL-207-23</v>
          </cell>
          <cell r="F2236">
            <v>42387.631249999999</v>
          </cell>
          <cell r="H2236" t="str">
            <v>B&amp;P-001-OR207-01</v>
          </cell>
          <cell r="J2236">
            <v>1</v>
          </cell>
        </row>
        <row r="2237">
          <cell r="C2237" t="str">
            <v>BPB-047-ACL-207-23</v>
          </cell>
          <cell r="F2237">
            <v>42387.631249999999</v>
          </cell>
          <cell r="H2237" t="str">
            <v>B&amp;P-002-ACL207-23-02</v>
          </cell>
          <cell r="J2237">
            <v>1</v>
          </cell>
        </row>
        <row r="2238">
          <cell r="C2238" t="str">
            <v>BPB-047-ACL-207-23</v>
          </cell>
          <cell r="F2238">
            <v>42387.631249999999</v>
          </cell>
          <cell r="H2238" t="str">
            <v>B&amp;P-003-Ball-7/16</v>
          </cell>
          <cell r="J2238">
            <v>9</v>
          </cell>
        </row>
        <row r="2239">
          <cell r="C2239" t="str">
            <v>BPB-047-ACL-207-23</v>
          </cell>
          <cell r="F2239">
            <v>42387.631249999999</v>
          </cell>
          <cell r="H2239" t="str">
            <v>B&amp;P-005-CAGE207-17</v>
          </cell>
          <cell r="J2239">
            <v>1</v>
          </cell>
        </row>
        <row r="2240">
          <cell r="C2240" t="str">
            <v>BPB-047-ACL-207-23</v>
          </cell>
          <cell r="F2240">
            <v>42387.631249999999</v>
          </cell>
          <cell r="H2240" t="str">
            <v>BPB-000-POLYREX-EM</v>
          </cell>
          <cell r="J2240">
            <v>8.6</v>
          </cell>
        </row>
        <row r="2241">
          <cell r="C2241" t="str">
            <v>BPB-047-ACL-207-23</v>
          </cell>
          <cell r="F2241">
            <v>42387.631249999999</v>
          </cell>
          <cell r="H2241" t="str">
            <v>B&amp;P-004-207-RST-08</v>
          </cell>
          <cell r="J2241">
            <v>2</v>
          </cell>
        </row>
        <row r="2242">
          <cell r="C2242" t="str">
            <v>BPB-047-ACL-207-23</v>
          </cell>
          <cell r="F2242">
            <v>42387.631249999999</v>
          </cell>
          <cell r="H2242" t="str">
            <v>B&amp;P-010-LOC207-23</v>
          </cell>
          <cell r="J2242">
            <v>1</v>
          </cell>
        </row>
        <row r="2243">
          <cell r="C2243" t="str">
            <v>BPB-034-SQME-UTV-A2</v>
          </cell>
          <cell r="F2243">
            <v>42506.468240740738</v>
          </cell>
          <cell r="H2243" t="str">
            <v>BPB-999-SAE8620Ø31.7</v>
          </cell>
          <cell r="J2243">
            <v>7.2999999999999995E-2</v>
          </cell>
        </row>
        <row r="2244">
          <cell r="C2244" t="str">
            <v>BPB-034-SQME-UTV-A3</v>
          </cell>
          <cell r="F2244">
            <v>42506.526354166665</v>
          </cell>
          <cell r="H2244" t="str">
            <v>BPB-999-SAE8620Ø44.5</v>
          </cell>
          <cell r="J2244">
            <v>3.5000000000000003E-2</v>
          </cell>
        </row>
        <row r="2245">
          <cell r="C2245" t="str">
            <v>BPB-033-PB000153</v>
          </cell>
          <cell r="F2245">
            <v>42508.690011574072</v>
          </cell>
          <cell r="H2245" t="str">
            <v>BPB-033-ASA-50-1</v>
          </cell>
          <cell r="J2245">
            <v>7.5</v>
          </cell>
        </row>
        <row r="2246">
          <cell r="C2246" t="str">
            <v>BPB-033-PB000153</v>
          </cell>
          <cell r="F2246">
            <v>42508.690011574072</v>
          </cell>
          <cell r="H2246" t="str">
            <v>BPB-033-CL-50-1</v>
          </cell>
          <cell r="J2246">
            <v>1</v>
          </cell>
        </row>
        <row r="2247">
          <cell r="C2247" t="str">
            <v>B&amp;P-058-30211-MX</v>
          </cell>
          <cell r="F2247">
            <v>42698.501655092594</v>
          </cell>
          <cell r="H2247" t="str">
            <v>B&amp;P-053-TCX211</v>
          </cell>
          <cell r="J2247">
            <v>1</v>
          </cell>
        </row>
        <row r="2248">
          <cell r="C2248" t="str">
            <v>B&amp;P-058-30211-MX</v>
          </cell>
          <cell r="F2248">
            <v>42698.501655092594</v>
          </cell>
          <cell r="H2248" t="str">
            <v>B&amp;P-005-TCX211</v>
          </cell>
          <cell r="J2248">
            <v>1</v>
          </cell>
        </row>
        <row r="2249">
          <cell r="C2249" t="str">
            <v>B&amp;P-058-30211-MX</v>
          </cell>
          <cell r="F2249">
            <v>42698.501655092594</v>
          </cell>
          <cell r="H2249" t="str">
            <v>B&amp;P-003-TCX211</v>
          </cell>
          <cell r="J2249">
            <v>19</v>
          </cell>
        </row>
        <row r="2250">
          <cell r="C2250" t="str">
            <v>BPB-999-32208-MX</v>
          </cell>
          <cell r="F2250">
            <v>44516.360914351855</v>
          </cell>
          <cell r="H2250" t="str">
            <v>000-053-X-32208</v>
          </cell>
          <cell r="J2250">
            <v>1</v>
          </cell>
        </row>
        <row r="2251">
          <cell r="C2251" t="str">
            <v>BPB-999-32208-MX</v>
          </cell>
          <cell r="F2251">
            <v>44516.360914351855</v>
          </cell>
          <cell r="H2251" t="str">
            <v>000-054-TDY208</v>
          </cell>
          <cell r="J2251">
            <v>1</v>
          </cell>
        </row>
        <row r="2252">
          <cell r="C2252" t="str">
            <v>BPB-999-32209-MX</v>
          </cell>
          <cell r="F2252">
            <v>44516.361550925925</v>
          </cell>
          <cell r="H2252" t="str">
            <v>000-053-X-32209</v>
          </cell>
          <cell r="J2252">
            <v>1</v>
          </cell>
        </row>
        <row r="2253">
          <cell r="C2253" t="str">
            <v>BPB-999-32209-MX</v>
          </cell>
          <cell r="F2253">
            <v>44516.361550925925</v>
          </cell>
          <cell r="H2253" t="str">
            <v>000-054-TDY209</v>
          </cell>
          <cell r="J2253">
            <v>1</v>
          </cell>
        </row>
        <row r="2254">
          <cell r="C2254" t="str">
            <v>BPB-999-32014-MX</v>
          </cell>
          <cell r="F2254">
            <v>44516.362280092595</v>
          </cell>
          <cell r="H2254" t="str">
            <v>000-053-X-32014</v>
          </cell>
          <cell r="J2254">
            <v>1</v>
          </cell>
        </row>
        <row r="2255">
          <cell r="C2255" t="str">
            <v>BPB-999-32014-MX</v>
          </cell>
          <cell r="F2255">
            <v>44516.362280092595</v>
          </cell>
          <cell r="H2255" t="str">
            <v>000-054-TDY014</v>
          </cell>
          <cell r="J2255">
            <v>1</v>
          </cell>
        </row>
        <row r="2256">
          <cell r="C2256" t="str">
            <v>BPB-999-33210-MX</v>
          </cell>
          <cell r="F2256">
            <v>44516.362893518519</v>
          </cell>
          <cell r="H2256" t="str">
            <v>000-053-X-33210</v>
          </cell>
          <cell r="J2256">
            <v>1</v>
          </cell>
        </row>
        <row r="2257">
          <cell r="C2257" t="str">
            <v>BPB-999-33210-MX</v>
          </cell>
          <cell r="F2257">
            <v>44516.362893518519</v>
          </cell>
          <cell r="H2257" t="str">
            <v>000-054-TTY210</v>
          </cell>
          <cell r="J2257">
            <v>1</v>
          </cell>
        </row>
        <row r="2258">
          <cell r="C2258" t="str">
            <v>BPB-999-30213-MX</v>
          </cell>
          <cell r="F2258">
            <v>44516.365243055552</v>
          </cell>
          <cell r="H2258" t="str">
            <v>000-053-X-30213</v>
          </cell>
          <cell r="J2258">
            <v>1</v>
          </cell>
        </row>
        <row r="2259">
          <cell r="C2259" t="str">
            <v>BPB-999-30213-MX</v>
          </cell>
          <cell r="F2259">
            <v>44516.365243055552</v>
          </cell>
          <cell r="H2259" t="str">
            <v>000-054-TCY213</v>
          </cell>
          <cell r="J2259">
            <v>1</v>
          </cell>
        </row>
        <row r="2260">
          <cell r="C2260" t="str">
            <v>BPB-999-32212-MX</v>
          </cell>
          <cell r="F2260">
            <v>44516.369791666664</v>
          </cell>
          <cell r="H2260" t="str">
            <v>000-053-X-32212</v>
          </cell>
          <cell r="J2260">
            <v>1</v>
          </cell>
        </row>
        <row r="2261">
          <cell r="C2261" t="str">
            <v>BPB-999-32212-MX</v>
          </cell>
          <cell r="F2261">
            <v>44516.369791666664</v>
          </cell>
          <cell r="H2261" t="str">
            <v>000-054-TDY212</v>
          </cell>
          <cell r="J2261">
            <v>1</v>
          </cell>
        </row>
        <row r="2262">
          <cell r="C2262" t="str">
            <v>B&amp;P-048-207-KRRB17</v>
          </cell>
          <cell r="F2262">
            <v>44537.411226851851</v>
          </cell>
          <cell r="H2262" t="str">
            <v>B&amp;P-001-OR207-17</v>
          </cell>
          <cell r="J2262">
            <v>1</v>
          </cell>
        </row>
        <row r="2263">
          <cell r="C2263" t="str">
            <v>B&amp;P-048-207-KRRB17</v>
          </cell>
          <cell r="F2263">
            <v>44537.411226851851</v>
          </cell>
          <cell r="H2263" t="str">
            <v>B&amp;P-002-207-K17</v>
          </cell>
          <cell r="J2263">
            <v>1</v>
          </cell>
        </row>
        <row r="2264">
          <cell r="C2264" t="str">
            <v>B&amp;P-048-207-KRRB17</v>
          </cell>
          <cell r="F2264">
            <v>44537.411226851851</v>
          </cell>
          <cell r="H2264" t="str">
            <v>B&amp;P-005-CAGE207-17</v>
          </cell>
          <cell r="J2264">
            <v>1</v>
          </cell>
        </row>
        <row r="2265">
          <cell r="C2265" t="str">
            <v>B&amp;P-048-207-KRRB17</v>
          </cell>
          <cell r="F2265">
            <v>44537.411226851851</v>
          </cell>
          <cell r="H2265" t="str">
            <v>B&amp;P-003-Ball-7/16</v>
          </cell>
          <cell r="J2265">
            <v>9</v>
          </cell>
        </row>
        <row r="2266">
          <cell r="C2266" t="str">
            <v>B&amp;P-048-207-KRRB17</v>
          </cell>
          <cell r="F2266">
            <v>44537.411226851851</v>
          </cell>
          <cell r="H2266" t="str">
            <v>B&amp;P-004-207-RST-08</v>
          </cell>
          <cell r="J2266">
            <v>2</v>
          </cell>
        </row>
        <row r="2267">
          <cell r="C2267" t="str">
            <v>B&amp;P-048-209-KYYB2</v>
          </cell>
          <cell r="F2267">
            <v>44537.414282407408</v>
          </cell>
          <cell r="H2267" t="str">
            <v>B&amp;P-001-OR209-19</v>
          </cell>
          <cell r="J2267">
            <v>1</v>
          </cell>
        </row>
        <row r="2268">
          <cell r="C2268" t="str">
            <v>B&amp;P-048-209-KYYB2</v>
          </cell>
          <cell r="F2268">
            <v>44537.414282407408</v>
          </cell>
          <cell r="H2268" t="str">
            <v>B&amp;P-002-209-K2</v>
          </cell>
          <cell r="J2268">
            <v>1</v>
          </cell>
        </row>
        <row r="2269">
          <cell r="C2269" t="str">
            <v>B&amp;P-048-209-KYYB2</v>
          </cell>
          <cell r="F2269">
            <v>44537.414282407408</v>
          </cell>
          <cell r="H2269" t="str">
            <v>B&amp;P-005-CAGE209-17</v>
          </cell>
          <cell r="J2269">
            <v>1</v>
          </cell>
        </row>
        <row r="2270">
          <cell r="C2270" t="str">
            <v>B&amp;P-048-209-KYYB2</v>
          </cell>
          <cell r="F2270">
            <v>44537.414282407408</v>
          </cell>
          <cell r="H2270" t="str">
            <v>B&amp;P-003-BALL-1/2</v>
          </cell>
          <cell r="J2270">
            <v>9</v>
          </cell>
        </row>
        <row r="2271">
          <cell r="C2271" t="str">
            <v>B&amp;P-048-209-KYYB2</v>
          </cell>
          <cell r="F2271">
            <v>44537.414282407408</v>
          </cell>
          <cell r="H2271" t="str">
            <v>B&amp;P-004-209-DBL-08</v>
          </cell>
          <cell r="J2271">
            <v>2</v>
          </cell>
        </row>
        <row r="2272">
          <cell r="C2272" t="str">
            <v>B&amp;P-048-210-PPB20</v>
          </cell>
          <cell r="F2272">
            <v>44537.430810185186</v>
          </cell>
          <cell r="H2272" t="str">
            <v>B&amp;P-001-OR210</v>
          </cell>
          <cell r="J2272">
            <v>1</v>
          </cell>
        </row>
        <row r="2273">
          <cell r="C2273" t="str">
            <v>B&amp;P-048-210-PPB20</v>
          </cell>
          <cell r="F2273">
            <v>44537.430810185186</v>
          </cell>
          <cell r="H2273" t="str">
            <v>B&amp;P-002-210-20</v>
          </cell>
          <cell r="J2273">
            <v>1</v>
          </cell>
        </row>
        <row r="2274">
          <cell r="C2274" t="str">
            <v>B&amp;P-048-210-PPB20</v>
          </cell>
          <cell r="F2274">
            <v>44537.430810185186</v>
          </cell>
          <cell r="H2274" t="str">
            <v>B&amp;P-005-CAGE210-17</v>
          </cell>
          <cell r="J2274">
            <v>1</v>
          </cell>
        </row>
        <row r="2275">
          <cell r="C2275" t="str">
            <v>B&amp;P-048-210-PPB20</v>
          </cell>
          <cell r="F2275">
            <v>44537.430810185186</v>
          </cell>
          <cell r="H2275" t="str">
            <v>B&amp;P-003-BALL-1/2</v>
          </cell>
          <cell r="J2275">
            <v>10</v>
          </cell>
        </row>
        <row r="2276">
          <cell r="C2276" t="str">
            <v>B&amp;P-048-210-PPB20</v>
          </cell>
          <cell r="F2276">
            <v>44537.430810185186</v>
          </cell>
          <cell r="H2276" t="str">
            <v>B&amp;P-004-210-TPL-08</v>
          </cell>
          <cell r="J2276">
            <v>2</v>
          </cell>
        </row>
        <row r="2277">
          <cell r="C2277" t="str">
            <v>B&amp;P-048-W208PPB16</v>
          </cell>
          <cell r="F2277">
            <v>44537.432986111111</v>
          </cell>
          <cell r="H2277" t="str">
            <v>B&amp;P-001-OR208-18</v>
          </cell>
          <cell r="J2277">
            <v>1</v>
          </cell>
        </row>
        <row r="2278">
          <cell r="C2278" t="str">
            <v>B&amp;P-048-W208PPB16</v>
          </cell>
          <cell r="F2278">
            <v>44537.432986111111</v>
          </cell>
          <cell r="H2278" t="str">
            <v>B&amp;P-002-208-16</v>
          </cell>
          <cell r="J2278">
            <v>1</v>
          </cell>
        </row>
        <row r="2279">
          <cell r="C2279" t="str">
            <v>B&amp;P-048-W208PPB16</v>
          </cell>
          <cell r="F2279">
            <v>44537.432986111111</v>
          </cell>
          <cell r="H2279" t="str">
            <v>B&amp;P-005-CAGE208-17</v>
          </cell>
          <cell r="J2279">
            <v>1</v>
          </cell>
        </row>
        <row r="2280">
          <cell r="C2280" t="str">
            <v>B&amp;P-048-W208PPB16</v>
          </cell>
          <cell r="F2280">
            <v>44537.432986111111</v>
          </cell>
          <cell r="H2280" t="str">
            <v>B&amp;P-003-BALL-1/2</v>
          </cell>
          <cell r="J2280">
            <v>9</v>
          </cell>
        </row>
        <row r="2281">
          <cell r="C2281" t="str">
            <v>B&amp;P-048-W208PPB16</v>
          </cell>
          <cell r="F2281">
            <v>44537.432986111111</v>
          </cell>
          <cell r="H2281" t="str">
            <v>B&amp;P-004-208-TPL-08</v>
          </cell>
          <cell r="J2281">
            <v>2</v>
          </cell>
        </row>
        <row r="2282">
          <cell r="C2282" t="str">
            <v>BPB-047-ASL207-35RR</v>
          </cell>
          <cell r="F2282">
            <v>44537.463020833333</v>
          </cell>
          <cell r="H2282" t="str">
            <v>B&amp;P-001-OR207</v>
          </cell>
          <cell r="J2282">
            <v>1</v>
          </cell>
        </row>
        <row r="2283">
          <cell r="C2283" t="str">
            <v>BPB-047-ASL207-35RR</v>
          </cell>
          <cell r="F2283">
            <v>44537.463020833333</v>
          </cell>
          <cell r="H2283" t="str">
            <v>B&amp;P-002-ASL207-35-02</v>
          </cell>
          <cell r="J2283">
            <v>1</v>
          </cell>
        </row>
        <row r="2284">
          <cell r="C2284" t="str">
            <v>BPB-047-ASL207-35RR</v>
          </cell>
          <cell r="F2284">
            <v>44537.463020833333</v>
          </cell>
          <cell r="H2284" t="str">
            <v>B&amp;P-005-CAGE207-17</v>
          </cell>
          <cell r="J2284">
            <v>1</v>
          </cell>
        </row>
        <row r="2285">
          <cell r="C2285" t="str">
            <v>BPB-047-ASL207-35RR</v>
          </cell>
          <cell r="F2285">
            <v>44537.463020833333</v>
          </cell>
          <cell r="H2285" t="str">
            <v>B&amp;P-003-Ball-7/16</v>
          </cell>
          <cell r="J2285">
            <v>9</v>
          </cell>
        </row>
        <row r="2286">
          <cell r="C2286" t="str">
            <v>BPB-047-ASL207-35RR</v>
          </cell>
          <cell r="F2286">
            <v>44537.463020833333</v>
          </cell>
          <cell r="H2286" t="str">
            <v>B&amp;P-004-207-RW-08</v>
          </cell>
          <cell r="J2286">
            <v>2</v>
          </cell>
        </row>
        <row r="2287">
          <cell r="C2287" t="str">
            <v>BPB-047-ECL209-28MM</v>
          </cell>
          <cell r="F2287">
            <v>44622.399583333332</v>
          </cell>
          <cell r="H2287" t="str">
            <v>B&amp;P-001-OR209-01</v>
          </cell>
          <cell r="J2287">
            <v>1</v>
          </cell>
        </row>
        <row r="2288">
          <cell r="C2288" t="str">
            <v>BPB-047-ECL209-28MM</v>
          </cell>
          <cell r="F2288">
            <v>44622.399583333332</v>
          </cell>
          <cell r="H2288" t="str">
            <v>B&amp;P-002-ECL209-28-02</v>
          </cell>
          <cell r="J2288">
            <v>1</v>
          </cell>
        </row>
        <row r="2289">
          <cell r="C2289" t="str">
            <v>BPB-047-ECL209-28MM</v>
          </cell>
          <cell r="F2289">
            <v>44622.399583333332</v>
          </cell>
          <cell r="H2289" t="str">
            <v>B&amp;P-005-CAGE209-17</v>
          </cell>
          <cell r="J2289">
            <v>1</v>
          </cell>
        </row>
        <row r="2290">
          <cell r="C2290" t="str">
            <v>BPB-047-ECL209-28MM</v>
          </cell>
          <cell r="F2290">
            <v>44622.399583333332</v>
          </cell>
          <cell r="H2290" t="str">
            <v>B&amp;P-003-BALL-1/2</v>
          </cell>
          <cell r="J2290">
            <v>9</v>
          </cell>
        </row>
        <row r="2291">
          <cell r="C2291" t="str">
            <v>BPB-047-ECL209-28MM</v>
          </cell>
          <cell r="F2291">
            <v>44622.399583333332</v>
          </cell>
          <cell r="H2291" t="str">
            <v>B&amp;P-004-209-BR-08</v>
          </cell>
          <cell r="J2291">
            <v>2</v>
          </cell>
        </row>
        <row r="2292">
          <cell r="C2292" t="str">
            <v>BPB-047-ECL209-28MM</v>
          </cell>
          <cell r="F2292">
            <v>44622.399583333332</v>
          </cell>
          <cell r="H2292" t="str">
            <v>B&amp;P-027-209-BR-09</v>
          </cell>
          <cell r="J2292">
            <v>2</v>
          </cell>
        </row>
        <row r="2293">
          <cell r="C2293" t="str">
            <v>BPB-047-ECL209-28MM</v>
          </cell>
          <cell r="F2293">
            <v>44622.399583333332</v>
          </cell>
          <cell r="H2293" t="str">
            <v>B&amp;P-010-LOC209-28</v>
          </cell>
          <cell r="J2293">
            <v>1</v>
          </cell>
        </row>
        <row r="2294">
          <cell r="C2294" t="str">
            <v>BPB-047-ECL211-32MG</v>
          </cell>
          <cell r="F2294">
            <v>44622.402280092596</v>
          </cell>
          <cell r="H2294" t="str">
            <v>B&amp;P-001-OR211-G</v>
          </cell>
          <cell r="J2294">
            <v>1</v>
          </cell>
        </row>
        <row r="2295">
          <cell r="C2295" t="str">
            <v>BPB-047-ECL211-32MG</v>
          </cell>
          <cell r="F2295">
            <v>44622.402280092596</v>
          </cell>
          <cell r="H2295" t="str">
            <v>B&amp;P-002-ECL211-32-02</v>
          </cell>
          <cell r="J2295">
            <v>1</v>
          </cell>
        </row>
        <row r="2296">
          <cell r="C2296" t="str">
            <v>BPB-047-ECL211-32MG</v>
          </cell>
          <cell r="F2296">
            <v>44622.402280092596</v>
          </cell>
          <cell r="H2296" t="str">
            <v>B&amp;P-005-CAGE211-17</v>
          </cell>
          <cell r="J2296">
            <v>1</v>
          </cell>
        </row>
        <row r="2297">
          <cell r="C2297" t="str">
            <v>BPB-047-ECL211-32MG</v>
          </cell>
          <cell r="F2297">
            <v>44622.402280092596</v>
          </cell>
          <cell r="H2297" t="str">
            <v>B&amp;P-003-BALL-9/16</v>
          </cell>
          <cell r="J2297">
            <v>10</v>
          </cell>
        </row>
        <row r="2298">
          <cell r="C2298" t="str">
            <v>BPB-047-ECL211-32MG</v>
          </cell>
          <cell r="F2298">
            <v>44622.402280092596</v>
          </cell>
          <cell r="H2298" t="str">
            <v>B&amp;P-004-211-BR-08</v>
          </cell>
          <cell r="J2298">
            <v>2</v>
          </cell>
        </row>
        <row r="2299">
          <cell r="C2299" t="str">
            <v>BPB-047-ECL211-32MG</v>
          </cell>
          <cell r="F2299">
            <v>44622.402280092596</v>
          </cell>
          <cell r="H2299" t="str">
            <v>B&amp;P-027-211-BR-09</v>
          </cell>
          <cell r="J2299">
            <v>2</v>
          </cell>
        </row>
        <row r="2300">
          <cell r="C2300" t="str">
            <v>BPB-047-ECL211-32MG</v>
          </cell>
          <cell r="F2300">
            <v>44622.402280092596</v>
          </cell>
          <cell r="H2300" t="str">
            <v>B&amp;P-010-LOC211-32</v>
          </cell>
          <cell r="J2300">
            <v>1</v>
          </cell>
        </row>
        <row r="2301">
          <cell r="C2301" t="str">
            <v>BPB-047-ACL208-24RG</v>
          </cell>
          <cell r="F2301">
            <v>44622.420428240737</v>
          </cell>
          <cell r="H2301" t="str">
            <v>B&amp;P-001-OR208-G</v>
          </cell>
          <cell r="J2301">
            <v>1</v>
          </cell>
        </row>
        <row r="2302">
          <cell r="C2302" t="str">
            <v>BPB-047-ACL208-24RG</v>
          </cell>
          <cell r="F2302">
            <v>44622.420428240737</v>
          </cell>
          <cell r="H2302" t="str">
            <v>B&amp;P-002-ACL208-24-02</v>
          </cell>
          <cell r="J2302">
            <v>1</v>
          </cell>
        </row>
        <row r="2303">
          <cell r="C2303" t="str">
            <v>BPB-047-ACL208-24RG</v>
          </cell>
          <cell r="F2303">
            <v>44622.420428240737</v>
          </cell>
          <cell r="H2303" t="str">
            <v>B&amp;P-005-CAGE208-17</v>
          </cell>
          <cell r="J2303">
            <v>1</v>
          </cell>
        </row>
        <row r="2304">
          <cell r="C2304" t="str">
            <v>BPB-047-ACL208-24RG</v>
          </cell>
          <cell r="F2304">
            <v>44622.420428240737</v>
          </cell>
          <cell r="H2304" t="str">
            <v>B&amp;P-003-BALL-1/2</v>
          </cell>
          <cell r="J2304">
            <v>9</v>
          </cell>
        </row>
        <row r="2305">
          <cell r="C2305" t="str">
            <v>BPB-047-ACL208-24RG</v>
          </cell>
          <cell r="F2305">
            <v>44622.420428240737</v>
          </cell>
          <cell r="H2305" t="str">
            <v>B&amp;P-004-208-RST-08</v>
          </cell>
          <cell r="J2305">
            <v>2</v>
          </cell>
        </row>
        <row r="2306">
          <cell r="C2306" t="str">
            <v>BPB-047-ACL208-24RG</v>
          </cell>
          <cell r="F2306">
            <v>44622.420428240737</v>
          </cell>
          <cell r="H2306" t="str">
            <v>B&amp;P-010-LOC208-40</v>
          </cell>
          <cell r="J2306">
            <v>1</v>
          </cell>
        </row>
        <row r="2307">
          <cell r="C2307" t="str">
            <v>B&amp;P-048-G-210-KPPB2</v>
          </cell>
          <cell r="F2307">
            <v>44622.501863425925</v>
          </cell>
          <cell r="H2307" t="str">
            <v>B&amp;P-001-OR210-G</v>
          </cell>
          <cell r="J2307">
            <v>1</v>
          </cell>
        </row>
        <row r="2308">
          <cell r="C2308" t="str">
            <v>B&amp;P-048-G-210-KPPB2</v>
          </cell>
          <cell r="F2308">
            <v>44622.501863425925</v>
          </cell>
          <cell r="H2308" t="str">
            <v>B&amp;P-002-210-K2</v>
          </cell>
          <cell r="J2308">
            <v>1</v>
          </cell>
        </row>
        <row r="2309">
          <cell r="C2309" t="str">
            <v>B&amp;P-048-G-210-KPPB2</v>
          </cell>
          <cell r="F2309">
            <v>44622.501863425925</v>
          </cell>
          <cell r="H2309" t="str">
            <v>B&amp;P-005-CAGE210-17</v>
          </cell>
          <cell r="J2309">
            <v>1</v>
          </cell>
        </row>
        <row r="2310">
          <cell r="C2310" t="str">
            <v>B&amp;P-048-G-210-KPPB2</v>
          </cell>
          <cell r="F2310">
            <v>44622.501863425925</v>
          </cell>
          <cell r="H2310" t="str">
            <v>B&amp;P-003-BALL-1/2</v>
          </cell>
          <cell r="J2310">
            <v>10</v>
          </cell>
        </row>
        <row r="2311">
          <cell r="C2311" t="str">
            <v>B&amp;P-048-G-210-KPPB2</v>
          </cell>
          <cell r="F2311">
            <v>44622.501863425925</v>
          </cell>
          <cell r="H2311" t="str">
            <v>B&amp;P-004-210-TPL-08</v>
          </cell>
          <cell r="J2311">
            <v>2</v>
          </cell>
        </row>
        <row r="2312">
          <cell r="C2312" t="str">
            <v>BPB-047-ECL207-22MG</v>
          </cell>
          <cell r="F2312">
            <v>44622.447476851848</v>
          </cell>
          <cell r="H2312" t="str">
            <v>B&amp;P-001-OR207-G</v>
          </cell>
          <cell r="J2312">
            <v>1</v>
          </cell>
        </row>
        <row r="2313">
          <cell r="C2313" t="str">
            <v>BPB-047-ECL207-22MG</v>
          </cell>
          <cell r="F2313">
            <v>44622.447476851848</v>
          </cell>
          <cell r="H2313" t="str">
            <v>B&amp;P-002-ECL207-22-02</v>
          </cell>
          <cell r="J2313">
            <v>1</v>
          </cell>
        </row>
        <row r="2314">
          <cell r="C2314" t="str">
            <v>BPB-047-ECL207-22MG</v>
          </cell>
          <cell r="F2314">
            <v>44622.447476851848</v>
          </cell>
          <cell r="H2314" t="str">
            <v>B&amp;P-005-CAGE207-17</v>
          </cell>
          <cell r="J2314">
            <v>1</v>
          </cell>
        </row>
        <row r="2315">
          <cell r="C2315" t="str">
            <v>BPB-047-ECL207-22MG</v>
          </cell>
          <cell r="F2315">
            <v>44622.447476851848</v>
          </cell>
          <cell r="H2315" t="str">
            <v>B&amp;P-003-Ball-7/16</v>
          </cell>
          <cell r="J2315">
            <v>9</v>
          </cell>
        </row>
        <row r="2316">
          <cell r="C2316" t="str">
            <v>BPB-047-ECL207-22MG</v>
          </cell>
          <cell r="F2316">
            <v>44622.447476851848</v>
          </cell>
          <cell r="H2316" t="str">
            <v>B&amp;P-004-207-BR-08</v>
          </cell>
          <cell r="J2316">
            <v>2</v>
          </cell>
        </row>
        <row r="2317">
          <cell r="C2317" t="str">
            <v>BPB-047-ECL207-22MG</v>
          </cell>
          <cell r="F2317">
            <v>44622.447476851848</v>
          </cell>
          <cell r="H2317" t="str">
            <v>B&amp;P-027-207-BR-09</v>
          </cell>
          <cell r="J2317">
            <v>2</v>
          </cell>
        </row>
        <row r="2318">
          <cell r="C2318" t="str">
            <v>BPB-047-ECL207-22MG</v>
          </cell>
          <cell r="F2318">
            <v>44622.447476851848</v>
          </cell>
          <cell r="H2318" t="str">
            <v>B&amp;P-010-LOC207-22</v>
          </cell>
          <cell r="J2318">
            <v>1</v>
          </cell>
        </row>
        <row r="2319">
          <cell r="C2319" t="str">
            <v>BPB-047-ACL206-20</v>
          </cell>
          <cell r="F2319">
            <v>44622.467268518521</v>
          </cell>
          <cell r="H2319" t="str">
            <v>B&amp;P-001-OR206-G18</v>
          </cell>
          <cell r="J2319">
            <v>1</v>
          </cell>
        </row>
        <row r="2320">
          <cell r="C2320" t="str">
            <v>BPB-047-ACL206-20</v>
          </cell>
          <cell r="F2320">
            <v>44622.467268518521</v>
          </cell>
          <cell r="H2320" t="str">
            <v>B&amp;P-002-ACL206-20-02</v>
          </cell>
          <cell r="J2320">
            <v>1</v>
          </cell>
        </row>
        <row r="2321">
          <cell r="C2321" t="str">
            <v>BPB-047-ACL206-20</v>
          </cell>
          <cell r="F2321">
            <v>44622.467268518521</v>
          </cell>
          <cell r="H2321" t="str">
            <v>B&amp;P-005-CAGE206-17</v>
          </cell>
          <cell r="J2321">
            <v>1</v>
          </cell>
        </row>
        <row r="2322">
          <cell r="C2322" t="str">
            <v>BPB-047-ACL206-20</v>
          </cell>
          <cell r="F2322">
            <v>44622.467268518521</v>
          </cell>
          <cell r="H2322" t="str">
            <v>B&amp;P-003-Ball-3/8</v>
          </cell>
          <cell r="J2322">
            <v>9</v>
          </cell>
        </row>
        <row r="2323">
          <cell r="C2323" t="str">
            <v>BPB-047-ACL206-20</v>
          </cell>
          <cell r="F2323">
            <v>44622.467268518521</v>
          </cell>
          <cell r="H2323" t="str">
            <v>B&amp;P-004-206-RW-08</v>
          </cell>
          <cell r="J2323">
            <v>2</v>
          </cell>
        </row>
        <row r="2324">
          <cell r="C2324" t="str">
            <v>BPB-047-ACL206-20</v>
          </cell>
          <cell r="F2324">
            <v>44622.467268518521</v>
          </cell>
          <cell r="H2324" t="str">
            <v>B&amp;P-010-LOC206-19</v>
          </cell>
          <cell r="J2324">
            <v>1</v>
          </cell>
        </row>
        <row r="2325">
          <cell r="C2325" t="str">
            <v>BPB-048-G-210-KYYB2</v>
          </cell>
          <cell r="F2325">
            <v>44622.488298611112</v>
          </cell>
          <cell r="H2325" t="str">
            <v>B&amp;P-001-OR210-G</v>
          </cell>
          <cell r="J2325">
            <v>1</v>
          </cell>
        </row>
        <row r="2326">
          <cell r="C2326" t="str">
            <v>BPB-048-G-210-KYYB2</v>
          </cell>
          <cell r="F2326">
            <v>44622.488298611112</v>
          </cell>
          <cell r="H2326" t="str">
            <v>B&amp;P-002-210-K2</v>
          </cell>
          <cell r="J2326">
            <v>1</v>
          </cell>
        </row>
        <row r="2327">
          <cell r="C2327" t="str">
            <v>BPB-048-G-210-KYYB2</v>
          </cell>
          <cell r="F2327">
            <v>44622.488298611112</v>
          </cell>
          <cell r="H2327" t="str">
            <v>B&amp;P-005-CAGE210-17</v>
          </cell>
          <cell r="J2327">
            <v>1</v>
          </cell>
        </row>
        <row r="2328">
          <cell r="C2328" t="str">
            <v>BPB-048-G-210-KYYB2</v>
          </cell>
          <cell r="F2328">
            <v>44622.488298611112</v>
          </cell>
          <cell r="H2328" t="str">
            <v>B&amp;P-003-BALL-1/2</v>
          </cell>
          <cell r="J2328">
            <v>10</v>
          </cell>
        </row>
        <row r="2329">
          <cell r="C2329" t="str">
            <v>BPB-048-G-210-KYYB2</v>
          </cell>
          <cell r="F2329">
            <v>44622.488298611112</v>
          </cell>
          <cell r="H2329" t="str">
            <v>B&amp;P-004-210-DBL-08</v>
          </cell>
          <cell r="J2329">
            <v>2</v>
          </cell>
        </row>
        <row r="2330">
          <cell r="C2330" t="str">
            <v>B&amp;P-046-UCF205-16G</v>
          </cell>
          <cell r="F2330">
            <v>44630.411747685182</v>
          </cell>
          <cell r="H2330" t="str">
            <v>BPB-047-SAB205-16MG</v>
          </cell>
          <cell r="J2330">
            <v>1</v>
          </cell>
        </row>
        <row r="2331">
          <cell r="C2331" t="str">
            <v>B&amp;P-046-UCF205-16G</v>
          </cell>
          <cell r="F2331">
            <v>44630.411747685182</v>
          </cell>
          <cell r="H2331" t="str">
            <v>B&amp;P-047-F-205-H</v>
          </cell>
          <cell r="J2331">
            <v>1</v>
          </cell>
        </row>
        <row r="2332">
          <cell r="C2332" t="str">
            <v>B&amp;P-041-TS05-2RS</v>
          </cell>
          <cell r="F2332">
            <v>44669.445034722223</v>
          </cell>
          <cell r="H2332" t="str">
            <v>B&amp;P-001-TS05-D</v>
          </cell>
          <cell r="J2332">
            <v>1</v>
          </cell>
        </row>
        <row r="2333">
          <cell r="C2333" t="str">
            <v>B&amp;P-041-TS05-2RS</v>
          </cell>
          <cell r="F2333">
            <v>44669.445034722223</v>
          </cell>
          <cell r="H2333" t="str">
            <v>B&amp;P-002-TS05-D</v>
          </cell>
          <cell r="J2333">
            <v>1</v>
          </cell>
        </row>
        <row r="2334">
          <cell r="C2334" t="str">
            <v>B&amp;P-041-TS05-2RS</v>
          </cell>
          <cell r="F2334">
            <v>44669.445034722223</v>
          </cell>
          <cell r="H2334" t="str">
            <v>B&amp;P-003-Ball-5/16</v>
          </cell>
          <cell r="J2334">
            <v>7</v>
          </cell>
        </row>
        <row r="2335">
          <cell r="C2335" t="str">
            <v>B&amp;P-041-TS05-2RS</v>
          </cell>
          <cell r="F2335">
            <v>44669.445034722223</v>
          </cell>
          <cell r="H2335" t="str">
            <v>B&amp;P-005-RET/SET-TS05</v>
          </cell>
          <cell r="J2335">
            <v>1</v>
          </cell>
        </row>
        <row r="2336">
          <cell r="C2336" t="str">
            <v>B&amp;P-041-TS05-2RS</v>
          </cell>
          <cell r="F2336">
            <v>44669.445034722223</v>
          </cell>
          <cell r="H2336" t="str">
            <v>B&amp;P-004-TS05RS-BLUE</v>
          </cell>
          <cell r="J2336">
            <v>2</v>
          </cell>
        </row>
        <row r="2337">
          <cell r="C2337" t="str">
            <v>BPB-052-BUJ102533</v>
          </cell>
          <cell r="F2337">
            <v>42629.633402777778</v>
          </cell>
          <cell r="H2337" t="str">
            <v>BPB-999-SAE1040Ø27</v>
          </cell>
          <cell r="J2337">
            <v>0.04</v>
          </cell>
        </row>
        <row r="2338">
          <cell r="C2338" t="str">
            <v>BPB-052-BUJ102525</v>
          </cell>
          <cell r="F2338">
            <v>42629.637916666667</v>
          </cell>
          <cell r="H2338" t="str">
            <v>BPB-999-SAE1040Ø27</v>
          </cell>
          <cell r="J2338">
            <v>0.03</v>
          </cell>
        </row>
        <row r="2339">
          <cell r="C2339" t="str">
            <v>BPB-041-HD04-2RST</v>
          </cell>
          <cell r="F2339">
            <v>42632.462638888886</v>
          </cell>
          <cell r="H2339" t="str">
            <v>BPB-999-HD04-2RST</v>
          </cell>
          <cell r="J2339">
            <v>1</v>
          </cell>
        </row>
        <row r="2340">
          <cell r="C2340" t="str">
            <v>B&amp;P-ALU-MW-150XPE</v>
          </cell>
          <cell r="F2340">
            <v>42647.685740740744</v>
          </cell>
          <cell r="H2340" t="str">
            <v>B&amp;P-LED-36V-150XPE</v>
          </cell>
          <cell r="J2340">
            <v>1</v>
          </cell>
        </row>
        <row r="2341">
          <cell r="C2341" t="str">
            <v>B&amp;P-ALU-MW-150XPE</v>
          </cell>
          <cell r="F2341">
            <v>42647.685740740744</v>
          </cell>
          <cell r="H2341" t="str">
            <v>B&amp;P-ALU-HLG-185H-54A</v>
          </cell>
          <cell r="J2341">
            <v>1</v>
          </cell>
        </row>
        <row r="2342">
          <cell r="C2342" t="str">
            <v>BPB-037-43100-487</v>
          </cell>
          <cell r="F2342">
            <v>42648.576192129629</v>
          </cell>
          <cell r="H2342" t="str">
            <v>BPB-037-43100-487-A</v>
          </cell>
          <cell r="J2342">
            <v>1</v>
          </cell>
        </row>
        <row r="2343">
          <cell r="C2343" t="str">
            <v>BPB-037-43100-499</v>
          </cell>
          <cell r="F2343">
            <v>42648.60428240741</v>
          </cell>
          <cell r="H2343" t="str">
            <v>BPB-037-43100-499-A</v>
          </cell>
          <cell r="J2343">
            <v>1</v>
          </cell>
        </row>
        <row r="2344">
          <cell r="C2344" t="str">
            <v>BPB-037-43941-929</v>
          </cell>
          <cell r="F2344">
            <v>42648.606608796297</v>
          </cell>
          <cell r="H2344" t="str">
            <v>BPB-037-43941-929-A</v>
          </cell>
          <cell r="J2344">
            <v>1</v>
          </cell>
        </row>
        <row r="2345">
          <cell r="C2345" t="str">
            <v>BPB-HS--LS04-D</v>
          </cell>
          <cell r="F2345">
            <v>42649.34684027778</v>
          </cell>
          <cell r="H2345" t="str">
            <v>BPB-041-LS04-2RST</v>
          </cell>
          <cell r="J2345">
            <v>1</v>
          </cell>
        </row>
        <row r="2346">
          <cell r="C2346" t="str">
            <v>BPB-HS--LS04-D-C3</v>
          </cell>
          <cell r="F2346">
            <v>42649.497731481482</v>
          </cell>
          <cell r="H2346" t="str">
            <v>BPB-041-LS04-2RST</v>
          </cell>
          <cell r="J2346">
            <v>1</v>
          </cell>
        </row>
        <row r="2347">
          <cell r="C2347" t="str">
            <v>B&amp;P-053-X-32010</v>
          </cell>
          <cell r="F2347">
            <v>42662.348495370374</v>
          </cell>
          <cell r="H2347" t="str">
            <v>B&amp;P-053-TDX010</v>
          </cell>
          <cell r="J2347">
            <v>1</v>
          </cell>
        </row>
        <row r="2348">
          <cell r="C2348" t="str">
            <v>B&amp;P-053-X-32010</v>
          </cell>
          <cell r="F2348">
            <v>42662.348495370374</v>
          </cell>
          <cell r="H2348" t="str">
            <v>B&amp;P-005-TDX010</v>
          </cell>
          <cell r="J2348">
            <v>1</v>
          </cell>
        </row>
        <row r="2349">
          <cell r="C2349" t="str">
            <v>B&amp;P-053-X-32010</v>
          </cell>
          <cell r="F2349">
            <v>42662.348495370374</v>
          </cell>
          <cell r="H2349" t="str">
            <v>B&amp;P-003-TDX010</v>
          </cell>
          <cell r="J2349">
            <v>25</v>
          </cell>
        </row>
        <row r="2350">
          <cell r="C2350" t="str">
            <v>CMG-058-30205-MX</v>
          </cell>
          <cell r="F2350">
            <v>42664.332662037035</v>
          </cell>
          <cell r="H2350" t="str">
            <v>000-058-30205-MX</v>
          </cell>
          <cell r="J2350">
            <v>1</v>
          </cell>
        </row>
        <row r="2351">
          <cell r="C2351" t="str">
            <v>CMG-058-30206-MX</v>
          </cell>
          <cell r="F2351">
            <v>42664.336863425924</v>
          </cell>
          <cell r="H2351" t="str">
            <v>000-058-30206-MX</v>
          </cell>
          <cell r="J2351">
            <v>1</v>
          </cell>
        </row>
        <row r="2352">
          <cell r="C2352" t="str">
            <v>CMG-058-30207-MX</v>
          </cell>
          <cell r="F2352">
            <v>42664.33935185185</v>
          </cell>
          <cell r="H2352" t="str">
            <v>000-058-30207-MX</v>
          </cell>
          <cell r="J2352">
            <v>1</v>
          </cell>
        </row>
        <row r="2353">
          <cell r="C2353" t="str">
            <v>CMG-058-30210-MX</v>
          </cell>
          <cell r="F2353">
            <v>42664.340810185182</v>
          </cell>
          <cell r="H2353" t="str">
            <v>000-058-30210-MX</v>
          </cell>
          <cell r="J2353">
            <v>1</v>
          </cell>
        </row>
        <row r="2354">
          <cell r="C2354" t="str">
            <v>CMG-058-30211-MX</v>
          </cell>
          <cell r="F2354">
            <v>42664.345451388886</v>
          </cell>
          <cell r="H2354" t="str">
            <v>000-058-30211-MX</v>
          </cell>
          <cell r="J2354">
            <v>1</v>
          </cell>
        </row>
        <row r="2355">
          <cell r="C2355" t="str">
            <v>B&amp;P-058-32216-MX</v>
          </cell>
          <cell r="F2355">
            <v>42667.712037037039</v>
          </cell>
          <cell r="H2355" t="str">
            <v>BPB-053-TDX216</v>
          </cell>
          <cell r="J2355">
            <v>1</v>
          </cell>
        </row>
        <row r="2356">
          <cell r="C2356" t="str">
            <v>B&amp;P-058-32216-MX</v>
          </cell>
          <cell r="F2356">
            <v>42667.712037037039</v>
          </cell>
          <cell r="H2356" t="str">
            <v>B&amp;P-005-TDX216</v>
          </cell>
          <cell r="J2356">
            <v>1</v>
          </cell>
        </row>
        <row r="2357">
          <cell r="C2357" t="str">
            <v>B&amp;P-058-32216-MX</v>
          </cell>
          <cell r="F2357">
            <v>42667.712037037039</v>
          </cell>
          <cell r="H2357" t="str">
            <v>B&amp;P-003-TDX216</v>
          </cell>
          <cell r="J2357">
            <v>20</v>
          </cell>
        </row>
        <row r="2358">
          <cell r="C2358" t="str">
            <v>B&amp;P-058-32216-MX</v>
          </cell>
          <cell r="F2358">
            <v>42667.712037037039</v>
          </cell>
          <cell r="H2358" t="str">
            <v>B&amp;P-054-TDY216</v>
          </cell>
          <cell r="J2358">
            <v>1</v>
          </cell>
        </row>
        <row r="2359">
          <cell r="C2359" t="str">
            <v>BPB-033-CA-550-A02</v>
          </cell>
          <cell r="F2359">
            <v>42669.550011574072</v>
          </cell>
          <cell r="H2359" t="str">
            <v>BPB-033-CA-550-A1</v>
          </cell>
          <cell r="J2359">
            <v>2.0499999999999998</v>
          </cell>
        </row>
        <row r="2360">
          <cell r="C2360" t="str">
            <v>BPB-033-CA-550-A02</v>
          </cell>
          <cell r="F2360">
            <v>42669.550011574072</v>
          </cell>
          <cell r="H2360" t="str">
            <v>BPB-033-CA550-A1-CL</v>
          </cell>
          <cell r="J2360">
            <v>1</v>
          </cell>
        </row>
        <row r="2361">
          <cell r="C2361" t="str">
            <v>BPB-133-PB000954</v>
          </cell>
          <cell r="F2361">
            <v>42677.677731481483</v>
          </cell>
          <cell r="H2361" t="str">
            <v>BPB-033-ASA40-1-REEL</v>
          </cell>
          <cell r="J2361">
            <v>1.88</v>
          </cell>
        </row>
        <row r="2362">
          <cell r="C2362" t="str">
            <v>BPB-133-PB000954</v>
          </cell>
          <cell r="F2362">
            <v>42677.677731481483</v>
          </cell>
          <cell r="H2362" t="str">
            <v>BPB-033-OL-40-1</v>
          </cell>
          <cell r="J2362">
            <v>1</v>
          </cell>
        </row>
        <row r="2363">
          <cell r="C2363" t="str">
            <v>BPB-133-PB000155</v>
          </cell>
          <cell r="F2363">
            <v>42677.681689814817</v>
          </cell>
          <cell r="H2363" t="str">
            <v>BPB-033-ASA50-1-REEL</v>
          </cell>
          <cell r="J2363">
            <v>1.3</v>
          </cell>
        </row>
        <row r="2364">
          <cell r="C2364" t="str">
            <v>BPB-133-PB000155</v>
          </cell>
          <cell r="F2364">
            <v>42677.681689814817</v>
          </cell>
          <cell r="H2364" t="str">
            <v>BPB-033-CL-50-1</v>
          </cell>
          <cell r="J2364">
            <v>1</v>
          </cell>
        </row>
        <row r="2365">
          <cell r="C2365" t="str">
            <v>BPB-133-CA-550-A02</v>
          </cell>
          <cell r="F2365">
            <v>42677.707997685182</v>
          </cell>
          <cell r="H2365" t="str">
            <v>BPB-033-CA-550-A1</v>
          </cell>
          <cell r="J2365">
            <v>1.95</v>
          </cell>
        </row>
        <row r="2366">
          <cell r="C2366" t="str">
            <v>BPB-133-CA-550-A02</v>
          </cell>
          <cell r="F2366">
            <v>42677.707997685182</v>
          </cell>
          <cell r="H2366" t="str">
            <v>BPB-033-CA550-A1-CL</v>
          </cell>
          <cell r="J2366">
            <v>1</v>
          </cell>
        </row>
        <row r="2367">
          <cell r="C2367" t="str">
            <v>BPB-037-F490MGL02</v>
          </cell>
          <cell r="F2367">
            <v>42681.485914351855</v>
          </cell>
          <cell r="H2367" t="str">
            <v>BPB-037-CHAPA-N14</v>
          </cell>
          <cell r="J2367">
            <v>22</v>
          </cell>
        </row>
        <row r="2368">
          <cell r="C2368" t="str">
            <v>000-048-5203-KYY5</v>
          </cell>
          <cell r="F2368">
            <v>42682.685671296298</v>
          </cell>
          <cell r="H2368" t="str">
            <v>PEE-048-5203-KYY2</v>
          </cell>
          <cell r="J2368">
            <v>1</v>
          </cell>
        </row>
        <row r="2369">
          <cell r="C2369" t="str">
            <v>B&amp;P-ALU-MW-120XPE</v>
          </cell>
          <cell r="F2369">
            <v>42684.536736111113</v>
          </cell>
          <cell r="H2369" t="str">
            <v>B&amp;P-ALU-BP-120R-50</v>
          </cell>
          <cell r="J2369">
            <v>1</v>
          </cell>
        </row>
        <row r="2370">
          <cell r="C2370" t="str">
            <v>B&amp;P-ALU-MW-120XPE</v>
          </cell>
          <cell r="F2370">
            <v>42684.536736111113</v>
          </cell>
          <cell r="H2370" t="str">
            <v>B&amp;P-LED-36V-150XPE</v>
          </cell>
          <cell r="J2370">
            <v>1</v>
          </cell>
        </row>
        <row r="2371">
          <cell r="C2371" t="str">
            <v>B&amp;P-999-ECL-211-55DG</v>
          </cell>
          <cell r="F2371">
            <v>42688.525914351849</v>
          </cell>
          <cell r="H2371" t="str">
            <v>BPB-047-ECL-211-DBL</v>
          </cell>
          <cell r="J2371">
            <v>1</v>
          </cell>
        </row>
        <row r="2372">
          <cell r="C2372" t="str">
            <v>B&amp;P-047-F-211-M</v>
          </cell>
          <cell r="F2372">
            <v>44454.467013888891</v>
          </cell>
          <cell r="H2372" t="str">
            <v>B&amp;P-047-F-211</v>
          </cell>
          <cell r="J2372">
            <v>1</v>
          </cell>
        </row>
        <row r="2373">
          <cell r="C2373" t="str">
            <v>B&amp;P-HS--MS06-1RLD-C3</v>
          </cell>
          <cell r="F2373">
            <v>42633.471261574072</v>
          </cell>
          <cell r="H2373" t="str">
            <v>B&amp;P-HS--MS06-2RLD-C3</v>
          </cell>
          <cell r="J2373">
            <v>1</v>
          </cell>
        </row>
        <row r="2374">
          <cell r="C2374" t="str">
            <v>000-058-30204-MX</v>
          </cell>
          <cell r="F2374">
            <v>42663.473217592589</v>
          </cell>
          <cell r="H2374" t="str">
            <v>000-054-TCY204</v>
          </cell>
          <cell r="J2374">
            <v>1</v>
          </cell>
        </row>
        <row r="2375">
          <cell r="C2375" t="str">
            <v>000-058-30204-MX</v>
          </cell>
          <cell r="F2375">
            <v>42663.473217592589</v>
          </cell>
          <cell r="H2375" t="str">
            <v>000-003-TCX204</v>
          </cell>
          <cell r="J2375">
            <v>15</v>
          </cell>
        </row>
        <row r="2376">
          <cell r="C2376" t="str">
            <v>000-058-30204-MX</v>
          </cell>
          <cell r="F2376">
            <v>42663.473217592589</v>
          </cell>
          <cell r="H2376" t="str">
            <v>000-005-TCX204</v>
          </cell>
          <cell r="J2376">
            <v>1</v>
          </cell>
        </row>
        <row r="2377">
          <cell r="C2377" t="str">
            <v>000-058-30204-MX</v>
          </cell>
          <cell r="F2377">
            <v>42663.473217592589</v>
          </cell>
          <cell r="H2377" t="str">
            <v>000-053-TCX204</v>
          </cell>
          <cell r="J2377">
            <v>1</v>
          </cell>
        </row>
        <row r="2378">
          <cell r="C2378" t="str">
            <v>000-058-30205-MX</v>
          </cell>
          <cell r="F2378">
            <v>42663.474780092591</v>
          </cell>
          <cell r="H2378" t="str">
            <v>000-003-TCX205</v>
          </cell>
          <cell r="J2378">
            <v>17</v>
          </cell>
        </row>
        <row r="2379">
          <cell r="C2379" t="str">
            <v>000-058-30205-MX</v>
          </cell>
          <cell r="F2379">
            <v>42663.474780092591</v>
          </cell>
          <cell r="H2379" t="str">
            <v>000-053-TCX205</v>
          </cell>
          <cell r="J2379">
            <v>1</v>
          </cell>
        </row>
        <row r="2380">
          <cell r="C2380" t="str">
            <v>000-058-30205-MX</v>
          </cell>
          <cell r="F2380">
            <v>42663.474780092591</v>
          </cell>
          <cell r="H2380" t="str">
            <v>000-005-TCX205</v>
          </cell>
          <cell r="J2380">
            <v>1</v>
          </cell>
        </row>
        <row r="2381">
          <cell r="C2381" t="str">
            <v>000-058-30205-MX</v>
          </cell>
          <cell r="F2381">
            <v>42663.474780092591</v>
          </cell>
          <cell r="H2381" t="str">
            <v>000-054-TCY205</v>
          </cell>
          <cell r="J2381">
            <v>1</v>
          </cell>
        </row>
        <row r="2382">
          <cell r="C2382" t="str">
            <v>000-058-30206-MX</v>
          </cell>
          <cell r="F2382">
            <v>42663.477152777778</v>
          </cell>
          <cell r="H2382" t="str">
            <v>000-003-TCX206</v>
          </cell>
          <cell r="J2382">
            <v>17</v>
          </cell>
        </row>
        <row r="2383">
          <cell r="C2383" t="str">
            <v>000-058-30206-MX</v>
          </cell>
          <cell r="F2383">
            <v>42663.477152777778</v>
          </cell>
          <cell r="H2383" t="str">
            <v>000-005-TCX206</v>
          </cell>
          <cell r="J2383">
            <v>1</v>
          </cell>
        </row>
        <row r="2384">
          <cell r="C2384" t="str">
            <v>000-058-30206-MX</v>
          </cell>
          <cell r="F2384">
            <v>42663.477152777778</v>
          </cell>
          <cell r="H2384" t="str">
            <v>000-053-TCX206</v>
          </cell>
          <cell r="J2384">
            <v>1</v>
          </cell>
        </row>
        <row r="2385">
          <cell r="C2385" t="str">
            <v>000-058-30206-MX</v>
          </cell>
          <cell r="F2385">
            <v>42663.477152777778</v>
          </cell>
          <cell r="H2385" t="str">
            <v>000-054-TCY206</v>
          </cell>
          <cell r="J2385">
            <v>1</v>
          </cell>
        </row>
        <row r="2386">
          <cell r="C2386" t="str">
            <v>000-058-30207-MX</v>
          </cell>
          <cell r="F2386">
            <v>42663.479097222225</v>
          </cell>
          <cell r="H2386" t="str">
            <v>000-003-TCX207</v>
          </cell>
          <cell r="J2386">
            <v>17</v>
          </cell>
        </row>
        <row r="2387">
          <cell r="C2387" t="str">
            <v>000-058-30207-MX</v>
          </cell>
          <cell r="F2387">
            <v>42663.479097222225</v>
          </cell>
          <cell r="H2387" t="str">
            <v>000-005-TCX207</v>
          </cell>
          <cell r="J2387">
            <v>1</v>
          </cell>
        </row>
        <row r="2388">
          <cell r="C2388" t="str">
            <v>000-058-30207-MX</v>
          </cell>
          <cell r="F2388">
            <v>42663.479097222225</v>
          </cell>
          <cell r="H2388" t="str">
            <v>000-053-TCX207</v>
          </cell>
          <cell r="J2388">
            <v>1</v>
          </cell>
        </row>
        <row r="2389">
          <cell r="C2389" t="str">
            <v>000-058-30207-MX</v>
          </cell>
          <cell r="F2389">
            <v>42663.479097222225</v>
          </cell>
          <cell r="H2389" t="str">
            <v>000-054-TCY207</v>
          </cell>
          <cell r="J2389">
            <v>1</v>
          </cell>
        </row>
        <row r="2390">
          <cell r="C2390" t="str">
            <v>000-058-30210-MX</v>
          </cell>
          <cell r="F2390">
            <v>42663.480509259258</v>
          </cell>
          <cell r="H2390" t="str">
            <v>000-003-TCX210</v>
          </cell>
          <cell r="J2390">
            <v>19</v>
          </cell>
        </row>
        <row r="2391">
          <cell r="C2391" t="str">
            <v>000-058-30210-MX</v>
          </cell>
          <cell r="F2391">
            <v>42663.480509259258</v>
          </cell>
          <cell r="H2391" t="str">
            <v>000-005-TCX210</v>
          </cell>
          <cell r="J2391">
            <v>1</v>
          </cell>
        </row>
        <row r="2392">
          <cell r="C2392" t="str">
            <v>000-058-30210-MX</v>
          </cell>
          <cell r="F2392">
            <v>42663.480509259258</v>
          </cell>
          <cell r="H2392" t="str">
            <v>000-053-TCX210</v>
          </cell>
          <cell r="J2392">
            <v>1</v>
          </cell>
        </row>
        <row r="2393">
          <cell r="C2393" t="str">
            <v>000-058-30210-MX</v>
          </cell>
          <cell r="F2393">
            <v>42663.480509259258</v>
          </cell>
          <cell r="H2393" t="str">
            <v>000-054-TCY210</v>
          </cell>
          <cell r="J2393">
            <v>1</v>
          </cell>
        </row>
        <row r="2394">
          <cell r="C2394" t="str">
            <v>000-058-30211-MX</v>
          </cell>
          <cell r="F2394">
            <v>42663.482164351852</v>
          </cell>
          <cell r="H2394" t="str">
            <v>000-003-TCX211</v>
          </cell>
          <cell r="J2394">
            <v>19</v>
          </cell>
        </row>
        <row r="2395">
          <cell r="C2395" t="str">
            <v>000-058-30211-MX</v>
          </cell>
          <cell r="F2395">
            <v>42663.482164351852</v>
          </cell>
          <cell r="H2395" t="str">
            <v>000-005-TCX211</v>
          </cell>
          <cell r="J2395">
            <v>1</v>
          </cell>
        </row>
        <row r="2396">
          <cell r="C2396" t="str">
            <v>000-058-30211-MX</v>
          </cell>
          <cell r="F2396">
            <v>42663.482164351852</v>
          </cell>
          <cell r="H2396" t="str">
            <v>000-053-TCX211</v>
          </cell>
          <cell r="J2396">
            <v>1</v>
          </cell>
        </row>
        <row r="2397">
          <cell r="C2397" t="str">
            <v>000-058-30211-MX</v>
          </cell>
          <cell r="F2397">
            <v>42663.482164351852</v>
          </cell>
          <cell r="H2397" t="str">
            <v>000-054-TCY211</v>
          </cell>
          <cell r="J2397">
            <v>1</v>
          </cell>
        </row>
        <row r="2398">
          <cell r="C2398" t="str">
            <v>B&amp;P-HS--LS06-D</v>
          </cell>
          <cell r="F2398">
            <v>42696.367013888892</v>
          </cell>
          <cell r="H2398" t="str">
            <v>B&amp;P-001-LS06-D</v>
          </cell>
          <cell r="J2398">
            <v>1</v>
          </cell>
        </row>
        <row r="2399">
          <cell r="C2399" t="str">
            <v>B&amp;P-HS--LS06-D</v>
          </cell>
          <cell r="F2399">
            <v>42696.367013888892</v>
          </cell>
          <cell r="H2399" t="str">
            <v>B&amp;P-002-LS06-D</v>
          </cell>
          <cell r="J2399">
            <v>1</v>
          </cell>
        </row>
        <row r="2400">
          <cell r="C2400" t="str">
            <v>B&amp;P-HS--LS06-D</v>
          </cell>
          <cell r="F2400">
            <v>42696.367013888892</v>
          </cell>
          <cell r="H2400" t="str">
            <v>B&amp;P-005-RET/SET-LS06</v>
          </cell>
          <cell r="J2400">
            <v>1</v>
          </cell>
        </row>
        <row r="2401">
          <cell r="C2401" t="str">
            <v>B&amp;P-HS--LS06-D</v>
          </cell>
          <cell r="F2401">
            <v>42696.367013888892</v>
          </cell>
          <cell r="H2401" t="str">
            <v>B&amp;P-003-Ball-9/32</v>
          </cell>
          <cell r="J2401">
            <v>11</v>
          </cell>
        </row>
        <row r="2402">
          <cell r="C2402" t="str">
            <v>B&amp;P-053-X-32010-MX</v>
          </cell>
          <cell r="F2402">
            <v>42697.655613425923</v>
          </cell>
          <cell r="H2402" t="str">
            <v>B&amp;P-053-TDX010</v>
          </cell>
          <cell r="J2402">
            <v>1</v>
          </cell>
        </row>
        <row r="2403">
          <cell r="C2403" t="str">
            <v>B&amp;P-053-X-32010-MX</v>
          </cell>
          <cell r="F2403">
            <v>42697.655613425923</v>
          </cell>
          <cell r="H2403" t="str">
            <v>B&amp;P-005-TDX010</v>
          </cell>
          <cell r="J2403">
            <v>1</v>
          </cell>
        </row>
        <row r="2404">
          <cell r="C2404" t="str">
            <v>B&amp;P-053-X-32010-MX</v>
          </cell>
          <cell r="F2404">
            <v>42697.655613425923</v>
          </cell>
          <cell r="H2404" t="str">
            <v>B&amp;P-003-TDX010</v>
          </cell>
          <cell r="J2404">
            <v>25</v>
          </cell>
        </row>
        <row r="2405">
          <cell r="C2405" t="str">
            <v>BPB-052-BUJ324224</v>
          </cell>
          <cell r="F2405">
            <v>42703.581643518519</v>
          </cell>
          <cell r="H2405" t="str">
            <v>BPB-999-SAE1045Ø42</v>
          </cell>
          <cell r="J2405">
            <v>0.03</v>
          </cell>
        </row>
        <row r="2406">
          <cell r="C2406" t="str">
            <v>BPB-052-BUJ324220</v>
          </cell>
          <cell r="F2406">
            <v>42703.584016203706</v>
          </cell>
          <cell r="H2406" t="str">
            <v>BPB-999-SAE1045Ø42</v>
          </cell>
          <cell r="J2406">
            <v>0.02</v>
          </cell>
        </row>
        <row r="2407">
          <cell r="C2407" t="str">
            <v>BPB-052-BUJ324206</v>
          </cell>
          <cell r="F2407">
            <v>42703.586481481485</v>
          </cell>
          <cell r="H2407" t="str">
            <v>BPB-999-SAE1045Ø42</v>
          </cell>
          <cell r="J2407">
            <v>0.01</v>
          </cell>
        </row>
        <row r="2408">
          <cell r="C2408" t="str">
            <v>BPB-052-BUJ324223</v>
          </cell>
          <cell r="F2408">
            <v>42703.589143518519</v>
          </cell>
          <cell r="H2408" t="str">
            <v>BPB-999-SAE1045Ø42</v>
          </cell>
          <cell r="J2408">
            <v>0.02</v>
          </cell>
        </row>
        <row r="2409">
          <cell r="C2409" t="str">
            <v>BPB-052-BUJ324224A</v>
          </cell>
          <cell r="F2409">
            <v>42703.592256944445</v>
          </cell>
          <cell r="H2409" t="str">
            <v>BPB-999-SAE1045Ø42</v>
          </cell>
          <cell r="J2409">
            <v>0.03</v>
          </cell>
        </row>
        <row r="2410">
          <cell r="C2410" t="str">
            <v>000-999-205-KYY5</v>
          </cell>
          <cell r="F2410">
            <v>42704.355520833335</v>
          </cell>
          <cell r="H2410" t="str">
            <v>B&amp;P-001-OR205-R</v>
          </cell>
          <cell r="J2410">
            <v>1</v>
          </cell>
        </row>
        <row r="2411">
          <cell r="C2411" t="str">
            <v>000-999-205-KYY5</v>
          </cell>
          <cell r="F2411">
            <v>42704.355520833335</v>
          </cell>
          <cell r="H2411" t="str">
            <v>B&amp;P-002-205-K2</v>
          </cell>
          <cell r="J2411">
            <v>1</v>
          </cell>
        </row>
        <row r="2412">
          <cell r="C2412" t="str">
            <v>000-999-205-KYY5</v>
          </cell>
          <cell r="F2412">
            <v>42704.355520833335</v>
          </cell>
          <cell r="H2412" t="str">
            <v>B&amp;P-003-Ball-5/16</v>
          </cell>
          <cell r="J2412">
            <v>9</v>
          </cell>
        </row>
        <row r="2413">
          <cell r="C2413" t="str">
            <v>000-999-205-KYY5</v>
          </cell>
          <cell r="F2413">
            <v>42704.355520833335</v>
          </cell>
          <cell r="H2413" t="str">
            <v>B&amp;P-005-CAGE205-17</v>
          </cell>
          <cell r="J2413">
            <v>1</v>
          </cell>
        </row>
        <row r="2414">
          <cell r="C2414" t="str">
            <v>000-999-205-KYY5</v>
          </cell>
          <cell r="F2414">
            <v>42704.355520833335</v>
          </cell>
          <cell r="H2414" t="str">
            <v>PEE-027-SEAL-205DBL</v>
          </cell>
          <cell r="J2414">
            <v>2</v>
          </cell>
        </row>
        <row r="2415">
          <cell r="C2415" t="str">
            <v>000-999-205-KYY5</v>
          </cell>
          <cell r="F2415">
            <v>42704.355520833335</v>
          </cell>
          <cell r="H2415" t="str">
            <v>BPB-000-POLYREX-EM</v>
          </cell>
          <cell r="J2415">
            <v>6.4</v>
          </cell>
        </row>
        <row r="2416">
          <cell r="C2416" t="str">
            <v>000-999-205-KYYB5</v>
          </cell>
          <cell r="F2416">
            <v>42704.361724537041</v>
          </cell>
          <cell r="H2416" t="str">
            <v>B&amp;P-001-OR205</v>
          </cell>
          <cell r="J2416">
            <v>1</v>
          </cell>
        </row>
        <row r="2417">
          <cell r="C2417" t="str">
            <v>000-999-205-KYYB5</v>
          </cell>
          <cell r="F2417">
            <v>42704.361724537041</v>
          </cell>
          <cell r="H2417" t="str">
            <v>B&amp;P-002-205-K2</v>
          </cell>
          <cell r="J2417">
            <v>1</v>
          </cell>
        </row>
        <row r="2418">
          <cell r="C2418" t="str">
            <v>000-999-205-KYYB5</v>
          </cell>
          <cell r="F2418">
            <v>42704.361724537041</v>
          </cell>
          <cell r="H2418" t="str">
            <v>B&amp;P-003-Ball-5/16</v>
          </cell>
          <cell r="J2418">
            <v>9</v>
          </cell>
        </row>
        <row r="2419">
          <cell r="C2419" t="str">
            <v>000-999-205-KYYB5</v>
          </cell>
          <cell r="F2419">
            <v>42704.361724537041</v>
          </cell>
          <cell r="H2419" t="str">
            <v>B&amp;P-005-CAGE205-17</v>
          </cell>
          <cell r="J2419">
            <v>1</v>
          </cell>
        </row>
        <row r="2420">
          <cell r="C2420" t="str">
            <v>000-999-205-KYYB5</v>
          </cell>
          <cell r="F2420">
            <v>42704.361724537041</v>
          </cell>
          <cell r="H2420" t="str">
            <v>PEE-027-SEAL-205DBL</v>
          </cell>
          <cell r="J2420">
            <v>2</v>
          </cell>
        </row>
        <row r="2421">
          <cell r="C2421" t="str">
            <v>000-999-205-KYYB5</v>
          </cell>
          <cell r="F2421">
            <v>42704.361724537041</v>
          </cell>
          <cell r="H2421" t="str">
            <v>BPB-000-POLYREX-EM</v>
          </cell>
          <cell r="J2421">
            <v>6.4</v>
          </cell>
        </row>
        <row r="2422">
          <cell r="C2422" t="str">
            <v>BPB-033-ASA-415-H</v>
          </cell>
          <cell r="F2422">
            <v>42716.364340277774</v>
          </cell>
          <cell r="H2422" t="str">
            <v>BPB-033-ASA415-H-REE</v>
          </cell>
          <cell r="J2422">
            <v>0.31</v>
          </cell>
        </row>
        <row r="2423">
          <cell r="C2423" t="str">
            <v>BPB-033-CA627-M40A-M</v>
          </cell>
          <cell r="F2423">
            <v>42751.729027777779</v>
          </cell>
          <cell r="H2423" t="str">
            <v>BPB-033-CA627-M40A</v>
          </cell>
          <cell r="J2423">
            <v>1</v>
          </cell>
        </row>
        <row r="2424">
          <cell r="C2424" t="str">
            <v>B&amp;P-HS--MS02-2RLD-C3</v>
          </cell>
          <cell r="F2424">
            <v>42754.486261574071</v>
          </cell>
          <cell r="H2424" t="str">
            <v>B&amp;P-001-MS02-D</v>
          </cell>
          <cell r="J2424">
            <v>1</v>
          </cell>
        </row>
        <row r="2425">
          <cell r="C2425" t="str">
            <v>B&amp;P-HS--MS02-2RLD-C3</v>
          </cell>
          <cell r="F2425">
            <v>42754.486261574071</v>
          </cell>
          <cell r="H2425" t="str">
            <v>B&amp;P-002-MS02-D</v>
          </cell>
          <cell r="J2425">
            <v>1</v>
          </cell>
        </row>
        <row r="2426">
          <cell r="C2426" t="str">
            <v>B&amp;P-HS--MS02-2RLD-C3</v>
          </cell>
          <cell r="F2426">
            <v>42754.486261574071</v>
          </cell>
          <cell r="H2426" t="str">
            <v>B&amp;P-003-BALL-15/64</v>
          </cell>
          <cell r="J2426">
            <v>8</v>
          </cell>
        </row>
        <row r="2427">
          <cell r="C2427" t="str">
            <v>B&amp;P-HS--MS02-2RLD-C3</v>
          </cell>
          <cell r="F2427">
            <v>42754.486261574071</v>
          </cell>
          <cell r="H2427" t="str">
            <v>B&amp;P-005-RET/SET-MS02</v>
          </cell>
          <cell r="J2427">
            <v>1</v>
          </cell>
        </row>
        <row r="2428">
          <cell r="C2428" t="str">
            <v>B&amp;P-HS--MS02-2RLD-C3</v>
          </cell>
          <cell r="F2428">
            <v>42754.486261574071</v>
          </cell>
          <cell r="H2428" t="str">
            <v>B&amp;P-004-MS02RLD-BLUE</v>
          </cell>
          <cell r="J2428">
            <v>2</v>
          </cell>
        </row>
        <row r="2429">
          <cell r="C2429" t="str">
            <v>B&amp;P-HS--MS02-2RLD-C3</v>
          </cell>
          <cell r="F2429">
            <v>42754.486261574071</v>
          </cell>
          <cell r="H2429" t="str">
            <v>BPB-000-POLYREX-EM</v>
          </cell>
          <cell r="J2429">
            <v>0.7</v>
          </cell>
        </row>
        <row r="2430">
          <cell r="C2430" t="str">
            <v>BPB-048-205-KRR2</v>
          </cell>
          <cell r="F2430">
            <v>42754.505150462966</v>
          </cell>
          <cell r="H2430" t="str">
            <v>B&amp;P-001-OR205-R</v>
          </cell>
          <cell r="J2430">
            <v>1</v>
          </cell>
        </row>
        <row r="2431">
          <cell r="C2431" t="str">
            <v>BPB-048-205-KRR2</v>
          </cell>
          <cell r="F2431">
            <v>42754.505150462966</v>
          </cell>
          <cell r="H2431" t="str">
            <v>B&amp;P-002-205-K2</v>
          </cell>
          <cell r="J2431">
            <v>1</v>
          </cell>
        </row>
        <row r="2432">
          <cell r="C2432" t="str">
            <v>BPB-048-205-KRR2</v>
          </cell>
          <cell r="F2432">
            <v>42754.505150462966</v>
          </cell>
          <cell r="H2432" t="str">
            <v>B&amp;P-004-205-RST-08</v>
          </cell>
          <cell r="J2432">
            <v>2</v>
          </cell>
        </row>
        <row r="2433">
          <cell r="C2433" t="str">
            <v>BPB-048-205-KRR2</v>
          </cell>
          <cell r="F2433">
            <v>42754.505150462966</v>
          </cell>
          <cell r="H2433" t="str">
            <v>B&amp;P-003-Ball-5/16</v>
          </cell>
          <cell r="J2433">
            <v>9</v>
          </cell>
        </row>
        <row r="2434">
          <cell r="C2434" t="str">
            <v>BPB-048-205-KRR2</v>
          </cell>
          <cell r="F2434">
            <v>42754.505150462966</v>
          </cell>
          <cell r="H2434" t="str">
            <v>B&amp;P-005-CAGE205-17</v>
          </cell>
          <cell r="J2434">
            <v>1</v>
          </cell>
        </row>
        <row r="2435">
          <cell r="C2435" t="str">
            <v>BPB-048-205-KRR2</v>
          </cell>
          <cell r="F2435">
            <v>42754.505150462966</v>
          </cell>
          <cell r="H2435" t="str">
            <v>BPB-000-POLYREX-EM</v>
          </cell>
          <cell r="J2435">
            <v>3.5</v>
          </cell>
        </row>
        <row r="2436">
          <cell r="C2436" t="str">
            <v>B&amp;P-048-W208KRRB6</v>
          </cell>
          <cell r="F2436">
            <v>42754.525648148148</v>
          </cell>
          <cell r="H2436" t="str">
            <v>B&amp;P-001-OR208-21</v>
          </cell>
          <cell r="J2436">
            <v>1</v>
          </cell>
        </row>
        <row r="2437">
          <cell r="C2437" t="str">
            <v>B&amp;P-048-W208KRRB6</v>
          </cell>
          <cell r="F2437">
            <v>42754.525648148148</v>
          </cell>
          <cell r="H2437" t="str">
            <v>B&amp;P-002-208-K6</v>
          </cell>
          <cell r="J2437">
            <v>1</v>
          </cell>
        </row>
        <row r="2438">
          <cell r="C2438" t="str">
            <v>B&amp;P-048-W208KRRB6</v>
          </cell>
          <cell r="F2438">
            <v>42754.525648148148</v>
          </cell>
          <cell r="H2438" t="str">
            <v>B&amp;P-005-CAGE208-17</v>
          </cell>
          <cell r="J2438">
            <v>1</v>
          </cell>
        </row>
        <row r="2439">
          <cell r="C2439" t="str">
            <v>B&amp;P-048-W208KRRB6</v>
          </cell>
          <cell r="F2439">
            <v>42754.525648148148</v>
          </cell>
          <cell r="H2439" t="str">
            <v>B&amp;P-003-BALL-1/2</v>
          </cell>
          <cell r="J2439">
            <v>9</v>
          </cell>
        </row>
        <row r="2440">
          <cell r="C2440" t="str">
            <v>B&amp;P-048-W208KRRB6</v>
          </cell>
          <cell r="F2440">
            <v>42754.525648148148</v>
          </cell>
          <cell r="H2440" t="str">
            <v>B&amp;P-004-208-RST-08</v>
          </cell>
          <cell r="J2440">
            <v>2</v>
          </cell>
        </row>
        <row r="2441">
          <cell r="C2441" t="str">
            <v>B&amp;P-048-W208KRRB6</v>
          </cell>
          <cell r="F2441">
            <v>42754.525648148148</v>
          </cell>
          <cell r="H2441" t="str">
            <v>BPB-000-POLYREX-EM</v>
          </cell>
          <cell r="J2441">
            <v>13</v>
          </cell>
        </row>
        <row r="2442">
          <cell r="C2442" t="str">
            <v>BPB-037-BP-12011-BI</v>
          </cell>
          <cell r="F2442">
            <v>42762.625555555554</v>
          </cell>
          <cell r="H2442" t="str">
            <v>BPB-999-BP-12011-BI</v>
          </cell>
          <cell r="J2442">
            <v>1</v>
          </cell>
        </row>
        <row r="2443">
          <cell r="C2443" t="str">
            <v>BPB-037-BP-12011-BD</v>
          </cell>
          <cell r="F2443">
            <v>42762.626967592594</v>
          </cell>
          <cell r="H2443" t="str">
            <v>BPB-999-BP-12011-BD</v>
          </cell>
          <cell r="J2443">
            <v>1</v>
          </cell>
        </row>
        <row r="2444">
          <cell r="C2444" t="str">
            <v>BPB-048-204-KRR2</v>
          </cell>
          <cell r="F2444">
            <v>42786.387731481482</v>
          </cell>
          <cell r="H2444" t="str">
            <v>B&amp;P-001-OR204-R14</v>
          </cell>
          <cell r="J2444">
            <v>1</v>
          </cell>
        </row>
        <row r="2445">
          <cell r="C2445" t="str">
            <v>BPB-048-204-KRR2</v>
          </cell>
          <cell r="F2445">
            <v>42786.387731481482</v>
          </cell>
          <cell r="H2445" t="str">
            <v>B&amp;P-002-204-K2</v>
          </cell>
          <cell r="J2445">
            <v>1</v>
          </cell>
        </row>
        <row r="2446">
          <cell r="C2446" t="str">
            <v>BPB-048-204-KRR2</v>
          </cell>
          <cell r="F2446">
            <v>42786.387731481482</v>
          </cell>
          <cell r="H2446" t="str">
            <v>B&amp;P-003-Ball-5/16</v>
          </cell>
          <cell r="J2446">
            <v>8</v>
          </cell>
        </row>
        <row r="2447">
          <cell r="C2447" t="str">
            <v>BPB-048-204-KRR2</v>
          </cell>
          <cell r="F2447">
            <v>42786.387731481482</v>
          </cell>
          <cell r="H2447" t="str">
            <v>B&amp;P-005-CAGE204-17</v>
          </cell>
          <cell r="J2447">
            <v>1</v>
          </cell>
        </row>
        <row r="2448">
          <cell r="C2448" t="str">
            <v>BPB-048-204-KRR2</v>
          </cell>
          <cell r="F2448">
            <v>42786.387731481482</v>
          </cell>
          <cell r="H2448" t="str">
            <v>B&amp;P-004-204-RST-08</v>
          </cell>
          <cell r="J2448">
            <v>2</v>
          </cell>
        </row>
        <row r="2449">
          <cell r="C2449" t="str">
            <v>BPB-048-204-KRR2</v>
          </cell>
          <cell r="F2449">
            <v>42786.387731481482</v>
          </cell>
          <cell r="H2449" t="str">
            <v>BPB-000-POLYREX-EM</v>
          </cell>
          <cell r="J2449">
            <v>5.4</v>
          </cell>
        </row>
        <row r="2450">
          <cell r="C2450" t="str">
            <v>B&amp;P-LED-NX-54120</v>
          </cell>
          <cell r="F2450">
            <v>42805.429826388892</v>
          </cell>
          <cell r="H2450" t="str">
            <v>B&amp;P-LED-NX-120-Housi</v>
          </cell>
          <cell r="J2450">
            <v>1</v>
          </cell>
        </row>
        <row r="2451">
          <cell r="C2451" t="str">
            <v>B&amp;P-LED-NX-54120</v>
          </cell>
          <cell r="F2451">
            <v>42805.429826388892</v>
          </cell>
          <cell r="H2451" t="str">
            <v>B&amp;P-PCB-NX-1205000K</v>
          </cell>
          <cell r="J2451">
            <v>1</v>
          </cell>
        </row>
        <row r="2452">
          <cell r="C2452" t="str">
            <v>B&amp;P-LED-NX-54180</v>
          </cell>
          <cell r="F2452">
            <v>42805.432870370372</v>
          </cell>
          <cell r="H2452" t="str">
            <v>B&amp;P-LED-NX-180-Housi</v>
          </cell>
          <cell r="J2452">
            <v>1</v>
          </cell>
        </row>
        <row r="2453">
          <cell r="C2453" t="str">
            <v>B&amp;P-LED-NX-54180</v>
          </cell>
          <cell r="F2453">
            <v>42805.432870370372</v>
          </cell>
          <cell r="H2453" t="str">
            <v>B&amp;P-PCB-NX-1805000K</v>
          </cell>
          <cell r="J2453">
            <v>1</v>
          </cell>
        </row>
        <row r="2454">
          <cell r="C2454" t="str">
            <v>BPB-041-LS05-2RST</v>
          </cell>
          <cell r="F2454">
            <v>42810.400312500002</v>
          </cell>
          <cell r="H2454" t="str">
            <v>B&amp;P-041-LS05-D</v>
          </cell>
          <cell r="J2454">
            <v>1</v>
          </cell>
        </row>
        <row r="2455">
          <cell r="C2455" t="str">
            <v>BPB-041-LS05-2RST</v>
          </cell>
          <cell r="F2455">
            <v>42810.400312500002</v>
          </cell>
          <cell r="H2455" t="str">
            <v>B&amp;P-004-LS05-2RST-08</v>
          </cell>
          <cell r="J2455">
            <v>2</v>
          </cell>
        </row>
        <row r="2456">
          <cell r="C2456" t="str">
            <v>BPB-041-LS05-2RST</v>
          </cell>
          <cell r="F2456">
            <v>42810.400312500002</v>
          </cell>
          <cell r="H2456" t="str">
            <v>BPB-000-POLYREX-EM</v>
          </cell>
          <cell r="J2456">
            <v>3</v>
          </cell>
        </row>
        <row r="2457">
          <cell r="C2457" t="str">
            <v>B&amp;P-010-BP-PMD</v>
          </cell>
          <cell r="F2457">
            <v>42810.667256944442</v>
          </cell>
          <cell r="H2457" t="str">
            <v>BPB-999-AL7075</v>
          </cell>
          <cell r="J2457">
            <v>1</v>
          </cell>
        </row>
        <row r="2458">
          <cell r="C2458" t="str">
            <v>B&amp;P-010-BP-PMI</v>
          </cell>
          <cell r="F2458">
            <v>42810.667916666665</v>
          </cell>
          <cell r="H2458" t="str">
            <v>BPB-999-AL7075</v>
          </cell>
          <cell r="J2458">
            <v>1</v>
          </cell>
        </row>
        <row r="2459">
          <cell r="C2459" t="str">
            <v>B&amp;P-047-SAB205-25</v>
          </cell>
          <cell r="F2459">
            <v>42810.679236111115</v>
          </cell>
          <cell r="H2459" t="str">
            <v>PEE-047-UC-205-13</v>
          </cell>
          <cell r="J2459">
            <v>1</v>
          </cell>
        </row>
        <row r="2460">
          <cell r="C2460" t="str">
            <v>CMG-058-HM-518445-41</v>
          </cell>
          <cell r="F2460">
            <v>42814.360891203702</v>
          </cell>
          <cell r="H2460" t="str">
            <v>000-053-TCX-1845</v>
          </cell>
          <cell r="J2460">
            <v>1</v>
          </cell>
        </row>
        <row r="2461">
          <cell r="C2461" t="str">
            <v>CMG-058-HM-518445-41</v>
          </cell>
          <cell r="F2461">
            <v>42814.360891203702</v>
          </cell>
          <cell r="H2461" t="str">
            <v>000-005-TCX-1845</v>
          </cell>
          <cell r="J2461">
            <v>1</v>
          </cell>
        </row>
        <row r="2462">
          <cell r="C2462" t="str">
            <v>CMG-058-HM-518445-41</v>
          </cell>
          <cell r="F2462">
            <v>42814.360891203702</v>
          </cell>
          <cell r="H2462" t="str">
            <v>000-003-TCX-1845</v>
          </cell>
          <cell r="J2462">
            <v>20</v>
          </cell>
        </row>
        <row r="2463">
          <cell r="C2463" t="str">
            <v>BPB-037-41541-610</v>
          </cell>
          <cell r="F2463">
            <v>42670.461921296293</v>
          </cell>
          <cell r="H2463" t="str">
            <v>BPB-037-41541-610-A</v>
          </cell>
          <cell r="J2463">
            <v>1</v>
          </cell>
        </row>
        <row r="2464">
          <cell r="C2464" t="str">
            <v>BPB-037-43103-688</v>
          </cell>
          <cell r="F2464">
            <v>42670.50445601852</v>
          </cell>
          <cell r="H2464" t="str">
            <v>BPB-037-43103-688-A</v>
          </cell>
          <cell r="J2464">
            <v>1</v>
          </cell>
        </row>
        <row r="2465">
          <cell r="C2465" t="str">
            <v>BPB-037-43103-687</v>
          </cell>
          <cell r="F2465">
            <v>42670.505543981482</v>
          </cell>
          <cell r="H2465" t="str">
            <v>BPB-037-43103-687-A</v>
          </cell>
          <cell r="J2465">
            <v>1</v>
          </cell>
        </row>
        <row r="2466">
          <cell r="C2466" t="str">
            <v>BPB-037-44003-901</v>
          </cell>
          <cell r="F2466">
            <v>42670.507986111108</v>
          </cell>
          <cell r="H2466" t="str">
            <v>BPB-037-44003-901-A</v>
          </cell>
          <cell r="J2466">
            <v>1</v>
          </cell>
        </row>
        <row r="2467">
          <cell r="C2467" t="str">
            <v>BPB-037-43125-628</v>
          </cell>
          <cell r="F2467">
            <v>42670.508761574078</v>
          </cell>
          <cell r="H2467" t="str">
            <v>BPB-037-43125-628-A</v>
          </cell>
          <cell r="J2467">
            <v>1</v>
          </cell>
        </row>
        <row r="2468">
          <cell r="C2468" t="str">
            <v>BPB-037-48736-696</v>
          </cell>
          <cell r="F2468">
            <v>42670.509259259263</v>
          </cell>
          <cell r="H2468" t="str">
            <v>BPB-037-48736-696-A</v>
          </cell>
          <cell r="J2468">
            <v>1</v>
          </cell>
        </row>
        <row r="2469">
          <cell r="C2469" t="str">
            <v>B&amp;P-058-32010-MX</v>
          </cell>
          <cell r="F2469">
            <v>44274.548275462963</v>
          </cell>
          <cell r="H2469" t="str">
            <v>B&amp;P-005-TDX010</v>
          </cell>
          <cell r="J2469">
            <v>1</v>
          </cell>
        </row>
        <row r="2470">
          <cell r="C2470" t="str">
            <v>B&amp;P-058-32010-MX</v>
          </cell>
          <cell r="F2470">
            <v>44274.548275462963</v>
          </cell>
          <cell r="H2470" t="str">
            <v>B&amp;P-053-TDX010</v>
          </cell>
          <cell r="J2470">
            <v>1</v>
          </cell>
        </row>
        <row r="2471">
          <cell r="C2471" t="str">
            <v>B&amp;P-058-32010-MX</v>
          </cell>
          <cell r="F2471">
            <v>44274.548275462963</v>
          </cell>
          <cell r="H2471" t="str">
            <v>B&amp;P-003-TDX010</v>
          </cell>
          <cell r="J2471">
            <v>25</v>
          </cell>
        </row>
        <row r="2472">
          <cell r="C2472" t="str">
            <v>B&amp;P-058-32010-MX</v>
          </cell>
          <cell r="F2472">
            <v>44274.548275462963</v>
          </cell>
          <cell r="H2472" t="str">
            <v>B&amp;P-054-TDY010</v>
          </cell>
          <cell r="J2472">
            <v>1</v>
          </cell>
        </row>
        <row r="2473">
          <cell r="C2473" t="str">
            <v>000-041-6209-1RS</v>
          </cell>
          <cell r="F2473">
            <v>42760.408622685187</v>
          </cell>
          <cell r="H2473" t="str">
            <v>B&amp;P-041-6209-2RS</v>
          </cell>
          <cell r="J2473">
            <v>1</v>
          </cell>
        </row>
        <row r="2474">
          <cell r="C2474" t="str">
            <v>000-041-6210-1RS</v>
          </cell>
          <cell r="F2474">
            <v>42760.409432870372</v>
          </cell>
          <cell r="H2474" t="str">
            <v>BPB-041-6210-2RS</v>
          </cell>
          <cell r="J2474">
            <v>1</v>
          </cell>
        </row>
        <row r="2475">
          <cell r="C2475" t="str">
            <v>BPB-133-PB004520</v>
          </cell>
          <cell r="F2475">
            <v>42783.389803240738</v>
          </cell>
          <cell r="H2475" t="str">
            <v>BPB-033-ASA40-1-REEL</v>
          </cell>
          <cell r="J2475">
            <v>2.82</v>
          </cell>
        </row>
        <row r="2476">
          <cell r="C2476" t="str">
            <v>BPB-133-PB004520</v>
          </cell>
          <cell r="F2476">
            <v>42783.389803240738</v>
          </cell>
          <cell r="H2476" t="str">
            <v>BPB-033-CL-40-1</v>
          </cell>
          <cell r="J2476">
            <v>1</v>
          </cell>
        </row>
        <row r="2477">
          <cell r="C2477" t="str">
            <v>BPB-045-PFF-9-M</v>
          </cell>
          <cell r="F2477">
            <v>42800.479791666665</v>
          </cell>
          <cell r="H2477" t="str">
            <v>B&amp;P-045-PFF-9-Z</v>
          </cell>
          <cell r="J2477">
            <v>1</v>
          </cell>
        </row>
        <row r="2478">
          <cell r="C2478" t="str">
            <v>CMG-058-HM-518445-41</v>
          </cell>
          <cell r="F2478">
            <v>42814.360891203702</v>
          </cell>
          <cell r="H2478" t="str">
            <v>000-054-TCY-8410</v>
          </cell>
          <cell r="J2478">
            <v>1</v>
          </cell>
        </row>
        <row r="2479">
          <cell r="C2479" t="str">
            <v>B&amp;P-041-HD01-2RS</v>
          </cell>
          <cell r="F2479">
            <v>44792.459803240738</v>
          </cell>
          <cell r="H2479" t="str">
            <v>B&amp;P-001-HD01-D</v>
          </cell>
          <cell r="J2479">
            <v>1</v>
          </cell>
        </row>
        <row r="2480">
          <cell r="C2480" t="str">
            <v>B&amp;P-041-HD01-2RS</v>
          </cell>
          <cell r="F2480">
            <v>44792.459803240738</v>
          </cell>
          <cell r="H2480" t="str">
            <v>B&amp;P-002-HD01-D</v>
          </cell>
          <cell r="J2480">
            <v>1</v>
          </cell>
        </row>
        <row r="2481">
          <cell r="C2481" t="str">
            <v>B&amp;P-041-HD01-2RS</v>
          </cell>
          <cell r="F2481">
            <v>44792.459803240738</v>
          </cell>
          <cell r="H2481" t="str">
            <v>B&amp;P-003-Ball-5/16</v>
          </cell>
          <cell r="J2481">
            <v>6</v>
          </cell>
        </row>
        <row r="2482">
          <cell r="C2482" t="str">
            <v>B&amp;P-041-HD01-2RS</v>
          </cell>
          <cell r="F2482">
            <v>44792.459803240738</v>
          </cell>
          <cell r="H2482" t="str">
            <v>B&amp;P-004-HD01RS-BLUE</v>
          </cell>
          <cell r="J2482">
            <v>2</v>
          </cell>
        </row>
        <row r="2483">
          <cell r="C2483" t="str">
            <v>B&amp;P-041-HD01-2RS</v>
          </cell>
          <cell r="F2483">
            <v>44792.459803240738</v>
          </cell>
          <cell r="H2483" t="str">
            <v>B&amp;P-005-RET/SET-HD01</v>
          </cell>
          <cell r="J2483">
            <v>1</v>
          </cell>
        </row>
        <row r="2484">
          <cell r="C2484" t="str">
            <v>B&amp;P-041-LS01-2RS</v>
          </cell>
          <cell r="F2484">
            <v>44792.471921296295</v>
          </cell>
          <cell r="H2484" t="str">
            <v>B&amp;P-001-LS01-D</v>
          </cell>
          <cell r="J2484">
            <v>1</v>
          </cell>
        </row>
        <row r="2485">
          <cell r="C2485" t="str">
            <v>B&amp;P-041-LS01-2RS</v>
          </cell>
          <cell r="F2485">
            <v>44792.471921296295</v>
          </cell>
          <cell r="H2485" t="str">
            <v>B&amp;P-002-LS01-D</v>
          </cell>
          <cell r="J2485">
            <v>1</v>
          </cell>
        </row>
        <row r="2486">
          <cell r="C2486" t="str">
            <v>B&amp;P-041-LS01-2RS</v>
          </cell>
          <cell r="F2486">
            <v>44792.471921296295</v>
          </cell>
          <cell r="H2486" t="str">
            <v>B&amp;P-003-Ball-3/16</v>
          </cell>
          <cell r="J2486">
            <v>10</v>
          </cell>
        </row>
        <row r="2487">
          <cell r="C2487" t="str">
            <v>B&amp;P-041-LS01-2RS</v>
          </cell>
          <cell r="F2487">
            <v>44792.471921296295</v>
          </cell>
          <cell r="H2487" t="str">
            <v>B&amp;P-004-LS01RS-BLUE</v>
          </cell>
          <cell r="J2487">
            <v>2</v>
          </cell>
        </row>
        <row r="2488">
          <cell r="C2488" t="str">
            <v>B&amp;P-041-LS01-2RS</v>
          </cell>
          <cell r="F2488">
            <v>44792.471921296295</v>
          </cell>
          <cell r="H2488" t="str">
            <v>B&amp;P-005-RET/SET-LS01</v>
          </cell>
          <cell r="J2488">
            <v>1</v>
          </cell>
        </row>
        <row r="2489">
          <cell r="C2489" t="str">
            <v>B&amp;P-041-LS02-2RS</v>
          </cell>
          <cell r="F2489">
            <v>44792.472673611112</v>
          </cell>
          <cell r="H2489" t="str">
            <v>B&amp;P-001-LS02-D</v>
          </cell>
          <cell r="J2489">
            <v>1</v>
          </cell>
        </row>
        <row r="2490">
          <cell r="C2490" t="str">
            <v>B&amp;P-041-LS02-2RS</v>
          </cell>
          <cell r="F2490">
            <v>44792.472673611112</v>
          </cell>
          <cell r="H2490" t="str">
            <v>B&amp;P-002-LS02-D</v>
          </cell>
          <cell r="J2490">
            <v>1</v>
          </cell>
        </row>
        <row r="2491">
          <cell r="C2491" t="str">
            <v>B&amp;P-041-LS02-2RS</v>
          </cell>
          <cell r="F2491">
            <v>44792.472673611112</v>
          </cell>
          <cell r="H2491" t="str">
            <v>B&amp;P-003-Ball-3/16</v>
          </cell>
          <cell r="J2491">
            <v>10</v>
          </cell>
        </row>
        <row r="2492">
          <cell r="C2492" t="str">
            <v>B&amp;P-041-LS02-2RS</v>
          </cell>
          <cell r="F2492">
            <v>44792.472673611112</v>
          </cell>
          <cell r="H2492" t="str">
            <v>B&amp;P-004-LS02RS-BLUE</v>
          </cell>
          <cell r="J2492">
            <v>2</v>
          </cell>
        </row>
        <row r="2493">
          <cell r="C2493" t="str">
            <v>B&amp;P-041-LS02-2RS</v>
          </cell>
          <cell r="F2493">
            <v>44792.472673611112</v>
          </cell>
          <cell r="H2493" t="str">
            <v>B&amp;P-005-RET/SET-LS02</v>
          </cell>
          <cell r="J2493">
            <v>1</v>
          </cell>
        </row>
        <row r="2494">
          <cell r="C2494" t="str">
            <v>B&amp;P-041-MS06-2RS</v>
          </cell>
          <cell r="F2494">
            <v>44792.473356481481</v>
          </cell>
          <cell r="H2494" t="str">
            <v>B&amp;P-001-MS06-D</v>
          </cell>
          <cell r="J2494">
            <v>1</v>
          </cell>
        </row>
        <row r="2495">
          <cell r="C2495" t="str">
            <v>B&amp;P-041-MS06-2RS</v>
          </cell>
          <cell r="F2495">
            <v>44792.473356481481</v>
          </cell>
          <cell r="H2495" t="str">
            <v>B&amp;P-002-MS06-D</v>
          </cell>
          <cell r="J2495">
            <v>1</v>
          </cell>
        </row>
        <row r="2496">
          <cell r="C2496" t="str">
            <v>B&amp;P-041-MS06-2RS</v>
          </cell>
          <cell r="F2496">
            <v>44792.473356481481</v>
          </cell>
          <cell r="H2496" t="str">
            <v>B&amp;P-003-Ball-3/8</v>
          </cell>
          <cell r="J2496">
            <v>9</v>
          </cell>
        </row>
        <row r="2497">
          <cell r="C2497" t="str">
            <v>B&amp;P-041-MS06-2RS</v>
          </cell>
          <cell r="F2497">
            <v>44792.473356481481</v>
          </cell>
          <cell r="H2497" t="str">
            <v>BPB-004-MS06RS-BLUE</v>
          </cell>
          <cell r="J2497">
            <v>2</v>
          </cell>
        </row>
        <row r="2498">
          <cell r="C2498" t="str">
            <v>B&amp;P-041-MS06-2RS</v>
          </cell>
          <cell r="F2498">
            <v>44792.473356481481</v>
          </cell>
          <cell r="H2498" t="str">
            <v>B&amp;P-005-RET/SET-MS06</v>
          </cell>
          <cell r="J2498">
            <v>1</v>
          </cell>
        </row>
        <row r="2499">
          <cell r="C2499" t="str">
            <v>B&amp;P-041-MS01-2RS</v>
          </cell>
          <cell r="F2499">
            <v>44792.484675925924</v>
          </cell>
          <cell r="H2499" t="str">
            <v>B&amp;P-001-MS01-D</v>
          </cell>
          <cell r="J2499">
            <v>1</v>
          </cell>
        </row>
        <row r="2500">
          <cell r="C2500" t="str">
            <v>B&amp;P-041-MS01-2RS</v>
          </cell>
          <cell r="F2500">
            <v>44792.484675925924</v>
          </cell>
          <cell r="H2500" t="str">
            <v>B&amp;P-002-MS01-D</v>
          </cell>
          <cell r="J2500">
            <v>1</v>
          </cell>
        </row>
        <row r="2501">
          <cell r="C2501" t="str">
            <v>B&amp;P-041-MS01-2RS</v>
          </cell>
          <cell r="F2501">
            <v>44792.484675925924</v>
          </cell>
          <cell r="H2501" t="str">
            <v>B&amp;P-003-BALL-15/64</v>
          </cell>
          <cell r="J2501">
            <v>7</v>
          </cell>
        </row>
        <row r="2502">
          <cell r="C2502" t="str">
            <v>B&amp;P-041-MS01-2RS</v>
          </cell>
          <cell r="F2502">
            <v>44792.484675925924</v>
          </cell>
          <cell r="H2502" t="str">
            <v>BPB-004-MS01RS-BLUE</v>
          </cell>
          <cell r="J2502">
            <v>2</v>
          </cell>
        </row>
        <row r="2503">
          <cell r="C2503" t="str">
            <v>B&amp;P-041-MS01-2RS</v>
          </cell>
          <cell r="F2503">
            <v>44792.484675925924</v>
          </cell>
          <cell r="H2503" t="str">
            <v>B&amp;P-005-RET/SET-MS01</v>
          </cell>
          <cell r="J2503">
            <v>1</v>
          </cell>
        </row>
        <row r="2504">
          <cell r="C2504" t="str">
            <v>B&amp;P-041-MS02-2RS</v>
          </cell>
          <cell r="F2504">
            <v>44792.485196759262</v>
          </cell>
          <cell r="H2504" t="str">
            <v>B&amp;P-001-MS02-D</v>
          </cell>
          <cell r="J2504">
            <v>1</v>
          </cell>
        </row>
        <row r="2505">
          <cell r="C2505" t="str">
            <v>B&amp;P-041-MS02-2RS</v>
          </cell>
          <cell r="F2505">
            <v>44792.485196759262</v>
          </cell>
          <cell r="H2505" t="str">
            <v>B&amp;P-002-MS02-D</v>
          </cell>
          <cell r="J2505">
            <v>1</v>
          </cell>
        </row>
        <row r="2506">
          <cell r="C2506" t="str">
            <v>B&amp;P-041-MS02-2RS</v>
          </cell>
          <cell r="F2506">
            <v>44792.485196759262</v>
          </cell>
          <cell r="H2506" t="str">
            <v>B&amp;P-005-RET/SET-MS02</v>
          </cell>
          <cell r="J2506">
            <v>1</v>
          </cell>
        </row>
        <row r="2507">
          <cell r="C2507" t="str">
            <v>B&amp;P-041-MS02-2RS</v>
          </cell>
          <cell r="F2507">
            <v>44792.485196759262</v>
          </cell>
          <cell r="H2507" t="str">
            <v>B&amp;P-003-BALL-15/64</v>
          </cell>
          <cell r="J2507">
            <v>8</v>
          </cell>
        </row>
        <row r="2508">
          <cell r="C2508" t="str">
            <v>B&amp;P-041-MS02-2RS</v>
          </cell>
          <cell r="F2508">
            <v>44792.485196759262</v>
          </cell>
          <cell r="H2508" t="str">
            <v>B&amp;P-004-MS02RLD-BLUE</v>
          </cell>
          <cell r="J2508">
            <v>2</v>
          </cell>
        </row>
        <row r="2509">
          <cell r="C2509" t="str">
            <v>B&amp;P-058-32308-MX</v>
          </cell>
          <cell r="F2509">
            <v>44845.353773148148</v>
          </cell>
          <cell r="H2509" t="str">
            <v>B&amp;P-053-X-32308</v>
          </cell>
          <cell r="J2509">
            <v>1</v>
          </cell>
        </row>
        <row r="2510">
          <cell r="C2510" t="str">
            <v>B&amp;P-058-32308-MX</v>
          </cell>
          <cell r="F2510">
            <v>44845.353773148148</v>
          </cell>
          <cell r="H2510" t="str">
            <v>B&amp;P-054-TDY308</v>
          </cell>
          <cell r="J2510">
            <v>1</v>
          </cell>
        </row>
        <row r="2511">
          <cell r="C2511" t="str">
            <v>B&amp;P-058-30209-MX</v>
          </cell>
          <cell r="F2511">
            <v>44873.392939814818</v>
          </cell>
          <cell r="H2511" t="str">
            <v>B&amp;P-053-X-30209</v>
          </cell>
          <cell r="J2511">
            <v>1</v>
          </cell>
        </row>
        <row r="2512">
          <cell r="C2512" t="str">
            <v>B&amp;P-058-30209-MX</v>
          </cell>
          <cell r="F2512">
            <v>44873.392939814818</v>
          </cell>
          <cell r="H2512" t="str">
            <v>B&amp;P-054-TCY209</v>
          </cell>
          <cell r="J2512">
            <v>1</v>
          </cell>
        </row>
        <row r="2513">
          <cell r="C2513" t="str">
            <v>BPB-048-5203-KYY2</v>
          </cell>
          <cell r="F2513">
            <v>44910.437430555554</v>
          </cell>
          <cell r="H2513" t="str">
            <v>B&amp;P-001-5203-KYY2</v>
          </cell>
          <cell r="J2513">
            <v>1</v>
          </cell>
        </row>
        <row r="2514">
          <cell r="C2514" t="str">
            <v>BPB-048-5203-KYY2</v>
          </cell>
          <cell r="F2514">
            <v>44910.437430555554</v>
          </cell>
          <cell r="H2514" t="str">
            <v>B&amp;P-002-5203-KYY2</v>
          </cell>
          <cell r="J2514">
            <v>1</v>
          </cell>
        </row>
        <row r="2515">
          <cell r="C2515" t="str">
            <v>BPB-048-5203-KYY2</v>
          </cell>
          <cell r="F2515">
            <v>44910.437430555554</v>
          </cell>
          <cell r="H2515" t="str">
            <v>B&amp;P-005-5203-KYY2</v>
          </cell>
          <cell r="J2515">
            <v>2</v>
          </cell>
        </row>
        <row r="2516">
          <cell r="C2516" t="str">
            <v>BPB-048-5203-KYY2</v>
          </cell>
          <cell r="F2516">
            <v>44910.437430555554</v>
          </cell>
          <cell r="H2516" t="str">
            <v>B&amp;P-004-5203-KYY2-08</v>
          </cell>
          <cell r="J2516">
            <v>2</v>
          </cell>
        </row>
        <row r="2517">
          <cell r="C2517" t="str">
            <v>BPB-048-5203-KYY2</v>
          </cell>
          <cell r="F2517">
            <v>44910.437430555554</v>
          </cell>
          <cell r="H2517" t="str">
            <v>B&amp;P-003-BALL-17/64</v>
          </cell>
          <cell r="J2517">
            <v>16</v>
          </cell>
        </row>
        <row r="2518">
          <cell r="C2518" t="str">
            <v>B&amp;P-048-205-PPB7</v>
          </cell>
          <cell r="F2518">
            <v>44910.441412037035</v>
          </cell>
          <cell r="H2518" t="str">
            <v>B&amp;P-001-OR205</v>
          </cell>
          <cell r="J2518">
            <v>1</v>
          </cell>
        </row>
        <row r="2519">
          <cell r="C2519" t="str">
            <v>B&amp;P-048-205-PPB7</v>
          </cell>
          <cell r="F2519">
            <v>44910.441412037035</v>
          </cell>
          <cell r="H2519" t="str">
            <v>B&amp;P-002-205-7</v>
          </cell>
          <cell r="J2519">
            <v>1</v>
          </cell>
        </row>
        <row r="2520">
          <cell r="C2520" t="str">
            <v>B&amp;P-048-205-PPB7</v>
          </cell>
          <cell r="F2520">
            <v>44910.441412037035</v>
          </cell>
          <cell r="H2520" t="str">
            <v>B&amp;P-005-CAGE205-17</v>
          </cell>
          <cell r="J2520">
            <v>1</v>
          </cell>
        </row>
        <row r="2521">
          <cell r="C2521" t="str">
            <v>B&amp;P-048-205-PPB7</v>
          </cell>
          <cell r="F2521">
            <v>44910.441412037035</v>
          </cell>
          <cell r="H2521" t="str">
            <v>B&amp;P-004-205-TPL-08</v>
          </cell>
          <cell r="J2521">
            <v>2</v>
          </cell>
        </row>
        <row r="2522">
          <cell r="C2522" t="str">
            <v>B&amp;P-048-205-PPB7</v>
          </cell>
          <cell r="F2522">
            <v>44910.441412037035</v>
          </cell>
          <cell r="H2522" t="str">
            <v>B&amp;P-003-Ball-5/16</v>
          </cell>
          <cell r="J2522">
            <v>9</v>
          </cell>
        </row>
        <row r="2523">
          <cell r="C2523" t="str">
            <v>BPB-048-DTR2047-FM</v>
          </cell>
          <cell r="F2523">
            <v>44861.740937499999</v>
          </cell>
          <cell r="H2523" t="str">
            <v>MID-054-JRME-2047CUP</v>
          </cell>
          <cell r="J2523">
            <v>1</v>
          </cell>
        </row>
        <row r="2524">
          <cell r="C2524" t="str">
            <v>BPB-048-DTR2047-FM</v>
          </cell>
          <cell r="F2524">
            <v>44861.740937499999</v>
          </cell>
          <cell r="H2524" t="str">
            <v>MID-053-JRME-2047CON</v>
          </cell>
          <cell r="J2524">
            <v>2</v>
          </cell>
        </row>
        <row r="2525">
          <cell r="C2525" t="str">
            <v>BPB-048-DTR2047-FM</v>
          </cell>
          <cell r="F2525">
            <v>44861.740937499999</v>
          </cell>
          <cell r="H2525" t="str">
            <v>BPB-027-08-DTR2047</v>
          </cell>
          <cell r="J2525">
            <v>2</v>
          </cell>
        </row>
        <row r="2526">
          <cell r="C2526" t="str">
            <v>BPB-048-DTR2047-FM</v>
          </cell>
          <cell r="F2526">
            <v>44861.740937499999</v>
          </cell>
          <cell r="H2526" t="str">
            <v>BPB-000-POLYREX-EM</v>
          </cell>
          <cell r="J2526">
            <v>5</v>
          </cell>
        </row>
        <row r="2527">
          <cell r="C2527" t="str">
            <v>B&amp;P-047-F4X-208</v>
          </cell>
          <cell r="F2527">
            <v>44881.406458333331</v>
          </cell>
          <cell r="H2527" t="str">
            <v>BPB-047-F4X208A-A1</v>
          </cell>
          <cell r="J2527">
            <v>1</v>
          </cell>
        </row>
        <row r="2528">
          <cell r="C2528" t="str">
            <v>BPB-999-32206-MX</v>
          </cell>
          <cell r="F2528">
            <v>44895.383287037039</v>
          </cell>
          <cell r="H2528" t="str">
            <v>000-053-X-32206</v>
          </cell>
          <cell r="J2528">
            <v>1</v>
          </cell>
        </row>
        <row r="2529">
          <cell r="C2529" t="str">
            <v>BPB-999-32206-MX</v>
          </cell>
          <cell r="F2529">
            <v>44895.383287037039</v>
          </cell>
          <cell r="H2529" t="str">
            <v>000-054-TDY206</v>
          </cell>
          <cell r="J2529">
            <v>1</v>
          </cell>
        </row>
        <row r="2530">
          <cell r="C2530" t="str">
            <v>B&amp;P-059-S41211-AT</v>
          </cell>
          <cell r="F2530">
            <v>44964.599814814814</v>
          </cell>
          <cell r="H2530" t="str">
            <v>BPB-048-S412101-A</v>
          </cell>
          <cell r="J2530">
            <v>1</v>
          </cell>
        </row>
        <row r="2531">
          <cell r="C2531" t="str">
            <v>B&amp;P-059-S41211-DTR</v>
          </cell>
          <cell r="F2531">
            <v>44964.685729166667</v>
          </cell>
          <cell r="H2531" t="str">
            <v>B&amp;P-059-S41211-AT</v>
          </cell>
          <cell r="J2531">
            <v>1</v>
          </cell>
        </row>
        <row r="2532">
          <cell r="C2532" t="str">
            <v>B&amp;P-059-S41211-DTR</v>
          </cell>
          <cell r="F2532">
            <v>44964.685729166667</v>
          </cell>
          <cell r="H2532" t="str">
            <v>B&amp;P-048-DTR2047-TPL</v>
          </cell>
          <cell r="J2532">
            <v>1</v>
          </cell>
        </row>
        <row r="2533">
          <cell r="C2533" t="str">
            <v>B&amp;P-059-S41211-DTR</v>
          </cell>
          <cell r="F2533">
            <v>44964.685729166667</v>
          </cell>
          <cell r="H2533" t="str">
            <v>BPB-037-DIN-472-47</v>
          </cell>
          <cell r="J2533">
            <v>1</v>
          </cell>
        </row>
        <row r="2534">
          <cell r="C2534" t="str">
            <v>BPB-056-DS2565C25CHS</v>
          </cell>
          <cell r="F2534">
            <v>44986.507187499999</v>
          </cell>
          <cell r="H2534" t="str">
            <v>BPB-056-DS2565C25-08</v>
          </cell>
          <cell r="J2534">
            <v>1</v>
          </cell>
        </row>
        <row r="2535">
          <cell r="C2535" t="str">
            <v>B&amp;P-041-LS10-2RS</v>
          </cell>
          <cell r="F2535">
            <v>45007.652060185188</v>
          </cell>
          <cell r="H2535" t="str">
            <v>B&amp;P-001-LS10-D</v>
          </cell>
          <cell r="J2535">
            <v>1</v>
          </cell>
        </row>
        <row r="2536">
          <cell r="C2536" t="str">
            <v>B&amp;P-041-LS10-2RS</v>
          </cell>
          <cell r="F2536">
            <v>45007.652060185188</v>
          </cell>
          <cell r="H2536" t="str">
            <v>B&amp;P-002-LS10-D</v>
          </cell>
          <cell r="J2536">
            <v>1</v>
          </cell>
        </row>
        <row r="2537">
          <cell r="C2537" t="str">
            <v>B&amp;P-041-LS10-2RS</v>
          </cell>
          <cell r="F2537">
            <v>45007.652060185188</v>
          </cell>
          <cell r="H2537" t="str">
            <v>B&amp;P-004-LS10-RS</v>
          </cell>
          <cell r="J2537">
            <v>2</v>
          </cell>
        </row>
        <row r="2538">
          <cell r="C2538" t="str">
            <v>B&amp;P-041-LS10-2RS</v>
          </cell>
          <cell r="F2538">
            <v>45007.652060185188</v>
          </cell>
          <cell r="H2538" t="str">
            <v>B&amp;P-005-RET/SET-LS10</v>
          </cell>
          <cell r="J2538">
            <v>1</v>
          </cell>
        </row>
        <row r="2539">
          <cell r="C2539" t="str">
            <v>B&amp;P-041-LS10-2RS</v>
          </cell>
          <cell r="F2539">
            <v>45007.652060185188</v>
          </cell>
          <cell r="H2539" t="str">
            <v>B&amp;P-003-BALL-1/2</v>
          </cell>
          <cell r="J2539">
            <v>10</v>
          </cell>
        </row>
        <row r="2540">
          <cell r="C2540" t="str">
            <v>B&amp;P-041-MS12-2RS</v>
          </cell>
          <cell r="F2540">
            <v>45007.65315972222</v>
          </cell>
          <cell r="H2540" t="str">
            <v>B&amp;P-001-MS12-D</v>
          </cell>
          <cell r="J2540">
            <v>1</v>
          </cell>
        </row>
        <row r="2541">
          <cell r="C2541" t="str">
            <v>B&amp;P-041-MS12-2RS</v>
          </cell>
          <cell r="F2541">
            <v>45007.65315972222</v>
          </cell>
          <cell r="H2541" t="str">
            <v>B&amp;P-002-MS12-D</v>
          </cell>
          <cell r="J2541">
            <v>1</v>
          </cell>
        </row>
        <row r="2542">
          <cell r="C2542" t="str">
            <v>B&amp;P-041-MS12-2RS</v>
          </cell>
          <cell r="F2542">
            <v>45007.65315972222</v>
          </cell>
          <cell r="H2542" t="str">
            <v>B&amp;P-004-MS12-RS</v>
          </cell>
          <cell r="J2542">
            <v>2</v>
          </cell>
        </row>
        <row r="2543">
          <cell r="C2543" t="str">
            <v>B&amp;P-041-MS12-2RS</v>
          </cell>
          <cell r="F2543">
            <v>45007.65315972222</v>
          </cell>
          <cell r="H2543" t="str">
            <v>B&amp;P-005-RET/SET-MS12</v>
          </cell>
          <cell r="J2543">
            <v>1</v>
          </cell>
        </row>
        <row r="2544">
          <cell r="C2544" t="str">
            <v>B&amp;P-041-MS12-2RS</v>
          </cell>
          <cell r="F2544">
            <v>45007.65315972222</v>
          </cell>
          <cell r="H2544" t="str">
            <v>B&amp;P-003-Ball-19/32</v>
          </cell>
          <cell r="J2544">
            <v>10</v>
          </cell>
        </row>
        <row r="2545">
          <cell r="C2545" t="str">
            <v>B&amp;P-041-LS05-ZZ</v>
          </cell>
          <cell r="F2545">
            <v>45028.38354166667</v>
          </cell>
          <cell r="H2545" t="str">
            <v>B&amp;P-041-LS05-D</v>
          </cell>
          <cell r="J2545">
            <v>1</v>
          </cell>
        </row>
        <row r="2546">
          <cell r="C2546" t="str">
            <v>B&amp;P-041-LS05-ZZ</v>
          </cell>
          <cell r="F2546">
            <v>45028.38354166667</v>
          </cell>
          <cell r="H2546" t="str">
            <v>B&amp;P-004-LS05-Z-08</v>
          </cell>
          <cell r="J2546">
            <v>1</v>
          </cell>
        </row>
        <row r="2547">
          <cell r="C2547" t="str">
            <v>B&amp;P-048-5203-KYY9-A</v>
          </cell>
          <cell r="F2547">
            <v>45028.693067129629</v>
          </cell>
          <cell r="H2547" t="str">
            <v>B&amp;P-048-5203-KYY9</v>
          </cell>
          <cell r="J2547">
            <v>1</v>
          </cell>
        </row>
        <row r="2548">
          <cell r="C2548" t="str">
            <v>B&amp;P-048-205-PP9</v>
          </cell>
          <cell r="F2548">
            <v>45055.679143518515</v>
          </cell>
          <cell r="H2548" t="str">
            <v>BPB-001-205PP9-01</v>
          </cell>
          <cell r="J2548">
            <v>1</v>
          </cell>
        </row>
        <row r="2549">
          <cell r="C2549" t="str">
            <v>B&amp;P-048-205-PP9</v>
          </cell>
          <cell r="F2549">
            <v>45055.679143518515</v>
          </cell>
          <cell r="H2549" t="str">
            <v>BPB-002-205PP9-02</v>
          </cell>
          <cell r="J2549">
            <v>1</v>
          </cell>
        </row>
        <row r="2550">
          <cell r="C2550" t="str">
            <v>B&amp;P-048-205-PP9</v>
          </cell>
          <cell r="F2550">
            <v>45055.679143518515</v>
          </cell>
          <cell r="H2550" t="str">
            <v>B&amp;P-005-CAGE205-17</v>
          </cell>
          <cell r="J2550">
            <v>1</v>
          </cell>
        </row>
        <row r="2551">
          <cell r="C2551" t="str">
            <v>B&amp;P-048-205-PP9</v>
          </cell>
          <cell r="F2551">
            <v>45055.679143518515</v>
          </cell>
          <cell r="H2551" t="str">
            <v>B&amp;P-004-205-TPL-08</v>
          </cell>
          <cell r="J2551">
            <v>2</v>
          </cell>
        </row>
        <row r="2552">
          <cell r="C2552" t="str">
            <v>B&amp;P-048-205-PP9</v>
          </cell>
          <cell r="F2552">
            <v>45055.679143518515</v>
          </cell>
          <cell r="H2552" t="str">
            <v>B&amp;P-003-Ball-5/16</v>
          </cell>
          <cell r="J2552">
            <v>9</v>
          </cell>
        </row>
        <row r="2553">
          <cell r="C2553" t="str">
            <v>B&amp;P-041-LS00-2RS</v>
          </cell>
          <cell r="F2553">
            <v>45057.685185185182</v>
          </cell>
          <cell r="H2553" t="str">
            <v>B&amp;P-001-LS00-D</v>
          </cell>
          <cell r="J2553">
            <v>1</v>
          </cell>
        </row>
        <row r="2554">
          <cell r="C2554" t="str">
            <v>B&amp;P-048-AG-1235-B</v>
          </cell>
          <cell r="F2554">
            <v>45132.635393518518</v>
          </cell>
          <cell r="H2554" t="str">
            <v>B&amp;P-001-AG-1235-PPZ9</v>
          </cell>
          <cell r="J2554">
            <v>1</v>
          </cell>
        </row>
        <row r="2555">
          <cell r="C2555" t="str">
            <v>B&amp;P-048-AG-1235-B</v>
          </cell>
          <cell r="F2555">
            <v>45132.635393518518</v>
          </cell>
          <cell r="H2555" t="str">
            <v>B&amp;P-002-AG-1235-B</v>
          </cell>
          <cell r="J2555">
            <v>1</v>
          </cell>
        </row>
        <row r="2556">
          <cell r="C2556" t="str">
            <v>B&amp;P-048-AG-1235-B</v>
          </cell>
          <cell r="F2556">
            <v>45132.635393518518</v>
          </cell>
          <cell r="H2556" t="str">
            <v>B&amp;P-005-AG-1235-PPZ9</v>
          </cell>
          <cell r="J2556">
            <v>1</v>
          </cell>
        </row>
        <row r="2557">
          <cell r="C2557" t="str">
            <v>B&amp;P-048-AG-1235-B</v>
          </cell>
          <cell r="F2557">
            <v>45132.635393518518</v>
          </cell>
          <cell r="H2557" t="str">
            <v>B&amp;P-003-Ball-5/16</v>
          </cell>
          <cell r="J2557">
            <v>9</v>
          </cell>
        </row>
        <row r="2558">
          <cell r="C2558" t="str">
            <v>B&amp;P-048-AG-1235-B</v>
          </cell>
          <cell r="F2558">
            <v>45132.635393518518</v>
          </cell>
          <cell r="H2558" t="str">
            <v>B&amp;P-004-AG-1235-PPZ9</v>
          </cell>
          <cell r="J2558">
            <v>2</v>
          </cell>
        </row>
        <row r="2559">
          <cell r="C2559" t="str">
            <v>B&amp;P-048-205-GP</v>
          </cell>
          <cell r="F2559">
            <v>45132.657500000001</v>
          </cell>
          <cell r="H2559" t="str">
            <v>B&amp;P-001-205-GP</v>
          </cell>
          <cell r="J2559">
            <v>1</v>
          </cell>
        </row>
        <row r="2560">
          <cell r="C2560" t="str">
            <v>B&amp;P-048-205-GP</v>
          </cell>
          <cell r="F2560">
            <v>45132.657500000001</v>
          </cell>
          <cell r="H2560" t="str">
            <v>B&amp;P-002-AG-1235-B</v>
          </cell>
          <cell r="J2560">
            <v>1</v>
          </cell>
        </row>
        <row r="2561">
          <cell r="C2561" t="str">
            <v>B&amp;P-048-205-GP</v>
          </cell>
          <cell r="F2561">
            <v>45132.657500000001</v>
          </cell>
          <cell r="H2561" t="str">
            <v>B&amp;P-005-AG-1235-PPZ9</v>
          </cell>
          <cell r="J2561">
            <v>1</v>
          </cell>
        </row>
        <row r="2562">
          <cell r="C2562" t="str">
            <v>B&amp;P-048-205-GP</v>
          </cell>
          <cell r="F2562">
            <v>45132.657500000001</v>
          </cell>
          <cell r="H2562" t="str">
            <v>B&amp;P-003-Ball-5/16</v>
          </cell>
          <cell r="J2562">
            <v>9</v>
          </cell>
        </row>
        <row r="2563">
          <cell r="C2563" t="str">
            <v>B&amp;P-048-205-GP</v>
          </cell>
          <cell r="F2563">
            <v>45132.657500000001</v>
          </cell>
          <cell r="H2563" t="str">
            <v>B&amp;P-004-AG-1235-PPZ9</v>
          </cell>
          <cell r="J2563">
            <v>2</v>
          </cell>
        </row>
        <row r="2564">
          <cell r="C2564" t="str">
            <v>B&amp;P-048-204-JY3</v>
          </cell>
          <cell r="F2564">
            <v>45132.662002314813</v>
          </cell>
          <cell r="H2564" t="str">
            <v>B&amp;P-001-204-JY3</v>
          </cell>
          <cell r="J2564">
            <v>1</v>
          </cell>
        </row>
        <row r="2565">
          <cell r="C2565" t="str">
            <v>B&amp;P-048-204-JY3</v>
          </cell>
          <cell r="F2565">
            <v>45132.662002314813</v>
          </cell>
          <cell r="H2565" t="str">
            <v>B&amp;P-002-204-JY3</v>
          </cell>
          <cell r="J2565">
            <v>1</v>
          </cell>
        </row>
        <row r="2566">
          <cell r="C2566" t="str">
            <v>B&amp;P-048-204-JY3</v>
          </cell>
          <cell r="F2566">
            <v>45132.662002314813</v>
          </cell>
          <cell r="H2566" t="str">
            <v>B&amp;P-005-CAGE204-17</v>
          </cell>
          <cell r="J2566">
            <v>1</v>
          </cell>
        </row>
        <row r="2567">
          <cell r="C2567" t="str">
            <v>B&amp;P-048-204-JY3</v>
          </cell>
          <cell r="F2567">
            <v>45132.662002314813</v>
          </cell>
          <cell r="H2567" t="str">
            <v>B&amp;P-003-Ball-5/16</v>
          </cell>
          <cell r="J2567">
            <v>8</v>
          </cell>
        </row>
        <row r="2568">
          <cell r="C2568" t="str">
            <v>B&amp;P-048-204-JY3</v>
          </cell>
          <cell r="F2568">
            <v>45132.662002314813</v>
          </cell>
          <cell r="H2568" t="str">
            <v>B&amp;P-004-204-DBL-08</v>
          </cell>
          <cell r="J2568">
            <v>2</v>
          </cell>
        </row>
        <row r="2569">
          <cell r="C2569" t="str">
            <v>B&amp;P-048-204-PY3</v>
          </cell>
          <cell r="F2569">
            <v>45132.667175925926</v>
          </cell>
          <cell r="H2569" t="str">
            <v>B&amp;P-001-204-JY3</v>
          </cell>
          <cell r="J2569">
            <v>1</v>
          </cell>
        </row>
        <row r="2570">
          <cell r="C2570" t="str">
            <v>B&amp;P-048-204-PY3</v>
          </cell>
          <cell r="F2570">
            <v>45132.667175925926</v>
          </cell>
          <cell r="H2570" t="str">
            <v>B&amp;P-002-204-JY3</v>
          </cell>
          <cell r="J2570">
            <v>1</v>
          </cell>
        </row>
        <row r="2571">
          <cell r="C2571" t="str">
            <v>B&amp;P-048-204-PY3</v>
          </cell>
          <cell r="F2571">
            <v>45132.667175925926</v>
          </cell>
          <cell r="H2571" t="str">
            <v>B&amp;P-005-CAGE204-17</v>
          </cell>
          <cell r="J2571">
            <v>1</v>
          </cell>
        </row>
        <row r="2572">
          <cell r="C2572" t="str">
            <v>B&amp;P-048-204-PY3</v>
          </cell>
          <cell r="F2572">
            <v>45132.667175925926</v>
          </cell>
          <cell r="H2572" t="str">
            <v>B&amp;P-003-Ball-5/16</v>
          </cell>
          <cell r="J2572">
            <v>8</v>
          </cell>
        </row>
        <row r="2573">
          <cell r="C2573" t="str">
            <v>B&amp;P-048-204-PY3</v>
          </cell>
          <cell r="F2573">
            <v>45132.667175925926</v>
          </cell>
          <cell r="H2573" t="str">
            <v>B&amp;P-004-204-DBL-08</v>
          </cell>
          <cell r="J2573">
            <v>2</v>
          </cell>
        </row>
        <row r="2574">
          <cell r="C2574" t="str">
            <v>B&amp;P-048-W208PPB5</v>
          </cell>
          <cell r="F2574">
            <v>44910.44736111111</v>
          </cell>
          <cell r="H2574" t="str">
            <v>B&amp;P-001-OR208-18</v>
          </cell>
          <cell r="J2574">
            <v>1</v>
          </cell>
        </row>
        <row r="2575">
          <cell r="C2575" t="str">
            <v>B&amp;P-048-W208PPB5</v>
          </cell>
          <cell r="F2575">
            <v>44910.44736111111</v>
          </cell>
          <cell r="H2575" t="str">
            <v>B&amp;P-002-208-5</v>
          </cell>
          <cell r="J2575">
            <v>1</v>
          </cell>
        </row>
        <row r="2576">
          <cell r="C2576" t="str">
            <v>B&amp;P-048-W208PPB5</v>
          </cell>
          <cell r="F2576">
            <v>44910.44736111111</v>
          </cell>
          <cell r="H2576" t="str">
            <v>B&amp;P-005-CAGE208-17</v>
          </cell>
          <cell r="J2576">
            <v>1</v>
          </cell>
        </row>
        <row r="2577">
          <cell r="C2577" t="str">
            <v>B&amp;P-048-W208PPB5</v>
          </cell>
          <cell r="F2577">
            <v>44910.44736111111</v>
          </cell>
          <cell r="H2577" t="str">
            <v>B&amp;P-003-BALL-1/2</v>
          </cell>
          <cell r="J2577">
            <v>9</v>
          </cell>
        </row>
        <row r="2578">
          <cell r="C2578" t="str">
            <v>B&amp;P-048-W208-PP5</v>
          </cell>
          <cell r="F2578">
            <v>44910.449930555558</v>
          </cell>
          <cell r="H2578" t="str">
            <v>B&amp;P-001-OR208-R18</v>
          </cell>
          <cell r="J2578">
            <v>1</v>
          </cell>
        </row>
        <row r="2579">
          <cell r="C2579" t="str">
            <v>B&amp;P-048-W208PPB5</v>
          </cell>
          <cell r="F2579">
            <v>44910.44736111111</v>
          </cell>
          <cell r="H2579" t="str">
            <v>B&amp;P-004-208-TPL-08</v>
          </cell>
          <cell r="J2579">
            <v>2</v>
          </cell>
        </row>
        <row r="2580">
          <cell r="C2580" t="str">
            <v>B&amp;P-048-W208-PP5</v>
          </cell>
          <cell r="F2580">
            <v>44910.449930555558</v>
          </cell>
          <cell r="H2580" t="str">
            <v>B&amp;P-002-208-5</v>
          </cell>
          <cell r="J2580">
            <v>1</v>
          </cell>
        </row>
        <row r="2581">
          <cell r="C2581" t="str">
            <v>B&amp;P-048-W208-PP5</v>
          </cell>
          <cell r="F2581">
            <v>44910.449930555558</v>
          </cell>
          <cell r="H2581" t="str">
            <v>B&amp;P-005-CAGE208-17</v>
          </cell>
          <cell r="J2581">
            <v>1</v>
          </cell>
        </row>
        <row r="2582">
          <cell r="C2582" t="str">
            <v>B&amp;P-048-W208-PP5</v>
          </cell>
          <cell r="F2582">
            <v>44910.449930555558</v>
          </cell>
          <cell r="H2582" t="str">
            <v>B&amp;P-003-BALL-1/2</v>
          </cell>
          <cell r="J2582">
            <v>9</v>
          </cell>
        </row>
        <row r="2583">
          <cell r="C2583" t="str">
            <v>B&amp;P-048-W208-PP5</v>
          </cell>
          <cell r="F2583">
            <v>44910.449930555558</v>
          </cell>
          <cell r="H2583" t="str">
            <v>B&amp;P-004-208-TPL-08</v>
          </cell>
          <cell r="J2583">
            <v>2</v>
          </cell>
        </row>
        <row r="2584">
          <cell r="C2584" t="str">
            <v>B&amp;P-041-MS01-2RST</v>
          </cell>
          <cell r="F2584">
            <v>44999.54347222222</v>
          </cell>
          <cell r="H2584" t="str">
            <v>B&amp;P-001-MS01-D</v>
          </cell>
          <cell r="J2584">
            <v>1</v>
          </cell>
        </row>
        <row r="2585">
          <cell r="C2585" t="str">
            <v>B&amp;P-041-MS01-2RST</v>
          </cell>
          <cell r="F2585">
            <v>44999.54347222222</v>
          </cell>
          <cell r="H2585" t="str">
            <v>B&amp;P-002-MS01-D</v>
          </cell>
          <cell r="J2585">
            <v>1</v>
          </cell>
        </row>
        <row r="2586">
          <cell r="C2586" t="str">
            <v>B&amp;P-041-MS01-2RST</v>
          </cell>
          <cell r="F2586">
            <v>44999.54347222222</v>
          </cell>
          <cell r="H2586" t="str">
            <v>B&amp;P-005-RET/SET-MS01</v>
          </cell>
          <cell r="J2586">
            <v>1</v>
          </cell>
        </row>
        <row r="2587">
          <cell r="C2587" t="str">
            <v>B&amp;P-041-MS01-2RST</v>
          </cell>
          <cell r="F2587">
            <v>44999.54347222222</v>
          </cell>
          <cell r="H2587" t="str">
            <v>B&amp;P-003-BALL-15/64</v>
          </cell>
          <cell r="J2587">
            <v>7</v>
          </cell>
        </row>
        <row r="2588">
          <cell r="C2588" t="str">
            <v>B&amp;P-041-MS01-2RST</v>
          </cell>
          <cell r="F2588">
            <v>44999.54347222222</v>
          </cell>
          <cell r="H2588" t="str">
            <v>B&amp;P-004-MS01-2RST-08</v>
          </cell>
          <cell r="J2588">
            <v>2</v>
          </cell>
        </row>
        <row r="2589">
          <cell r="C2589" t="str">
            <v>B&amp;P-041-LS00-2RS</v>
          </cell>
          <cell r="F2589">
            <v>45057.685185185182</v>
          </cell>
          <cell r="H2589" t="str">
            <v>B&amp;P-002-LS00-D</v>
          </cell>
          <cell r="J2589">
            <v>1</v>
          </cell>
        </row>
        <row r="2590">
          <cell r="C2590" t="str">
            <v>B&amp;P-041-MS08-D</v>
          </cell>
          <cell r="F2590">
            <v>45119.404479166667</v>
          </cell>
          <cell r="H2590" t="str">
            <v>B&amp;P-001-MS08-D</v>
          </cell>
          <cell r="J2590">
            <v>1</v>
          </cell>
        </row>
        <row r="2591">
          <cell r="C2591" t="str">
            <v>B&amp;P-041-MS08-D</v>
          </cell>
          <cell r="F2591">
            <v>45119.404479166667</v>
          </cell>
          <cell r="H2591" t="str">
            <v>B&amp;P-002-MS08-D</v>
          </cell>
          <cell r="J2591">
            <v>1</v>
          </cell>
        </row>
        <row r="2592">
          <cell r="C2592" t="str">
            <v>B&amp;P-041-MS08-D</v>
          </cell>
          <cell r="F2592">
            <v>45119.404479166667</v>
          </cell>
          <cell r="H2592" t="str">
            <v>B&amp;P-003-BALL-1/2</v>
          </cell>
          <cell r="J2592">
            <v>9</v>
          </cell>
        </row>
        <row r="2593">
          <cell r="C2593" t="str">
            <v>B&amp;P-041-MS08-D</v>
          </cell>
          <cell r="F2593">
            <v>45119.404479166667</v>
          </cell>
          <cell r="H2593" t="str">
            <v>B&amp;P-005-RET/SET-MS08</v>
          </cell>
          <cell r="J2593">
            <v>1</v>
          </cell>
        </row>
        <row r="2594">
          <cell r="C2594" t="str">
            <v>B&amp;P-048-AG-1235-PPZ9</v>
          </cell>
          <cell r="F2594">
            <v>45119.454618055555</v>
          </cell>
          <cell r="H2594" t="str">
            <v>B&amp;P-001-AG-1235-PPZ9</v>
          </cell>
          <cell r="J2594">
            <v>1</v>
          </cell>
        </row>
        <row r="2595">
          <cell r="C2595" t="str">
            <v>B&amp;P-048-AG-1235-PPZ9</v>
          </cell>
          <cell r="F2595">
            <v>45119.454618055555</v>
          </cell>
          <cell r="H2595" t="str">
            <v>B&amp;P-002-AG-1235-PPZ9</v>
          </cell>
          <cell r="J2595">
            <v>1</v>
          </cell>
        </row>
        <row r="2596">
          <cell r="C2596" t="str">
            <v>B&amp;P-048-AG-1235-PPZ9</v>
          </cell>
          <cell r="F2596">
            <v>45119.454618055555</v>
          </cell>
          <cell r="H2596" t="str">
            <v>B&amp;P-005-AG-1235-PPZ9</v>
          </cell>
          <cell r="J2596">
            <v>1</v>
          </cell>
        </row>
        <row r="2597">
          <cell r="C2597" t="str">
            <v>B&amp;P-048-AG-1235-PPZ9</v>
          </cell>
          <cell r="F2597">
            <v>45119.454618055555</v>
          </cell>
          <cell r="H2597" t="str">
            <v>B&amp;P-004-AG-1235-PPZ9</v>
          </cell>
          <cell r="J2597">
            <v>2</v>
          </cell>
        </row>
        <row r="2598">
          <cell r="C2598" t="str">
            <v>B&amp;P-048-AG-1235-PPZ9</v>
          </cell>
          <cell r="F2598">
            <v>45119.454618055555</v>
          </cell>
          <cell r="H2598" t="str">
            <v>B&amp;P-003-Ball-5/16</v>
          </cell>
          <cell r="J2598">
            <v>9</v>
          </cell>
        </row>
        <row r="2599">
          <cell r="C2599" t="str">
            <v>B&amp;P-048-BB203-KRR2FD</v>
          </cell>
          <cell r="F2599">
            <v>45132.682592592595</v>
          </cell>
          <cell r="H2599" t="str">
            <v>B&amp;P-001-BB203-KRR2</v>
          </cell>
          <cell r="J2599">
            <v>1</v>
          </cell>
        </row>
        <row r="2600">
          <cell r="C2600" t="str">
            <v>B&amp;P-048-BB203-KRR2FD</v>
          </cell>
          <cell r="F2600">
            <v>45132.682592592595</v>
          </cell>
          <cell r="H2600" t="str">
            <v>B&amp;P-002-BB203-KRR2</v>
          </cell>
          <cell r="J2600">
            <v>1</v>
          </cell>
        </row>
        <row r="2601">
          <cell r="C2601" t="str">
            <v>B&amp;P-048-BB203-KRR2FD</v>
          </cell>
          <cell r="F2601">
            <v>45132.682592592595</v>
          </cell>
          <cell r="H2601" t="str">
            <v>B&amp;P-005-CAGE203-17</v>
          </cell>
          <cell r="J2601">
            <v>1</v>
          </cell>
        </row>
        <row r="2602">
          <cell r="C2602" t="str">
            <v>B&amp;P-048-BB203-KRR2FD</v>
          </cell>
          <cell r="F2602">
            <v>45132.682592592595</v>
          </cell>
          <cell r="H2602" t="str">
            <v>B&amp;P-003-BALL-17/64</v>
          </cell>
          <cell r="J2602">
            <v>8</v>
          </cell>
        </row>
        <row r="2603">
          <cell r="C2603" t="str">
            <v>B&amp;P-048-BB203-KRR2FD</v>
          </cell>
          <cell r="F2603">
            <v>45132.682592592595</v>
          </cell>
          <cell r="H2603" t="str">
            <v>B&amp;P-004-203-DBL-08</v>
          </cell>
          <cell r="J2603">
            <v>2</v>
          </cell>
        </row>
        <row r="2604">
          <cell r="C2604" t="str">
            <v>B&amp;P-041-HD03-2RS</v>
          </cell>
          <cell r="F2604">
            <v>45133.357615740744</v>
          </cell>
          <cell r="H2604" t="str">
            <v>B&amp;P-001-HD03-D</v>
          </cell>
          <cell r="J2604">
            <v>1</v>
          </cell>
        </row>
        <row r="2605">
          <cell r="C2605" t="str">
            <v>B&amp;P-041-HD03-2RS</v>
          </cell>
          <cell r="F2605">
            <v>45133.357615740744</v>
          </cell>
          <cell r="H2605" t="str">
            <v>B&amp;P-002-HD03-D</v>
          </cell>
          <cell r="J2605">
            <v>1</v>
          </cell>
        </row>
        <row r="2606">
          <cell r="C2606" t="str">
            <v>B&amp;P-041-HD03-2RS</v>
          </cell>
          <cell r="F2606">
            <v>45133.357615740744</v>
          </cell>
          <cell r="H2606" t="str">
            <v>B&amp;P-005-RET/SET-HD03</v>
          </cell>
          <cell r="J2606">
            <v>1</v>
          </cell>
        </row>
        <row r="2607">
          <cell r="C2607" t="str">
            <v>B&amp;P-041-HD03-2RS</v>
          </cell>
          <cell r="F2607">
            <v>45133.357615740744</v>
          </cell>
          <cell r="H2607" t="str">
            <v>BPB-003-BALL-11/32</v>
          </cell>
          <cell r="J2607">
            <v>7</v>
          </cell>
        </row>
        <row r="2608">
          <cell r="C2608" t="str">
            <v>B&amp;P-041-HD03-2RS</v>
          </cell>
          <cell r="F2608">
            <v>45133.357615740744</v>
          </cell>
          <cell r="H2608" t="str">
            <v>B&amp;P-004-HD03-2RST-08</v>
          </cell>
          <cell r="J2608">
            <v>2</v>
          </cell>
        </row>
        <row r="2609">
          <cell r="C2609" t="str">
            <v>B&amp;P-041-LS13-2RS</v>
          </cell>
          <cell r="F2609">
            <v>45140.353738425925</v>
          </cell>
          <cell r="H2609" t="str">
            <v>B&amp;P-001-LS13-D</v>
          </cell>
          <cell r="J2609">
            <v>1</v>
          </cell>
        </row>
        <row r="2610">
          <cell r="C2610" t="str">
            <v>B&amp;P-041-LS13-2RS</v>
          </cell>
          <cell r="F2610">
            <v>45140.353738425925</v>
          </cell>
          <cell r="H2610" t="str">
            <v>B&amp;P-002-LS13-D</v>
          </cell>
          <cell r="J2610">
            <v>1</v>
          </cell>
        </row>
        <row r="2611">
          <cell r="C2611" t="str">
            <v>B&amp;P-041-LS13-2RS</v>
          </cell>
          <cell r="F2611">
            <v>45140.353738425925</v>
          </cell>
          <cell r="H2611" t="str">
            <v>B&amp;P-005-RET/SET-LS13</v>
          </cell>
          <cell r="J2611">
            <v>1</v>
          </cell>
        </row>
        <row r="2612">
          <cell r="C2612" t="str">
            <v>B&amp;P-041-LS13-2RS</v>
          </cell>
          <cell r="F2612">
            <v>45140.353738425925</v>
          </cell>
          <cell r="H2612" t="str">
            <v>BPB-003-BALLS-7/16</v>
          </cell>
          <cell r="J2612">
            <v>13</v>
          </cell>
        </row>
        <row r="2613">
          <cell r="C2613" t="str">
            <v>B&amp;P-041-LS13-2RS</v>
          </cell>
          <cell r="F2613">
            <v>45140.353738425925</v>
          </cell>
          <cell r="H2613" t="str">
            <v>B&amp;P-004-LS13RS-BLUE</v>
          </cell>
          <cell r="J2613">
            <v>2</v>
          </cell>
        </row>
        <row r="2614">
          <cell r="C2614" t="str">
            <v>B&amp;P-041-MS00-2RS</v>
          </cell>
          <cell r="F2614">
            <v>45140.355740740742</v>
          </cell>
          <cell r="H2614" t="str">
            <v>B&amp;P-001-MS00-D</v>
          </cell>
          <cell r="J2614">
            <v>1</v>
          </cell>
        </row>
        <row r="2615">
          <cell r="C2615" t="str">
            <v>B&amp;P-041-MS00-2RS</v>
          </cell>
          <cell r="F2615">
            <v>45140.355740740742</v>
          </cell>
          <cell r="H2615" t="str">
            <v>B&amp;P-002-MS00-D</v>
          </cell>
          <cell r="J2615">
            <v>1</v>
          </cell>
        </row>
        <row r="2616">
          <cell r="C2616" t="str">
            <v>B&amp;P-041-MS00-2RS</v>
          </cell>
          <cell r="F2616">
            <v>45140.355740740742</v>
          </cell>
          <cell r="H2616" t="str">
            <v>B&amp;P-003-BALL-15/64</v>
          </cell>
          <cell r="J2616">
            <v>7</v>
          </cell>
        </row>
        <row r="2617">
          <cell r="C2617" t="str">
            <v>B&amp;P-041-MS00-2RS</v>
          </cell>
          <cell r="F2617">
            <v>45140.355740740742</v>
          </cell>
          <cell r="H2617" t="str">
            <v>BPB-004-MS00RS-BLUE</v>
          </cell>
          <cell r="J2617">
            <v>2</v>
          </cell>
        </row>
        <row r="2618">
          <cell r="C2618" t="str">
            <v>B&amp;P-041-MS00-2RS</v>
          </cell>
          <cell r="F2618">
            <v>45140.355740740742</v>
          </cell>
          <cell r="H2618" t="str">
            <v>B&amp;P-005-RET/SET-MS00</v>
          </cell>
          <cell r="J2618">
            <v>1</v>
          </cell>
        </row>
        <row r="2619">
          <cell r="C2619" t="str">
            <v>B&amp;P-048-W208-PP6</v>
          </cell>
          <cell r="F2619">
            <v>45140.392361111109</v>
          </cell>
          <cell r="H2619" t="str">
            <v>B&amp;P-001-OR208-R18</v>
          </cell>
          <cell r="J2619">
            <v>1</v>
          </cell>
        </row>
        <row r="2620">
          <cell r="C2620" t="str">
            <v>B&amp;P-048-W208-PP6</v>
          </cell>
          <cell r="F2620">
            <v>45140.392361111109</v>
          </cell>
          <cell r="H2620" t="str">
            <v>B&amp;P-002-208-6</v>
          </cell>
          <cell r="J2620">
            <v>1</v>
          </cell>
        </row>
        <row r="2621">
          <cell r="C2621" t="str">
            <v>B&amp;P-048-W208-PP6</v>
          </cell>
          <cell r="F2621">
            <v>45140.392361111109</v>
          </cell>
          <cell r="H2621" t="str">
            <v>B&amp;P-005-CAGE208-17</v>
          </cell>
          <cell r="J2621">
            <v>1</v>
          </cell>
        </row>
        <row r="2622">
          <cell r="C2622" t="str">
            <v>B&amp;P-048-W208-PP6</v>
          </cell>
          <cell r="F2622">
            <v>45140.392361111109</v>
          </cell>
          <cell r="H2622" t="str">
            <v>B&amp;P-003-BALL-1/2</v>
          </cell>
          <cell r="J2622">
            <v>9</v>
          </cell>
        </row>
        <row r="2623">
          <cell r="C2623" t="str">
            <v>B&amp;P-047-ASL206-30RG</v>
          </cell>
          <cell r="F2623">
            <v>44971.455034722225</v>
          </cell>
          <cell r="H2623" t="str">
            <v>B&amp;P-001-OR206-G18</v>
          </cell>
          <cell r="J2623">
            <v>1</v>
          </cell>
        </row>
        <row r="2624">
          <cell r="C2624" t="str">
            <v>B&amp;P-047-ASL206-30RG</v>
          </cell>
          <cell r="F2624">
            <v>44971.455034722225</v>
          </cell>
          <cell r="H2624" t="str">
            <v>B&amp;P-002-ASL206-30-02</v>
          </cell>
          <cell r="J2624">
            <v>1</v>
          </cell>
        </row>
        <row r="2625">
          <cell r="C2625" t="str">
            <v>B&amp;P-047-ASL206-30RG</v>
          </cell>
          <cell r="F2625">
            <v>44971.455034722225</v>
          </cell>
          <cell r="H2625" t="str">
            <v>B&amp;P-005-CAGE206-17</v>
          </cell>
          <cell r="J2625">
            <v>1</v>
          </cell>
        </row>
        <row r="2626">
          <cell r="C2626" t="str">
            <v>B&amp;P-047-ASL206-30RG</v>
          </cell>
          <cell r="F2626">
            <v>44971.455034722225</v>
          </cell>
          <cell r="H2626" t="str">
            <v>B&amp;P-003-Ball-3/8</v>
          </cell>
          <cell r="J2626">
            <v>9</v>
          </cell>
        </row>
        <row r="2627">
          <cell r="C2627" t="str">
            <v>B&amp;P-047-ASL206-30RG</v>
          </cell>
          <cell r="F2627">
            <v>44971.455034722225</v>
          </cell>
          <cell r="H2627" t="str">
            <v>B&amp;P-004-206-RW-08</v>
          </cell>
          <cell r="J2627">
            <v>2</v>
          </cell>
        </row>
        <row r="2628">
          <cell r="C2628" t="str">
            <v>B&amp;P-047-ASL206-30RG</v>
          </cell>
          <cell r="F2628">
            <v>44971.455034722225</v>
          </cell>
          <cell r="H2628" t="str">
            <v>BPB-000-POLYREX-EM</v>
          </cell>
          <cell r="J2628">
            <v>6.5</v>
          </cell>
        </row>
        <row r="2629">
          <cell r="C2629" t="str">
            <v>B&amp;P-041-LS06-2RS</v>
          </cell>
          <cell r="F2629">
            <v>45133.371261574073</v>
          </cell>
          <cell r="H2629" t="str">
            <v>B&amp;P-001-LS06-D</v>
          </cell>
          <cell r="J2629">
            <v>1</v>
          </cell>
        </row>
        <row r="2630">
          <cell r="C2630" t="str">
            <v>B&amp;P-041-LS06-2RS</v>
          </cell>
          <cell r="F2630">
            <v>45133.371261574073</v>
          </cell>
          <cell r="H2630" t="str">
            <v>B&amp;P-002-LS06-D</v>
          </cell>
          <cell r="J2630">
            <v>1</v>
          </cell>
        </row>
        <row r="2631">
          <cell r="C2631" t="str">
            <v>B&amp;P-041-LS06-2RS</v>
          </cell>
          <cell r="F2631">
            <v>45133.371261574073</v>
          </cell>
          <cell r="H2631" t="str">
            <v>B&amp;P-005-RET/SET-LS06</v>
          </cell>
          <cell r="J2631">
            <v>1</v>
          </cell>
        </row>
        <row r="2632">
          <cell r="C2632" t="str">
            <v>B&amp;P-041-LS06-2RS</v>
          </cell>
          <cell r="F2632">
            <v>45133.371261574073</v>
          </cell>
          <cell r="H2632" t="str">
            <v>B&amp;P-003-Ball-9/32</v>
          </cell>
          <cell r="J2632">
            <v>11</v>
          </cell>
        </row>
        <row r="2633">
          <cell r="C2633" t="str">
            <v>B&amp;P-041-LS06-2RS</v>
          </cell>
          <cell r="F2633">
            <v>45133.371261574073</v>
          </cell>
          <cell r="H2633" t="str">
            <v>B&amp;P-004-LS06RS-BLUE</v>
          </cell>
          <cell r="J2633">
            <v>2</v>
          </cell>
        </row>
        <row r="2634">
          <cell r="C2634" t="str">
            <v>B&amp;P-048-W208-PP6</v>
          </cell>
          <cell r="F2634">
            <v>45140.392361111109</v>
          </cell>
          <cell r="H2634" t="str">
            <v>B&amp;P-004-208-TPL-08</v>
          </cell>
          <cell r="J2634">
            <v>2</v>
          </cell>
        </row>
        <row r="2635">
          <cell r="C2635" t="str">
            <v>B&amp;P-048-W208-PPB6</v>
          </cell>
          <cell r="F2635">
            <v>45140.393969907411</v>
          </cell>
          <cell r="H2635" t="str">
            <v>B&amp;P-001-OR208-18</v>
          </cell>
          <cell r="J2635">
            <v>1</v>
          </cell>
        </row>
        <row r="2636">
          <cell r="C2636" t="str">
            <v>B&amp;P-048-W208-PPB6</v>
          </cell>
          <cell r="F2636">
            <v>45140.393969907411</v>
          </cell>
          <cell r="H2636" t="str">
            <v>B&amp;P-002-208-6</v>
          </cell>
          <cell r="J2636">
            <v>1</v>
          </cell>
        </row>
        <row r="2637">
          <cell r="C2637" t="str">
            <v>B&amp;P-048-W208-PPB6</v>
          </cell>
          <cell r="F2637">
            <v>45140.393969907411</v>
          </cell>
          <cell r="H2637" t="str">
            <v>B&amp;P-005-CAGE208-17</v>
          </cell>
          <cell r="J2637">
            <v>1</v>
          </cell>
        </row>
        <row r="2638">
          <cell r="C2638" t="str">
            <v>B&amp;P-048-W208-PPB6</v>
          </cell>
          <cell r="F2638">
            <v>45140.393969907411</v>
          </cell>
          <cell r="H2638" t="str">
            <v>B&amp;P-003-BALL-1/2</v>
          </cell>
          <cell r="J2638">
            <v>9</v>
          </cell>
        </row>
        <row r="2639">
          <cell r="C2639" t="str">
            <v>B&amp;P-048-W208-PPB6</v>
          </cell>
          <cell r="F2639">
            <v>45140.393969907411</v>
          </cell>
          <cell r="H2639" t="str">
            <v>B&amp;P-004-208-TPL-08</v>
          </cell>
          <cell r="J2639">
            <v>2</v>
          </cell>
        </row>
        <row r="2640">
          <cell r="C2640" t="str">
            <v>B&amp;P-048-W210-PP4</v>
          </cell>
          <cell r="F2640">
            <v>45140.394930555558</v>
          </cell>
          <cell r="H2640" t="str">
            <v>B&amp;P-001-210PP4-01</v>
          </cell>
          <cell r="J2640">
            <v>1</v>
          </cell>
        </row>
        <row r="2641">
          <cell r="C2641" t="str">
            <v>B&amp;P-048-W210-PP4</v>
          </cell>
          <cell r="F2641">
            <v>45140.394930555558</v>
          </cell>
          <cell r="H2641" t="str">
            <v>B&amp;P-002-210-4</v>
          </cell>
          <cell r="J2641">
            <v>1</v>
          </cell>
        </row>
        <row r="2642">
          <cell r="C2642" t="str">
            <v>B&amp;P-048-W210-PP4</v>
          </cell>
          <cell r="F2642">
            <v>45140.394930555558</v>
          </cell>
          <cell r="H2642" t="str">
            <v>B&amp;P-005-CAGE210-17</v>
          </cell>
          <cell r="J2642">
            <v>1</v>
          </cell>
        </row>
        <row r="2643">
          <cell r="C2643" t="str">
            <v>B&amp;P-048-W210-PP4</v>
          </cell>
          <cell r="F2643">
            <v>45140.394930555558</v>
          </cell>
          <cell r="H2643" t="str">
            <v>B&amp;P-003-BALL-1/2</v>
          </cell>
          <cell r="J2643">
            <v>10</v>
          </cell>
        </row>
        <row r="2644">
          <cell r="C2644" t="str">
            <v>B&amp;P-048-W210-PP4</v>
          </cell>
          <cell r="F2644">
            <v>45140.394930555558</v>
          </cell>
          <cell r="H2644" t="str">
            <v>B&amp;P-004-210-TPL-08</v>
          </cell>
          <cell r="J2644">
            <v>2</v>
          </cell>
        </row>
        <row r="2645">
          <cell r="C2645" t="str">
            <v>B&amp;P-048-GW211-PP27</v>
          </cell>
          <cell r="F2645">
            <v>45140.396087962959</v>
          </cell>
          <cell r="H2645" t="str">
            <v>B&amp;P-001-OR211-R33G</v>
          </cell>
          <cell r="J2645">
            <v>1</v>
          </cell>
        </row>
        <row r="2646">
          <cell r="C2646" t="str">
            <v>B&amp;P-048-GW211-PP27</v>
          </cell>
          <cell r="F2646">
            <v>45140.396087962959</v>
          </cell>
          <cell r="H2646" t="str">
            <v>B&amp;P-002-211-27</v>
          </cell>
          <cell r="J2646">
            <v>1</v>
          </cell>
        </row>
        <row r="2647">
          <cell r="C2647" t="str">
            <v>B&amp;P-048-GW211-PP27</v>
          </cell>
          <cell r="F2647">
            <v>45140.396087962959</v>
          </cell>
          <cell r="H2647" t="str">
            <v>B&amp;P-005-CAGE211-17</v>
          </cell>
          <cell r="J2647">
            <v>1</v>
          </cell>
        </row>
        <row r="2648">
          <cell r="C2648" t="str">
            <v>B&amp;P-048-GW211-PP27</v>
          </cell>
          <cell r="F2648">
            <v>45140.396087962959</v>
          </cell>
          <cell r="H2648" t="str">
            <v>B&amp;P-003-BALL-9/16</v>
          </cell>
          <cell r="J2648">
            <v>10</v>
          </cell>
        </row>
        <row r="2649">
          <cell r="C2649" t="str">
            <v>B&amp;P-048-GW211-PP27</v>
          </cell>
          <cell r="F2649">
            <v>45140.396087962959</v>
          </cell>
          <cell r="H2649" t="str">
            <v>B&amp;P-004-211-TPL-08</v>
          </cell>
          <cell r="J2649">
            <v>2</v>
          </cell>
        </row>
        <row r="2650">
          <cell r="C2650" t="str">
            <v>B&amp;P-041-LS04-2RST</v>
          </cell>
          <cell r="F2650">
            <v>45153.345277777778</v>
          </cell>
          <cell r="H2650" t="str">
            <v>B&amp;P-001-LS04-D</v>
          </cell>
          <cell r="J2650">
            <v>1</v>
          </cell>
        </row>
        <row r="2651">
          <cell r="C2651" t="str">
            <v>B&amp;P-041-LS04-2RST</v>
          </cell>
          <cell r="F2651">
            <v>45153.345277777778</v>
          </cell>
          <cell r="H2651" t="str">
            <v>B&amp;P-002-LS04-D</v>
          </cell>
          <cell r="J2651">
            <v>1</v>
          </cell>
        </row>
        <row r="2652">
          <cell r="C2652" t="str">
            <v>B&amp;P-041-LS04-2RST</v>
          </cell>
          <cell r="F2652">
            <v>45153.345277777778</v>
          </cell>
          <cell r="H2652" t="str">
            <v>B&amp;P-005-RET/SET-LS04</v>
          </cell>
          <cell r="J2652">
            <v>1</v>
          </cell>
        </row>
        <row r="2653">
          <cell r="C2653" t="str">
            <v>B&amp;P-041-LS04-2RST</v>
          </cell>
          <cell r="F2653">
            <v>45153.345277777778</v>
          </cell>
          <cell r="H2653" t="str">
            <v>BPB-003-BALL-1/4</v>
          </cell>
          <cell r="J2653">
            <v>9</v>
          </cell>
        </row>
        <row r="2654">
          <cell r="C2654" t="str">
            <v>B&amp;P-041-LS04-2RST</v>
          </cell>
          <cell r="F2654">
            <v>45153.345277777778</v>
          </cell>
          <cell r="H2654" t="str">
            <v>B&amp;P-004-LS04-2RST-08</v>
          </cell>
          <cell r="J2654">
            <v>2</v>
          </cell>
        </row>
        <row r="2655">
          <cell r="C2655" t="str">
            <v>B&amp;P-047-ASL-205-25MM</v>
          </cell>
          <cell r="F2655">
            <v>45153.358738425923</v>
          </cell>
          <cell r="H2655" t="str">
            <v>B&amp;P-001-OR205-01</v>
          </cell>
          <cell r="J2655">
            <v>1</v>
          </cell>
        </row>
        <row r="2656">
          <cell r="C2656" t="str">
            <v>B&amp;P-047-ASL-205-25MM</v>
          </cell>
          <cell r="F2656">
            <v>45153.358738425923</v>
          </cell>
          <cell r="H2656" t="str">
            <v>B&amp;P-002-ASL205-25-02</v>
          </cell>
          <cell r="J2656">
            <v>1</v>
          </cell>
        </row>
        <row r="2657">
          <cell r="C2657" t="str">
            <v>B&amp;P-047-ASL-205-25MM</v>
          </cell>
          <cell r="F2657">
            <v>45153.358738425923</v>
          </cell>
          <cell r="H2657" t="str">
            <v>B&amp;P-005-CAGE205-17</v>
          </cell>
          <cell r="J2657">
            <v>1</v>
          </cell>
        </row>
        <row r="2658">
          <cell r="C2658" t="str">
            <v>B&amp;P-047-ASL-205-25MM</v>
          </cell>
          <cell r="F2658">
            <v>45153.358738425923</v>
          </cell>
          <cell r="H2658" t="str">
            <v>B&amp;P-004-205-RST-08</v>
          </cell>
          <cell r="J2658">
            <v>2</v>
          </cell>
        </row>
        <row r="2659">
          <cell r="C2659" t="str">
            <v>B&amp;P-047-ACL207-35RR1</v>
          </cell>
          <cell r="F2659">
            <v>45153.362060185187</v>
          </cell>
          <cell r="H2659" t="str">
            <v>B&amp;P-001-OR207</v>
          </cell>
          <cell r="J2659">
            <v>1</v>
          </cell>
        </row>
        <row r="2660">
          <cell r="C2660" t="str">
            <v>B&amp;P-047-ACL207-35RR1</v>
          </cell>
          <cell r="F2660">
            <v>45153.362060185187</v>
          </cell>
          <cell r="H2660" t="str">
            <v>B&amp;P-002-ACL207-35-02</v>
          </cell>
          <cell r="J2660">
            <v>1</v>
          </cell>
        </row>
        <row r="2661">
          <cell r="C2661" t="str">
            <v>B&amp;P-047-ASL-205-25MM</v>
          </cell>
          <cell r="F2661">
            <v>45153.358738425923</v>
          </cell>
          <cell r="H2661" t="str">
            <v>B&amp;P-003-Ball-5/16</v>
          </cell>
          <cell r="J2661">
            <v>9</v>
          </cell>
        </row>
        <row r="2662">
          <cell r="C2662" t="str">
            <v>B&amp;P-047-ACL207-35RR1</v>
          </cell>
          <cell r="F2662">
            <v>45153.362060185187</v>
          </cell>
          <cell r="H2662" t="str">
            <v>B&amp;P-005-CAGE207-17</v>
          </cell>
          <cell r="J2662">
            <v>1</v>
          </cell>
        </row>
        <row r="2663">
          <cell r="C2663" t="str">
            <v>B&amp;P-047-ACL207-35RR1</v>
          </cell>
          <cell r="F2663">
            <v>45153.362060185187</v>
          </cell>
          <cell r="H2663" t="str">
            <v>B&amp;P-003-Ball-7/16</v>
          </cell>
          <cell r="J2663">
            <v>9</v>
          </cell>
        </row>
        <row r="2664">
          <cell r="C2664" t="str">
            <v>B&amp;P-047-ACL207-35RR1</v>
          </cell>
          <cell r="F2664">
            <v>45153.362060185187</v>
          </cell>
          <cell r="H2664" t="str">
            <v>B&amp;P-004-207-RW-08</v>
          </cell>
          <cell r="J2664">
            <v>2</v>
          </cell>
        </row>
        <row r="2665">
          <cell r="C2665" t="str">
            <v>B&amp;P-047-ACL207-35RR1</v>
          </cell>
          <cell r="F2665">
            <v>45153.362060185187</v>
          </cell>
          <cell r="H2665" t="str">
            <v>B&amp;P-010-LOC207-35</v>
          </cell>
          <cell r="J2665">
            <v>1</v>
          </cell>
        </row>
        <row r="2666">
          <cell r="C2666" t="str">
            <v>B&amp;P-047-ECL206-20DG</v>
          </cell>
          <cell r="F2666">
            <v>45153.381504629629</v>
          </cell>
          <cell r="H2666" t="str">
            <v>B&amp;P-001-OR206-G18</v>
          </cell>
          <cell r="J2666">
            <v>1</v>
          </cell>
        </row>
        <row r="2667">
          <cell r="C2667" t="str">
            <v>B&amp;P-047-ECL206-20DG</v>
          </cell>
          <cell r="F2667">
            <v>45153.381504629629</v>
          </cell>
          <cell r="H2667" t="str">
            <v>B&amp;P-002-ECL206-20-02</v>
          </cell>
          <cell r="J2667">
            <v>1</v>
          </cell>
        </row>
        <row r="2668">
          <cell r="C2668" t="str">
            <v>B&amp;P-047-ECL206-20DG</v>
          </cell>
          <cell r="F2668">
            <v>45153.381504629629</v>
          </cell>
          <cell r="H2668" t="str">
            <v>B&amp;P-005-CAGE206-17</v>
          </cell>
          <cell r="J2668">
            <v>1</v>
          </cell>
        </row>
        <row r="2669">
          <cell r="C2669" t="str">
            <v>B&amp;P-047-ECL206-20DG</v>
          </cell>
          <cell r="F2669">
            <v>45153.381504629629</v>
          </cell>
          <cell r="H2669" t="str">
            <v>B&amp;P-003-Ball-3/8</v>
          </cell>
          <cell r="J2669">
            <v>9</v>
          </cell>
        </row>
        <row r="2670">
          <cell r="C2670" t="str">
            <v>B&amp;P-047-ECL206-20DG</v>
          </cell>
          <cell r="F2670">
            <v>45153.381504629629</v>
          </cell>
          <cell r="H2670" t="str">
            <v>B&amp;P-004-206-DBL-08</v>
          </cell>
          <cell r="J2670">
            <v>2</v>
          </cell>
        </row>
        <row r="2671">
          <cell r="C2671" t="str">
            <v>B&amp;P-047-ECL206-20DG</v>
          </cell>
          <cell r="F2671">
            <v>45153.381504629629</v>
          </cell>
          <cell r="H2671" t="str">
            <v>B&amp;P-010-LOC206-20</v>
          </cell>
          <cell r="J2671">
            <v>1</v>
          </cell>
        </row>
        <row r="2672">
          <cell r="C2672" t="str">
            <v>B&amp;P-047-ECL208-24DG</v>
          </cell>
          <cell r="F2672">
            <v>45153.402187500003</v>
          </cell>
          <cell r="H2672" t="str">
            <v>B&amp;P-001-OR208-G</v>
          </cell>
          <cell r="J2672">
            <v>1</v>
          </cell>
        </row>
        <row r="2673">
          <cell r="C2673" t="str">
            <v>B&amp;P-047-ECL208-24DG</v>
          </cell>
          <cell r="F2673">
            <v>45153.402187500003</v>
          </cell>
          <cell r="H2673" t="str">
            <v>B&amp;P-002-ECL208-24-02</v>
          </cell>
          <cell r="J2673">
            <v>1</v>
          </cell>
        </row>
        <row r="2674">
          <cell r="C2674" t="str">
            <v>B&amp;P-047-ECL208-24DG</v>
          </cell>
          <cell r="F2674">
            <v>45153.402187500003</v>
          </cell>
          <cell r="H2674" t="str">
            <v>B&amp;P-005-CAGE208-17</v>
          </cell>
          <cell r="J2674">
            <v>1</v>
          </cell>
        </row>
        <row r="2675">
          <cell r="C2675" t="str">
            <v>B&amp;P-047-ECL208-24DG</v>
          </cell>
          <cell r="F2675">
            <v>45153.402187500003</v>
          </cell>
          <cell r="H2675" t="str">
            <v>B&amp;P-003-BALL-1/2</v>
          </cell>
          <cell r="J2675">
            <v>9</v>
          </cell>
        </row>
        <row r="2676">
          <cell r="C2676" t="str">
            <v>B&amp;P-047-ECL208-24DG</v>
          </cell>
          <cell r="F2676">
            <v>45153.402187500003</v>
          </cell>
          <cell r="H2676" t="str">
            <v>B&amp;P-004-208-DBL-08</v>
          </cell>
          <cell r="J2676">
            <v>2</v>
          </cell>
        </row>
        <row r="2677">
          <cell r="C2677" t="str">
            <v>B&amp;P-047-ECL208-24DG</v>
          </cell>
          <cell r="F2677">
            <v>45153.402187500003</v>
          </cell>
          <cell r="H2677" t="str">
            <v>B&amp;P-010-LOC208-40</v>
          </cell>
          <cell r="J2677">
            <v>1</v>
          </cell>
        </row>
        <row r="2678">
          <cell r="C2678" t="str">
            <v>B&amp;P-047-ECL209-27DG</v>
          </cell>
          <cell r="F2678">
            <v>45153.407569444447</v>
          </cell>
          <cell r="H2678" t="str">
            <v>B&amp;P-001-OR209-01</v>
          </cell>
          <cell r="J2678">
            <v>1</v>
          </cell>
        </row>
        <row r="2679">
          <cell r="C2679" t="str">
            <v>B&amp;P-047-ECL209-27DG</v>
          </cell>
          <cell r="F2679">
            <v>45153.407569444447</v>
          </cell>
          <cell r="H2679" t="str">
            <v>B&amp;P-002-ECL209-27-02</v>
          </cell>
          <cell r="J2679">
            <v>1</v>
          </cell>
        </row>
        <row r="2680">
          <cell r="C2680" t="str">
            <v>B&amp;P-047-ECL209-27DG</v>
          </cell>
          <cell r="F2680">
            <v>45153.407569444447</v>
          </cell>
          <cell r="H2680" t="str">
            <v>B&amp;P-005-CAGE209-17</v>
          </cell>
          <cell r="J2680">
            <v>1</v>
          </cell>
        </row>
        <row r="2681">
          <cell r="C2681" t="str">
            <v>B&amp;P-047-ECL209-27DG</v>
          </cell>
          <cell r="F2681">
            <v>45153.407569444447</v>
          </cell>
          <cell r="H2681" t="str">
            <v>B&amp;P-003-BALL-1/2</v>
          </cell>
          <cell r="J2681">
            <v>9</v>
          </cell>
        </row>
        <row r="2682">
          <cell r="C2682" t="str">
            <v>B&amp;P-047-ECL209-27DG</v>
          </cell>
          <cell r="F2682">
            <v>45153.407569444447</v>
          </cell>
          <cell r="H2682" t="str">
            <v>B&amp;P-004-209-DBL-08</v>
          </cell>
          <cell r="J2682">
            <v>2</v>
          </cell>
        </row>
        <row r="2683">
          <cell r="C2683" t="str">
            <v>B&amp;P-047-ECL209-27DG</v>
          </cell>
          <cell r="F2683">
            <v>45153.407569444447</v>
          </cell>
          <cell r="H2683" t="str">
            <v>B&amp;P-010-LOC209-27</v>
          </cell>
          <cell r="J2683">
            <v>1</v>
          </cell>
        </row>
        <row r="2684">
          <cell r="C2684" t="str">
            <v>B&amp;P-047-ECL210-32DG</v>
          </cell>
          <cell r="F2684">
            <v>45153.41207175926</v>
          </cell>
          <cell r="H2684" t="str">
            <v>B&amp;P-001-OR210-G</v>
          </cell>
          <cell r="J2684">
            <v>1</v>
          </cell>
        </row>
        <row r="2685">
          <cell r="C2685" t="str">
            <v>B&amp;P-047-ECL210-32DG</v>
          </cell>
          <cell r="F2685">
            <v>45153.41207175926</v>
          </cell>
          <cell r="H2685" t="str">
            <v>B&amp;P-002-ECL210-32-02</v>
          </cell>
          <cell r="J2685">
            <v>1</v>
          </cell>
        </row>
        <row r="2686">
          <cell r="C2686" t="str">
            <v>B&amp;P-047-ECL210-32DG</v>
          </cell>
          <cell r="F2686">
            <v>45153.41207175926</v>
          </cell>
          <cell r="H2686" t="str">
            <v>B&amp;P-005-CAGE210-17</v>
          </cell>
          <cell r="J2686">
            <v>1</v>
          </cell>
        </row>
        <row r="2687">
          <cell r="C2687" t="str">
            <v>B&amp;P-047-ECL210-32DG</v>
          </cell>
          <cell r="F2687">
            <v>45153.41207175926</v>
          </cell>
          <cell r="H2687" t="str">
            <v>B&amp;P-003-BALL-1/2</v>
          </cell>
          <cell r="J2687">
            <v>10</v>
          </cell>
        </row>
        <row r="2688">
          <cell r="C2688" t="str">
            <v>B&amp;P-047-ECL210-32DG</v>
          </cell>
          <cell r="F2688">
            <v>45153.41207175926</v>
          </cell>
          <cell r="H2688" t="str">
            <v>B&amp;P-004-210-DBL-08</v>
          </cell>
          <cell r="J2688">
            <v>2</v>
          </cell>
        </row>
        <row r="2689">
          <cell r="C2689" t="str">
            <v>B&amp;P-047-ECL210-32DG</v>
          </cell>
          <cell r="F2689">
            <v>45153.41207175926</v>
          </cell>
          <cell r="H2689" t="str">
            <v>B&amp;P-010-LOC210-32</v>
          </cell>
          <cell r="J2689">
            <v>1</v>
          </cell>
        </row>
        <row r="2690">
          <cell r="C2690" t="str">
            <v>B&amp;P-047-ECL210-50D-3</v>
          </cell>
          <cell r="F2690">
            <v>45153.415682870371</v>
          </cell>
          <cell r="H2690" t="str">
            <v>B&amp;P-001-OR210-G</v>
          </cell>
          <cell r="J2690">
            <v>1</v>
          </cell>
        </row>
        <row r="2691">
          <cell r="C2691" t="str">
            <v>B&amp;P-047-ECL210-50D-3</v>
          </cell>
          <cell r="F2691">
            <v>45153.415682870371</v>
          </cell>
          <cell r="H2691" t="str">
            <v>B&amp;P-002-ECL210-50-02</v>
          </cell>
          <cell r="J2691">
            <v>1</v>
          </cell>
        </row>
        <row r="2692">
          <cell r="C2692" t="str">
            <v>B&amp;P-047-ECL210-50D-3</v>
          </cell>
          <cell r="F2692">
            <v>45153.415682870371</v>
          </cell>
          <cell r="H2692" t="str">
            <v>B&amp;P-005-CAGE210-17</v>
          </cell>
          <cell r="J2692">
            <v>1</v>
          </cell>
        </row>
        <row r="2693">
          <cell r="C2693" t="str">
            <v>B&amp;P-047-ECL210-50D-3</v>
          </cell>
          <cell r="F2693">
            <v>45153.415682870371</v>
          </cell>
          <cell r="H2693" t="str">
            <v>B&amp;P-003-BALL-1/2</v>
          </cell>
          <cell r="J2693">
            <v>10</v>
          </cell>
        </row>
        <row r="2694">
          <cell r="C2694" t="str">
            <v>B&amp;P-047-ECL210-50D-3</v>
          </cell>
          <cell r="F2694">
            <v>45153.415682870371</v>
          </cell>
          <cell r="H2694" t="str">
            <v>B&amp;P-004-210-DBL-08</v>
          </cell>
          <cell r="J2694">
            <v>2</v>
          </cell>
        </row>
        <row r="2695">
          <cell r="C2695" t="str">
            <v>B&amp;P-001-BP-13008-01</v>
          </cell>
          <cell r="F2695">
            <v>42074.356944444444</v>
          </cell>
          <cell r="H2695" t="str">
            <v>BPB-001-BP-13008-B1</v>
          </cell>
          <cell r="J2695">
            <v>1</v>
          </cell>
        </row>
        <row r="2696">
          <cell r="C2696" t="str">
            <v>BPB-047-ACL207-35R1</v>
          </cell>
          <cell r="F2696">
            <v>42394.346250000002</v>
          </cell>
          <cell r="H2696" t="str">
            <v>PEE-047-GR-207-35MM</v>
          </cell>
          <cell r="J2696">
            <v>1</v>
          </cell>
        </row>
        <row r="2697">
          <cell r="C2697" t="str">
            <v>BPB-041-5210-2RST-C3</v>
          </cell>
          <cell r="F2697">
            <v>42415.541446759256</v>
          </cell>
          <cell r="H2697" t="str">
            <v>PEE-040-5210</v>
          </cell>
          <cell r="J2697">
            <v>1</v>
          </cell>
        </row>
        <row r="2698">
          <cell r="C2698" t="str">
            <v>BPB-041-5210-2RST-C3</v>
          </cell>
          <cell r="F2698">
            <v>42415.541446759256</v>
          </cell>
          <cell r="H2698" t="str">
            <v>BPB-027-SEAL-5210RST</v>
          </cell>
          <cell r="J2698">
            <v>2</v>
          </cell>
        </row>
        <row r="2699">
          <cell r="C2699" t="str">
            <v>BPB-041-5210-2RST-C3</v>
          </cell>
          <cell r="F2699">
            <v>42415.541446759256</v>
          </cell>
          <cell r="H2699" t="str">
            <v>BPB-000-POLYREX-EM</v>
          </cell>
          <cell r="J2699">
            <v>14</v>
          </cell>
        </row>
        <row r="2700">
          <cell r="C2700" t="str">
            <v>BPB-047-ECL210-50D-3</v>
          </cell>
          <cell r="F2700">
            <v>44848.378101851849</v>
          </cell>
          <cell r="H2700" t="str">
            <v>B&amp;P-047-ECL-210-50DG</v>
          </cell>
          <cell r="J2700">
            <v>1</v>
          </cell>
        </row>
        <row r="2701">
          <cell r="C2701" t="str">
            <v>B&amp;P-047-ACL-210-50mm</v>
          </cell>
          <cell r="F2701">
            <v>42417.326354166667</v>
          </cell>
          <cell r="H2701" t="str">
            <v>B&amp;P-001-OR210-01</v>
          </cell>
          <cell r="J2701">
            <v>1</v>
          </cell>
        </row>
        <row r="2702">
          <cell r="C2702" t="str">
            <v>B&amp;P-047-ACL-210-50mm</v>
          </cell>
          <cell r="F2702">
            <v>42417.326354166667</v>
          </cell>
          <cell r="H2702" t="str">
            <v>B&amp;P-002-ACL210-50-02</v>
          </cell>
          <cell r="J2702">
            <v>1</v>
          </cell>
        </row>
        <row r="2703">
          <cell r="C2703" t="str">
            <v>B&amp;P-047-ACL-210-50mm</v>
          </cell>
          <cell r="F2703">
            <v>42417.326354166667</v>
          </cell>
          <cell r="H2703" t="str">
            <v>B&amp;P-005-CAGE210-17</v>
          </cell>
          <cell r="J2703">
            <v>1</v>
          </cell>
        </row>
        <row r="2704">
          <cell r="C2704" t="str">
            <v>B&amp;P-047-ACL-210-50mm</v>
          </cell>
          <cell r="F2704">
            <v>42417.326354166667</v>
          </cell>
          <cell r="H2704" t="str">
            <v>B&amp;P-003-BALL-1/2</v>
          </cell>
          <cell r="J2704">
            <v>10</v>
          </cell>
        </row>
        <row r="2705">
          <cell r="C2705" t="str">
            <v>B&amp;P-047-ACL-210-50mm</v>
          </cell>
          <cell r="F2705">
            <v>42417.326354166667</v>
          </cell>
          <cell r="H2705" t="str">
            <v>B&amp;P-004-210-RST-08</v>
          </cell>
          <cell r="J2705">
            <v>2</v>
          </cell>
        </row>
        <row r="2706">
          <cell r="C2706" t="str">
            <v>B&amp;P-047-ACL-210-50mm</v>
          </cell>
          <cell r="F2706">
            <v>42417.326354166667</v>
          </cell>
          <cell r="H2706" t="str">
            <v>B&amp;P-010-LOC210-50</v>
          </cell>
          <cell r="J2706">
            <v>1</v>
          </cell>
        </row>
        <row r="2707">
          <cell r="C2707" t="str">
            <v>B&amp;P-047-ACL-210-50mm</v>
          </cell>
          <cell r="F2707">
            <v>42417.326354166667</v>
          </cell>
          <cell r="H2707" t="str">
            <v>BPB-000-POLYREX-EM</v>
          </cell>
          <cell r="J2707">
            <v>13</v>
          </cell>
        </row>
        <row r="2708">
          <cell r="C2708" t="str">
            <v>B&amp;P-052-20179</v>
          </cell>
          <cell r="F2708">
            <v>42423.468993055554</v>
          </cell>
          <cell r="H2708" t="str">
            <v>B&amp;P-052-20180</v>
          </cell>
          <cell r="J2708">
            <v>1</v>
          </cell>
        </row>
        <row r="2709">
          <cell r="C2709" t="str">
            <v>B&amp;P-037-BP-13002</v>
          </cell>
          <cell r="F2709">
            <v>42433.544317129628</v>
          </cell>
          <cell r="H2709" t="str">
            <v>B&amp;P-037-BP-13002-01</v>
          </cell>
          <cell r="J2709">
            <v>1</v>
          </cell>
        </row>
        <row r="2710">
          <cell r="C2710" t="str">
            <v>B&amp;P-037-BP-13002</v>
          </cell>
          <cell r="F2710">
            <v>42433.544317129628</v>
          </cell>
          <cell r="H2710" t="str">
            <v>B&amp;P-037-BP-13002-02</v>
          </cell>
          <cell r="J2710">
            <v>1</v>
          </cell>
        </row>
        <row r="2711">
          <cell r="C2711" t="str">
            <v>B&amp;P-037-BP-13002</v>
          </cell>
          <cell r="F2711">
            <v>42433.544317129628</v>
          </cell>
          <cell r="H2711" t="str">
            <v>BPB-037-CAGE5209</v>
          </cell>
          <cell r="J2711">
            <v>2</v>
          </cell>
        </row>
        <row r="2712">
          <cell r="C2712" t="str">
            <v>B&amp;P-037-BP-13002</v>
          </cell>
          <cell r="F2712">
            <v>42433.544317129628</v>
          </cell>
          <cell r="H2712" t="str">
            <v>B&amp;P-003-Ball-7/16</v>
          </cell>
          <cell r="J2712">
            <v>20</v>
          </cell>
        </row>
        <row r="2713">
          <cell r="C2713" t="str">
            <v>B&amp;P-037-BP-13002</v>
          </cell>
          <cell r="F2713">
            <v>42433.544317129628</v>
          </cell>
          <cell r="H2713" t="str">
            <v>BPB-000-POLYREX-EM</v>
          </cell>
          <cell r="J2713">
            <v>16</v>
          </cell>
        </row>
        <row r="2714">
          <cell r="C2714" t="str">
            <v>B&amp;P-037-BP-13002</v>
          </cell>
          <cell r="F2714">
            <v>42433.544317129628</v>
          </cell>
          <cell r="H2714" t="str">
            <v>BPB-027-SEAL-G5209</v>
          </cell>
          <cell r="J2714">
            <v>2</v>
          </cell>
        </row>
        <row r="2715">
          <cell r="C2715" t="str">
            <v>BPB-047-ECL-211-DBL</v>
          </cell>
          <cell r="F2715">
            <v>42438.678599537037</v>
          </cell>
          <cell r="H2715" t="str">
            <v>B&amp;P-048-FDECL211-55</v>
          </cell>
          <cell r="J2715">
            <v>1</v>
          </cell>
        </row>
        <row r="2716">
          <cell r="C2716" t="str">
            <v>B&amp;P-001-OR209-01</v>
          </cell>
          <cell r="F2716">
            <v>42438.707789351851</v>
          </cell>
          <cell r="H2716" t="str">
            <v>B&amp;P-001-OR209-A1</v>
          </cell>
          <cell r="J2716">
            <v>1</v>
          </cell>
        </row>
        <row r="2717">
          <cell r="C2717" t="str">
            <v>BPB-047-ECL-209-27-D</v>
          </cell>
          <cell r="F2717">
            <v>42439.332731481481</v>
          </cell>
          <cell r="H2717" t="str">
            <v>B&amp;P-001-OR209-01</v>
          </cell>
          <cell r="J2717">
            <v>1</v>
          </cell>
        </row>
        <row r="2718">
          <cell r="C2718" t="str">
            <v>BPB-047-ECL-209-27-D</v>
          </cell>
          <cell r="F2718">
            <v>42439.332731481481</v>
          </cell>
          <cell r="H2718" t="str">
            <v>B&amp;P-002-ECL209-27-02</v>
          </cell>
          <cell r="J2718">
            <v>1</v>
          </cell>
        </row>
        <row r="2719">
          <cell r="C2719" t="str">
            <v>BPB-047-ECL-209-27-D</v>
          </cell>
          <cell r="F2719">
            <v>42439.332731481481</v>
          </cell>
          <cell r="H2719" t="str">
            <v>B&amp;P-003-BALL-1/2</v>
          </cell>
          <cell r="J2719">
            <v>9</v>
          </cell>
        </row>
        <row r="2720">
          <cell r="C2720" t="str">
            <v>BPB-047-ECL-209-27-D</v>
          </cell>
          <cell r="F2720">
            <v>42439.332731481481</v>
          </cell>
          <cell r="H2720" t="str">
            <v>B&amp;P-005-CAGE209-17</v>
          </cell>
          <cell r="J2720">
            <v>1</v>
          </cell>
        </row>
        <row r="2721">
          <cell r="C2721" t="str">
            <v>BPB-047-ECL-209-27-D</v>
          </cell>
          <cell r="F2721">
            <v>42439.332731481481</v>
          </cell>
          <cell r="H2721" t="str">
            <v>BPB-000-POLYREX-EM</v>
          </cell>
          <cell r="J2721">
            <v>12</v>
          </cell>
        </row>
        <row r="2722">
          <cell r="C2722" t="str">
            <v>BPB-047-ECL-209-27-D</v>
          </cell>
          <cell r="F2722">
            <v>42439.332731481481</v>
          </cell>
          <cell r="H2722" t="str">
            <v>B&amp;P-004-209-DBL-08</v>
          </cell>
          <cell r="J2722">
            <v>2</v>
          </cell>
        </row>
        <row r="2723">
          <cell r="C2723" t="str">
            <v>BPB-047-ECL-209-27-D</v>
          </cell>
          <cell r="F2723">
            <v>42439.332731481481</v>
          </cell>
          <cell r="H2723" t="str">
            <v>B&amp;P-010-LOC209-27</v>
          </cell>
          <cell r="J2723">
            <v>1</v>
          </cell>
        </row>
        <row r="2724">
          <cell r="C2724" t="str">
            <v>BPB-048-204KRR11</v>
          </cell>
          <cell r="F2724">
            <v>42473.556030092594</v>
          </cell>
          <cell r="H2724" t="str">
            <v>BPB-048-204-KRR2</v>
          </cell>
          <cell r="J2724">
            <v>1</v>
          </cell>
        </row>
        <row r="2725">
          <cell r="C2725" t="str">
            <v>BPB-047-ECL210-31DG</v>
          </cell>
          <cell r="F2725">
            <v>42585.597002314818</v>
          </cell>
          <cell r="H2725" t="str">
            <v>PEE-047-HC-210-31TRL</v>
          </cell>
          <cell r="J2725">
            <v>1</v>
          </cell>
        </row>
        <row r="2726">
          <cell r="C2726" t="str">
            <v>BPB-047-ECL210-31DG</v>
          </cell>
          <cell r="F2726">
            <v>42585.597002314818</v>
          </cell>
          <cell r="H2726" t="str">
            <v>B&amp;P-004-210-DBL-08</v>
          </cell>
          <cell r="J2726">
            <v>2</v>
          </cell>
        </row>
        <row r="2727">
          <cell r="C2727" t="str">
            <v>BPB-047-ECL210-31DG</v>
          </cell>
          <cell r="F2727">
            <v>42585.597002314818</v>
          </cell>
          <cell r="H2727" t="str">
            <v>B&amp;P-005-CAGE210-17</v>
          </cell>
          <cell r="J2727">
            <v>1</v>
          </cell>
        </row>
        <row r="2728">
          <cell r="C2728" t="str">
            <v>B&amp;P-048-GW211-PP25</v>
          </cell>
          <cell r="F2728">
            <v>45041.384918981479</v>
          </cell>
          <cell r="H2728" t="str">
            <v>B&amp;P-001-211PP3-01</v>
          </cell>
          <cell r="J2728">
            <v>1</v>
          </cell>
        </row>
        <row r="2729">
          <cell r="C2729" t="str">
            <v>B&amp;P-048-GW211-PP25</v>
          </cell>
          <cell r="F2729">
            <v>45041.384918981479</v>
          </cell>
          <cell r="H2729" t="str">
            <v>B&amp;P-002-211-25</v>
          </cell>
          <cell r="J2729">
            <v>1</v>
          </cell>
        </row>
        <row r="2730">
          <cell r="C2730" t="str">
            <v>B&amp;P-048-GW211-PP25</v>
          </cell>
          <cell r="F2730">
            <v>45041.384918981479</v>
          </cell>
          <cell r="H2730" t="str">
            <v>B&amp;P-003-BALL-9/16</v>
          </cell>
          <cell r="J2730">
            <v>10</v>
          </cell>
        </row>
        <row r="2731">
          <cell r="C2731" t="str">
            <v>B&amp;P-048-GW211-PP25</v>
          </cell>
          <cell r="F2731">
            <v>45041.384918981479</v>
          </cell>
          <cell r="H2731" t="str">
            <v>B&amp;P-004-211-TPL-08</v>
          </cell>
          <cell r="J2731">
            <v>2</v>
          </cell>
        </row>
        <row r="2732">
          <cell r="C2732" t="str">
            <v>B&amp;P-048-GW211-PP25</v>
          </cell>
          <cell r="F2732">
            <v>45041.384918981479</v>
          </cell>
          <cell r="H2732" t="str">
            <v>B&amp;P-005-CAGE211-17</v>
          </cell>
          <cell r="J2732">
            <v>1</v>
          </cell>
        </row>
        <row r="2733">
          <cell r="C2733" t="str">
            <v>B&amp;P-041-LS00-2RS</v>
          </cell>
          <cell r="F2733">
            <v>45057.685185185182</v>
          </cell>
          <cell r="H2733" t="str">
            <v>B&amp;P-005-RET/SET-LS00</v>
          </cell>
          <cell r="J2733">
            <v>1</v>
          </cell>
        </row>
        <row r="2734">
          <cell r="C2734" t="str">
            <v>B&amp;P-041-LS00-2RS</v>
          </cell>
          <cell r="F2734">
            <v>45057.685185185182</v>
          </cell>
          <cell r="H2734" t="str">
            <v>B&amp;P-004-LS00RS-BLUE</v>
          </cell>
          <cell r="J2734">
            <v>2</v>
          </cell>
        </row>
        <row r="2735">
          <cell r="C2735" t="str">
            <v>B&amp;P-041-LS00-2RS</v>
          </cell>
          <cell r="F2735">
            <v>45057.685185185182</v>
          </cell>
          <cell r="H2735" t="str">
            <v>B&amp;P-003-Ball-3/16</v>
          </cell>
          <cell r="J2735">
            <v>7</v>
          </cell>
        </row>
        <row r="2736">
          <cell r="C2736" t="str">
            <v>BPB-999-30305-MX</v>
          </cell>
          <cell r="F2736">
            <v>45069.435648148145</v>
          </cell>
          <cell r="H2736" t="str">
            <v>000-053-X-30305</v>
          </cell>
          <cell r="J2736">
            <v>1</v>
          </cell>
        </row>
        <row r="2737">
          <cell r="C2737" t="str">
            <v>BPB-999-30305-MX</v>
          </cell>
          <cell r="F2737">
            <v>45069.435648148145</v>
          </cell>
          <cell r="H2737" t="str">
            <v>000-054-TCY305</v>
          </cell>
          <cell r="J2737">
            <v>1</v>
          </cell>
        </row>
        <row r="2738">
          <cell r="C2738" t="str">
            <v>B&amp;P-048-206-K14</v>
          </cell>
          <cell r="F2738">
            <v>45117.350034722222</v>
          </cell>
          <cell r="H2738" t="str">
            <v>B&amp;P-001-MS06-D</v>
          </cell>
          <cell r="J2738">
            <v>1</v>
          </cell>
        </row>
        <row r="2739">
          <cell r="C2739" t="str">
            <v>B&amp;P-048-206-K14</v>
          </cell>
          <cell r="F2739">
            <v>45117.350034722222</v>
          </cell>
          <cell r="H2739" t="str">
            <v>B&amp;P-002-206-K14</v>
          </cell>
          <cell r="J2739">
            <v>1</v>
          </cell>
        </row>
        <row r="2740">
          <cell r="C2740" t="str">
            <v>B&amp;P-048-206-K14</v>
          </cell>
          <cell r="F2740">
            <v>45117.350034722222</v>
          </cell>
          <cell r="H2740" t="str">
            <v>B&amp;P-005-CAGE206-17</v>
          </cell>
          <cell r="J2740">
            <v>1</v>
          </cell>
        </row>
        <row r="2741">
          <cell r="C2741" t="str">
            <v>B&amp;P-048-206-K14</v>
          </cell>
          <cell r="F2741">
            <v>45117.350034722222</v>
          </cell>
          <cell r="H2741" t="str">
            <v>B&amp;P-003-Ball-3/8</v>
          </cell>
          <cell r="J2741">
            <v>9</v>
          </cell>
        </row>
        <row r="2742">
          <cell r="C2742" t="str">
            <v>B&amp;P-041-LS06-D</v>
          </cell>
          <cell r="F2742">
            <v>45133.374224537038</v>
          </cell>
          <cell r="H2742" t="str">
            <v>B&amp;P-001-LS06-D</v>
          </cell>
          <cell r="J2742">
            <v>1</v>
          </cell>
        </row>
        <row r="2743">
          <cell r="C2743" t="str">
            <v>B&amp;P-041-LS06-D</v>
          </cell>
          <cell r="F2743">
            <v>45133.374224537038</v>
          </cell>
          <cell r="H2743" t="str">
            <v>B&amp;P-002-LS06-D</v>
          </cell>
          <cell r="J2743">
            <v>1</v>
          </cell>
        </row>
        <row r="2744">
          <cell r="C2744" t="str">
            <v>B&amp;P-041-LS06-D</v>
          </cell>
          <cell r="F2744">
            <v>45133.374224537038</v>
          </cell>
          <cell r="H2744" t="str">
            <v>B&amp;P-005-RET/SET-LS06</v>
          </cell>
          <cell r="J2744">
            <v>1</v>
          </cell>
        </row>
        <row r="2745">
          <cell r="C2745" t="str">
            <v>B&amp;P-041-LS06-D</v>
          </cell>
          <cell r="F2745">
            <v>45133.374224537038</v>
          </cell>
          <cell r="H2745" t="str">
            <v>B&amp;P-003-Ball-9/32</v>
          </cell>
          <cell r="J2745">
            <v>11</v>
          </cell>
        </row>
        <row r="2746">
          <cell r="C2746" t="str">
            <v>B&amp;P-041-MS09-2RS</v>
          </cell>
          <cell r="F2746">
            <v>45133.376898148148</v>
          </cell>
          <cell r="H2746" t="str">
            <v>B&amp;P-001-MS09-D</v>
          </cell>
          <cell r="J2746">
            <v>1</v>
          </cell>
        </row>
        <row r="2747">
          <cell r="C2747" t="str">
            <v>B&amp;P-041-MS09-2RS</v>
          </cell>
          <cell r="F2747">
            <v>45133.376898148148</v>
          </cell>
          <cell r="H2747" t="str">
            <v>B&amp;P-002-MS09-D</v>
          </cell>
          <cell r="J2747">
            <v>1</v>
          </cell>
        </row>
        <row r="2748">
          <cell r="C2748" t="str">
            <v>B&amp;P-041-MS09-2RS</v>
          </cell>
          <cell r="F2748">
            <v>45133.376898148148</v>
          </cell>
          <cell r="H2748" t="str">
            <v>B&amp;P-005-RET/SET-MS09</v>
          </cell>
          <cell r="J2748">
            <v>1</v>
          </cell>
        </row>
        <row r="2749">
          <cell r="C2749" t="str">
            <v>B&amp;P-041-MS09-2RS</v>
          </cell>
          <cell r="F2749">
            <v>45133.376898148148</v>
          </cell>
          <cell r="H2749" t="str">
            <v>B&amp;P-003-BALL-1/2</v>
          </cell>
          <cell r="J2749">
            <v>9</v>
          </cell>
        </row>
        <row r="2750">
          <cell r="C2750" t="str">
            <v>B&amp;P-041-MS09-2RS</v>
          </cell>
          <cell r="F2750">
            <v>45133.376898148148</v>
          </cell>
          <cell r="H2750" t="str">
            <v>B&amp;P-004-MS09RS-BLUE</v>
          </cell>
          <cell r="J2750">
            <v>2</v>
          </cell>
        </row>
        <row r="2751">
          <cell r="C2751" t="str">
            <v>B&amp;P-047-ACLR208-40RG</v>
          </cell>
          <cell r="F2751">
            <v>45588.470335648148</v>
          </cell>
          <cell r="H2751" t="str">
            <v>B&amp;P-001-ACLR208-4001</v>
          </cell>
          <cell r="J2751">
            <v>1</v>
          </cell>
        </row>
        <row r="2752">
          <cell r="C2752" t="str">
            <v>B&amp;P-047-ACLR208-40RG</v>
          </cell>
          <cell r="F2752">
            <v>45588.470335648148</v>
          </cell>
          <cell r="H2752" t="str">
            <v>B&amp;P-002-ACLR208-4002</v>
          </cell>
          <cell r="J2752">
            <v>1</v>
          </cell>
        </row>
        <row r="2753">
          <cell r="C2753" t="str">
            <v>B&amp;P-047-ACLR208-40RG</v>
          </cell>
          <cell r="F2753">
            <v>45588.470335648148</v>
          </cell>
          <cell r="H2753" t="str">
            <v>B&amp;P-005-CAGE208-17</v>
          </cell>
          <cell r="J2753">
            <v>1</v>
          </cell>
        </row>
        <row r="2754">
          <cell r="C2754" t="str">
            <v>B&amp;P-047-ACLR208-40RG</v>
          </cell>
          <cell r="F2754">
            <v>45588.470335648148</v>
          </cell>
          <cell r="H2754" t="str">
            <v>B&amp;P-003-BALL-1/2</v>
          </cell>
          <cell r="J2754">
            <v>9</v>
          </cell>
        </row>
        <row r="2755">
          <cell r="C2755" t="str">
            <v>B&amp;P-047-ACLR208-40RG</v>
          </cell>
          <cell r="F2755">
            <v>45588.470335648148</v>
          </cell>
          <cell r="H2755" t="str">
            <v>B&amp;P-004-208-RST-08</v>
          </cell>
          <cell r="J2755">
            <v>2</v>
          </cell>
        </row>
        <row r="2756">
          <cell r="C2756" t="str">
            <v>B&amp;P-047-ACLR208-40RG</v>
          </cell>
          <cell r="F2756">
            <v>45588.470335648148</v>
          </cell>
          <cell r="H2756" t="str">
            <v>B&amp;P-010-LOC208-40</v>
          </cell>
          <cell r="J2756">
            <v>1</v>
          </cell>
        </row>
        <row r="2757">
          <cell r="C2757" t="str">
            <v>B&amp;P-041-MS11-D</v>
          </cell>
          <cell r="F2757">
            <v>45134.357800925929</v>
          </cell>
          <cell r="H2757" t="str">
            <v>B&amp;P-001-MS11-D</v>
          </cell>
          <cell r="J2757">
            <v>1</v>
          </cell>
        </row>
        <row r="2758">
          <cell r="C2758" t="str">
            <v>B&amp;P-041-MS11-D</v>
          </cell>
          <cell r="F2758">
            <v>45134.357800925929</v>
          </cell>
          <cell r="H2758" t="str">
            <v>B&amp;P-002-MS11-D</v>
          </cell>
          <cell r="J2758">
            <v>1</v>
          </cell>
        </row>
        <row r="2759">
          <cell r="C2759" t="str">
            <v>B&amp;P-041-MS11-D</v>
          </cell>
          <cell r="F2759">
            <v>45134.357800925929</v>
          </cell>
          <cell r="H2759" t="str">
            <v>B&amp;P-005-RET/SET-MS11</v>
          </cell>
          <cell r="J2759">
            <v>1</v>
          </cell>
        </row>
        <row r="2760">
          <cell r="C2760" t="str">
            <v>B&amp;P-041-MS11-D</v>
          </cell>
          <cell r="F2760">
            <v>45134.357800925929</v>
          </cell>
          <cell r="H2760" t="str">
            <v>B&amp;P-003-BALL-9/16</v>
          </cell>
          <cell r="J2760">
            <v>10</v>
          </cell>
        </row>
        <row r="2761">
          <cell r="C2761" t="str">
            <v>B&amp;P-041-MS11-2RS</v>
          </cell>
          <cell r="F2761">
            <v>45134.358541666668</v>
          </cell>
          <cell r="H2761" t="str">
            <v>B&amp;P-001-MS11-D</v>
          </cell>
          <cell r="J2761">
            <v>1</v>
          </cell>
        </row>
        <row r="2762">
          <cell r="C2762" t="str">
            <v>B&amp;P-041-MS11-2RS</v>
          </cell>
          <cell r="F2762">
            <v>45134.358541666668</v>
          </cell>
          <cell r="H2762" t="str">
            <v>B&amp;P-002-MS11-D</v>
          </cell>
          <cell r="J2762">
            <v>1</v>
          </cell>
        </row>
        <row r="2763">
          <cell r="C2763" t="str">
            <v>B&amp;P-041-MS11-2RS</v>
          </cell>
          <cell r="F2763">
            <v>45134.358541666668</v>
          </cell>
          <cell r="H2763" t="str">
            <v>B&amp;P-005-RET/SET-MS11</v>
          </cell>
          <cell r="J2763">
            <v>1</v>
          </cell>
        </row>
        <row r="2764">
          <cell r="C2764" t="str">
            <v>B&amp;P-041-MS11-2RS</v>
          </cell>
          <cell r="F2764">
            <v>45134.358541666668</v>
          </cell>
          <cell r="H2764" t="str">
            <v>B&amp;P-003-BALL-9/16</v>
          </cell>
          <cell r="J2764">
            <v>10</v>
          </cell>
        </row>
        <row r="2765">
          <cell r="C2765" t="str">
            <v>B&amp;P-041-MS11-2RS</v>
          </cell>
          <cell r="F2765">
            <v>45134.358541666668</v>
          </cell>
          <cell r="H2765" t="str">
            <v>B&amp;P-004-MS11RS-BLUE</v>
          </cell>
          <cell r="J2765">
            <v>2</v>
          </cell>
        </row>
        <row r="2766">
          <cell r="C2766" t="str">
            <v>B&amp;P-047-ACL206-30RR1</v>
          </cell>
          <cell r="F2766">
            <v>45141.40179398148</v>
          </cell>
          <cell r="H2766" t="str">
            <v>B&amp;P-001-OR206-18</v>
          </cell>
          <cell r="J2766">
            <v>1</v>
          </cell>
        </row>
        <row r="2767">
          <cell r="C2767" t="str">
            <v>B&amp;P-047-ACL206-30RR1</v>
          </cell>
          <cell r="F2767">
            <v>45141.40179398148</v>
          </cell>
          <cell r="H2767" t="str">
            <v>B&amp;P-002-ACL206-30-02</v>
          </cell>
          <cell r="J2767">
            <v>1</v>
          </cell>
        </row>
        <row r="2768">
          <cell r="C2768" t="str">
            <v>B&amp;P-047-ACL206-30RR1</v>
          </cell>
          <cell r="F2768">
            <v>45141.40179398148</v>
          </cell>
          <cell r="H2768" t="str">
            <v>B&amp;P-003-Ball-3/8</v>
          </cell>
          <cell r="J2768">
            <v>9</v>
          </cell>
        </row>
        <row r="2769">
          <cell r="C2769" t="str">
            <v>B&amp;P-047-ACL206-30RR1</v>
          </cell>
          <cell r="F2769">
            <v>45141.40179398148</v>
          </cell>
          <cell r="H2769" t="str">
            <v>B&amp;P-005-CAGE206-17</v>
          </cell>
          <cell r="J2769">
            <v>1</v>
          </cell>
        </row>
        <row r="2770">
          <cell r="C2770" t="str">
            <v>B&amp;P-047-ACL206-30RR1</v>
          </cell>
          <cell r="F2770">
            <v>45141.40179398148</v>
          </cell>
          <cell r="H2770" t="str">
            <v>B&amp;P-004-206-RW-08</v>
          </cell>
          <cell r="J2770">
            <v>2</v>
          </cell>
        </row>
        <row r="2771">
          <cell r="C2771" t="str">
            <v>B&amp;P-048-GW211-PP17</v>
          </cell>
          <cell r="F2771">
            <v>45141.662129629629</v>
          </cell>
          <cell r="H2771" t="str">
            <v>B&amp;P-001-OR211-R33G</v>
          </cell>
          <cell r="J2771">
            <v>1</v>
          </cell>
        </row>
        <row r="2772">
          <cell r="C2772" t="str">
            <v>B&amp;P-047-ACL206-30RR1</v>
          </cell>
          <cell r="F2772">
            <v>45141.40179398148</v>
          </cell>
          <cell r="H2772" t="str">
            <v>B&amp;P-010-LOC206-30</v>
          </cell>
          <cell r="J2772">
            <v>1</v>
          </cell>
        </row>
        <row r="2773">
          <cell r="C2773" t="str">
            <v>B&amp;P-048-GW211-PP17</v>
          </cell>
          <cell r="F2773">
            <v>45141.662129629629</v>
          </cell>
          <cell r="H2773" t="str">
            <v>B&amp;P-002-211-17</v>
          </cell>
          <cell r="J2773">
            <v>1</v>
          </cell>
        </row>
        <row r="2774">
          <cell r="C2774" t="str">
            <v>B&amp;P-048-GW211-PP17</v>
          </cell>
          <cell r="F2774">
            <v>45141.662129629629</v>
          </cell>
          <cell r="H2774" t="str">
            <v>B&amp;P-005-CAGE211-17</v>
          </cell>
          <cell r="J2774">
            <v>1</v>
          </cell>
        </row>
        <row r="2775">
          <cell r="C2775" t="str">
            <v>B&amp;P-048-GW211-PP17</v>
          </cell>
          <cell r="F2775">
            <v>45141.662129629629</v>
          </cell>
          <cell r="H2775" t="str">
            <v>B&amp;P-003-BALL-9/16</v>
          </cell>
          <cell r="J2775">
            <v>10</v>
          </cell>
        </row>
        <row r="2776">
          <cell r="C2776" t="str">
            <v>B&amp;P-048-GW211-PP17</v>
          </cell>
          <cell r="F2776">
            <v>45141.662129629629</v>
          </cell>
          <cell r="H2776" t="str">
            <v>B&amp;P-004-211-TPL-08</v>
          </cell>
          <cell r="J2776">
            <v>2</v>
          </cell>
        </row>
        <row r="2777">
          <cell r="C2777" t="str">
            <v>B&amp;P-047-SAB207-20DD</v>
          </cell>
          <cell r="F2777">
            <v>45145.370254629626</v>
          </cell>
          <cell r="H2777" t="str">
            <v>B&amp;P-001-OR207</v>
          </cell>
          <cell r="J2777">
            <v>1</v>
          </cell>
        </row>
        <row r="2778">
          <cell r="C2778" t="str">
            <v>B&amp;P-047-SAB207-20DD</v>
          </cell>
          <cell r="F2778">
            <v>45145.370254629626</v>
          </cell>
          <cell r="H2778" t="str">
            <v>B&amp;P-002-SAB207-20-02</v>
          </cell>
          <cell r="J2778">
            <v>1</v>
          </cell>
        </row>
        <row r="2779">
          <cell r="C2779" t="str">
            <v>B&amp;P-047-SAB207-20DD</v>
          </cell>
          <cell r="F2779">
            <v>45145.370254629626</v>
          </cell>
          <cell r="H2779" t="str">
            <v>B&amp;P-005-CAGE207-17</v>
          </cell>
          <cell r="J2779">
            <v>1</v>
          </cell>
        </row>
        <row r="2780">
          <cell r="C2780" t="str">
            <v>B&amp;P-047-SAB207-20DD</v>
          </cell>
          <cell r="F2780">
            <v>45145.370254629626</v>
          </cell>
          <cell r="H2780" t="str">
            <v>B&amp;P-003-Ball-7/16</v>
          </cell>
          <cell r="J2780">
            <v>9</v>
          </cell>
        </row>
        <row r="2781">
          <cell r="C2781" t="str">
            <v>B&amp;P-047-SAB207-20DD</v>
          </cell>
          <cell r="F2781">
            <v>45145.370254629626</v>
          </cell>
          <cell r="H2781" t="str">
            <v>B&amp;P-004-207-DBL-08</v>
          </cell>
          <cell r="J2781">
            <v>2</v>
          </cell>
        </row>
        <row r="2782">
          <cell r="C2782" t="str">
            <v>B&amp;P-047-ASL-205-14RG</v>
          </cell>
          <cell r="F2782">
            <v>45145.43849537037</v>
          </cell>
          <cell r="H2782" t="str">
            <v>B&amp;P-001-OR205-01</v>
          </cell>
          <cell r="J2782">
            <v>1</v>
          </cell>
        </row>
        <row r="2783">
          <cell r="C2783" t="str">
            <v>B&amp;P-047-ASL-205-14RG</v>
          </cell>
          <cell r="F2783">
            <v>45145.43849537037</v>
          </cell>
          <cell r="H2783" t="str">
            <v>B&amp;P-002-ASL205-14-02</v>
          </cell>
          <cell r="J2783">
            <v>1</v>
          </cell>
        </row>
        <row r="2784">
          <cell r="C2784" t="str">
            <v>B&amp;P-047-ASL-205-14RG</v>
          </cell>
          <cell r="F2784">
            <v>45145.43849537037</v>
          </cell>
          <cell r="H2784" t="str">
            <v>B&amp;P-005-CAGE205-17</v>
          </cell>
          <cell r="J2784">
            <v>1</v>
          </cell>
        </row>
        <row r="2785">
          <cell r="C2785" t="str">
            <v>B&amp;P-047-ASL-205-14RG</v>
          </cell>
          <cell r="F2785">
            <v>45145.43849537037</v>
          </cell>
          <cell r="H2785" t="str">
            <v>B&amp;P-003-Ball-5/16</v>
          </cell>
          <cell r="J2785">
            <v>9</v>
          </cell>
        </row>
        <row r="2786">
          <cell r="C2786" t="str">
            <v>B&amp;P-047-ASL-205-14RG</v>
          </cell>
          <cell r="F2786">
            <v>45145.43849537037</v>
          </cell>
          <cell r="H2786" t="str">
            <v>B&amp;P-004-205-RST-08</v>
          </cell>
          <cell r="J2786">
            <v>2</v>
          </cell>
        </row>
        <row r="2787">
          <cell r="C2787" t="str">
            <v>B&amp;P-047-ACLR206-20RR</v>
          </cell>
          <cell r="F2787">
            <v>45146.350937499999</v>
          </cell>
          <cell r="H2787" t="str">
            <v>B&amp;P-001-OR206-R18</v>
          </cell>
          <cell r="J2787">
            <v>1</v>
          </cell>
        </row>
        <row r="2788">
          <cell r="C2788" t="str">
            <v>B&amp;P-047-ACLR206-20RR</v>
          </cell>
          <cell r="F2788">
            <v>45146.350937499999</v>
          </cell>
          <cell r="H2788" t="str">
            <v>B&amp;P-002-ACL206-20-02</v>
          </cell>
          <cell r="J2788">
            <v>1</v>
          </cell>
        </row>
        <row r="2789">
          <cell r="C2789" t="str">
            <v>B&amp;P-047-ACLR206-20RR</v>
          </cell>
          <cell r="F2789">
            <v>45146.350937499999</v>
          </cell>
          <cell r="H2789" t="str">
            <v>B&amp;P-005-CAGE206-17</v>
          </cell>
          <cell r="J2789">
            <v>1</v>
          </cell>
        </row>
        <row r="2790">
          <cell r="C2790" t="str">
            <v>B&amp;P-047-ACLR206-20RR</v>
          </cell>
          <cell r="F2790">
            <v>45146.350937499999</v>
          </cell>
          <cell r="H2790" t="str">
            <v>B&amp;P-003-Ball-3/8</v>
          </cell>
          <cell r="J2790">
            <v>9</v>
          </cell>
        </row>
        <row r="2791">
          <cell r="C2791" t="str">
            <v>B&amp;P-047-ACLR206-20RR</v>
          </cell>
          <cell r="F2791">
            <v>45146.350937499999</v>
          </cell>
          <cell r="H2791" t="str">
            <v>B&amp;P-004-206-RW-08</v>
          </cell>
          <cell r="J2791">
            <v>2</v>
          </cell>
        </row>
        <row r="2792">
          <cell r="C2792" t="str">
            <v>B&amp;P-047-ACLR206-20RR</v>
          </cell>
          <cell r="F2792">
            <v>45146.350937499999</v>
          </cell>
          <cell r="H2792" t="str">
            <v>B&amp;P-010-LOC206-20</v>
          </cell>
          <cell r="J2792">
            <v>1</v>
          </cell>
        </row>
        <row r="2793">
          <cell r="C2793" t="str">
            <v>B&amp;P-047-SAB205-14DG</v>
          </cell>
          <cell r="F2793">
            <v>45146.360648148147</v>
          </cell>
          <cell r="H2793" t="str">
            <v>B&amp;P-001-OR205-G</v>
          </cell>
          <cell r="J2793">
            <v>1</v>
          </cell>
        </row>
        <row r="2794">
          <cell r="C2794" t="str">
            <v>B&amp;P-047-SAB205-14DG</v>
          </cell>
          <cell r="F2794">
            <v>45146.360648148147</v>
          </cell>
          <cell r="H2794" t="str">
            <v>B&amp;P-002-SAB205-14-02</v>
          </cell>
          <cell r="J2794">
            <v>1</v>
          </cell>
        </row>
        <row r="2795">
          <cell r="C2795" t="str">
            <v>B&amp;P-047-SAB205-14DG</v>
          </cell>
          <cell r="F2795">
            <v>45146.360648148147</v>
          </cell>
          <cell r="H2795" t="str">
            <v>B&amp;P-005-CAGE205-17</v>
          </cell>
          <cell r="J2795">
            <v>1</v>
          </cell>
        </row>
        <row r="2796">
          <cell r="C2796" t="str">
            <v>B&amp;P-047-SAB205-14DG</v>
          </cell>
          <cell r="F2796">
            <v>45146.360648148147</v>
          </cell>
          <cell r="H2796" t="str">
            <v>B&amp;P-003-Ball-5/16</v>
          </cell>
          <cell r="J2796">
            <v>9</v>
          </cell>
        </row>
        <row r="2797">
          <cell r="C2797" t="str">
            <v>B&amp;P-047-SAB205-14DG</v>
          </cell>
          <cell r="F2797">
            <v>45146.360648148147</v>
          </cell>
          <cell r="H2797" t="str">
            <v>B&amp;P-004-205-DBL-08</v>
          </cell>
          <cell r="J2797">
            <v>2</v>
          </cell>
        </row>
        <row r="2798">
          <cell r="C2798" t="str">
            <v>BPB-999-32008-MX</v>
          </cell>
          <cell r="F2798">
            <v>45162.591620370367</v>
          </cell>
          <cell r="H2798" t="str">
            <v>000-053-X-32008</v>
          </cell>
          <cell r="J2798">
            <v>1</v>
          </cell>
        </row>
        <row r="2799">
          <cell r="C2799" t="str">
            <v>BPB-999-32008-MX</v>
          </cell>
          <cell r="F2799">
            <v>45162.591620370367</v>
          </cell>
          <cell r="H2799" t="str">
            <v>000-054-TDY008</v>
          </cell>
          <cell r="J2799">
            <v>1</v>
          </cell>
        </row>
        <row r="2800">
          <cell r="C2800" t="str">
            <v>B&amp;P-999-32005-MX</v>
          </cell>
          <cell r="F2800">
            <v>45162.596550925926</v>
          </cell>
          <cell r="H2800" t="str">
            <v>000-053-X-32005</v>
          </cell>
          <cell r="J2800">
            <v>1</v>
          </cell>
        </row>
        <row r="2801">
          <cell r="C2801" t="str">
            <v>B&amp;P-999-32005-MX</v>
          </cell>
          <cell r="F2801">
            <v>45162.596550925926</v>
          </cell>
          <cell r="H2801" t="str">
            <v>000-054-TDY005</v>
          </cell>
          <cell r="J2801">
            <v>1</v>
          </cell>
        </row>
        <row r="2802">
          <cell r="C2802" t="str">
            <v>B&amp;P-047-ECL210-50D-3</v>
          </cell>
          <cell r="F2802">
            <v>45153.415682870371</v>
          </cell>
          <cell r="H2802" t="str">
            <v>B&amp;P-010-LOC210-50</v>
          </cell>
          <cell r="J2802">
            <v>1</v>
          </cell>
        </row>
        <row r="2803">
          <cell r="C2803" t="str">
            <v>B&amp;P-001-BP-22002-01</v>
          </cell>
          <cell r="F2803">
            <v>45188.349606481483</v>
          </cell>
          <cell r="H2803" t="str">
            <v>B&amp;P-001-BP-22002-B1</v>
          </cell>
          <cell r="J2803">
            <v>1</v>
          </cell>
        </row>
        <row r="2804">
          <cell r="C2804" t="str">
            <v>B&amp;P-002-BP-22002-02</v>
          </cell>
          <cell r="F2804">
            <v>45188.350127314814</v>
          </cell>
          <cell r="H2804" t="str">
            <v>B&amp;P-002-BP-22002-B2</v>
          </cell>
          <cell r="J2804">
            <v>1</v>
          </cell>
        </row>
        <row r="2805">
          <cell r="C2805" t="str">
            <v>B&amp;P-001-BP-22002-03</v>
          </cell>
          <cell r="F2805">
            <v>45188.350856481484</v>
          </cell>
          <cell r="H2805" t="str">
            <v>B&amp;P-001-BP-22002-B3</v>
          </cell>
          <cell r="J2805">
            <v>1</v>
          </cell>
        </row>
        <row r="2806">
          <cell r="C2806" t="str">
            <v>B&amp;P-002-BP-22002-04</v>
          </cell>
          <cell r="F2806">
            <v>45188.351655092592</v>
          </cell>
          <cell r="H2806" t="str">
            <v>B&amp;P-002-BP-22002-B4</v>
          </cell>
          <cell r="J2806">
            <v>1</v>
          </cell>
        </row>
        <row r="2807">
          <cell r="C2807" t="str">
            <v>B&amp;P-037-BP-22002</v>
          </cell>
          <cell r="F2807">
            <v>45188.421365740738</v>
          </cell>
          <cell r="H2807" t="str">
            <v>B&amp;P-001-BP-22002-01</v>
          </cell>
          <cell r="J2807">
            <v>6</v>
          </cell>
        </row>
        <row r="2808">
          <cell r="C2808" t="str">
            <v>B&amp;P-037-BP-22002</v>
          </cell>
          <cell r="F2808">
            <v>45188.421365740738</v>
          </cell>
          <cell r="H2808" t="str">
            <v>B&amp;P-002-BP-22002-02</v>
          </cell>
          <cell r="J2808">
            <v>6</v>
          </cell>
        </row>
        <row r="2809">
          <cell r="C2809" t="str">
            <v>B&amp;P-037-BP-22002</v>
          </cell>
          <cell r="F2809">
            <v>45188.421365740738</v>
          </cell>
          <cell r="H2809" t="str">
            <v>B&amp;P-001-BP-22002-03</v>
          </cell>
          <cell r="J2809">
            <v>2</v>
          </cell>
        </row>
        <row r="2810">
          <cell r="C2810" t="str">
            <v>B&amp;P-037-BP-22002</v>
          </cell>
          <cell r="F2810">
            <v>45188.421365740738</v>
          </cell>
          <cell r="H2810" t="str">
            <v>B&amp;P-002-BP-22002-04</v>
          </cell>
          <cell r="J2810">
            <v>2</v>
          </cell>
        </row>
        <row r="2811">
          <cell r="C2811" t="str">
            <v>B&amp;P-041-LS12-2RS</v>
          </cell>
          <cell r="F2811">
            <v>45168.376423611109</v>
          </cell>
          <cell r="H2811" t="str">
            <v>B&amp;P-001-LS12-D</v>
          </cell>
          <cell r="J2811">
            <v>1</v>
          </cell>
        </row>
        <row r="2812">
          <cell r="C2812" t="str">
            <v>B&amp;P-041-LS12-2RS</v>
          </cell>
          <cell r="F2812">
            <v>45168.376423611109</v>
          </cell>
          <cell r="H2812" t="str">
            <v>B&amp;P-002-LS12-D</v>
          </cell>
          <cell r="J2812">
            <v>1</v>
          </cell>
        </row>
        <row r="2813">
          <cell r="C2813" t="str">
            <v>B&amp;P-041-LS12-2RS</v>
          </cell>
          <cell r="F2813">
            <v>45168.376423611109</v>
          </cell>
          <cell r="H2813" t="str">
            <v>B&amp;P-003-BALL-1/2</v>
          </cell>
          <cell r="J2813">
            <v>13</v>
          </cell>
        </row>
        <row r="2814">
          <cell r="C2814" t="str">
            <v>B&amp;P-041-LS12-2RS</v>
          </cell>
          <cell r="F2814">
            <v>45168.376423611109</v>
          </cell>
          <cell r="H2814" t="str">
            <v>B&amp;P-005-RET/SET-LS12</v>
          </cell>
          <cell r="J2814">
            <v>1</v>
          </cell>
        </row>
        <row r="2815">
          <cell r="C2815" t="str">
            <v>B&amp;P-041-LS12-2RS</v>
          </cell>
          <cell r="F2815">
            <v>45168.376423611109</v>
          </cell>
          <cell r="H2815" t="str">
            <v>B&amp;P-004-LS12RLD-BLUE</v>
          </cell>
          <cell r="J2815">
            <v>2</v>
          </cell>
        </row>
        <row r="2816">
          <cell r="C2816" t="str">
            <v>B&amp;P-041-LS12</v>
          </cell>
          <cell r="F2816">
            <v>45168.377928240741</v>
          </cell>
          <cell r="H2816" t="str">
            <v>B&amp;P-001-LS12-D</v>
          </cell>
          <cell r="J2816">
            <v>1</v>
          </cell>
        </row>
        <row r="2817">
          <cell r="C2817" t="str">
            <v>B&amp;P-041-LS12</v>
          </cell>
          <cell r="F2817">
            <v>45168.377928240741</v>
          </cell>
          <cell r="H2817" t="str">
            <v>B&amp;P-002-LS12-D</v>
          </cell>
          <cell r="J2817">
            <v>1</v>
          </cell>
        </row>
        <row r="2818">
          <cell r="C2818" t="str">
            <v>B&amp;P-041-LS12</v>
          </cell>
          <cell r="F2818">
            <v>45168.377928240741</v>
          </cell>
          <cell r="H2818" t="str">
            <v>B&amp;P-003-BALL-1/2</v>
          </cell>
          <cell r="J2818">
            <v>13</v>
          </cell>
        </row>
        <row r="2819">
          <cell r="C2819" t="str">
            <v>B&amp;P-041-LS12</v>
          </cell>
          <cell r="F2819">
            <v>45168.377928240741</v>
          </cell>
          <cell r="H2819" t="str">
            <v>B&amp;P-005-RET/SET-LS12</v>
          </cell>
          <cell r="J2819">
            <v>1</v>
          </cell>
        </row>
        <row r="2820">
          <cell r="C2820" t="str">
            <v>BPB-047-ACL205-14RG</v>
          </cell>
          <cell r="F2820">
            <v>42948.387662037036</v>
          </cell>
          <cell r="H2820" t="str">
            <v>B&amp;P-005-CAGE205-17</v>
          </cell>
          <cell r="J2820">
            <v>1</v>
          </cell>
        </row>
        <row r="2821">
          <cell r="C2821" t="str">
            <v>BPB-047-ACL205-14RG</v>
          </cell>
          <cell r="F2821">
            <v>42948.387662037036</v>
          </cell>
          <cell r="H2821" t="str">
            <v>B&amp;P-004-205-RW-08</v>
          </cell>
          <cell r="J2821">
            <v>2</v>
          </cell>
        </row>
        <row r="2822">
          <cell r="C2822" t="str">
            <v>BPB-047-ACL205-14RG</v>
          </cell>
          <cell r="F2822">
            <v>42948.387662037036</v>
          </cell>
          <cell r="H2822" t="str">
            <v>B&amp;P-010-LOC205-14</v>
          </cell>
          <cell r="J2822">
            <v>1</v>
          </cell>
        </row>
        <row r="2823">
          <cell r="C2823" t="str">
            <v>BPB-047-ACL205-14RG</v>
          </cell>
          <cell r="F2823">
            <v>42948.387662037036</v>
          </cell>
          <cell r="H2823" t="str">
            <v>B&amp;P-003-Ball-5/16</v>
          </cell>
          <cell r="J2823">
            <v>9</v>
          </cell>
        </row>
        <row r="2824">
          <cell r="C2824" t="str">
            <v>BPB-047-ACL205-14RG</v>
          </cell>
          <cell r="F2824">
            <v>42948.387662037036</v>
          </cell>
          <cell r="H2824" t="str">
            <v>BPB-000-POLYREX-EM</v>
          </cell>
          <cell r="J2824">
            <v>3</v>
          </cell>
        </row>
        <row r="2825">
          <cell r="C2825" t="str">
            <v>BPB-047-ACL205-14RG</v>
          </cell>
          <cell r="F2825">
            <v>42948.387662037036</v>
          </cell>
          <cell r="H2825" t="str">
            <v>BPB-037-PRISI-1/4X28</v>
          </cell>
          <cell r="J2825">
            <v>1</v>
          </cell>
        </row>
        <row r="2826">
          <cell r="C2826" t="str">
            <v>B&amp;P-047-ECLR205-16D</v>
          </cell>
          <cell r="F2826">
            <v>42948.395694444444</v>
          </cell>
          <cell r="H2826" t="str">
            <v>B&amp;P-001-OR205-R</v>
          </cell>
          <cell r="J2826">
            <v>1</v>
          </cell>
        </row>
        <row r="2827">
          <cell r="C2827" t="str">
            <v>B&amp;P-047-ECLR205-16D</v>
          </cell>
          <cell r="F2827">
            <v>42948.395694444444</v>
          </cell>
          <cell r="H2827" t="str">
            <v>B&amp;P-002-ECL205-16-02</v>
          </cell>
          <cell r="J2827">
            <v>1</v>
          </cell>
        </row>
        <row r="2828">
          <cell r="C2828" t="str">
            <v>B&amp;P-047-ECLR205-16D</v>
          </cell>
          <cell r="F2828">
            <v>42948.395694444444</v>
          </cell>
          <cell r="H2828" t="str">
            <v>B&amp;P-005-CAGE205-17</v>
          </cell>
          <cell r="J2828">
            <v>1</v>
          </cell>
        </row>
        <row r="2829">
          <cell r="C2829" t="str">
            <v>B&amp;P-047-ECLR205-16D</v>
          </cell>
          <cell r="F2829">
            <v>42948.395694444444</v>
          </cell>
          <cell r="H2829" t="str">
            <v>B&amp;P-004-205-DBL-08</v>
          </cell>
          <cell r="J2829">
            <v>2</v>
          </cell>
        </row>
        <row r="2830">
          <cell r="C2830" t="str">
            <v>B&amp;P-047-ECLR205-16D</v>
          </cell>
          <cell r="F2830">
            <v>42948.395694444444</v>
          </cell>
          <cell r="H2830" t="str">
            <v>B&amp;P-010-LOC205-16</v>
          </cell>
          <cell r="J2830">
            <v>1</v>
          </cell>
        </row>
        <row r="2831">
          <cell r="C2831" t="str">
            <v>B&amp;P-047-ECLR205-16D</v>
          </cell>
          <cell r="F2831">
            <v>42948.395694444444</v>
          </cell>
          <cell r="H2831" t="str">
            <v>B&amp;P-003-Ball-5/16</v>
          </cell>
          <cell r="J2831">
            <v>9</v>
          </cell>
        </row>
        <row r="2832">
          <cell r="C2832" t="str">
            <v>B&amp;P-047-ECLR205-16D</v>
          </cell>
          <cell r="F2832">
            <v>42948.395694444444</v>
          </cell>
          <cell r="H2832" t="str">
            <v>BPB-000-POLYREX-EM</v>
          </cell>
          <cell r="J2832">
            <v>3.5</v>
          </cell>
        </row>
        <row r="2833">
          <cell r="C2833" t="str">
            <v>B&amp;P-047-ECLR205-16D</v>
          </cell>
          <cell r="F2833">
            <v>42948.395694444444</v>
          </cell>
          <cell r="H2833" t="str">
            <v>BPB-037-PRISI-1/4X28</v>
          </cell>
          <cell r="J2833">
            <v>1</v>
          </cell>
        </row>
        <row r="2834">
          <cell r="C2834" t="str">
            <v>BPB-047-ACL-206-19</v>
          </cell>
          <cell r="F2834">
            <v>42948.486342592594</v>
          </cell>
          <cell r="H2834" t="str">
            <v>B&amp;P-001-OR206-G18</v>
          </cell>
          <cell r="J2834">
            <v>1</v>
          </cell>
        </row>
        <row r="2835">
          <cell r="C2835" t="str">
            <v>BPB-047-ACL-206-19</v>
          </cell>
          <cell r="F2835">
            <v>42948.486342592594</v>
          </cell>
          <cell r="H2835" t="str">
            <v>B&amp;P-002-ACL206-19-02</v>
          </cell>
          <cell r="J2835">
            <v>1</v>
          </cell>
        </row>
        <row r="2836">
          <cell r="C2836" t="str">
            <v>BPB-047-ACL-206-19</v>
          </cell>
          <cell r="F2836">
            <v>42948.486342592594</v>
          </cell>
          <cell r="H2836" t="str">
            <v>B&amp;P-005-CAGE206-17</v>
          </cell>
          <cell r="J2836">
            <v>1</v>
          </cell>
        </row>
        <row r="2837">
          <cell r="C2837" t="str">
            <v>BPB-047-ACL-206-19</v>
          </cell>
          <cell r="F2837">
            <v>42948.486342592594</v>
          </cell>
          <cell r="H2837" t="str">
            <v>B&amp;P-004-206-RW-08</v>
          </cell>
          <cell r="J2837">
            <v>2</v>
          </cell>
        </row>
        <row r="2838">
          <cell r="C2838" t="str">
            <v>BPB-047-ACL-206-19</v>
          </cell>
          <cell r="F2838">
            <v>42948.486342592594</v>
          </cell>
          <cell r="H2838" t="str">
            <v>B&amp;P-010-LOC206-19</v>
          </cell>
          <cell r="J2838">
            <v>1</v>
          </cell>
        </row>
        <row r="2839">
          <cell r="C2839" t="str">
            <v>BPB-047-ACL-206-19</v>
          </cell>
          <cell r="F2839">
            <v>42948.486342592594</v>
          </cell>
          <cell r="H2839" t="str">
            <v>B&amp;P-003-Ball-3/8</v>
          </cell>
          <cell r="J2839">
            <v>9</v>
          </cell>
        </row>
        <row r="2840">
          <cell r="C2840" t="str">
            <v>BPB-047-ACL-206-19</v>
          </cell>
          <cell r="F2840">
            <v>42948.486342592594</v>
          </cell>
          <cell r="H2840" t="str">
            <v>BPB-000-POLYREX-EM</v>
          </cell>
          <cell r="J2840">
            <v>5.5</v>
          </cell>
        </row>
        <row r="2841">
          <cell r="C2841" t="str">
            <v>BPB-047-ACL-206-19</v>
          </cell>
          <cell r="F2841">
            <v>42948.486342592594</v>
          </cell>
          <cell r="H2841" t="str">
            <v>BPB-037-PRI-5/16x24</v>
          </cell>
          <cell r="J2841">
            <v>1</v>
          </cell>
        </row>
        <row r="2842">
          <cell r="C2842" t="str">
            <v>BPB-047-ACLR-207-35m</v>
          </cell>
          <cell r="F2842">
            <v>42948.528252314813</v>
          </cell>
          <cell r="H2842" t="str">
            <v>B&amp;P-001-OR207-R</v>
          </cell>
          <cell r="J2842">
            <v>1</v>
          </cell>
        </row>
        <row r="2843">
          <cell r="C2843" t="str">
            <v>BPB-047-ACLR-207-35m</v>
          </cell>
          <cell r="F2843">
            <v>42948.528252314813</v>
          </cell>
          <cell r="H2843" t="str">
            <v>B&amp;P-002-ACL207-35-02</v>
          </cell>
          <cell r="J2843">
            <v>1</v>
          </cell>
        </row>
        <row r="2844">
          <cell r="C2844" t="str">
            <v>BPB-047-ACLR-207-35m</v>
          </cell>
          <cell r="F2844">
            <v>42948.528252314813</v>
          </cell>
          <cell r="H2844" t="str">
            <v>B&amp;P-005-CAGE207-17</v>
          </cell>
          <cell r="J2844">
            <v>1</v>
          </cell>
        </row>
        <row r="2845">
          <cell r="C2845" t="str">
            <v>BPB-047-ACLR-207-35m</v>
          </cell>
          <cell r="F2845">
            <v>42948.528252314813</v>
          </cell>
          <cell r="H2845" t="str">
            <v>B&amp;P-004-207-RW-08</v>
          </cell>
          <cell r="J2845">
            <v>2</v>
          </cell>
        </row>
        <row r="2846">
          <cell r="C2846" t="str">
            <v>BPB-047-ACLR-207-35m</v>
          </cell>
          <cell r="F2846">
            <v>42948.528252314813</v>
          </cell>
          <cell r="H2846" t="str">
            <v>B&amp;P-010-LOC207-35</v>
          </cell>
          <cell r="J2846">
            <v>1</v>
          </cell>
        </row>
        <row r="2847">
          <cell r="C2847" t="str">
            <v>BPB-047-ACLR-207-35m</v>
          </cell>
          <cell r="F2847">
            <v>42948.528252314813</v>
          </cell>
          <cell r="H2847" t="str">
            <v>B&amp;P-003-Ball-7/16</v>
          </cell>
          <cell r="J2847">
            <v>9</v>
          </cell>
        </row>
        <row r="2848">
          <cell r="C2848" t="str">
            <v>BPB-047-ACLR-207-35m</v>
          </cell>
          <cell r="F2848">
            <v>42948.528252314813</v>
          </cell>
          <cell r="H2848" t="str">
            <v>BPB-000-POLYREX-EM</v>
          </cell>
          <cell r="J2848">
            <v>7</v>
          </cell>
        </row>
        <row r="2849">
          <cell r="C2849" t="str">
            <v>BPB-047-ACLR-207-35m</v>
          </cell>
          <cell r="F2849">
            <v>42948.528252314813</v>
          </cell>
          <cell r="H2849" t="str">
            <v>B&amp;P-037-10X1.25X10</v>
          </cell>
          <cell r="J2849">
            <v>1</v>
          </cell>
        </row>
        <row r="2850">
          <cell r="C2850" t="str">
            <v>B&amp;P-041-LS05-2RLD</v>
          </cell>
          <cell r="F2850">
            <v>42956.349386574075</v>
          </cell>
          <cell r="H2850" t="str">
            <v>B&amp;P-001-LS05-D</v>
          </cell>
          <cell r="J2850">
            <v>1</v>
          </cell>
        </row>
        <row r="2851">
          <cell r="C2851" t="str">
            <v>B&amp;P-041-LS05-2RLD</v>
          </cell>
          <cell r="F2851">
            <v>42956.349386574075</v>
          </cell>
          <cell r="H2851" t="str">
            <v>B&amp;P-002-LS05-D</v>
          </cell>
          <cell r="J2851">
            <v>1</v>
          </cell>
        </row>
        <row r="2852">
          <cell r="C2852" t="str">
            <v>B&amp;P-041-LS05-2RLD</v>
          </cell>
          <cell r="F2852">
            <v>42956.349386574075</v>
          </cell>
          <cell r="H2852" t="str">
            <v>BPB-003-BALL-1/4</v>
          </cell>
          <cell r="J2852">
            <v>10</v>
          </cell>
        </row>
        <row r="2853">
          <cell r="C2853" t="str">
            <v>B&amp;P-041-LS05-2RLD</v>
          </cell>
          <cell r="F2853">
            <v>42956.349386574075</v>
          </cell>
          <cell r="H2853" t="str">
            <v>B&amp;P-005-RET/SET-LS05</v>
          </cell>
          <cell r="J2853">
            <v>1</v>
          </cell>
        </row>
        <row r="2854">
          <cell r="C2854" t="str">
            <v>B&amp;P-041-LS05-2RLD</v>
          </cell>
          <cell r="F2854">
            <v>42956.349386574075</v>
          </cell>
          <cell r="H2854" t="str">
            <v>BPB-000-POLYREX-EM</v>
          </cell>
          <cell r="J2854">
            <v>2.75</v>
          </cell>
        </row>
        <row r="2855">
          <cell r="C2855" t="str">
            <v>B&amp;P-041-LS05-2RLD</v>
          </cell>
          <cell r="F2855">
            <v>42956.349386574075</v>
          </cell>
          <cell r="H2855" t="str">
            <v>B&amp;P-004-LS05RLD-BLUE</v>
          </cell>
          <cell r="J2855">
            <v>2</v>
          </cell>
        </row>
        <row r="2856">
          <cell r="C2856" t="str">
            <v>BPB-999-ECL210-50D-3</v>
          </cell>
          <cell r="F2856">
            <v>42970.592361111114</v>
          </cell>
          <cell r="H2856" t="str">
            <v>B&amp;P-047-SAB-210-50DG</v>
          </cell>
          <cell r="J2856">
            <v>1</v>
          </cell>
        </row>
        <row r="2857">
          <cell r="C2857" t="str">
            <v>BPB-999-ECL210-50D-3</v>
          </cell>
          <cell r="F2857">
            <v>42970.592361111114</v>
          </cell>
          <cell r="H2857" t="str">
            <v>B&amp;P-010-LOC210-50</v>
          </cell>
          <cell r="J2857">
            <v>1</v>
          </cell>
        </row>
        <row r="2858">
          <cell r="C2858" t="str">
            <v>B&amp;P-041-MS03-2RST-C0</v>
          </cell>
          <cell r="F2858">
            <v>42971.323472222219</v>
          </cell>
          <cell r="H2858" t="str">
            <v>B&amp;P-002-MS03-D</v>
          </cell>
          <cell r="J2858">
            <v>1</v>
          </cell>
        </row>
        <row r="2859">
          <cell r="C2859" t="str">
            <v>B&amp;P-041-MS03-2RST-C0</v>
          </cell>
          <cell r="F2859">
            <v>42971.323472222219</v>
          </cell>
          <cell r="H2859" t="str">
            <v>B&amp;P-005-RET/SET-MS03</v>
          </cell>
          <cell r="J2859">
            <v>1</v>
          </cell>
        </row>
        <row r="2860">
          <cell r="C2860" t="str">
            <v>B&amp;P-041-MS03-2RST-C0</v>
          </cell>
          <cell r="F2860">
            <v>42971.323472222219</v>
          </cell>
          <cell r="H2860" t="str">
            <v>B&amp;P-003-BALL-17/64</v>
          </cell>
          <cell r="J2860">
            <v>8</v>
          </cell>
        </row>
        <row r="2861">
          <cell r="C2861" t="str">
            <v>B&amp;P-041-MS03-2RST-C0</v>
          </cell>
          <cell r="F2861">
            <v>42971.323472222219</v>
          </cell>
          <cell r="H2861" t="str">
            <v>BPB-000-POLYREX-EM</v>
          </cell>
          <cell r="J2861">
            <v>1.9</v>
          </cell>
        </row>
        <row r="2862">
          <cell r="C2862" t="str">
            <v>B&amp;P-041-MS03-2RST-C0</v>
          </cell>
          <cell r="F2862">
            <v>42971.323472222219</v>
          </cell>
          <cell r="H2862" t="str">
            <v>B&amp;P-004-MS03-2RST-08</v>
          </cell>
          <cell r="J2862">
            <v>2</v>
          </cell>
        </row>
        <row r="2863">
          <cell r="C2863" t="str">
            <v>BPB-133-PB002452</v>
          </cell>
          <cell r="F2863">
            <v>42972.479108796295</v>
          </cell>
          <cell r="H2863" t="str">
            <v>BPB-033-ASA50-1-REEL</v>
          </cell>
          <cell r="J2863">
            <v>0.98</v>
          </cell>
        </row>
        <row r="2864">
          <cell r="C2864" t="str">
            <v>BPB-133-PB002452</v>
          </cell>
          <cell r="F2864">
            <v>42972.479108796295</v>
          </cell>
          <cell r="H2864" t="str">
            <v>BPB-033-OL-50-1</v>
          </cell>
          <cell r="J2864">
            <v>1</v>
          </cell>
        </row>
        <row r="2865">
          <cell r="C2865" t="str">
            <v>BPB-133-PB004864</v>
          </cell>
          <cell r="F2865">
            <v>42972.500844907408</v>
          </cell>
          <cell r="H2865" t="str">
            <v>BPB-033-ASA40-1-REEL</v>
          </cell>
          <cell r="J2865">
            <v>0.48</v>
          </cell>
        </row>
        <row r="2866">
          <cell r="C2866" t="str">
            <v>BPB-133-PB004864</v>
          </cell>
          <cell r="F2866">
            <v>42972.500844907408</v>
          </cell>
          <cell r="H2866" t="str">
            <v>BPB-033-CL-40-1</v>
          </cell>
          <cell r="J2866">
            <v>1</v>
          </cell>
        </row>
        <row r="2867">
          <cell r="C2867" t="str">
            <v>BPB-133-PB004865</v>
          </cell>
          <cell r="F2867">
            <v>42972.507627314815</v>
          </cell>
          <cell r="H2867" t="str">
            <v>BPB-033-ASA40-1-REEL</v>
          </cell>
          <cell r="J2867">
            <v>1.85</v>
          </cell>
        </row>
        <row r="2868">
          <cell r="C2868" t="str">
            <v>BPB-133-PB004865</v>
          </cell>
          <cell r="F2868">
            <v>42972.507627314815</v>
          </cell>
          <cell r="H2868" t="str">
            <v>BPB-033-CL-40-1</v>
          </cell>
          <cell r="J2868">
            <v>1</v>
          </cell>
        </row>
        <row r="2869">
          <cell r="C2869" t="str">
            <v>B&amp;P-EMQ-MS03-D-C3</v>
          </cell>
          <cell r="F2869">
            <v>42977.532337962963</v>
          </cell>
          <cell r="H2869" t="str">
            <v>B&amp;P-001-MS03-D</v>
          </cell>
          <cell r="J2869">
            <v>1</v>
          </cell>
        </row>
        <row r="2870">
          <cell r="C2870" t="str">
            <v>B&amp;P-EMQ-MS03-D-C3</v>
          </cell>
          <cell r="F2870">
            <v>42977.532337962963</v>
          </cell>
          <cell r="H2870" t="str">
            <v>B&amp;P-002-MS03-D</v>
          </cell>
          <cell r="J2870">
            <v>1</v>
          </cell>
        </row>
        <row r="2871">
          <cell r="C2871" t="str">
            <v>B&amp;P-EMQ-MS03-D-C3</v>
          </cell>
          <cell r="F2871">
            <v>42977.532337962963</v>
          </cell>
          <cell r="H2871" t="str">
            <v>B&amp;P-005-RET/SET-MS03</v>
          </cell>
          <cell r="J2871">
            <v>1</v>
          </cell>
        </row>
        <row r="2872">
          <cell r="C2872" t="str">
            <v>B&amp;P-EMQ-MS03-D-C3</v>
          </cell>
          <cell r="F2872">
            <v>42977.532337962963</v>
          </cell>
          <cell r="H2872" t="str">
            <v>B&amp;P-003-17/64</v>
          </cell>
          <cell r="J2872">
            <v>8</v>
          </cell>
        </row>
        <row r="2873">
          <cell r="C2873" t="str">
            <v>BPB-048-AG593062</v>
          </cell>
          <cell r="F2873">
            <v>42982.447430555556</v>
          </cell>
          <cell r="H2873" t="str">
            <v>BPB-048-AG3062PD</v>
          </cell>
          <cell r="J2873">
            <v>2</v>
          </cell>
        </row>
        <row r="2874">
          <cell r="C2874" t="str">
            <v>BPB-048-AG593062</v>
          </cell>
          <cell r="F2874">
            <v>42982.447430555556</v>
          </cell>
          <cell r="H2874" t="str">
            <v>BPB-048-DTR3062-FM</v>
          </cell>
          <cell r="J2874">
            <v>1</v>
          </cell>
        </row>
        <row r="2875">
          <cell r="C2875" t="str">
            <v>BPB-048-G-5209-KRRB2</v>
          </cell>
          <cell r="F2875">
            <v>42990.716145833336</v>
          </cell>
          <cell r="H2875" t="str">
            <v>B&amp;P-001-OR-5209-01</v>
          </cell>
          <cell r="J2875">
            <v>1</v>
          </cell>
        </row>
        <row r="2876">
          <cell r="C2876" t="str">
            <v>BPB-048-G-5209-KRRB2</v>
          </cell>
          <cell r="F2876">
            <v>42990.716145833336</v>
          </cell>
          <cell r="H2876" t="str">
            <v>B&amp;P-002-5209KRRB2-02</v>
          </cell>
          <cell r="J2876">
            <v>1</v>
          </cell>
        </row>
        <row r="2877">
          <cell r="C2877" t="str">
            <v>BPB-048-G-5209-KRRB2</v>
          </cell>
          <cell r="F2877">
            <v>42990.716145833336</v>
          </cell>
          <cell r="H2877" t="str">
            <v>B&amp;P-005-CAGE-5209-17</v>
          </cell>
          <cell r="J2877">
            <v>2</v>
          </cell>
        </row>
        <row r="2878">
          <cell r="C2878" t="str">
            <v>BPB-048-G-5209-KRRB2</v>
          </cell>
          <cell r="F2878">
            <v>42990.716145833336</v>
          </cell>
          <cell r="H2878" t="str">
            <v>B&amp;P-004-5209-08</v>
          </cell>
          <cell r="J2878">
            <v>2</v>
          </cell>
        </row>
        <row r="2879">
          <cell r="C2879" t="str">
            <v>BPB-048-G-5209-KRRB2</v>
          </cell>
          <cell r="F2879">
            <v>42990.716145833336</v>
          </cell>
          <cell r="H2879" t="str">
            <v>B&amp;P-003-Ball-7/16</v>
          </cell>
          <cell r="J2879">
            <v>20</v>
          </cell>
        </row>
        <row r="2880">
          <cell r="C2880" t="str">
            <v>BPB-048-G-5209-KRRB2</v>
          </cell>
          <cell r="F2880">
            <v>42990.716145833336</v>
          </cell>
          <cell r="H2880" t="str">
            <v>BPB-000-POLYREX-EM</v>
          </cell>
          <cell r="J2880">
            <v>18</v>
          </cell>
        </row>
        <row r="2881">
          <cell r="C2881" t="str">
            <v>B&amp;P-041-MS04-2RLD-C3</v>
          </cell>
          <cell r="F2881">
            <v>43118.455104166664</v>
          </cell>
          <cell r="H2881" t="str">
            <v>B&amp;P-041-MS04-2RST</v>
          </cell>
          <cell r="J2881">
            <v>1</v>
          </cell>
        </row>
        <row r="2882">
          <cell r="C2882" t="str">
            <v>B&amp;P-041-MS04-2RLD-C3</v>
          </cell>
          <cell r="F2882">
            <v>43118.455104166664</v>
          </cell>
          <cell r="H2882" t="str">
            <v>B&amp;P-004-MS04RLD-BLUE</v>
          </cell>
          <cell r="J2882">
            <v>2</v>
          </cell>
        </row>
        <row r="2883">
          <cell r="C2883" t="str">
            <v>B&amp;P-002-SAB205-16-02</v>
          </cell>
          <cell r="F2883">
            <v>43004.40488425926</v>
          </cell>
          <cell r="H2883" t="str">
            <v>B&amp;P-002-SAB205-25-02</v>
          </cell>
          <cell r="J2883">
            <v>1</v>
          </cell>
        </row>
        <row r="2884">
          <cell r="C2884" t="str">
            <v>B&amp;P-DOB-1WW50</v>
          </cell>
          <cell r="F2884">
            <v>43007.605671296296</v>
          </cell>
          <cell r="H2884" t="str">
            <v>B&amp;P-ALU-DOB50-Housin</v>
          </cell>
          <cell r="J2884">
            <v>1</v>
          </cell>
        </row>
        <row r="2885">
          <cell r="C2885" t="str">
            <v>B&amp;P-DOB-1CW30</v>
          </cell>
          <cell r="F2885">
            <v>43011.407708333332</v>
          </cell>
          <cell r="H2885" t="str">
            <v>B&amp;P-ALU-DOB30-Housin</v>
          </cell>
          <cell r="J2885">
            <v>1</v>
          </cell>
        </row>
        <row r="2886">
          <cell r="C2886" t="str">
            <v>BPB-999-30207-MX</v>
          </cell>
          <cell r="F2886">
            <v>45943.457939814813</v>
          </cell>
          <cell r="H2886" t="str">
            <v>000-053-TCX207</v>
          </cell>
          <cell r="J2886">
            <v>1</v>
          </cell>
        </row>
        <row r="2887">
          <cell r="C2887" t="str">
            <v>BPB-999-30207-MX</v>
          </cell>
          <cell r="F2887">
            <v>45943.457939814813</v>
          </cell>
          <cell r="H2887" t="str">
            <v>000-005-TCX207</v>
          </cell>
          <cell r="J2887">
            <v>1</v>
          </cell>
        </row>
        <row r="2888">
          <cell r="C2888" t="str">
            <v>BPB-999-30207-MX</v>
          </cell>
          <cell r="F2888">
            <v>45943.457939814813</v>
          </cell>
          <cell r="H2888" t="str">
            <v>000-054-TCY207</v>
          </cell>
          <cell r="J2888">
            <v>1</v>
          </cell>
        </row>
        <row r="2889">
          <cell r="C2889" t="str">
            <v>BPB-034-KM-25-D</v>
          </cell>
          <cell r="F2889">
            <v>43020.62605324074</v>
          </cell>
          <cell r="H2889" t="str">
            <v>BPB-034-PR-D-KM-25</v>
          </cell>
          <cell r="J2889">
            <v>1</v>
          </cell>
        </row>
        <row r="2890">
          <cell r="C2890" t="str">
            <v>BPB-034-KM-25-D</v>
          </cell>
          <cell r="F2890">
            <v>43020.62605324074</v>
          </cell>
          <cell r="H2890" t="str">
            <v>BPB-034-GE-45</v>
          </cell>
          <cell r="J2890">
            <v>1</v>
          </cell>
        </row>
        <row r="2891">
          <cell r="C2891" t="str">
            <v>BPB-034-KM-25-D</v>
          </cell>
          <cell r="F2891">
            <v>43020.62605324074</v>
          </cell>
          <cell r="H2891" t="str">
            <v>B&amp;P-004-209-DBL-08</v>
          </cell>
          <cell r="J2891">
            <v>2</v>
          </cell>
        </row>
        <row r="2892">
          <cell r="C2892" t="str">
            <v>BPB-034-KM-25-D</v>
          </cell>
          <cell r="F2892">
            <v>43020.62605324074</v>
          </cell>
          <cell r="H2892" t="str">
            <v>BPB-037-BR-KM-25</v>
          </cell>
          <cell r="J2892">
            <v>2</v>
          </cell>
        </row>
        <row r="2893">
          <cell r="C2893" t="str">
            <v>BPB-034-KM-25-D</v>
          </cell>
          <cell r="F2893">
            <v>43020.62605324074</v>
          </cell>
          <cell r="H2893" t="str">
            <v>BPB-037-BP-KM-25</v>
          </cell>
          <cell r="J2893">
            <v>2</v>
          </cell>
        </row>
        <row r="2894">
          <cell r="C2894" t="str">
            <v>BPB-034-KM-25-D</v>
          </cell>
          <cell r="F2894">
            <v>43020.62605324074</v>
          </cell>
          <cell r="H2894" t="str">
            <v>B&amp;P-037-PRISI-6X1X6</v>
          </cell>
          <cell r="J2894">
            <v>1</v>
          </cell>
        </row>
        <row r="2895">
          <cell r="C2895" t="str">
            <v>BPB-034-KM-25-D</v>
          </cell>
          <cell r="F2895">
            <v>43020.62605324074</v>
          </cell>
          <cell r="H2895" t="str">
            <v>BPB-037-ALEMIT6x1x8</v>
          </cell>
          <cell r="J2895">
            <v>1</v>
          </cell>
        </row>
        <row r="2896">
          <cell r="C2896" t="str">
            <v>BPB-034-KM-25-D</v>
          </cell>
          <cell r="F2896">
            <v>43020.62605324074</v>
          </cell>
          <cell r="H2896" t="str">
            <v>BPB-000-POLYREX-EM</v>
          </cell>
          <cell r="J2896">
            <v>4</v>
          </cell>
        </row>
        <row r="2897">
          <cell r="C2897" t="str">
            <v>BPB-034-KM-25-I</v>
          </cell>
          <cell r="F2897">
            <v>43020.629247685189</v>
          </cell>
          <cell r="H2897" t="str">
            <v>BPB-034-PR-I-KM-25</v>
          </cell>
          <cell r="J2897">
            <v>1</v>
          </cell>
        </row>
        <row r="2898">
          <cell r="C2898" t="str">
            <v>BPB-034-KM-25-I</v>
          </cell>
          <cell r="F2898">
            <v>43020.629247685189</v>
          </cell>
          <cell r="H2898" t="str">
            <v>BPB-034-GE-45</v>
          </cell>
          <cell r="J2898">
            <v>1</v>
          </cell>
        </row>
        <row r="2899">
          <cell r="C2899" t="str">
            <v>BPB-034-KM-25-I</v>
          </cell>
          <cell r="F2899">
            <v>43020.629247685189</v>
          </cell>
          <cell r="H2899" t="str">
            <v>B&amp;P-004-209-DBL-08</v>
          </cell>
          <cell r="J2899">
            <v>2</v>
          </cell>
        </row>
        <row r="2900">
          <cell r="C2900" t="str">
            <v>BPB-034-KM-25-I</v>
          </cell>
          <cell r="F2900">
            <v>43020.629247685189</v>
          </cell>
          <cell r="H2900" t="str">
            <v>BPB-037-BR-KM-25</v>
          </cell>
          <cell r="J2900">
            <v>2</v>
          </cell>
        </row>
        <row r="2901">
          <cell r="C2901" t="str">
            <v>BPB-034-KM-25-I</v>
          </cell>
          <cell r="F2901">
            <v>43020.629247685189</v>
          </cell>
          <cell r="H2901" t="str">
            <v>BPB-037-BP-KM-25</v>
          </cell>
          <cell r="J2901">
            <v>2</v>
          </cell>
        </row>
        <row r="2902">
          <cell r="C2902" t="str">
            <v>BPB-034-KM-25-I</v>
          </cell>
          <cell r="F2902">
            <v>43020.629247685189</v>
          </cell>
          <cell r="H2902" t="str">
            <v>B&amp;P-037-PRISI-6X1X6</v>
          </cell>
          <cell r="J2902">
            <v>1</v>
          </cell>
        </row>
        <row r="2903">
          <cell r="C2903" t="str">
            <v>BPB-034-KM-25-I</v>
          </cell>
          <cell r="F2903">
            <v>43020.629247685189</v>
          </cell>
          <cell r="H2903" t="str">
            <v>BPB-037-ALEMIT6x1x8</v>
          </cell>
          <cell r="J2903">
            <v>1</v>
          </cell>
        </row>
        <row r="2904">
          <cell r="C2904" t="str">
            <v>BPB-034-KM-25-I</v>
          </cell>
          <cell r="F2904">
            <v>43020.629247685189</v>
          </cell>
          <cell r="H2904" t="str">
            <v>BPB-000-POLYREX-EM</v>
          </cell>
          <cell r="J2904">
            <v>4</v>
          </cell>
        </row>
        <row r="2905">
          <cell r="C2905" t="str">
            <v>BPB-047-ECL208-40D-3</v>
          </cell>
          <cell r="F2905">
            <v>45210.630624999998</v>
          </cell>
          <cell r="H2905" t="str">
            <v>B&amp;P-047-ECL-208-40DG</v>
          </cell>
          <cell r="J2905">
            <v>1</v>
          </cell>
        </row>
        <row r="2906">
          <cell r="C2906" t="str">
            <v>BPB-048-AG307516-CHS</v>
          </cell>
          <cell r="F2906">
            <v>45239.402824074074</v>
          </cell>
          <cell r="H2906" t="str">
            <v>BPB-056-ENG307516CHS</v>
          </cell>
          <cell r="J2906">
            <v>1</v>
          </cell>
        </row>
        <row r="2907">
          <cell r="C2907" t="str">
            <v>BPB-048-AG307516-CHS</v>
          </cell>
          <cell r="F2907">
            <v>45239.402824074074</v>
          </cell>
          <cell r="H2907" t="str">
            <v>B&amp;P-048-59190-16</v>
          </cell>
          <cell r="J2907">
            <v>1</v>
          </cell>
        </row>
        <row r="2908">
          <cell r="C2908" t="str">
            <v>BPB-050-29685-620</v>
          </cell>
          <cell r="F2908">
            <v>45258.704201388886</v>
          </cell>
          <cell r="H2908" t="str">
            <v>BPB-054-29620</v>
          </cell>
          <cell r="J2908">
            <v>1</v>
          </cell>
        </row>
        <row r="2909">
          <cell r="C2909" t="str">
            <v>BPB-050-29685-620</v>
          </cell>
          <cell r="F2909">
            <v>45258.704201388886</v>
          </cell>
          <cell r="H2909" t="str">
            <v>BPB-053-29685</v>
          </cell>
          <cell r="J2909">
            <v>1</v>
          </cell>
        </row>
        <row r="2910">
          <cell r="C2910" t="str">
            <v>BPB-047-F-209-A</v>
          </cell>
          <cell r="F2910">
            <v>45400.613715277781</v>
          </cell>
          <cell r="H2910" t="str">
            <v>B&amp;P-047-F-209-A</v>
          </cell>
          <cell r="J2910">
            <v>1</v>
          </cell>
        </row>
        <row r="2911">
          <cell r="C2911" t="str">
            <v>BPB-999-32207-MX</v>
          </cell>
          <cell r="F2911">
            <v>45419.526365740741</v>
          </cell>
          <cell r="H2911" t="str">
            <v>000-053-X-32207</v>
          </cell>
          <cell r="J2911">
            <v>1</v>
          </cell>
        </row>
        <row r="2912">
          <cell r="C2912" t="str">
            <v>BPB-999-32207-MX</v>
          </cell>
          <cell r="F2912">
            <v>45419.526365740741</v>
          </cell>
          <cell r="H2912" t="str">
            <v>000-054-TDY207</v>
          </cell>
          <cell r="J2912">
            <v>1</v>
          </cell>
        </row>
        <row r="2913">
          <cell r="C2913" t="str">
            <v>B&amp;P-059-AG59520-02</v>
          </cell>
          <cell r="F2913">
            <v>45436.65421296296</v>
          </cell>
          <cell r="H2913" t="str">
            <v>BPB-999-SAE4140Ø38.1</v>
          </cell>
          <cell r="J2913">
            <v>0.13300000000000001</v>
          </cell>
        </row>
        <row r="2914">
          <cell r="C2914" t="str">
            <v>B&amp;P-059-AG59520-62</v>
          </cell>
          <cell r="F2914">
            <v>45436.681377314817</v>
          </cell>
          <cell r="H2914" t="str">
            <v>B&amp;P-059-AG59520-01</v>
          </cell>
          <cell r="J2914">
            <v>1</v>
          </cell>
        </row>
        <row r="2915">
          <cell r="C2915" t="str">
            <v>B&amp;P-059-AG59520-62</v>
          </cell>
          <cell r="F2915">
            <v>45436.681377314817</v>
          </cell>
          <cell r="H2915" t="str">
            <v>B&amp;P-059-AG59520-02</v>
          </cell>
          <cell r="J2915">
            <v>1</v>
          </cell>
        </row>
        <row r="2916">
          <cell r="C2916" t="str">
            <v>B&amp;P-059-AG59520-62</v>
          </cell>
          <cell r="F2916">
            <v>45436.681377314817</v>
          </cell>
          <cell r="H2916" t="str">
            <v>B&amp;P-052-AG59520-03</v>
          </cell>
          <cell r="J2916">
            <v>1</v>
          </cell>
        </row>
        <row r="2917">
          <cell r="C2917" t="str">
            <v>B&amp;P-059-AG59520-62</v>
          </cell>
          <cell r="F2917">
            <v>45436.681377314817</v>
          </cell>
          <cell r="H2917" t="str">
            <v>B&amp;P-059-AG590026-05</v>
          </cell>
          <cell r="J2917">
            <v>1</v>
          </cell>
        </row>
        <row r="2918">
          <cell r="C2918" t="str">
            <v>B&amp;P-059-AG59520-62</v>
          </cell>
          <cell r="F2918">
            <v>45436.681377314817</v>
          </cell>
          <cell r="H2918" t="str">
            <v>B&amp;P-004-AG590026-07</v>
          </cell>
          <cell r="J2918">
            <v>1</v>
          </cell>
        </row>
        <row r="2919">
          <cell r="C2919" t="str">
            <v>B&amp;P-059-AG59520-62</v>
          </cell>
          <cell r="F2919">
            <v>45436.681377314817</v>
          </cell>
          <cell r="H2919" t="str">
            <v>BPB-048-DTR3062-FM</v>
          </cell>
          <cell r="J2919">
            <v>1</v>
          </cell>
        </row>
        <row r="2920">
          <cell r="C2920" t="str">
            <v>B&amp;P-059-AG59520-62</v>
          </cell>
          <cell r="F2920">
            <v>45436.681377314817</v>
          </cell>
          <cell r="H2920" t="str">
            <v>B&amp;P-037-AG59520-08</v>
          </cell>
          <cell r="J2920">
            <v>1</v>
          </cell>
        </row>
        <row r="2921">
          <cell r="C2921" t="str">
            <v>B&amp;P-059-AG59520-62</v>
          </cell>
          <cell r="F2921">
            <v>45436.681377314817</v>
          </cell>
          <cell r="H2921" t="str">
            <v>BPB-037-DIN-472-62</v>
          </cell>
          <cell r="J2921">
            <v>1</v>
          </cell>
        </row>
        <row r="2922">
          <cell r="C2922" t="str">
            <v>B&amp;P-059-AG59517-65</v>
          </cell>
          <cell r="F2922">
            <v>45454.654965277776</v>
          </cell>
          <cell r="H2922" t="str">
            <v>B&amp;P-059-AG59517-01</v>
          </cell>
          <cell r="J2922">
            <v>1</v>
          </cell>
        </row>
        <row r="2923">
          <cell r="C2923" t="str">
            <v>B&amp;P-059-AG59517-65</v>
          </cell>
          <cell r="F2923">
            <v>45454.654965277776</v>
          </cell>
          <cell r="H2923" t="str">
            <v>B&amp;P-059-AG59517-02</v>
          </cell>
          <cell r="J2923">
            <v>1</v>
          </cell>
        </row>
        <row r="2924">
          <cell r="C2924" t="str">
            <v>B&amp;P-059-AG59517-65</v>
          </cell>
          <cell r="F2924">
            <v>45454.654965277776</v>
          </cell>
          <cell r="H2924" t="str">
            <v>B&amp;P-052-AG59517-03</v>
          </cell>
          <cell r="J2924">
            <v>1</v>
          </cell>
        </row>
        <row r="2925">
          <cell r="C2925" t="str">
            <v>B&amp;P-059-AG59517-65</v>
          </cell>
          <cell r="F2925">
            <v>45454.654965277776</v>
          </cell>
          <cell r="H2925" t="str">
            <v>B&amp;P-059-AG590026-05</v>
          </cell>
          <cell r="J2925">
            <v>1</v>
          </cell>
        </row>
        <row r="2926">
          <cell r="C2926" t="str">
            <v>B&amp;P-059-AG59517-65</v>
          </cell>
          <cell r="F2926">
            <v>45454.654965277776</v>
          </cell>
          <cell r="H2926" t="str">
            <v>B&amp;P-004-AG590026-07</v>
          </cell>
          <cell r="J2926">
            <v>1</v>
          </cell>
        </row>
        <row r="2927">
          <cell r="C2927" t="str">
            <v>B&amp;P-059-AG59517-65</v>
          </cell>
          <cell r="F2927">
            <v>45454.654965277776</v>
          </cell>
          <cell r="H2927" t="str">
            <v>BPB-048-DTR3565-FM</v>
          </cell>
          <cell r="J2927">
            <v>1</v>
          </cell>
        </row>
        <row r="2928">
          <cell r="C2928" t="str">
            <v>B&amp;P-059-AG59517-65</v>
          </cell>
          <cell r="F2928">
            <v>45454.654965277776</v>
          </cell>
          <cell r="H2928" t="str">
            <v>BPB-037-DIN-472-65</v>
          </cell>
          <cell r="J2928">
            <v>1</v>
          </cell>
        </row>
        <row r="2929">
          <cell r="C2929" t="str">
            <v>B&amp;P-059-AG59517-01</v>
          </cell>
          <cell r="F2929">
            <v>45454.656284722223</v>
          </cell>
          <cell r="H2929" t="str">
            <v>B&amp;P-059-AG59001-A1</v>
          </cell>
          <cell r="J2929">
            <v>1</v>
          </cell>
        </row>
        <row r="2930">
          <cell r="C2930" t="str">
            <v>B&amp;P-059-AG59517-02</v>
          </cell>
          <cell r="F2930">
            <v>45454.657002314816</v>
          </cell>
          <cell r="H2930" t="str">
            <v>BPB-999-SAE4140Ø50.8</v>
          </cell>
          <cell r="J2930">
            <v>0.122</v>
          </cell>
        </row>
        <row r="2931">
          <cell r="C2931" t="str">
            <v>B&amp;P-052-AG59517-03</v>
          </cell>
          <cell r="F2931">
            <v>45454.657453703701</v>
          </cell>
          <cell r="H2931" t="str">
            <v>BPB-999-SAE1045Ø88.9</v>
          </cell>
          <cell r="J2931">
            <v>2.5000000000000001E-2</v>
          </cell>
        </row>
        <row r="2932">
          <cell r="C2932" t="str">
            <v>BPB-133-T060001020</v>
          </cell>
          <cell r="F2932">
            <v>45475.402685185189</v>
          </cell>
          <cell r="H2932" t="str">
            <v>B&amp;P-033-ASA-100-2</v>
          </cell>
          <cell r="J2932">
            <v>6.5</v>
          </cell>
        </row>
        <row r="2933">
          <cell r="C2933" t="str">
            <v>B&amp;P-041-MS07-2RST1</v>
          </cell>
          <cell r="F2933">
            <v>45545.535624999997</v>
          </cell>
          <cell r="H2933" t="str">
            <v>B&amp;P-041-MS07-D-C3</v>
          </cell>
          <cell r="J2933">
            <v>1</v>
          </cell>
        </row>
        <row r="2934">
          <cell r="C2934" t="str">
            <v>B&amp;P-041-MS07-2RST1</v>
          </cell>
          <cell r="F2934">
            <v>45545.535624999997</v>
          </cell>
          <cell r="H2934" t="str">
            <v>B&amp;P-004-MS07-2RST-08</v>
          </cell>
          <cell r="J2934">
            <v>2</v>
          </cell>
        </row>
        <row r="2935">
          <cell r="C2935" t="str">
            <v>B&amp;P-041-MS07-2RST1</v>
          </cell>
          <cell r="F2935">
            <v>45545.535624999997</v>
          </cell>
          <cell r="H2935" t="str">
            <v>BPB-000-POLYREX-EM</v>
          </cell>
          <cell r="J2935">
            <v>11</v>
          </cell>
        </row>
        <row r="2936">
          <cell r="C2936" t="str">
            <v>BPB-133-T060001020</v>
          </cell>
          <cell r="F2936">
            <v>45475.402685185189</v>
          </cell>
          <cell r="H2936" t="str">
            <v>B&amp;P-033-CL-100-2</v>
          </cell>
          <cell r="J2936">
            <v>1</v>
          </cell>
        </row>
        <row r="2937">
          <cell r="C2937" t="str">
            <v>B&amp;P-999-32311-MX</v>
          </cell>
          <cell r="F2937">
            <v>45511.421354166669</v>
          </cell>
          <cell r="H2937" t="str">
            <v>000-053-X-32311</v>
          </cell>
          <cell r="J2937">
            <v>1</v>
          </cell>
        </row>
        <row r="2938">
          <cell r="C2938" t="str">
            <v>B&amp;P-999-32311-MX</v>
          </cell>
          <cell r="F2938">
            <v>45511.421354166669</v>
          </cell>
          <cell r="H2938" t="str">
            <v>000-054-TDY311</v>
          </cell>
          <cell r="J2938">
            <v>1</v>
          </cell>
        </row>
        <row r="2939">
          <cell r="C2939" t="str">
            <v>B&amp;P-041-LS05-2RST</v>
          </cell>
          <cell r="F2939">
            <v>45552.621435185189</v>
          </cell>
          <cell r="H2939" t="str">
            <v>B&amp;P-041-LS05-D</v>
          </cell>
          <cell r="J2939">
            <v>1</v>
          </cell>
        </row>
        <row r="2940">
          <cell r="C2940" t="str">
            <v>B&amp;P-041-LS05-2RST</v>
          </cell>
          <cell r="F2940">
            <v>45552.621435185189</v>
          </cell>
          <cell r="H2940" t="str">
            <v>B&amp;P-004-LS05-2RST-08</v>
          </cell>
          <cell r="J2940">
            <v>2</v>
          </cell>
        </row>
        <row r="2941">
          <cell r="C2941" t="str">
            <v>B&amp;P-041-LS05-2RST</v>
          </cell>
          <cell r="F2941">
            <v>45552.621435185189</v>
          </cell>
          <cell r="H2941" t="str">
            <v>BPB-000-POLYREX-EM</v>
          </cell>
          <cell r="J2941">
            <v>3</v>
          </cell>
        </row>
        <row r="2942">
          <cell r="C2942" t="str">
            <v>B&amp;P-041-TS06-2RS</v>
          </cell>
          <cell r="F2942">
            <v>45559.420868055553</v>
          </cell>
          <cell r="H2942" t="str">
            <v>B&amp;P-001-TS06-D</v>
          </cell>
          <cell r="J2942">
            <v>1</v>
          </cell>
        </row>
        <row r="2943">
          <cell r="C2943" t="str">
            <v>B&amp;P-041-TS06-2RS</v>
          </cell>
          <cell r="F2943">
            <v>45559.420868055553</v>
          </cell>
          <cell r="H2943" t="str">
            <v>B&amp;P-002-TS06-D</v>
          </cell>
          <cell r="J2943">
            <v>1</v>
          </cell>
        </row>
        <row r="2944">
          <cell r="C2944" t="str">
            <v>B&amp;P-041-TS06-2RS</v>
          </cell>
          <cell r="F2944">
            <v>45559.420868055553</v>
          </cell>
          <cell r="H2944" t="str">
            <v>B&amp;P-004-TS06RS-BLUE</v>
          </cell>
          <cell r="J2944">
            <v>2</v>
          </cell>
        </row>
        <row r="2945">
          <cell r="C2945" t="str">
            <v>B&amp;P-041-TS06-2RS</v>
          </cell>
          <cell r="F2945">
            <v>45559.420868055553</v>
          </cell>
          <cell r="H2945" t="str">
            <v>B&amp;P-005-RET/SET-TS06</v>
          </cell>
          <cell r="J2945">
            <v>1</v>
          </cell>
        </row>
        <row r="2946">
          <cell r="C2946" t="str">
            <v>B&amp;P-041-TS06-2RS</v>
          </cell>
          <cell r="F2946">
            <v>45559.420868055553</v>
          </cell>
          <cell r="H2946" t="str">
            <v>B&amp;P-003-Ball-3/16</v>
          </cell>
          <cell r="J2946">
            <v>14</v>
          </cell>
        </row>
        <row r="2947">
          <cell r="C2947" t="str">
            <v>B&amp;P-041-TS04-2RS</v>
          </cell>
          <cell r="F2947">
            <v>45559.421851851854</v>
          </cell>
          <cell r="H2947" t="str">
            <v>B&amp;P-001-TS04-D</v>
          </cell>
          <cell r="J2947">
            <v>1</v>
          </cell>
        </row>
        <row r="2948">
          <cell r="C2948" t="str">
            <v>B&amp;P-041-TS04-2RS</v>
          </cell>
          <cell r="F2948">
            <v>45559.421851851854</v>
          </cell>
          <cell r="H2948" t="str">
            <v>B&amp;P-002-TS04-D</v>
          </cell>
          <cell r="J2948">
            <v>1</v>
          </cell>
        </row>
        <row r="2949">
          <cell r="C2949" t="str">
            <v>B&amp;P-041-TS04-2RS</v>
          </cell>
          <cell r="F2949">
            <v>45559.421851851854</v>
          </cell>
          <cell r="H2949" t="str">
            <v>B&amp;P-004-TS04RS-BLUE</v>
          </cell>
          <cell r="J2949">
            <v>2</v>
          </cell>
        </row>
        <row r="2950">
          <cell r="C2950" t="str">
            <v>B&amp;P-041-TS04-2RS</v>
          </cell>
          <cell r="F2950">
            <v>45559.421851851854</v>
          </cell>
          <cell r="H2950" t="str">
            <v>B&amp;P-005-RET/SET-TS04</v>
          </cell>
          <cell r="J2950">
            <v>1</v>
          </cell>
        </row>
        <row r="2951">
          <cell r="C2951" t="str">
            <v>B&amp;P-041-TS04-2RS</v>
          </cell>
          <cell r="F2951">
            <v>45559.421851851854</v>
          </cell>
          <cell r="H2951" t="str">
            <v>B&amp;P-003-Ball-3/16</v>
          </cell>
          <cell r="J2951">
            <v>14</v>
          </cell>
        </row>
        <row r="2952">
          <cell r="C2952" t="str">
            <v>B&amp;P-041-LS26-2RS</v>
          </cell>
          <cell r="F2952">
            <v>45559.422511574077</v>
          </cell>
          <cell r="H2952" t="str">
            <v>B&amp;P-001-LS26-D</v>
          </cell>
          <cell r="J2952">
            <v>1</v>
          </cell>
        </row>
        <row r="2953">
          <cell r="C2953" t="str">
            <v>B&amp;P-041-LS26-2RS</v>
          </cell>
          <cell r="F2953">
            <v>45559.422511574077</v>
          </cell>
          <cell r="H2953" t="str">
            <v>B&amp;P-002-LS26-D</v>
          </cell>
          <cell r="J2953">
            <v>1</v>
          </cell>
        </row>
        <row r="2954">
          <cell r="C2954" t="str">
            <v>B&amp;P-041-LS26-2RS</v>
          </cell>
          <cell r="F2954">
            <v>45559.422511574077</v>
          </cell>
          <cell r="H2954" t="str">
            <v>B&amp;P-004-LS26RS-BLUE</v>
          </cell>
          <cell r="J2954">
            <v>2</v>
          </cell>
        </row>
        <row r="2955">
          <cell r="C2955" t="str">
            <v>B&amp;P-041-LS26-2RS</v>
          </cell>
          <cell r="F2955">
            <v>45559.422511574077</v>
          </cell>
          <cell r="H2955" t="str">
            <v>B&amp;P-005-RET/SET-LS26</v>
          </cell>
          <cell r="J2955">
            <v>1</v>
          </cell>
        </row>
        <row r="2956">
          <cell r="C2956" t="str">
            <v>B&amp;P-041-LS26-2RS</v>
          </cell>
          <cell r="F2956">
            <v>45559.422511574077</v>
          </cell>
          <cell r="H2956" t="str">
            <v>B&amp;P-003-Ball-13/16</v>
          </cell>
          <cell r="J2956">
            <v>14</v>
          </cell>
        </row>
        <row r="2957">
          <cell r="C2957" t="str">
            <v>B&amp;P-041-LS28-2RS</v>
          </cell>
          <cell r="F2957">
            <v>45559.42324074074</v>
          </cell>
          <cell r="H2957" t="str">
            <v>B&amp;P-001-LS28-D</v>
          </cell>
          <cell r="J2957">
            <v>1</v>
          </cell>
        </row>
        <row r="2958">
          <cell r="C2958" t="str">
            <v>B&amp;P-041-LS28-2RS</v>
          </cell>
          <cell r="F2958">
            <v>45559.42324074074</v>
          </cell>
          <cell r="H2958" t="str">
            <v>B&amp;P-002-LS28-D</v>
          </cell>
          <cell r="J2958">
            <v>1</v>
          </cell>
        </row>
        <row r="2959">
          <cell r="C2959" t="str">
            <v>B&amp;P-041-LS28-2RS</v>
          </cell>
          <cell r="F2959">
            <v>45559.42324074074</v>
          </cell>
          <cell r="H2959" t="str">
            <v>B&amp;P-004-LS28RS-BLUE</v>
          </cell>
          <cell r="J2959">
            <v>2</v>
          </cell>
        </row>
        <row r="2960">
          <cell r="C2960" t="str">
            <v>B&amp;P-041-LS28-2RS</v>
          </cell>
          <cell r="F2960">
            <v>45559.42324074074</v>
          </cell>
          <cell r="H2960" t="str">
            <v>B&amp;P-005-RET/SET-LS28</v>
          </cell>
          <cell r="J2960">
            <v>1</v>
          </cell>
        </row>
        <row r="2961">
          <cell r="C2961" t="str">
            <v>B&amp;P-041-LS28-2RS</v>
          </cell>
          <cell r="F2961">
            <v>45559.42324074074</v>
          </cell>
          <cell r="H2961" t="str">
            <v>B&amp;P-003-Ball-13/16</v>
          </cell>
          <cell r="J2961">
            <v>15</v>
          </cell>
        </row>
        <row r="2962">
          <cell r="C2962" t="str">
            <v>B&amp;P-041-HD09-2RS</v>
          </cell>
          <cell r="F2962">
            <v>45559.424143518518</v>
          </cell>
          <cell r="H2962" t="str">
            <v>B&amp;P-001-HD09-D</v>
          </cell>
          <cell r="J2962">
            <v>1</v>
          </cell>
        </row>
        <row r="2963">
          <cell r="C2963" t="str">
            <v>B&amp;P-041-HD09-2RS</v>
          </cell>
          <cell r="F2963">
            <v>45559.424143518518</v>
          </cell>
          <cell r="H2963" t="str">
            <v>B&amp;P-002-HD09-D</v>
          </cell>
          <cell r="J2963">
            <v>1</v>
          </cell>
        </row>
        <row r="2964">
          <cell r="C2964" t="str">
            <v>B&amp;P-041-HD09-2RS</v>
          </cell>
          <cell r="F2964">
            <v>45559.424143518518</v>
          </cell>
          <cell r="H2964" t="str">
            <v>B&amp;P-004-HD09RS-BLUE</v>
          </cell>
          <cell r="J2964">
            <v>2</v>
          </cell>
        </row>
        <row r="2965">
          <cell r="C2965" t="str">
            <v>B&amp;P-041-HD09-2RS</v>
          </cell>
          <cell r="F2965">
            <v>45559.424143518518</v>
          </cell>
          <cell r="H2965" t="str">
            <v>B&amp;P-005-RET/SET-HD09</v>
          </cell>
          <cell r="J2965">
            <v>1</v>
          </cell>
        </row>
        <row r="2966">
          <cell r="C2966" t="str">
            <v>B&amp;P-041-HD09-2RS</v>
          </cell>
          <cell r="F2966">
            <v>45559.424143518518</v>
          </cell>
          <cell r="H2966" t="str">
            <v>B&amp;P-003-Ball-11/16</v>
          </cell>
          <cell r="J2966">
            <v>8</v>
          </cell>
        </row>
        <row r="2967">
          <cell r="C2967" t="str">
            <v>B&amp;P-041-6802-2RS</v>
          </cell>
          <cell r="F2967">
            <v>45559.425011574072</v>
          </cell>
          <cell r="H2967" t="str">
            <v>B&amp;P-001-6802-D</v>
          </cell>
          <cell r="J2967">
            <v>1</v>
          </cell>
        </row>
        <row r="2968">
          <cell r="C2968" t="str">
            <v>B&amp;P-041-6802-2RS</v>
          </cell>
          <cell r="F2968">
            <v>45559.425011574072</v>
          </cell>
          <cell r="H2968" t="str">
            <v>B&amp;P-002-6802-D</v>
          </cell>
          <cell r="J2968">
            <v>1</v>
          </cell>
        </row>
        <row r="2969">
          <cell r="C2969" t="str">
            <v>B&amp;P-041-6802-2RS</v>
          </cell>
          <cell r="F2969">
            <v>45559.425011574072</v>
          </cell>
          <cell r="H2969" t="str">
            <v>B&amp;P-004-6802RS-BLUE</v>
          </cell>
          <cell r="J2969">
            <v>2</v>
          </cell>
        </row>
        <row r="2970">
          <cell r="C2970" t="str">
            <v>B&amp;P-041-6802-2RS</v>
          </cell>
          <cell r="F2970">
            <v>45559.425011574072</v>
          </cell>
          <cell r="H2970" t="str">
            <v>B&amp;P-005-RET/SET-6802</v>
          </cell>
          <cell r="J2970">
            <v>1</v>
          </cell>
        </row>
        <row r="2971">
          <cell r="C2971" t="str">
            <v>B&amp;P-041-6802-2RS</v>
          </cell>
          <cell r="F2971">
            <v>45559.425011574072</v>
          </cell>
          <cell r="H2971" t="str">
            <v>B&amp;P-003-Ball-3/32</v>
          </cell>
          <cell r="J2971">
            <v>14</v>
          </cell>
        </row>
        <row r="2972">
          <cell r="C2972" t="str">
            <v>B&amp;P-047-ACL205-14RG</v>
          </cell>
          <cell r="F2972">
            <v>45559.430671296293</v>
          </cell>
          <cell r="H2972" t="str">
            <v>B&amp;P-001-OR205-G</v>
          </cell>
          <cell r="J2972">
            <v>1</v>
          </cell>
        </row>
        <row r="2973">
          <cell r="C2973" t="str">
            <v>B&amp;P-047-ACL205-14RG</v>
          </cell>
          <cell r="F2973">
            <v>45559.430671296293</v>
          </cell>
          <cell r="H2973" t="str">
            <v>B&amp;P-002-ACL205-14-02</v>
          </cell>
          <cell r="J2973">
            <v>1</v>
          </cell>
        </row>
        <row r="2974">
          <cell r="C2974" t="str">
            <v>B&amp;P-047-ACL205-14RG</v>
          </cell>
          <cell r="F2974">
            <v>45559.430671296293</v>
          </cell>
          <cell r="H2974" t="str">
            <v>B&amp;P-004-205-RW-08</v>
          </cell>
          <cell r="J2974">
            <v>2</v>
          </cell>
        </row>
        <row r="2975">
          <cell r="C2975" t="str">
            <v>B&amp;P-047-ACL205-14RG</v>
          </cell>
          <cell r="F2975">
            <v>45559.430671296293</v>
          </cell>
          <cell r="H2975" t="str">
            <v>B&amp;P-005-CAGE205-17</v>
          </cell>
          <cell r="J2975">
            <v>1</v>
          </cell>
        </row>
        <row r="2976">
          <cell r="C2976" t="str">
            <v>B&amp;P-047-ACL205-14RG</v>
          </cell>
          <cell r="F2976">
            <v>45559.430671296293</v>
          </cell>
          <cell r="H2976" t="str">
            <v>B&amp;P-003-Ball-5/16</v>
          </cell>
          <cell r="J2976">
            <v>9</v>
          </cell>
        </row>
        <row r="2977">
          <cell r="C2977" t="str">
            <v>B&amp;P-047-ACL205-14RG</v>
          </cell>
          <cell r="F2977">
            <v>45559.430671296293</v>
          </cell>
          <cell r="H2977" t="str">
            <v>B&amp;P-010-LOC205-14</v>
          </cell>
          <cell r="J2977">
            <v>1</v>
          </cell>
        </row>
        <row r="2978">
          <cell r="C2978" t="str">
            <v>B&amp;P-047-SAB207-P</v>
          </cell>
          <cell r="F2978">
            <v>45607.453796296293</v>
          </cell>
          <cell r="H2978" t="str">
            <v>B&amp;P-001-OR207-01</v>
          </cell>
          <cell r="J2978">
            <v>1</v>
          </cell>
        </row>
        <row r="2979">
          <cell r="C2979" t="str">
            <v>B&amp;P-047-SAB207-P</v>
          </cell>
          <cell r="F2979">
            <v>45607.453796296293</v>
          </cell>
          <cell r="H2979" t="str">
            <v>B&amp;P-002-SAB207-P-02</v>
          </cell>
          <cell r="J2979">
            <v>1</v>
          </cell>
        </row>
        <row r="2980">
          <cell r="C2980" t="str">
            <v>B&amp;P-047-SAB207-P</v>
          </cell>
          <cell r="F2980">
            <v>45607.453796296293</v>
          </cell>
          <cell r="H2980" t="str">
            <v>B&amp;P-003-Ball-7/16</v>
          </cell>
          <cell r="J2980">
            <v>9</v>
          </cell>
        </row>
        <row r="2981">
          <cell r="C2981" t="str">
            <v>B&amp;P-047-SAB207-P</v>
          </cell>
          <cell r="F2981">
            <v>45607.453796296293</v>
          </cell>
          <cell r="H2981" t="str">
            <v>B&amp;P-004-207-DBL-08</v>
          </cell>
          <cell r="J2981">
            <v>2</v>
          </cell>
        </row>
        <row r="2982">
          <cell r="C2982" t="str">
            <v>B&amp;P-047-SAB207-P</v>
          </cell>
          <cell r="F2982">
            <v>45607.453796296293</v>
          </cell>
          <cell r="H2982" t="str">
            <v>B&amp;P-005-CAGE207-17</v>
          </cell>
          <cell r="J2982">
            <v>1</v>
          </cell>
        </row>
        <row r="2983">
          <cell r="C2983" t="str">
            <v>B&amp;P-047-SAB207-P</v>
          </cell>
          <cell r="F2983">
            <v>45607.453796296293</v>
          </cell>
          <cell r="H2983" t="str">
            <v>BPB-000-POLYREX-EM</v>
          </cell>
          <cell r="J2983">
            <v>8.6</v>
          </cell>
        </row>
        <row r="2984">
          <cell r="C2984" t="str">
            <v>B&amp;P-048-207-KRRB12</v>
          </cell>
          <cell r="F2984">
            <v>45663.627118055556</v>
          </cell>
          <cell r="H2984" t="str">
            <v>B&amp;P-048-207-KRRB9</v>
          </cell>
          <cell r="J2984">
            <v>1</v>
          </cell>
        </row>
        <row r="2985">
          <cell r="C2985" t="str">
            <v>BPB-999-32007-MX</v>
          </cell>
          <cell r="F2985">
            <v>45741.360763888886</v>
          </cell>
          <cell r="H2985" t="str">
            <v>000-053-X-32007</v>
          </cell>
          <cell r="J2985">
            <v>1</v>
          </cell>
        </row>
        <row r="2986">
          <cell r="C2986" t="str">
            <v>BPB-999-32007-MX</v>
          </cell>
          <cell r="F2986">
            <v>45741.360763888886</v>
          </cell>
          <cell r="H2986" t="str">
            <v>000-054-TDY007</v>
          </cell>
          <cell r="J2986">
            <v>1</v>
          </cell>
        </row>
        <row r="2987">
          <cell r="C2987" t="str">
            <v>B&amp;P-041-MS04-2RLD</v>
          </cell>
          <cell r="F2987">
            <v>45751.359340277777</v>
          </cell>
          <cell r="H2987" t="str">
            <v>B&amp;P-001-MS04-D</v>
          </cell>
          <cell r="J2987">
            <v>1</v>
          </cell>
        </row>
        <row r="2988">
          <cell r="C2988" t="str">
            <v>B&amp;P-041-MS04-2RLD</v>
          </cell>
          <cell r="F2988">
            <v>45751.359340277777</v>
          </cell>
          <cell r="H2988" t="str">
            <v>B&amp;P-002-MS04-D</v>
          </cell>
          <cell r="J2988">
            <v>1</v>
          </cell>
        </row>
        <row r="2989">
          <cell r="C2989" t="str">
            <v>B&amp;P-041-MS04-2RLD</v>
          </cell>
          <cell r="F2989">
            <v>45751.359340277777</v>
          </cell>
          <cell r="H2989" t="str">
            <v>B&amp;P-003-Ball-5/16</v>
          </cell>
          <cell r="J2989">
            <v>8</v>
          </cell>
        </row>
        <row r="2990">
          <cell r="C2990" t="str">
            <v>B&amp;P-041-MS04-2RLD</v>
          </cell>
          <cell r="F2990">
            <v>45751.359340277777</v>
          </cell>
          <cell r="H2990" t="str">
            <v>B&amp;P-005-RET/SET-MS04</v>
          </cell>
          <cell r="J2990">
            <v>1</v>
          </cell>
        </row>
        <row r="2991">
          <cell r="C2991" t="str">
            <v>B&amp;P-041-HD07-2RS</v>
          </cell>
          <cell r="F2991">
            <v>45546.361331018517</v>
          </cell>
          <cell r="H2991" t="str">
            <v>B&amp;P-001-HD07-D</v>
          </cell>
          <cell r="J2991">
            <v>1</v>
          </cell>
        </row>
        <row r="2992">
          <cell r="C2992" t="str">
            <v>B&amp;P-041-HD07-2RS</v>
          </cell>
          <cell r="F2992">
            <v>45546.361331018517</v>
          </cell>
          <cell r="H2992" t="str">
            <v>B&amp;P-002-HD07-D</v>
          </cell>
          <cell r="J2992">
            <v>1</v>
          </cell>
        </row>
        <row r="2993">
          <cell r="C2993" t="str">
            <v>B&amp;P-041-HD07-2RS</v>
          </cell>
          <cell r="F2993">
            <v>45546.361331018517</v>
          </cell>
          <cell r="H2993" t="str">
            <v>B&amp;P-005-RET/SET-HD07</v>
          </cell>
          <cell r="J2993">
            <v>1</v>
          </cell>
        </row>
        <row r="2994">
          <cell r="C2994" t="str">
            <v>B&amp;P-041-HD07-2RS</v>
          </cell>
          <cell r="F2994">
            <v>45546.361331018517</v>
          </cell>
          <cell r="H2994" t="str">
            <v>B&amp;P-003-17/32</v>
          </cell>
          <cell r="J2994">
            <v>8</v>
          </cell>
        </row>
        <row r="2995">
          <cell r="C2995" t="str">
            <v>B&amp;P-041-HD07-2RS</v>
          </cell>
          <cell r="F2995">
            <v>45546.361331018517</v>
          </cell>
          <cell r="H2995" t="str">
            <v>B&amp;P-004-HD07RS-BLUE</v>
          </cell>
          <cell r="J2995">
            <v>2</v>
          </cell>
        </row>
        <row r="2996">
          <cell r="C2996" t="str">
            <v>B&amp;P-041-MS04-2RLD</v>
          </cell>
          <cell r="F2996">
            <v>45751.359340277777</v>
          </cell>
          <cell r="H2996" t="str">
            <v>B&amp;P-004-MS04RLD-BLUE</v>
          </cell>
          <cell r="J2996">
            <v>2</v>
          </cell>
        </row>
        <row r="2997">
          <cell r="C2997" t="str">
            <v>B&amp;P-046-ASLLF205-14R</v>
          </cell>
          <cell r="F2997">
            <v>45789.45484953704</v>
          </cell>
          <cell r="H2997" t="str">
            <v>B&amp;P-047-LF-205</v>
          </cell>
          <cell r="J2997">
            <v>1</v>
          </cell>
        </row>
        <row r="2998">
          <cell r="C2998" t="str">
            <v>B&amp;P-046-ASLLF205-14R</v>
          </cell>
          <cell r="F2998">
            <v>45789.45484953704</v>
          </cell>
          <cell r="H2998" t="str">
            <v>B&amp;P-047-ASL-205-14RG</v>
          </cell>
          <cell r="J2998">
            <v>1</v>
          </cell>
        </row>
        <row r="2999">
          <cell r="C2999" t="str">
            <v>BPB-999-32307-MX</v>
          </cell>
          <cell r="F2999">
            <v>45862.645474537036</v>
          </cell>
          <cell r="H2999" t="str">
            <v>000-053-X-32307</v>
          </cell>
          <cell r="J2999">
            <v>1</v>
          </cell>
        </row>
        <row r="3000">
          <cell r="C3000" t="str">
            <v>BPB-999-32307-MX</v>
          </cell>
          <cell r="F3000">
            <v>45862.645474537036</v>
          </cell>
          <cell r="H3000" t="str">
            <v>000-054-TDY307</v>
          </cell>
          <cell r="J3000">
            <v>1</v>
          </cell>
        </row>
        <row r="3001">
          <cell r="C3001" t="str">
            <v>B&amp;P-041-MS06-D-C3</v>
          </cell>
          <cell r="F3001">
            <v>45866.689074074071</v>
          </cell>
          <cell r="H3001" t="str">
            <v>B&amp;P-001-MS06-D</v>
          </cell>
          <cell r="J3001">
            <v>1</v>
          </cell>
        </row>
        <row r="3002">
          <cell r="C3002" t="str">
            <v>B&amp;P-041-MS06-D-C3</v>
          </cell>
          <cell r="F3002">
            <v>45866.689074074071</v>
          </cell>
          <cell r="H3002" t="str">
            <v>B&amp;P-002-MS06-D</v>
          </cell>
          <cell r="J3002">
            <v>1</v>
          </cell>
        </row>
        <row r="3003">
          <cell r="C3003" t="str">
            <v>B&amp;P-041-MS06-D-C3</v>
          </cell>
          <cell r="F3003">
            <v>45866.689074074071</v>
          </cell>
          <cell r="H3003" t="str">
            <v>B&amp;P-005-RET/SET-MS06</v>
          </cell>
          <cell r="J3003">
            <v>1</v>
          </cell>
        </row>
        <row r="3004">
          <cell r="C3004" t="str">
            <v>B&amp;P-041-MS06-D-C3</v>
          </cell>
          <cell r="F3004">
            <v>45866.689074074071</v>
          </cell>
          <cell r="H3004" t="str">
            <v>B&amp;P-003-Ball-3/8</v>
          </cell>
          <cell r="J3004">
            <v>9</v>
          </cell>
        </row>
        <row r="3005">
          <cell r="C3005" t="str">
            <v>BPB-999-32016-MX</v>
          </cell>
          <cell r="F3005">
            <v>45875.35796296296</v>
          </cell>
          <cell r="H3005" t="str">
            <v>000-053-X-32016</v>
          </cell>
          <cell r="J3005">
            <v>1</v>
          </cell>
        </row>
        <row r="3006">
          <cell r="C3006" t="str">
            <v>BPB-999-32016-MX</v>
          </cell>
          <cell r="F3006">
            <v>45875.35796296296</v>
          </cell>
          <cell r="H3006" t="str">
            <v>000-054-TDY016</v>
          </cell>
          <cell r="J3006">
            <v>1</v>
          </cell>
        </row>
        <row r="3007">
          <cell r="C3007" t="str">
            <v>BPB-999-30307-MX</v>
          </cell>
          <cell r="F3007">
            <v>45875.384444444448</v>
          </cell>
          <cell r="H3007" t="str">
            <v>000-053-X-30307</v>
          </cell>
          <cell r="J3007">
            <v>1</v>
          </cell>
        </row>
        <row r="3008">
          <cell r="C3008" t="str">
            <v>BPB-999-30307-MX</v>
          </cell>
          <cell r="F3008">
            <v>45875.384444444448</v>
          </cell>
          <cell r="H3008" t="str">
            <v>000-054-TCY307</v>
          </cell>
          <cell r="J3008">
            <v>1</v>
          </cell>
        </row>
        <row r="3009">
          <cell r="C3009" t="str">
            <v>BPB-999-32205-MX</v>
          </cell>
          <cell r="F3009">
            <v>45875.391192129631</v>
          </cell>
          <cell r="H3009" t="str">
            <v>000-053-X-32205</v>
          </cell>
          <cell r="J3009">
            <v>1</v>
          </cell>
        </row>
        <row r="3010">
          <cell r="C3010" t="str">
            <v>BPB-999-32205-MX</v>
          </cell>
          <cell r="F3010">
            <v>45875.391192129631</v>
          </cell>
          <cell r="H3010" t="str">
            <v>000-054-TDY205</v>
          </cell>
          <cell r="J3010">
            <v>1</v>
          </cell>
        </row>
        <row r="3011">
          <cell r="C3011" t="str">
            <v>B&amp;P-041-MS08-2RSTX</v>
          </cell>
          <cell r="F3011">
            <v>45888.470856481479</v>
          </cell>
          <cell r="H3011" t="str">
            <v>B&amp;P-041-MS08-D</v>
          </cell>
          <cell r="J3011">
            <v>1</v>
          </cell>
        </row>
        <row r="3012">
          <cell r="C3012" t="str">
            <v>B&amp;P-041-MS08-2RSTX</v>
          </cell>
          <cell r="F3012">
            <v>45888.470856481479</v>
          </cell>
          <cell r="H3012" t="str">
            <v>BPB-000-POLYREX-EM</v>
          </cell>
          <cell r="J3012">
            <v>12</v>
          </cell>
        </row>
        <row r="3013">
          <cell r="C3013" t="str">
            <v>B&amp;P-041-MS08-2RSTX</v>
          </cell>
          <cell r="F3013">
            <v>45888.470856481479</v>
          </cell>
          <cell r="H3013" t="str">
            <v>B&amp;P-004-MS08RSTX</v>
          </cell>
          <cell r="J3013">
            <v>2</v>
          </cell>
        </row>
        <row r="3014">
          <cell r="C3014" t="str">
            <v>B&amp;P-047-SAB209-28DG</v>
          </cell>
          <cell r="F3014">
            <v>45904.372164351851</v>
          </cell>
          <cell r="H3014" t="str">
            <v>B&amp;P-001-OR209-G</v>
          </cell>
          <cell r="J3014">
            <v>1</v>
          </cell>
        </row>
        <row r="3015">
          <cell r="C3015" t="str">
            <v>B&amp;P-047-SAB209-28DG</v>
          </cell>
          <cell r="F3015">
            <v>45904.372164351851</v>
          </cell>
          <cell r="H3015" t="str">
            <v>B&amp;P-002-SAB209-28-02</v>
          </cell>
          <cell r="J3015">
            <v>1</v>
          </cell>
        </row>
        <row r="3016">
          <cell r="C3016" t="str">
            <v>B&amp;P-047-SAB209-28DG</v>
          </cell>
          <cell r="F3016">
            <v>45904.372164351851</v>
          </cell>
          <cell r="H3016" t="str">
            <v>B&amp;P-003-BALL-1/2</v>
          </cell>
          <cell r="J3016">
            <v>9</v>
          </cell>
        </row>
        <row r="3017">
          <cell r="C3017" t="str">
            <v>B&amp;P-047-SAB209-28DG</v>
          </cell>
          <cell r="F3017">
            <v>45904.372164351851</v>
          </cell>
          <cell r="H3017" t="str">
            <v>B&amp;P-004-209-DBL-08</v>
          </cell>
          <cell r="J3017">
            <v>2</v>
          </cell>
        </row>
        <row r="3018">
          <cell r="C3018" t="str">
            <v>B&amp;P-047-SAB209-28DG</v>
          </cell>
          <cell r="F3018">
            <v>45904.372164351851</v>
          </cell>
          <cell r="H3018" t="str">
            <v>B&amp;P-005-CAGE209-17</v>
          </cell>
          <cell r="J3018">
            <v>1</v>
          </cell>
        </row>
        <row r="3019">
          <cell r="C3019" t="str">
            <v>B&amp;P-041-MS01-2RLD</v>
          </cell>
          <cell r="F3019">
            <v>45904.393368055556</v>
          </cell>
          <cell r="H3019" t="str">
            <v>B&amp;P-001-MS01-D</v>
          </cell>
          <cell r="J3019">
            <v>1</v>
          </cell>
        </row>
        <row r="3020">
          <cell r="C3020" t="str">
            <v>B&amp;P-041-MS01-2RLD</v>
          </cell>
          <cell r="F3020">
            <v>45904.393368055556</v>
          </cell>
          <cell r="H3020" t="str">
            <v>B&amp;P-002-MS01-D</v>
          </cell>
          <cell r="J3020">
            <v>1</v>
          </cell>
        </row>
        <row r="3021">
          <cell r="C3021" t="str">
            <v>B&amp;P-041-MS01-2RLD</v>
          </cell>
          <cell r="F3021">
            <v>45904.393368055556</v>
          </cell>
          <cell r="H3021" t="str">
            <v>B&amp;P-003-BALL-15/64</v>
          </cell>
          <cell r="J3021">
            <v>7</v>
          </cell>
        </row>
        <row r="3022">
          <cell r="C3022" t="str">
            <v>B&amp;P-041-MS01-2RLD</v>
          </cell>
          <cell r="F3022">
            <v>45904.393368055556</v>
          </cell>
          <cell r="H3022" t="str">
            <v>B&amp;P-004-MS01RLD-BLUE</v>
          </cell>
          <cell r="J3022">
            <v>2</v>
          </cell>
        </row>
        <row r="3023">
          <cell r="C3023" t="str">
            <v>B&amp;P-041-MS01-2RLD</v>
          </cell>
          <cell r="F3023">
            <v>45904.393368055556</v>
          </cell>
          <cell r="H3023" t="str">
            <v>B&amp;P-005-RET/SET-MS01</v>
          </cell>
          <cell r="J3023">
            <v>1</v>
          </cell>
        </row>
        <row r="3024">
          <cell r="C3024" t="str">
            <v>B&amp;P-041-HD01-2RLD</v>
          </cell>
          <cell r="F3024">
            <v>45904.395682870374</v>
          </cell>
          <cell r="H3024" t="str">
            <v>B&amp;P-001-HD01-D</v>
          </cell>
          <cell r="J3024">
            <v>1</v>
          </cell>
        </row>
        <row r="3025">
          <cell r="C3025" t="str">
            <v>B&amp;P-041-HD01-2RLD</v>
          </cell>
          <cell r="F3025">
            <v>45904.395682870374</v>
          </cell>
          <cell r="H3025" t="str">
            <v>B&amp;P-002-HD01-D</v>
          </cell>
          <cell r="J3025">
            <v>1</v>
          </cell>
        </row>
        <row r="3026">
          <cell r="C3026" t="str">
            <v>B&amp;P-041-HD01-2RLD</v>
          </cell>
          <cell r="F3026">
            <v>45904.395682870374</v>
          </cell>
          <cell r="H3026" t="str">
            <v>B&amp;P-003-Ball-5/16</v>
          </cell>
          <cell r="J3026">
            <v>6</v>
          </cell>
        </row>
        <row r="3027">
          <cell r="C3027" t="str">
            <v>B&amp;P-041-HD01-2RLD</v>
          </cell>
          <cell r="F3027">
            <v>45904.395682870374</v>
          </cell>
          <cell r="H3027" t="str">
            <v>B&amp;P-004-HD01RLD-BLUE</v>
          </cell>
          <cell r="J3027">
            <v>2</v>
          </cell>
        </row>
        <row r="3028">
          <cell r="C3028" t="str">
            <v>B&amp;P-041-HD01-2RLD</v>
          </cell>
          <cell r="F3028">
            <v>45904.395682870374</v>
          </cell>
          <cell r="H3028" t="str">
            <v>B&amp;P-005-RET/SET-HD01</v>
          </cell>
          <cell r="J3028">
            <v>1</v>
          </cell>
        </row>
        <row r="3029">
          <cell r="C3029" t="str">
            <v>B&amp;P-041-MS05-2RLD</v>
          </cell>
          <cell r="F3029">
            <v>45951.494004629632</v>
          </cell>
          <cell r="H3029" t="str">
            <v>B&amp;P-001-MS05-D</v>
          </cell>
          <cell r="J3029">
            <v>1</v>
          </cell>
        </row>
        <row r="3030">
          <cell r="C3030" t="str">
            <v>B&amp;P-041-MS05-2RLD</v>
          </cell>
          <cell r="F3030">
            <v>45951.494004629632</v>
          </cell>
          <cell r="H3030" t="str">
            <v>B&amp;P-002-MS05-D</v>
          </cell>
          <cell r="J3030">
            <v>1</v>
          </cell>
        </row>
        <row r="3031">
          <cell r="C3031" t="str">
            <v>B&amp;P-041-MS05-2RLD</v>
          </cell>
          <cell r="F3031">
            <v>45951.494004629632</v>
          </cell>
          <cell r="H3031" t="str">
            <v>B&amp;P-003-Ball-5/16</v>
          </cell>
          <cell r="J3031">
            <v>9</v>
          </cell>
        </row>
        <row r="3032">
          <cell r="C3032" t="str">
            <v>B&amp;P-041-MS05-2RLD</v>
          </cell>
          <cell r="F3032">
            <v>45951.494004629632</v>
          </cell>
          <cell r="H3032" t="str">
            <v>B&amp;P-005-RET/SET-MS05</v>
          </cell>
          <cell r="J3032">
            <v>1</v>
          </cell>
        </row>
        <row r="3033">
          <cell r="C3033" t="str">
            <v>B&amp;P-041-MS05-2RLD</v>
          </cell>
          <cell r="F3033">
            <v>45951.494004629632</v>
          </cell>
          <cell r="H3033" t="str">
            <v>B&amp;P-004-MS05RLD-BLUE</v>
          </cell>
          <cell r="J3033">
            <v>2</v>
          </cell>
        </row>
        <row r="3034">
          <cell r="C3034" t="str">
            <v>B&amp;P-041-MS00-2RLD</v>
          </cell>
          <cell r="F3034">
            <v>45979.41034722222</v>
          </cell>
          <cell r="H3034" t="str">
            <v>B&amp;P-005-RET/SET-MS00</v>
          </cell>
          <cell r="J3034">
            <v>1</v>
          </cell>
        </row>
        <row r="3035">
          <cell r="C3035" t="str">
            <v>B&amp;P-041-MS00-2RLD</v>
          </cell>
          <cell r="F3035">
            <v>45979.41034722222</v>
          </cell>
          <cell r="H3035" t="str">
            <v>B&amp;P-004-MS00RLD-BLUE</v>
          </cell>
          <cell r="J3035">
            <v>2</v>
          </cell>
        </row>
        <row r="3036">
          <cell r="C3036" t="str">
            <v>B&amp;P-041-MS00-2RLD</v>
          </cell>
          <cell r="F3036">
            <v>45979.41034722222</v>
          </cell>
          <cell r="H3036" t="str">
            <v>B&amp;P-003-BALL-15/64</v>
          </cell>
          <cell r="J3036">
            <v>7</v>
          </cell>
        </row>
        <row r="3037">
          <cell r="C3037" t="str">
            <v>B&amp;P-041-MS02-2RLD</v>
          </cell>
          <cell r="F3037">
            <v>45979.411099537036</v>
          </cell>
          <cell r="H3037" t="str">
            <v>B&amp;P-001-MS02-D</v>
          </cell>
          <cell r="J3037">
            <v>1</v>
          </cell>
        </row>
        <row r="3038">
          <cell r="C3038" t="str">
            <v>B&amp;P-041-MS02-2RLD</v>
          </cell>
          <cell r="F3038">
            <v>45979.411099537036</v>
          </cell>
          <cell r="H3038" t="str">
            <v>B&amp;P-002-MS02-D</v>
          </cell>
          <cell r="J3038">
            <v>1</v>
          </cell>
        </row>
        <row r="3039">
          <cell r="C3039" t="str">
            <v>B&amp;P-041-MS02-2RLD</v>
          </cell>
          <cell r="F3039">
            <v>45979.411099537036</v>
          </cell>
          <cell r="H3039" t="str">
            <v>B&amp;P-005-RET/SET-MS02</v>
          </cell>
          <cell r="J3039">
            <v>1</v>
          </cell>
        </row>
        <row r="3040">
          <cell r="C3040" t="str">
            <v>B&amp;P-041-MS02-2RLD</v>
          </cell>
          <cell r="F3040">
            <v>45979.411099537036</v>
          </cell>
          <cell r="H3040" t="str">
            <v>B&amp;P-004-MS02RLD-BLUE</v>
          </cell>
          <cell r="J3040">
            <v>2</v>
          </cell>
        </row>
        <row r="3041">
          <cell r="C3041" t="str">
            <v>B&amp;P-041-MS02-2RLD</v>
          </cell>
          <cell r="F3041">
            <v>45979.411099537036</v>
          </cell>
          <cell r="H3041" t="str">
            <v>B&amp;P-003-BALL-15/64</v>
          </cell>
          <cell r="J3041">
            <v>8</v>
          </cell>
        </row>
        <row r="3042">
          <cell r="C3042" t="str">
            <v>B&amp;P-041-LS04-2RS</v>
          </cell>
          <cell r="F3042">
            <v>45509.421354166669</v>
          </cell>
          <cell r="H3042" t="str">
            <v>B&amp;P-001-LS04-D</v>
          </cell>
          <cell r="J3042">
            <v>1</v>
          </cell>
        </row>
        <row r="3043">
          <cell r="C3043" t="str">
            <v>B&amp;P-041-LS04-2RS</v>
          </cell>
          <cell r="F3043">
            <v>45509.421354166669</v>
          </cell>
          <cell r="H3043" t="str">
            <v>B&amp;P-002-LS04-D</v>
          </cell>
          <cell r="J3043">
            <v>1</v>
          </cell>
        </row>
        <row r="3044">
          <cell r="C3044" t="str">
            <v>B&amp;P-041-LS04-2RS</v>
          </cell>
          <cell r="F3044">
            <v>45509.421354166669</v>
          </cell>
          <cell r="H3044" t="str">
            <v>B&amp;P-004-LS04RS-BLUE</v>
          </cell>
          <cell r="J3044">
            <v>2</v>
          </cell>
        </row>
        <row r="3045">
          <cell r="C3045" t="str">
            <v>B&amp;P-041-LS04-2RS</v>
          </cell>
          <cell r="F3045">
            <v>45509.421354166669</v>
          </cell>
          <cell r="H3045" t="str">
            <v>B&amp;P-005-RET/SET-LS04</v>
          </cell>
          <cell r="J3045">
            <v>1</v>
          </cell>
        </row>
        <row r="3046">
          <cell r="C3046" t="str">
            <v>B&amp;P-041-LS04-2RS</v>
          </cell>
          <cell r="F3046">
            <v>45509.421354166669</v>
          </cell>
          <cell r="H3046" t="str">
            <v>BPB-003-BALL-1/4</v>
          </cell>
          <cell r="J3046">
            <v>9</v>
          </cell>
        </row>
        <row r="3047">
          <cell r="C3047" t="str">
            <v>B&amp;P-041-LS11-2RS</v>
          </cell>
          <cell r="F3047">
            <v>45509.426782407405</v>
          </cell>
          <cell r="H3047" t="str">
            <v>B&amp;P-001-LS11-D</v>
          </cell>
          <cell r="J3047">
            <v>1</v>
          </cell>
        </row>
        <row r="3048">
          <cell r="C3048" t="str">
            <v>B&amp;P-041-LS11-2RS</v>
          </cell>
          <cell r="F3048">
            <v>45509.426782407405</v>
          </cell>
          <cell r="H3048" t="str">
            <v>B&amp;P-002-LS11-D</v>
          </cell>
          <cell r="J3048">
            <v>1</v>
          </cell>
        </row>
        <row r="3049">
          <cell r="C3049" t="str">
            <v>B&amp;P-041-LS11-2RS</v>
          </cell>
          <cell r="F3049">
            <v>45509.426782407405</v>
          </cell>
          <cell r="H3049" t="str">
            <v>B&amp;P-005-RET/SET-LS11</v>
          </cell>
          <cell r="J3049">
            <v>1</v>
          </cell>
        </row>
        <row r="3050">
          <cell r="C3050" t="str">
            <v>B&amp;P-041-LS11-2RS</v>
          </cell>
          <cell r="F3050">
            <v>45509.426782407405</v>
          </cell>
          <cell r="H3050" t="str">
            <v>B&amp;P-004-LS11RS-BLUE</v>
          </cell>
          <cell r="J3050">
            <v>2</v>
          </cell>
        </row>
        <row r="3051">
          <cell r="C3051" t="str">
            <v>B&amp;P-041-LS11-2RS</v>
          </cell>
          <cell r="F3051">
            <v>45509.426782407405</v>
          </cell>
          <cell r="H3051" t="str">
            <v>BPB-003-BALLS-7/16</v>
          </cell>
          <cell r="J3051">
            <v>12</v>
          </cell>
        </row>
        <row r="3052">
          <cell r="C3052" t="str">
            <v>B&amp;P-041-MS16-2RS</v>
          </cell>
          <cell r="F3052">
            <v>45509.431875000002</v>
          </cell>
          <cell r="H3052" t="str">
            <v>B&amp;P-001-MS16-D</v>
          </cell>
          <cell r="J3052">
            <v>1</v>
          </cell>
        </row>
        <row r="3053">
          <cell r="C3053" t="str">
            <v>B&amp;P-041-MS16-2RS</v>
          </cell>
          <cell r="F3053">
            <v>45509.431875000002</v>
          </cell>
          <cell r="H3053" t="str">
            <v>B&amp;P-002-MS16-D</v>
          </cell>
          <cell r="J3053">
            <v>1</v>
          </cell>
        </row>
        <row r="3054">
          <cell r="C3054" t="str">
            <v>B&amp;P-041-MS16-2RS</v>
          </cell>
          <cell r="F3054">
            <v>45509.431875000002</v>
          </cell>
          <cell r="H3054" t="str">
            <v>B&amp;P-005-RET/SET-MS16</v>
          </cell>
          <cell r="J3054">
            <v>1</v>
          </cell>
        </row>
        <row r="3055">
          <cell r="C3055" t="str">
            <v>B&amp;P-041-MS16-2RS</v>
          </cell>
          <cell r="F3055">
            <v>45509.431875000002</v>
          </cell>
          <cell r="H3055" t="str">
            <v>B&amp;P-004-MS16RS-BLUE</v>
          </cell>
          <cell r="J3055">
            <v>2</v>
          </cell>
        </row>
        <row r="3056">
          <cell r="C3056" t="str">
            <v>B&amp;P-041-MS16-2RS</v>
          </cell>
          <cell r="F3056">
            <v>45509.431875000002</v>
          </cell>
          <cell r="H3056" t="str">
            <v>B&amp;P-003-Ball-23/32</v>
          </cell>
          <cell r="J3056">
            <v>11</v>
          </cell>
        </row>
        <row r="3057">
          <cell r="C3057" t="str">
            <v>B&amp;P-047-ECL-205-14DG</v>
          </cell>
          <cell r="F3057">
            <v>45509.491261574076</v>
          </cell>
          <cell r="H3057" t="str">
            <v>B&amp;P-001-OR205-G</v>
          </cell>
          <cell r="J3057">
            <v>1</v>
          </cell>
        </row>
        <row r="3058">
          <cell r="C3058" t="str">
            <v>B&amp;P-047-ECL-205-14DG</v>
          </cell>
          <cell r="F3058">
            <v>45509.491261574076</v>
          </cell>
          <cell r="H3058" t="str">
            <v>B&amp;P-002-ECL205-14-02</v>
          </cell>
          <cell r="J3058">
            <v>1</v>
          </cell>
        </row>
        <row r="3059">
          <cell r="C3059" t="str">
            <v>B&amp;P-047-ECL-205-14DG</v>
          </cell>
          <cell r="F3059">
            <v>45509.491261574076</v>
          </cell>
          <cell r="H3059" t="str">
            <v>B&amp;P-005-CAGE205-17</v>
          </cell>
          <cell r="J3059">
            <v>1</v>
          </cell>
        </row>
        <row r="3060">
          <cell r="C3060" t="str">
            <v>B&amp;P-047-ECL-205-14DG</v>
          </cell>
          <cell r="F3060">
            <v>45509.491261574076</v>
          </cell>
          <cell r="H3060" t="str">
            <v>B&amp;P-003-Ball-5/16</v>
          </cell>
          <cell r="J3060">
            <v>9</v>
          </cell>
        </row>
        <row r="3061">
          <cell r="C3061" t="str">
            <v>B&amp;P-047-ECL-205-14DG</v>
          </cell>
          <cell r="F3061">
            <v>45509.491261574076</v>
          </cell>
          <cell r="H3061" t="str">
            <v>B&amp;P-004-205-DBL-08</v>
          </cell>
          <cell r="J3061">
            <v>2</v>
          </cell>
        </row>
        <row r="3062">
          <cell r="C3062" t="str">
            <v>B&amp;P-047-ECL-205-14DG</v>
          </cell>
          <cell r="F3062">
            <v>45509.491261574076</v>
          </cell>
          <cell r="H3062" t="str">
            <v>B&amp;P-010-LOC205-14</v>
          </cell>
          <cell r="J3062">
            <v>1</v>
          </cell>
        </row>
        <row r="3063">
          <cell r="C3063" t="str">
            <v>B&amp;P-047-UK-209</v>
          </cell>
          <cell r="F3063">
            <v>45509.496423611112</v>
          </cell>
          <cell r="H3063" t="str">
            <v>B&amp;P-001-OR209-G</v>
          </cell>
          <cell r="J3063">
            <v>1</v>
          </cell>
        </row>
        <row r="3064">
          <cell r="C3064" t="str">
            <v>B&amp;P-047-UK-209</v>
          </cell>
          <cell r="F3064">
            <v>45509.496423611112</v>
          </cell>
          <cell r="H3064" t="str">
            <v>B&amp;P-002-UK209</v>
          </cell>
          <cell r="J3064">
            <v>1</v>
          </cell>
        </row>
        <row r="3065">
          <cell r="C3065" t="str">
            <v>B&amp;P-047-UK-209</v>
          </cell>
          <cell r="F3065">
            <v>45509.496423611112</v>
          </cell>
          <cell r="H3065" t="str">
            <v>B&amp;P-005-CAGE209-17</v>
          </cell>
          <cell r="J3065">
            <v>1</v>
          </cell>
        </row>
        <row r="3066">
          <cell r="C3066" t="str">
            <v>B&amp;P-047-UK-209</v>
          </cell>
          <cell r="F3066">
            <v>45509.496423611112</v>
          </cell>
          <cell r="H3066" t="str">
            <v>B&amp;P-003-BALL-1/2</v>
          </cell>
          <cell r="J3066">
            <v>9</v>
          </cell>
        </row>
        <row r="3067">
          <cell r="C3067" t="str">
            <v>B&amp;P-047-UK-209</v>
          </cell>
          <cell r="F3067">
            <v>45509.496423611112</v>
          </cell>
          <cell r="H3067" t="str">
            <v>B&amp;P-004-209-DBL-08</v>
          </cell>
          <cell r="J3067">
            <v>2</v>
          </cell>
        </row>
        <row r="3068">
          <cell r="C3068" t="str">
            <v>B&amp;P-047-UK-207</v>
          </cell>
          <cell r="F3068">
            <v>45509.497881944444</v>
          </cell>
          <cell r="H3068" t="str">
            <v>B&amp;P-001-OR207-G</v>
          </cell>
          <cell r="J3068">
            <v>1</v>
          </cell>
        </row>
        <row r="3069">
          <cell r="C3069" t="str">
            <v>B&amp;P-047-UK-207</v>
          </cell>
          <cell r="F3069">
            <v>45509.497881944444</v>
          </cell>
          <cell r="H3069" t="str">
            <v>B&amp;P-002-UK207</v>
          </cell>
          <cell r="J3069">
            <v>1</v>
          </cell>
        </row>
        <row r="3070">
          <cell r="C3070" t="str">
            <v>B&amp;P-047-UK-207</v>
          </cell>
          <cell r="F3070">
            <v>45509.497881944444</v>
          </cell>
          <cell r="H3070" t="str">
            <v>B&amp;P-005-CAGE207-17</v>
          </cell>
          <cell r="J3070">
            <v>1</v>
          </cell>
        </row>
        <row r="3071">
          <cell r="C3071" t="str">
            <v>B&amp;P-047-UK-207</v>
          </cell>
          <cell r="F3071">
            <v>45509.497881944444</v>
          </cell>
          <cell r="H3071" t="str">
            <v>B&amp;P-003-Ball-7/16</v>
          </cell>
          <cell r="J3071">
            <v>9</v>
          </cell>
        </row>
        <row r="3072">
          <cell r="C3072" t="str">
            <v>B&amp;P-047-UK-207</v>
          </cell>
          <cell r="F3072">
            <v>45509.497881944444</v>
          </cell>
          <cell r="H3072" t="str">
            <v>B&amp;P-004-207-DBL-08</v>
          </cell>
          <cell r="J3072">
            <v>2</v>
          </cell>
        </row>
        <row r="3073">
          <cell r="C3073" t="str">
            <v>B&amp;P-047-ACL206-30RG</v>
          </cell>
          <cell r="F3073">
            <v>45509.501539351855</v>
          </cell>
          <cell r="H3073" t="str">
            <v>B&amp;P-001-OR206-G18</v>
          </cell>
          <cell r="J3073">
            <v>1</v>
          </cell>
        </row>
        <row r="3074">
          <cell r="C3074" t="str">
            <v>B&amp;P-047-ACL206-30RG</v>
          </cell>
          <cell r="F3074">
            <v>45509.501539351855</v>
          </cell>
          <cell r="H3074" t="str">
            <v>B&amp;P-002-ACL206-30-02</v>
          </cell>
          <cell r="J3074">
            <v>1</v>
          </cell>
        </row>
        <row r="3075">
          <cell r="C3075" t="str">
            <v>B&amp;P-047-ACL206-30RG</v>
          </cell>
          <cell r="F3075">
            <v>45509.501539351855</v>
          </cell>
          <cell r="H3075" t="str">
            <v>B&amp;P-005-CAGE206-17</v>
          </cell>
          <cell r="J3075">
            <v>1</v>
          </cell>
        </row>
        <row r="3076">
          <cell r="C3076" t="str">
            <v>B&amp;P-047-ACL206-30RG</v>
          </cell>
          <cell r="F3076">
            <v>45509.501539351855</v>
          </cell>
          <cell r="H3076" t="str">
            <v>B&amp;P-003-Ball-3/8</v>
          </cell>
          <cell r="J3076">
            <v>9</v>
          </cell>
        </row>
        <row r="3077">
          <cell r="C3077" t="str">
            <v>B&amp;P-047-ACL206-30RG</v>
          </cell>
          <cell r="F3077">
            <v>45509.501539351855</v>
          </cell>
          <cell r="H3077" t="str">
            <v>B&amp;P-004-206-RW-08</v>
          </cell>
          <cell r="J3077">
            <v>2</v>
          </cell>
        </row>
        <row r="3078">
          <cell r="C3078" t="str">
            <v>B&amp;P-047-ACL206-30RG</v>
          </cell>
          <cell r="F3078">
            <v>45509.501539351855</v>
          </cell>
          <cell r="H3078" t="str">
            <v>B&amp;P-010-LOC206-30</v>
          </cell>
          <cell r="J3078">
            <v>1</v>
          </cell>
        </row>
        <row r="3079">
          <cell r="C3079" t="str">
            <v>B&amp;P-048-204-RP7</v>
          </cell>
          <cell r="F3079">
            <v>45509.503553240742</v>
          </cell>
          <cell r="H3079" t="str">
            <v>B&amp;P-001-204-JY3</v>
          </cell>
          <cell r="J3079">
            <v>1</v>
          </cell>
        </row>
        <row r="3080">
          <cell r="C3080" t="str">
            <v>B&amp;P-048-204-RP7</v>
          </cell>
          <cell r="F3080">
            <v>45509.503553240742</v>
          </cell>
          <cell r="H3080" t="str">
            <v>B&amp;P-002-204-RP7-02</v>
          </cell>
          <cell r="J3080">
            <v>1</v>
          </cell>
        </row>
        <row r="3081">
          <cell r="C3081" t="str">
            <v>B&amp;P-048-204-RP7</v>
          </cell>
          <cell r="F3081">
            <v>45509.503553240742</v>
          </cell>
          <cell r="H3081" t="str">
            <v>B&amp;P-005-CAGE204-17</v>
          </cell>
          <cell r="J3081">
            <v>1</v>
          </cell>
        </row>
        <row r="3082">
          <cell r="C3082" t="str">
            <v>B&amp;P-048-204-RP7</v>
          </cell>
          <cell r="F3082">
            <v>45509.503553240742</v>
          </cell>
          <cell r="H3082" t="str">
            <v>B&amp;P-003-Ball-5/16</v>
          </cell>
          <cell r="J3082">
            <v>8</v>
          </cell>
        </row>
        <row r="3083">
          <cell r="C3083" t="str">
            <v>B&amp;P-048-204-RP7</v>
          </cell>
          <cell r="F3083">
            <v>45509.503553240742</v>
          </cell>
          <cell r="H3083" t="str">
            <v>B&amp;P-004-204-RST-08</v>
          </cell>
          <cell r="J3083">
            <v>1</v>
          </cell>
        </row>
        <row r="3084">
          <cell r="C3084" t="str">
            <v>B&amp;P-048-204-RP7</v>
          </cell>
          <cell r="F3084">
            <v>45509.503553240742</v>
          </cell>
          <cell r="H3084" t="str">
            <v>B&amp;P-004-204-TPL-08</v>
          </cell>
          <cell r="J3084">
            <v>1</v>
          </cell>
        </row>
        <row r="3085">
          <cell r="C3085" t="str">
            <v>B&amp;P-047-ACLR205-14R</v>
          </cell>
          <cell r="F3085">
            <v>45509.601678240739</v>
          </cell>
          <cell r="H3085" t="str">
            <v>B&amp;P-001-OR205-R</v>
          </cell>
          <cell r="J3085">
            <v>1</v>
          </cell>
        </row>
        <row r="3086">
          <cell r="C3086" t="str">
            <v>B&amp;P-047-ACLR205-14R</v>
          </cell>
          <cell r="F3086">
            <v>45509.601678240739</v>
          </cell>
          <cell r="H3086" t="str">
            <v>B&amp;P-002-ACL205-14-02</v>
          </cell>
          <cell r="J3086">
            <v>1</v>
          </cell>
        </row>
        <row r="3087">
          <cell r="C3087" t="str">
            <v>B&amp;P-047-ACLR205-14R</v>
          </cell>
          <cell r="F3087">
            <v>45509.601678240739</v>
          </cell>
          <cell r="H3087" t="str">
            <v>B&amp;P-005-CAGE205-17</v>
          </cell>
          <cell r="J3087">
            <v>1</v>
          </cell>
        </row>
        <row r="3088">
          <cell r="C3088" t="str">
            <v>B&amp;P-047-ACLR205-14R</v>
          </cell>
          <cell r="F3088">
            <v>45509.601678240739</v>
          </cell>
          <cell r="H3088" t="str">
            <v>B&amp;P-003-Ball-5/16</v>
          </cell>
          <cell r="J3088">
            <v>9</v>
          </cell>
        </row>
        <row r="3089">
          <cell r="C3089" t="str">
            <v>B&amp;P-047-ACLR205-14R</v>
          </cell>
          <cell r="F3089">
            <v>45509.601678240739</v>
          </cell>
          <cell r="H3089" t="str">
            <v>B&amp;P-004-205-RW-08</v>
          </cell>
          <cell r="J3089">
            <v>2</v>
          </cell>
        </row>
        <row r="3090">
          <cell r="C3090" t="str">
            <v>B&amp;P-047-ACLR205-14R</v>
          </cell>
          <cell r="F3090">
            <v>45509.601678240739</v>
          </cell>
          <cell r="H3090" t="str">
            <v>B&amp;P-010-LOC205-14</v>
          </cell>
          <cell r="J3090">
            <v>1</v>
          </cell>
        </row>
        <row r="3091">
          <cell r="C3091" t="str">
            <v>BPB-999-33013-MX</v>
          </cell>
          <cell r="F3091">
            <v>45834.436990740738</v>
          </cell>
          <cell r="H3091" t="str">
            <v>000-053-X-33013</v>
          </cell>
          <cell r="J3091">
            <v>1</v>
          </cell>
        </row>
        <row r="3092">
          <cell r="C3092" t="str">
            <v>BPB-999-33013-MX</v>
          </cell>
          <cell r="F3092">
            <v>45834.436990740738</v>
          </cell>
          <cell r="H3092" t="str">
            <v>000-054-TTY013</v>
          </cell>
          <cell r="J3092">
            <v>1</v>
          </cell>
        </row>
        <row r="3093">
          <cell r="C3093" t="str">
            <v>B&amp;P-037-BP-24003-02</v>
          </cell>
          <cell r="F3093">
            <v>45908.370555555557</v>
          </cell>
          <cell r="H3093" t="str">
            <v>BPB-999-SAE4140Ø27</v>
          </cell>
          <cell r="J3093">
            <v>0.06</v>
          </cell>
        </row>
        <row r="3094">
          <cell r="C3094" t="str">
            <v>B&amp;P-047-BP-24003</v>
          </cell>
          <cell r="F3094">
            <v>45908.374641203707</v>
          </cell>
          <cell r="H3094" t="str">
            <v>B&amp;P-037-BP-24003-01</v>
          </cell>
          <cell r="J3094">
            <v>1</v>
          </cell>
        </row>
        <row r="3095">
          <cell r="C3095" t="str">
            <v>B&amp;P-047-BP-24003</v>
          </cell>
          <cell r="F3095">
            <v>45908.374641203707</v>
          </cell>
          <cell r="H3095" t="str">
            <v>B&amp;P-037-BP-24003-02</v>
          </cell>
          <cell r="J3095">
            <v>1</v>
          </cell>
        </row>
        <row r="3096">
          <cell r="C3096" t="str">
            <v>B&amp;P-047-BP-24003</v>
          </cell>
          <cell r="F3096">
            <v>45908.374641203707</v>
          </cell>
          <cell r="H3096" t="str">
            <v>B&amp;P-056-ENG458025-CH</v>
          </cell>
          <cell r="J3096">
            <v>1</v>
          </cell>
        </row>
        <row r="3097">
          <cell r="C3097" t="str">
            <v>B&amp;P-047-BP-24003</v>
          </cell>
          <cell r="F3097">
            <v>45908.374641203707</v>
          </cell>
          <cell r="H3097" t="str">
            <v>B&amp;P-041-MS05-2RS</v>
          </cell>
          <cell r="J3097">
            <v>1</v>
          </cell>
        </row>
        <row r="3098">
          <cell r="C3098" t="str">
            <v>B&amp;P-041-MS00-2RLD</v>
          </cell>
          <cell r="F3098">
            <v>45979.41034722222</v>
          </cell>
          <cell r="H3098" t="str">
            <v>B&amp;P-001-MS00-D</v>
          </cell>
          <cell r="J3098">
            <v>1</v>
          </cell>
        </row>
        <row r="3099">
          <cell r="C3099" t="str">
            <v>BPB-055-GU-3075</v>
          </cell>
          <cell r="F3099">
            <v>46003.480138888888</v>
          </cell>
          <cell r="H3099" t="str">
            <v>BPB-055-GU-2565</v>
          </cell>
          <cell r="J3099">
            <v>1</v>
          </cell>
        </row>
        <row r="3100">
          <cell r="C3100" t="str">
            <v>B&amp;P-048-NTBS1613-RST</v>
          </cell>
          <cell r="F3100">
            <v>45485.439780092594</v>
          </cell>
          <cell r="H3100" t="str">
            <v>B&amp;P-001-NTBS-1613-01</v>
          </cell>
          <cell r="J3100">
            <v>1</v>
          </cell>
        </row>
        <row r="3101">
          <cell r="C3101" t="str">
            <v>B&amp;P-048-NTBS1613-RST</v>
          </cell>
          <cell r="F3101">
            <v>45485.439780092594</v>
          </cell>
          <cell r="H3101" t="str">
            <v>B&amp;P-002-NTBS-1613-02</v>
          </cell>
          <cell r="J3101">
            <v>1</v>
          </cell>
        </row>
        <row r="3102">
          <cell r="C3102" t="str">
            <v>B&amp;P-048-NTBS1613-RST</v>
          </cell>
          <cell r="F3102">
            <v>45485.439780092594</v>
          </cell>
          <cell r="H3102" t="str">
            <v>B&amp;P-003-Ball-3/16</v>
          </cell>
          <cell r="J3102">
            <v>18</v>
          </cell>
        </row>
        <row r="3103">
          <cell r="C3103" t="str">
            <v>B&amp;P-048-NTBS1613-RST</v>
          </cell>
          <cell r="F3103">
            <v>45485.439780092594</v>
          </cell>
          <cell r="H3103" t="str">
            <v>B&amp;P-005-CF5202-2RST</v>
          </cell>
          <cell r="J3103">
            <v>2</v>
          </cell>
        </row>
        <row r="3104">
          <cell r="C3104" t="str">
            <v>B&amp;P-048-NTBS1613-RST</v>
          </cell>
          <cell r="F3104">
            <v>45485.439780092594</v>
          </cell>
          <cell r="H3104" t="str">
            <v>B&amp;P-004-CF5202-2RST</v>
          </cell>
          <cell r="J3104">
            <v>2</v>
          </cell>
        </row>
        <row r="3105">
          <cell r="C3105" t="str">
            <v>B&amp;P-048-NTBS1613-RST</v>
          </cell>
          <cell r="F3105">
            <v>45485.439780092594</v>
          </cell>
          <cell r="H3105" t="str">
            <v>B&amp;P-027-NTBS-1613-09</v>
          </cell>
          <cell r="J3105">
            <v>1</v>
          </cell>
        </row>
        <row r="3106">
          <cell r="C3106" t="str">
            <v>B&amp;P-048-NTBS1613-RST</v>
          </cell>
          <cell r="F3106">
            <v>45485.439780092594</v>
          </cell>
          <cell r="H3106" t="str">
            <v>BPB-000-POLYREX-EM</v>
          </cell>
          <cell r="J3106">
            <v>1.6</v>
          </cell>
        </row>
        <row r="3107">
          <cell r="C3107" t="str">
            <v>B&amp;P-001-NTBS-1613-01</v>
          </cell>
          <cell r="F3107">
            <v>45485.451458333337</v>
          </cell>
          <cell r="H3107" t="str">
            <v>BPB-037-SAE52100Ø38</v>
          </cell>
          <cell r="J3107">
            <v>2.3E-2</v>
          </cell>
        </row>
        <row r="3108">
          <cell r="C3108" t="str">
            <v>B&amp;P-002-NTBS-1613-02</v>
          </cell>
          <cell r="F3108">
            <v>45485.452696759261</v>
          </cell>
          <cell r="H3108" t="str">
            <v>BPB-037-52100Ø22.2</v>
          </cell>
          <cell r="J3108">
            <v>5.7000000000000002E-2</v>
          </cell>
        </row>
        <row r="3109">
          <cell r="C3109" t="str">
            <v>B&amp;P-041-MS00-2RLD</v>
          </cell>
          <cell r="F3109">
            <v>45979.41034722222</v>
          </cell>
          <cell r="H3109" t="str">
            <v>B&amp;P-002-MS00-D</v>
          </cell>
          <cell r="J3109">
            <v>1</v>
          </cell>
        </row>
        <row r="3110">
          <cell r="C3110" t="str">
            <v>BPB-999-30311-MX</v>
          </cell>
          <cell r="F3110">
            <v>45505.407650462963</v>
          </cell>
          <cell r="H3110" t="str">
            <v>000-053-X-30311</v>
          </cell>
          <cell r="J3110">
            <v>1</v>
          </cell>
        </row>
        <row r="3111">
          <cell r="C3111" t="str">
            <v>BPB-999-30311-MX</v>
          </cell>
          <cell r="F3111">
            <v>45505.407650462963</v>
          </cell>
          <cell r="H3111" t="str">
            <v>000-054-TCY311</v>
          </cell>
          <cell r="J3111">
            <v>1</v>
          </cell>
        </row>
        <row r="3112">
          <cell r="C3112" t="str">
            <v>B&amp;P-041-LS00-2RLD</v>
          </cell>
          <cell r="F3112">
            <v>45810.425381944442</v>
          </cell>
          <cell r="H3112" t="str">
            <v>B&amp;P-001-LS00-D</v>
          </cell>
          <cell r="J3112">
            <v>1</v>
          </cell>
        </row>
        <row r="3113">
          <cell r="C3113" t="str">
            <v>B&amp;P-041-LS00-2RLD</v>
          </cell>
          <cell r="F3113">
            <v>45810.425381944442</v>
          </cell>
          <cell r="H3113" t="str">
            <v>B&amp;P-002-LS00-D</v>
          </cell>
          <cell r="J3113">
            <v>1</v>
          </cell>
        </row>
        <row r="3114">
          <cell r="C3114" t="str">
            <v>B&amp;P-041-LS00-2RLD</v>
          </cell>
          <cell r="F3114">
            <v>45810.425381944442</v>
          </cell>
          <cell r="H3114" t="str">
            <v>B&amp;P-004-LS00RLD-BLUE</v>
          </cell>
          <cell r="J3114">
            <v>2</v>
          </cell>
        </row>
        <row r="3115">
          <cell r="C3115" t="str">
            <v>B&amp;P-041-LS00-2RLD</v>
          </cell>
          <cell r="F3115">
            <v>45810.425381944442</v>
          </cell>
          <cell r="H3115" t="str">
            <v>B&amp;P-005-RET/SET-LS00</v>
          </cell>
          <cell r="J3115">
            <v>1</v>
          </cell>
        </row>
        <row r="3116">
          <cell r="C3116" t="str">
            <v>B&amp;P-041-LS00-2RLD</v>
          </cell>
          <cell r="F3116">
            <v>45810.425381944442</v>
          </cell>
          <cell r="H3116" t="str">
            <v>B&amp;P-003-Ball-3/16</v>
          </cell>
          <cell r="J3116">
            <v>7</v>
          </cell>
        </row>
        <row r="3117">
          <cell r="C3117" t="str">
            <v>BPB-047-ECL210-31DG</v>
          </cell>
          <cell r="F3117">
            <v>42585.597002314818</v>
          </cell>
          <cell r="H3117" t="str">
            <v>BPB-000-POLYREX-EM</v>
          </cell>
          <cell r="J3117">
            <v>11</v>
          </cell>
        </row>
        <row r="3118">
          <cell r="C3118" t="str">
            <v>BPB-041-6212-2RS</v>
          </cell>
          <cell r="F3118">
            <v>42593.606134259258</v>
          </cell>
          <cell r="H3118" t="str">
            <v>PEE-040-6212</v>
          </cell>
          <cell r="J3118">
            <v>1</v>
          </cell>
        </row>
        <row r="3119">
          <cell r="C3119" t="str">
            <v>BPB-041-6212-2RS</v>
          </cell>
          <cell r="F3119">
            <v>42593.606134259258</v>
          </cell>
          <cell r="H3119" t="str">
            <v>BPB-027-RS-6212</v>
          </cell>
          <cell r="J3119">
            <v>2</v>
          </cell>
        </row>
        <row r="3120">
          <cell r="C3120" t="str">
            <v>BPB-041-6212-2RS</v>
          </cell>
          <cell r="F3120">
            <v>42593.606134259258</v>
          </cell>
          <cell r="H3120" t="str">
            <v>BPB-000-POLYREX-EM</v>
          </cell>
          <cell r="J3120">
            <v>9.6</v>
          </cell>
        </row>
        <row r="3121">
          <cell r="C3121" t="str">
            <v>B&amp;P-EMQ-MS04-2RLD-C3</v>
          </cell>
          <cell r="F3121">
            <v>42752.352361111109</v>
          </cell>
          <cell r="H3121" t="str">
            <v>B&amp;P-EMQ-MS04-D-C3</v>
          </cell>
          <cell r="J3121">
            <v>1</v>
          </cell>
        </row>
        <row r="3122">
          <cell r="C3122" t="str">
            <v>B&amp;P-EMQ-MS04-2RLD-C3</v>
          </cell>
          <cell r="F3122">
            <v>42752.352361111109</v>
          </cell>
          <cell r="H3122" t="str">
            <v>B&amp;P-004-MS04RLD-BLUE</v>
          </cell>
          <cell r="J3122">
            <v>2</v>
          </cell>
        </row>
        <row r="3123">
          <cell r="C3123" t="str">
            <v>B&amp;P-EMQ-MS04-2RLD-C3</v>
          </cell>
          <cell r="F3123">
            <v>42752.352361111109</v>
          </cell>
          <cell r="H3123" t="str">
            <v>BPB-000-POLYREX-EM</v>
          </cell>
          <cell r="J3123">
            <v>1.7</v>
          </cell>
        </row>
        <row r="3124">
          <cell r="C3124" t="str">
            <v>BPB-033-CA555R-QX48M</v>
          </cell>
          <cell r="F3124">
            <v>42758.407152777778</v>
          </cell>
          <cell r="H3124" t="str">
            <v>BPB-033-CA555R-QX48P</v>
          </cell>
          <cell r="J3124">
            <v>1</v>
          </cell>
        </row>
        <row r="3125">
          <cell r="C3125" t="str">
            <v>BPB-048-FDSAB211-55</v>
          </cell>
          <cell r="F3125">
            <v>42774.545659722222</v>
          </cell>
          <cell r="H3125" t="str">
            <v>B&amp;P-047-SAB-211-55DG</v>
          </cell>
          <cell r="J3125">
            <v>1</v>
          </cell>
        </row>
        <row r="3126">
          <cell r="C3126" t="str">
            <v>BPB-048-FDSAB211-55</v>
          </cell>
          <cell r="F3126">
            <v>42774.545659722222</v>
          </cell>
          <cell r="H3126" t="str">
            <v>BPB-999-AL-10</v>
          </cell>
          <cell r="J3126">
            <v>0.12</v>
          </cell>
        </row>
        <row r="3127">
          <cell r="C3127" t="str">
            <v>B&amp;P-002-ECL207-23-02</v>
          </cell>
          <cell r="F3127">
            <v>42789.532962962963</v>
          </cell>
          <cell r="H3127" t="str">
            <v>B&amp;P-002-ECL207-35-02</v>
          </cell>
          <cell r="J3127">
            <v>1</v>
          </cell>
        </row>
        <row r="3128">
          <cell r="C3128" t="str">
            <v>BPB-041-MS00-2RST</v>
          </cell>
          <cell r="F3128">
            <v>42796.372175925928</v>
          </cell>
          <cell r="H3128" t="str">
            <v>BPB-999-MS00-2RST</v>
          </cell>
          <cell r="J3128">
            <v>1</v>
          </cell>
        </row>
        <row r="3129">
          <cell r="C3129" t="str">
            <v>B&amp;P-047-ACL-209-28</v>
          </cell>
          <cell r="F3129">
            <v>45588.643194444441</v>
          </cell>
          <cell r="H3129" t="str">
            <v>B&amp;P-001-OR209-G</v>
          </cell>
          <cell r="J3129">
            <v>1</v>
          </cell>
        </row>
        <row r="3130">
          <cell r="C3130" t="str">
            <v>B&amp;P-047-ACL-209-28</v>
          </cell>
          <cell r="F3130">
            <v>45588.643194444441</v>
          </cell>
          <cell r="H3130" t="str">
            <v>B&amp;P-002-ACL209-28-02</v>
          </cell>
          <cell r="J3130">
            <v>1</v>
          </cell>
        </row>
        <row r="3131">
          <cell r="C3131" t="str">
            <v>B&amp;P-047-ACL-209-28</v>
          </cell>
          <cell r="F3131">
            <v>45588.643194444441</v>
          </cell>
          <cell r="H3131" t="str">
            <v>B&amp;P-005-CAGE209-17</v>
          </cell>
          <cell r="J3131">
            <v>1</v>
          </cell>
        </row>
        <row r="3132">
          <cell r="C3132" t="str">
            <v>B&amp;P-047-ACL-209-28</v>
          </cell>
          <cell r="F3132">
            <v>45588.643194444441</v>
          </cell>
          <cell r="H3132" t="str">
            <v>B&amp;P-003-BALL-1/2</v>
          </cell>
          <cell r="J3132">
            <v>9</v>
          </cell>
        </row>
        <row r="3133">
          <cell r="C3133" t="str">
            <v>B&amp;P-047-ACL-209-28</v>
          </cell>
          <cell r="F3133">
            <v>45588.643194444441</v>
          </cell>
          <cell r="H3133" t="str">
            <v>B&amp;P-004-209-RW-08</v>
          </cell>
          <cell r="J3133">
            <v>2</v>
          </cell>
        </row>
        <row r="3134">
          <cell r="C3134" t="str">
            <v>B&amp;P-047-ACL-209-28</v>
          </cell>
          <cell r="F3134">
            <v>45588.643194444441</v>
          </cell>
          <cell r="H3134" t="str">
            <v>B&amp;P-010-LOC209-28</v>
          </cell>
          <cell r="J3134">
            <v>1</v>
          </cell>
        </row>
        <row r="3135">
          <cell r="C3135" t="str">
            <v>B&amp;P-047-ECL209-28DG</v>
          </cell>
          <cell r="F3135">
            <v>45588.644826388889</v>
          </cell>
          <cell r="H3135" t="str">
            <v>B&amp;P-001-OR209-G</v>
          </cell>
          <cell r="J3135">
            <v>1</v>
          </cell>
        </row>
        <row r="3136">
          <cell r="C3136" t="str">
            <v>B&amp;P-047-ECL209-28DG</v>
          </cell>
          <cell r="F3136">
            <v>45588.644826388889</v>
          </cell>
          <cell r="H3136" t="str">
            <v>B&amp;P-002-ECL209-28-02</v>
          </cell>
          <cell r="J3136">
            <v>1</v>
          </cell>
        </row>
        <row r="3137">
          <cell r="C3137" t="str">
            <v>B&amp;P-047-ECL209-28DG</v>
          </cell>
          <cell r="F3137">
            <v>45588.644826388889</v>
          </cell>
          <cell r="H3137" t="str">
            <v>B&amp;P-005-CAGE209-17</v>
          </cell>
          <cell r="J3137">
            <v>1</v>
          </cell>
        </row>
        <row r="3138">
          <cell r="C3138" t="str">
            <v>B&amp;P-047-ECL209-28DG</v>
          </cell>
          <cell r="F3138">
            <v>45588.644826388889</v>
          </cell>
          <cell r="H3138" t="str">
            <v>B&amp;P-003-BALL-1/2</v>
          </cell>
          <cell r="J3138">
            <v>9</v>
          </cell>
        </row>
        <row r="3139">
          <cell r="C3139" t="str">
            <v>B&amp;P-047-ECL209-28DG</v>
          </cell>
          <cell r="F3139">
            <v>45588.644826388889</v>
          </cell>
          <cell r="H3139" t="str">
            <v>B&amp;P-004-209-DBL-08</v>
          </cell>
          <cell r="J3139">
            <v>2</v>
          </cell>
        </row>
        <row r="3140">
          <cell r="C3140" t="str">
            <v>B&amp;P-047-ECL209-28DG</v>
          </cell>
          <cell r="F3140">
            <v>45588.644826388889</v>
          </cell>
          <cell r="H3140" t="str">
            <v>B&amp;P-010-LOC209-28</v>
          </cell>
          <cell r="J3140">
            <v>1</v>
          </cell>
        </row>
        <row r="3141">
          <cell r="C3141" t="str">
            <v>B&amp;P-047-ASL-207-35MM</v>
          </cell>
          <cell r="F3141">
            <v>45588.655613425923</v>
          </cell>
          <cell r="H3141" t="str">
            <v>B&amp;P-001-OR207-G</v>
          </cell>
          <cell r="J3141">
            <v>1</v>
          </cell>
        </row>
        <row r="3142">
          <cell r="C3142" t="str">
            <v>B&amp;P-047-ASL-207-35MM</v>
          </cell>
          <cell r="F3142">
            <v>45588.655613425923</v>
          </cell>
          <cell r="H3142" t="str">
            <v>B&amp;P-002-ASL207-35-02</v>
          </cell>
          <cell r="J3142">
            <v>1</v>
          </cell>
        </row>
        <row r="3143">
          <cell r="C3143" t="str">
            <v>B&amp;P-047-ASL-207-35MM</v>
          </cell>
          <cell r="F3143">
            <v>45588.655613425923</v>
          </cell>
          <cell r="H3143" t="str">
            <v>B&amp;P-005-CAGE207-17</v>
          </cell>
          <cell r="J3143">
            <v>1</v>
          </cell>
        </row>
        <row r="3144">
          <cell r="C3144" t="str">
            <v>B&amp;P-047-ASL-207-35MM</v>
          </cell>
          <cell r="F3144">
            <v>45588.655613425923</v>
          </cell>
          <cell r="H3144" t="str">
            <v>B&amp;P-003-Ball-7/16</v>
          </cell>
          <cell r="J3144">
            <v>9</v>
          </cell>
        </row>
        <row r="3145">
          <cell r="C3145" t="str">
            <v>B&amp;P-047-ASL-207-35MM</v>
          </cell>
          <cell r="F3145">
            <v>45588.655613425923</v>
          </cell>
          <cell r="H3145" t="str">
            <v>B&amp;P-004-207-RW-08</v>
          </cell>
          <cell r="J3145">
            <v>2</v>
          </cell>
        </row>
        <row r="3146">
          <cell r="C3146" t="str">
            <v>B&amp;P-047-ECL206-18DG</v>
          </cell>
          <cell r="F3146">
            <v>45588.663946759261</v>
          </cell>
          <cell r="H3146" t="str">
            <v>B&amp;P-001-OR206-G18</v>
          </cell>
          <cell r="J3146">
            <v>1</v>
          </cell>
        </row>
        <row r="3147">
          <cell r="C3147" t="str">
            <v>B&amp;P-047-ECL206-18DG</v>
          </cell>
          <cell r="F3147">
            <v>45588.663946759261</v>
          </cell>
          <cell r="H3147" t="str">
            <v>B&amp;P-002-ECL206-18-02</v>
          </cell>
          <cell r="J3147">
            <v>1</v>
          </cell>
        </row>
        <row r="3148">
          <cell r="C3148" t="str">
            <v>B&amp;P-047-ECL206-18DG</v>
          </cell>
          <cell r="F3148">
            <v>45588.663946759261</v>
          </cell>
          <cell r="H3148" t="str">
            <v>B&amp;P-003-Ball-3/8</v>
          </cell>
          <cell r="J3148">
            <v>9</v>
          </cell>
        </row>
        <row r="3149">
          <cell r="C3149" t="str">
            <v>B&amp;P-047-ECL206-18DG</v>
          </cell>
          <cell r="F3149">
            <v>45588.663946759261</v>
          </cell>
          <cell r="H3149" t="str">
            <v>B&amp;P-005-CAGE206-17</v>
          </cell>
          <cell r="J3149">
            <v>1</v>
          </cell>
        </row>
        <row r="3150">
          <cell r="C3150" t="str">
            <v>B&amp;P-047-ECL206-18DG</v>
          </cell>
          <cell r="F3150">
            <v>45588.663946759261</v>
          </cell>
          <cell r="H3150" t="str">
            <v>B&amp;P-004-206-DBL-08</v>
          </cell>
          <cell r="J3150">
            <v>2</v>
          </cell>
        </row>
        <row r="3151">
          <cell r="C3151" t="str">
            <v>B&amp;P-047-ECL206-18DG</v>
          </cell>
          <cell r="F3151">
            <v>45588.663946759261</v>
          </cell>
          <cell r="H3151" t="str">
            <v>B&amp;P-010-LOC206-18</v>
          </cell>
          <cell r="J3151">
            <v>1</v>
          </cell>
        </row>
        <row r="3152">
          <cell r="C3152" t="str">
            <v>B&amp;P-047-ECL305-25DG</v>
          </cell>
          <cell r="F3152">
            <v>45588.670011574075</v>
          </cell>
          <cell r="H3152" t="str">
            <v>B&amp;P-001-OR206-G18</v>
          </cell>
          <cell r="J3152">
            <v>1</v>
          </cell>
        </row>
        <row r="3153">
          <cell r="C3153" t="str">
            <v>B&amp;P-047-ECL305-25DG</v>
          </cell>
          <cell r="F3153">
            <v>45588.670011574075</v>
          </cell>
          <cell r="H3153" t="str">
            <v>B&amp;P-002-ECL305-02</v>
          </cell>
          <cell r="J3153">
            <v>1</v>
          </cell>
        </row>
        <row r="3154">
          <cell r="C3154" t="str">
            <v>B&amp;P-047-ECL305-25DG</v>
          </cell>
          <cell r="F3154">
            <v>45588.670011574075</v>
          </cell>
          <cell r="H3154" t="str">
            <v>B&amp;P-004-206-DBL-08</v>
          </cell>
          <cell r="J3154">
            <v>2</v>
          </cell>
        </row>
        <row r="3155">
          <cell r="C3155" t="str">
            <v>B&amp;P-047-ECL305-25DG</v>
          </cell>
          <cell r="F3155">
            <v>45588.670011574075</v>
          </cell>
          <cell r="H3155" t="str">
            <v>B&amp;P-005-CAGE206-17</v>
          </cell>
          <cell r="J3155">
            <v>1</v>
          </cell>
        </row>
        <row r="3156">
          <cell r="C3156" t="str">
            <v>B&amp;P-047-ECL305-25DG</v>
          </cell>
          <cell r="F3156">
            <v>45588.670011574075</v>
          </cell>
          <cell r="H3156" t="str">
            <v>B&amp;P-003-Ball-3/8</v>
          </cell>
          <cell r="J3156">
            <v>9</v>
          </cell>
        </row>
        <row r="3157">
          <cell r="C3157" t="str">
            <v>B&amp;P-047-ECL305-25DG</v>
          </cell>
          <cell r="F3157">
            <v>45588.670011574075</v>
          </cell>
          <cell r="H3157" t="str">
            <v>B&amp;P-010-LOC206-25</v>
          </cell>
          <cell r="J3157">
            <v>1</v>
          </cell>
        </row>
        <row r="3158">
          <cell r="C3158" t="str">
            <v>B&amp;P-048-UK-208</v>
          </cell>
          <cell r="F3158">
            <v>45588.67087962963</v>
          </cell>
          <cell r="H3158" t="str">
            <v>B&amp;P-001-OR208-G</v>
          </cell>
          <cell r="J3158">
            <v>1</v>
          </cell>
        </row>
        <row r="3159">
          <cell r="C3159" t="str">
            <v>B&amp;P-048-UK-208</v>
          </cell>
          <cell r="F3159">
            <v>45588.67087962963</v>
          </cell>
          <cell r="H3159" t="str">
            <v>B&amp;P-002-UK208</v>
          </cell>
          <cell r="J3159">
            <v>1</v>
          </cell>
        </row>
        <row r="3160">
          <cell r="C3160" t="str">
            <v>B&amp;P-048-UK-208</v>
          </cell>
          <cell r="F3160">
            <v>45588.67087962963</v>
          </cell>
          <cell r="H3160" t="str">
            <v>B&amp;P-004-208-DBL-08</v>
          </cell>
          <cell r="J3160">
            <v>2</v>
          </cell>
        </row>
        <row r="3161">
          <cell r="C3161" t="str">
            <v>B&amp;P-048-UK-208</v>
          </cell>
          <cell r="F3161">
            <v>45588.67087962963</v>
          </cell>
          <cell r="H3161" t="str">
            <v>B&amp;P-005-CAGE208-17</v>
          </cell>
          <cell r="J3161">
            <v>1</v>
          </cell>
        </row>
        <row r="3162">
          <cell r="C3162" t="str">
            <v>B&amp;P-048-UK-208</v>
          </cell>
          <cell r="F3162">
            <v>45588.67087962963</v>
          </cell>
          <cell r="H3162" t="str">
            <v>B&amp;P-003-BALL-1/2</v>
          </cell>
          <cell r="J3162">
            <v>9</v>
          </cell>
        </row>
        <row r="3163">
          <cell r="C3163" t="str">
            <v>B&amp;P-047-ECL308-40DG</v>
          </cell>
          <cell r="F3163">
            <v>45588.690069444441</v>
          </cell>
          <cell r="H3163" t="str">
            <v>B&amp;P-001-OR308-G</v>
          </cell>
          <cell r="J3163">
            <v>1</v>
          </cell>
        </row>
        <row r="3164">
          <cell r="C3164" t="str">
            <v>B&amp;P-047-ECL308-40DG</v>
          </cell>
          <cell r="F3164">
            <v>45588.690069444441</v>
          </cell>
          <cell r="H3164" t="str">
            <v>B&amp;P-002-ECL308-02</v>
          </cell>
          <cell r="J3164">
            <v>1</v>
          </cell>
        </row>
        <row r="3165">
          <cell r="C3165" t="str">
            <v>B&amp;P-047-ECL308-40DG</v>
          </cell>
          <cell r="F3165">
            <v>45588.690069444441</v>
          </cell>
          <cell r="H3165" t="str">
            <v>B&amp;P-004-308-DBL-08</v>
          </cell>
          <cell r="J3165">
            <v>2</v>
          </cell>
        </row>
        <row r="3166">
          <cell r="C3166" t="str">
            <v>B&amp;P-047-ECL308-40DG</v>
          </cell>
          <cell r="F3166">
            <v>45588.690069444441</v>
          </cell>
          <cell r="H3166" t="str">
            <v>B&amp;P-005-CAGE308-17</v>
          </cell>
          <cell r="J3166">
            <v>1</v>
          </cell>
        </row>
        <row r="3167">
          <cell r="C3167" t="str">
            <v>B&amp;P-047-ECL308-40DG</v>
          </cell>
          <cell r="F3167">
            <v>45588.690069444441</v>
          </cell>
          <cell r="H3167" t="str">
            <v>B&amp;P-010-LOC308-40</v>
          </cell>
          <cell r="J3167">
            <v>1</v>
          </cell>
        </row>
        <row r="3168">
          <cell r="C3168" t="str">
            <v>B&amp;P-047-ECL308-40DG</v>
          </cell>
          <cell r="F3168">
            <v>45588.690069444441</v>
          </cell>
          <cell r="H3168" t="str">
            <v>B&amp;P-003-BALL-1/2</v>
          </cell>
          <cell r="J3168">
            <v>9</v>
          </cell>
        </row>
        <row r="3169">
          <cell r="C3169" t="str">
            <v>B&amp;P-041-HD05-2RS</v>
          </cell>
          <cell r="F3169">
            <v>45629.38517361111</v>
          </cell>
          <cell r="H3169" t="str">
            <v>B&amp;P-001-HD05-D</v>
          </cell>
          <cell r="J3169">
            <v>1</v>
          </cell>
        </row>
        <row r="3170">
          <cell r="C3170" t="str">
            <v>B&amp;P-041-HD05-2RS</v>
          </cell>
          <cell r="F3170">
            <v>45629.38517361111</v>
          </cell>
          <cell r="H3170" t="str">
            <v>B&amp;P-002-HD05-D</v>
          </cell>
          <cell r="J3170">
            <v>1</v>
          </cell>
        </row>
        <row r="3171">
          <cell r="C3171" t="str">
            <v>B&amp;P-041-HD05-2RS</v>
          </cell>
          <cell r="F3171">
            <v>45629.38517361111</v>
          </cell>
          <cell r="H3171" t="str">
            <v>B&amp;P-005-RET/SET-HD05</v>
          </cell>
          <cell r="J3171">
            <v>1</v>
          </cell>
        </row>
        <row r="3172">
          <cell r="C3172" t="str">
            <v>B&amp;P-041-HD05-2RS</v>
          </cell>
          <cell r="F3172">
            <v>45629.38517361111</v>
          </cell>
          <cell r="H3172" t="str">
            <v>B&amp;P-004-HD05RS-BLUE</v>
          </cell>
          <cell r="J3172">
            <v>2</v>
          </cell>
        </row>
        <row r="3173">
          <cell r="C3173" t="str">
            <v>B&amp;P-041-HD05-2RS</v>
          </cell>
          <cell r="F3173">
            <v>45629.38517361111</v>
          </cell>
          <cell r="H3173" t="str">
            <v>B&amp;P-003-Ball-29/64</v>
          </cell>
          <cell r="J3173">
            <v>7</v>
          </cell>
        </row>
        <row r="3174">
          <cell r="C3174" t="str">
            <v>B&amp;P-041-HD06-2RS</v>
          </cell>
          <cell r="F3174">
            <v>45629.38690972222</v>
          </cell>
          <cell r="H3174" t="str">
            <v>B&amp;P-001-HD06-D</v>
          </cell>
          <cell r="J3174">
            <v>1</v>
          </cell>
        </row>
        <row r="3175">
          <cell r="C3175" t="str">
            <v>B&amp;P-041-HD06-2RS</v>
          </cell>
          <cell r="F3175">
            <v>45629.38690972222</v>
          </cell>
          <cell r="H3175" t="str">
            <v>B&amp;P-002-HD06-D</v>
          </cell>
          <cell r="J3175">
            <v>1</v>
          </cell>
        </row>
        <row r="3176">
          <cell r="C3176" t="str">
            <v>B&amp;P-041-HD06-2RS</v>
          </cell>
          <cell r="F3176">
            <v>45629.38690972222</v>
          </cell>
          <cell r="H3176" t="str">
            <v>B&amp;P-005-RET/SET-HD06</v>
          </cell>
          <cell r="J3176">
            <v>1</v>
          </cell>
        </row>
        <row r="3177">
          <cell r="C3177" t="str">
            <v>B&amp;P-041-HD06-2RS</v>
          </cell>
          <cell r="F3177">
            <v>45629.38690972222</v>
          </cell>
          <cell r="H3177" t="str">
            <v>B&amp;P-004-HD06RS-BLUE</v>
          </cell>
          <cell r="J3177">
            <v>2</v>
          </cell>
        </row>
        <row r="3178">
          <cell r="C3178" t="str">
            <v>B&amp;P-041-HD06-2RS</v>
          </cell>
          <cell r="F3178">
            <v>45629.38690972222</v>
          </cell>
          <cell r="H3178" t="str">
            <v>B&amp;P-003-BALL-15/32</v>
          </cell>
          <cell r="J3178">
            <v>8</v>
          </cell>
        </row>
        <row r="3179">
          <cell r="C3179" t="str">
            <v>B&amp;P-041-MS10-2RS</v>
          </cell>
          <cell r="F3179">
            <v>45629.407638888886</v>
          </cell>
          <cell r="H3179" t="str">
            <v>B&amp;P-001-MS10-D</v>
          </cell>
          <cell r="J3179">
            <v>1</v>
          </cell>
        </row>
        <row r="3180">
          <cell r="C3180" t="str">
            <v>B&amp;P-041-MS10-2RS</v>
          </cell>
          <cell r="F3180">
            <v>45629.407638888886</v>
          </cell>
          <cell r="H3180" t="str">
            <v>B&amp;P-002-MS10-D</v>
          </cell>
          <cell r="J3180">
            <v>1</v>
          </cell>
        </row>
        <row r="3181">
          <cell r="C3181" t="str">
            <v>B&amp;P-041-MS10-2RS</v>
          </cell>
          <cell r="F3181">
            <v>45629.407638888886</v>
          </cell>
          <cell r="H3181" t="str">
            <v>B&amp;P-005-RET/SET-MS10</v>
          </cell>
          <cell r="J3181">
            <v>1</v>
          </cell>
        </row>
        <row r="3182">
          <cell r="C3182" t="str">
            <v>B&amp;P-041-MS10-2RS</v>
          </cell>
          <cell r="F3182">
            <v>45629.407638888886</v>
          </cell>
          <cell r="H3182" t="str">
            <v>B&amp;P-004-MS10RS-BLUE</v>
          </cell>
          <cell r="J3182">
            <v>2</v>
          </cell>
        </row>
        <row r="3183">
          <cell r="C3183" t="str">
            <v>B&amp;P-041-MS10-2RS</v>
          </cell>
          <cell r="F3183">
            <v>45629.407638888886</v>
          </cell>
          <cell r="H3183" t="str">
            <v>B&amp;P-003-BALL-1/2</v>
          </cell>
          <cell r="J3183">
            <v>10</v>
          </cell>
        </row>
        <row r="3184">
          <cell r="C3184" t="str">
            <v>B&amp;P-047-ECL205-16DG</v>
          </cell>
          <cell r="F3184">
            <v>45629.419687499998</v>
          </cell>
          <cell r="H3184" t="str">
            <v>B&amp;P-001-OR205-G</v>
          </cell>
          <cell r="J3184">
            <v>1</v>
          </cell>
        </row>
        <row r="3185">
          <cell r="C3185" t="str">
            <v>B&amp;P-047-ECL205-16DG</v>
          </cell>
          <cell r="F3185">
            <v>45629.419687499998</v>
          </cell>
          <cell r="H3185" t="str">
            <v>B&amp;P-002-ECL205-16-02</v>
          </cell>
          <cell r="J3185">
            <v>1</v>
          </cell>
        </row>
        <row r="3186">
          <cell r="C3186" t="str">
            <v>B&amp;P-047-ECL205-16DG</v>
          </cell>
          <cell r="F3186">
            <v>45629.419687499998</v>
          </cell>
          <cell r="H3186" t="str">
            <v>B&amp;P-005-CAGE205-17</v>
          </cell>
          <cell r="J3186">
            <v>1</v>
          </cell>
        </row>
        <row r="3187">
          <cell r="C3187" t="str">
            <v>B&amp;P-047-ECL205-16DG</v>
          </cell>
          <cell r="F3187">
            <v>45629.419687499998</v>
          </cell>
          <cell r="H3187" t="str">
            <v>B&amp;P-003-Ball-5/16</v>
          </cell>
          <cell r="J3187">
            <v>9</v>
          </cell>
        </row>
        <row r="3188">
          <cell r="C3188" t="str">
            <v>B&amp;P-047-ECL205-16DG</v>
          </cell>
          <cell r="F3188">
            <v>45629.419687499998</v>
          </cell>
          <cell r="H3188" t="str">
            <v>B&amp;P-004-205-DBL-08</v>
          </cell>
          <cell r="J3188">
            <v>2</v>
          </cell>
        </row>
        <row r="3189">
          <cell r="C3189" t="str">
            <v>B&amp;P-047-ECL205-16DG</v>
          </cell>
          <cell r="F3189">
            <v>45629.419687499998</v>
          </cell>
          <cell r="H3189" t="str">
            <v>B&amp;P-010-LOC205-16</v>
          </cell>
          <cell r="J3189">
            <v>1</v>
          </cell>
        </row>
        <row r="3190">
          <cell r="C3190" t="str">
            <v>B&amp;P-047-ACL205-16RG</v>
          </cell>
          <cell r="F3190">
            <v>45848.428796296299</v>
          </cell>
          <cell r="H3190" t="str">
            <v>B&amp;P-001-OR205-G</v>
          </cell>
          <cell r="J3190">
            <v>1</v>
          </cell>
        </row>
        <row r="3191">
          <cell r="C3191" t="str">
            <v>B&amp;P-047-ACL205-16RG</v>
          </cell>
          <cell r="F3191">
            <v>45848.428796296299</v>
          </cell>
          <cell r="H3191" t="str">
            <v>B&amp;P-002-ACL205-16-02</v>
          </cell>
          <cell r="J3191">
            <v>1</v>
          </cell>
        </row>
        <row r="3192">
          <cell r="C3192" t="str">
            <v>B&amp;P-047-ACL205-16RG</v>
          </cell>
          <cell r="F3192">
            <v>45848.428796296299</v>
          </cell>
          <cell r="H3192" t="str">
            <v>B&amp;P-005-CAGE205-17</v>
          </cell>
          <cell r="J3192">
            <v>1</v>
          </cell>
        </row>
        <row r="3193">
          <cell r="C3193" t="str">
            <v>B&amp;P-047-ACL205-16RG</v>
          </cell>
          <cell r="F3193">
            <v>45848.428796296299</v>
          </cell>
          <cell r="H3193" t="str">
            <v>B&amp;P-003-Ball-5/16</v>
          </cell>
          <cell r="J3193">
            <v>9</v>
          </cell>
        </row>
        <row r="3194">
          <cell r="C3194" t="str">
            <v>B&amp;P-047-ACL205-16RG</v>
          </cell>
          <cell r="F3194">
            <v>45848.428796296299</v>
          </cell>
          <cell r="H3194" t="str">
            <v>B&amp;P-004-205-RW-08</v>
          </cell>
          <cell r="J3194">
            <v>2</v>
          </cell>
        </row>
        <row r="3195">
          <cell r="C3195" t="str">
            <v>B&amp;P-047-ACL205-16RG</v>
          </cell>
          <cell r="F3195">
            <v>45848.428796296299</v>
          </cell>
          <cell r="H3195" t="str">
            <v>B&amp;P-010-LOC205-16</v>
          </cell>
          <cell r="J3195">
            <v>1</v>
          </cell>
        </row>
        <row r="3196">
          <cell r="C3196" t="str">
            <v>B&amp;P-041-MS07-2RLD</v>
          </cell>
          <cell r="F3196">
            <v>45848.453275462962</v>
          </cell>
          <cell r="H3196" t="str">
            <v>BPB-001-6207-D</v>
          </cell>
          <cell r="J3196">
            <v>1</v>
          </cell>
        </row>
        <row r="3197">
          <cell r="C3197" t="str">
            <v>B&amp;P-041-MS07-2RLD</v>
          </cell>
          <cell r="F3197">
            <v>45848.453275462962</v>
          </cell>
          <cell r="H3197" t="str">
            <v>B&amp;P-002-MS07-D</v>
          </cell>
          <cell r="J3197">
            <v>1</v>
          </cell>
        </row>
        <row r="3198">
          <cell r="C3198" t="str">
            <v>B&amp;P-041-MS07-2RLD</v>
          </cell>
          <cell r="F3198">
            <v>45848.453275462962</v>
          </cell>
          <cell r="H3198" t="str">
            <v>BPB-005-RET/SET-MS07</v>
          </cell>
          <cell r="J3198">
            <v>1</v>
          </cell>
        </row>
        <row r="3199">
          <cell r="C3199" t="str">
            <v>B&amp;P-041-MS07-2RLD</v>
          </cell>
          <cell r="F3199">
            <v>45848.453275462962</v>
          </cell>
          <cell r="H3199" t="str">
            <v>BPB-003-BALLS-7/16</v>
          </cell>
          <cell r="J3199">
            <v>9</v>
          </cell>
        </row>
        <row r="3200">
          <cell r="C3200" t="str">
            <v>B&amp;P-041-MS07-2RLD</v>
          </cell>
          <cell r="F3200">
            <v>45848.453275462962</v>
          </cell>
          <cell r="H3200" t="str">
            <v>B&amp;P-004-MS07RLD-BLUE</v>
          </cell>
          <cell r="J3200">
            <v>2</v>
          </cell>
        </row>
        <row r="3201">
          <cell r="C3201" t="str">
            <v>B&amp;P-041-MS06-2RLD</v>
          </cell>
          <cell r="F3201">
            <v>45880.438368055555</v>
          </cell>
          <cell r="H3201" t="str">
            <v>B&amp;P-001-MS06-D</v>
          </cell>
          <cell r="J3201">
            <v>1</v>
          </cell>
        </row>
        <row r="3202">
          <cell r="C3202" t="str">
            <v>B&amp;P-041-MS06-2RLD</v>
          </cell>
          <cell r="F3202">
            <v>45880.438368055555</v>
          </cell>
          <cell r="H3202" t="str">
            <v>B&amp;P-002-MS06-D</v>
          </cell>
          <cell r="J3202">
            <v>1</v>
          </cell>
        </row>
        <row r="3203">
          <cell r="C3203" t="str">
            <v>B&amp;P-041-MS06-2RLD</v>
          </cell>
          <cell r="F3203">
            <v>45880.438368055555</v>
          </cell>
          <cell r="H3203" t="str">
            <v>B&amp;P-003-Ball-3/8</v>
          </cell>
          <cell r="J3203">
            <v>9</v>
          </cell>
        </row>
        <row r="3204">
          <cell r="C3204" t="str">
            <v>B&amp;P-041-MS06-2RLD</v>
          </cell>
          <cell r="F3204">
            <v>45880.438368055555</v>
          </cell>
          <cell r="H3204" t="str">
            <v>B&amp;P-004-MS06RLD-BLUE</v>
          </cell>
          <cell r="J3204">
            <v>2</v>
          </cell>
        </row>
        <row r="3205">
          <cell r="C3205" t="str">
            <v>B&amp;P-041-MS06-2RLD</v>
          </cell>
          <cell r="F3205">
            <v>45880.438368055555</v>
          </cell>
          <cell r="H3205" t="str">
            <v>B&amp;P-005-RET/SET-MS06</v>
          </cell>
          <cell r="J3205">
            <v>1</v>
          </cell>
        </row>
        <row r="3206">
          <cell r="C3206" t="str">
            <v>BPB-047-PE-210</v>
          </cell>
          <cell r="F3206">
            <v>45880.645601851851</v>
          </cell>
          <cell r="H3206" t="str">
            <v>B&amp;P-047-PE-210-HAR</v>
          </cell>
          <cell r="J3206">
            <v>1</v>
          </cell>
        </row>
        <row r="3207">
          <cell r="C3207" t="str">
            <v>BPB-048-DTR2552-RG</v>
          </cell>
          <cell r="F3207">
            <v>45988.428437499999</v>
          </cell>
          <cell r="H3207" t="str">
            <v>BPB-048-DTR2552-FM</v>
          </cell>
          <cell r="J3207">
            <v>1</v>
          </cell>
        </row>
        <row r="3208">
          <cell r="C3208" t="str">
            <v>BPB-048-DTR2552-RG</v>
          </cell>
          <cell r="F3208">
            <v>45988.428437499999</v>
          </cell>
          <cell r="H3208" t="str">
            <v>B&amp;P-027-08-DTR2549</v>
          </cell>
          <cell r="J3208">
            <v>2</v>
          </cell>
        </row>
        <row r="3209">
          <cell r="C3209" t="str">
            <v>BPB-048-DTR2552-RG</v>
          </cell>
          <cell r="F3209">
            <v>45988.428437499999</v>
          </cell>
          <cell r="H3209" t="str">
            <v>BPB-000-POLYREX-EM</v>
          </cell>
          <cell r="J3209">
            <v>6</v>
          </cell>
        </row>
        <row r="3210">
          <cell r="C3210" t="str">
            <v>B&amp;P-059-S41211-B1</v>
          </cell>
          <cell r="F3210">
            <v>45896.715578703705</v>
          </cell>
          <cell r="H3210" t="str">
            <v>B&amp;P-059-S41211-A1</v>
          </cell>
          <cell r="J3210">
            <v>1</v>
          </cell>
        </row>
        <row r="3211">
          <cell r="C3211" t="str">
            <v>B&amp;P-047-ACLR208-24RR</v>
          </cell>
          <cell r="F3211">
            <v>45953.686678240738</v>
          </cell>
          <cell r="H3211" t="str">
            <v>B&amp;P-001-ACLR208-4001</v>
          </cell>
          <cell r="J3211">
            <v>1</v>
          </cell>
        </row>
        <row r="3212">
          <cell r="C3212" t="str">
            <v>B&amp;P-047-ACLR208-24RR</v>
          </cell>
          <cell r="F3212">
            <v>45953.686678240738</v>
          </cell>
          <cell r="H3212" t="str">
            <v>B&amp;P-002-ACLR208-2402</v>
          </cell>
          <cell r="J3212">
            <v>1</v>
          </cell>
        </row>
        <row r="3213">
          <cell r="C3213" t="str">
            <v>B&amp;P-047-ACLR208-24RR</v>
          </cell>
          <cell r="F3213">
            <v>45953.686678240738</v>
          </cell>
          <cell r="H3213" t="str">
            <v>B&amp;P-005-CAGE208-17</v>
          </cell>
          <cell r="J3213">
            <v>1</v>
          </cell>
        </row>
        <row r="3214">
          <cell r="C3214" t="str">
            <v>B&amp;P-047-ACLR208-24RR</v>
          </cell>
          <cell r="F3214">
            <v>45953.686678240738</v>
          </cell>
          <cell r="H3214" t="str">
            <v>B&amp;P-003-BALL-1/2</v>
          </cell>
          <cell r="J3214">
            <v>9</v>
          </cell>
        </row>
        <row r="3215">
          <cell r="C3215" t="str">
            <v>B&amp;P-047-ACLR208-24RR</v>
          </cell>
          <cell r="F3215">
            <v>45953.686678240738</v>
          </cell>
          <cell r="H3215" t="str">
            <v>B&amp;P-004-208-RST-08</v>
          </cell>
          <cell r="J3215">
            <v>2</v>
          </cell>
        </row>
        <row r="3216">
          <cell r="C3216" t="str">
            <v>B&amp;P-047-ACLR208-24RR</v>
          </cell>
          <cell r="F3216">
            <v>45953.686678240738</v>
          </cell>
          <cell r="H3216" t="str">
            <v>B&amp;P-010-LOC208-24</v>
          </cell>
          <cell r="J3216">
            <v>1</v>
          </cell>
        </row>
        <row r="3217">
          <cell r="C3217" t="str">
            <v>B&amp;P-047-ACL206-18RG</v>
          </cell>
          <cell r="F3217">
            <v>45953.690578703703</v>
          </cell>
          <cell r="H3217" t="str">
            <v>B&amp;P-001-OR206-G18</v>
          </cell>
          <cell r="J3217">
            <v>1</v>
          </cell>
        </row>
        <row r="3218">
          <cell r="C3218" t="str">
            <v>B&amp;P-047-ACL206-18RG</v>
          </cell>
          <cell r="F3218">
            <v>45953.690578703703</v>
          </cell>
          <cell r="H3218" t="str">
            <v>B&amp;P-002-ACL206-18-02</v>
          </cell>
          <cell r="J3218">
            <v>1</v>
          </cell>
        </row>
        <row r="3219">
          <cell r="C3219" t="str">
            <v>B&amp;P-047-ACL206-18RG</v>
          </cell>
          <cell r="F3219">
            <v>45953.690578703703</v>
          </cell>
          <cell r="H3219" t="str">
            <v>B&amp;P-004-206-RW-08</v>
          </cell>
          <cell r="J3219">
            <v>2</v>
          </cell>
        </row>
        <row r="3220">
          <cell r="C3220" t="str">
            <v>B&amp;P-047-ACL206-18RG</v>
          </cell>
          <cell r="F3220">
            <v>45953.690578703703</v>
          </cell>
          <cell r="H3220" t="str">
            <v>B&amp;P-005-CAGE206-17</v>
          </cell>
          <cell r="J3220">
            <v>1</v>
          </cell>
        </row>
        <row r="3221">
          <cell r="C3221" t="str">
            <v>B&amp;P-047-ACL206-18RG</v>
          </cell>
          <cell r="F3221">
            <v>45953.690578703703</v>
          </cell>
          <cell r="H3221" t="str">
            <v>B&amp;P-010-LOC206-18</v>
          </cell>
          <cell r="J3221">
            <v>1</v>
          </cell>
        </row>
        <row r="3222">
          <cell r="C3222" t="str">
            <v>B&amp;P-047-ACL206-18RG</v>
          </cell>
          <cell r="F3222">
            <v>45953.690578703703</v>
          </cell>
          <cell r="H3222" t="str">
            <v>B&amp;P-003-Ball-3/8</v>
          </cell>
          <cell r="J3222">
            <v>9</v>
          </cell>
        </row>
        <row r="3223">
          <cell r="C3223" t="str">
            <v>B&amp;P-041-MS03-2RLD</v>
          </cell>
          <cell r="F3223">
            <v>45979.412094907406</v>
          </cell>
          <cell r="H3223" t="str">
            <v>B&amp;P-001-MS03-D</v>
          </cell>
          <cell r="J3223">
            <v>1</v>
          </cell>
        </row>
        <row r="3224">
          <cell r="C3224" t="str">
            <v>B&amp;P-041-MS03-2RLD</v>
          </cell>
          <cell r="F3224">
            <v>45979.412094907406</v>
          </cell>
          <cell r="H3224" t="str">
            <v>B&amp;P-002-MS03-D</v>
          </cell>
          <cell r="J3224">
            <v>1</v>
          </cell>
        </row>
        <row r="3225">
          <cell r="C3225" t="str">
            <v>B&amp;P-041-MS03-2RLD</v>
          </cell>
          <cell r="F3225">
            <v>45979.412094907406</v>
          </cell>
          <cell r="H3225" t="str">
            <v>B&amp;P-005-RET/SET-MS03</v>
          </cell>
          <cell r="J3225">
            <v>1</v>
          </cell>
        </row>
        <row r="3226">
          <cell r="C3226" t="str">
            <v>B&amp;P-041-MS03-2RLD</v>
          </cell>
          <cell r="F3226">
            <v>45979.412094907406</v>
          </cell>
          <cell r="H3226" t="str">
            <v>B&amp;P-004-MS03RLD-BLUE</v>
          </cell>
          <cell r="J3226">
            <v>2</v>
          </cell>
        </row>
        <row r="3227">
          <cell r="C3227" t="str">
            <v>B&amp;P-041-MS03-2RLD</v>
          </cell>
          <cell r="F3227">
            <v>45979.412094907406</v>
          </cell>
          <cell r="H3227" t="str">
            <v>B&amp;P-003-BALL-17/64</v>
          </cell>
          <cell r="J3227">
            <v>8</v>
          </cell>
        </row>
        <row r="3228">
          <cell r="C3228" t="str">
            <v>B&amp;P-041-LS01-2RLD</v>
          </cell>
          <cell r="F3228">
            <v>45979.423252314817</v>
          </cell>
          <cell r="H3228" t="str">
            <v>B&amp;P-001-LS01-D</v>
          </cell>
          <cell r="J3228">
            <v>1</v>
          </cell>
        </row>
        <row r="3229">
          <cell r="C3229" t="str">
            <v>B&amp;P-041-LS01-2RLD</v>
          </cell>
          <cell r="F3229">
            <v>45979.423252314817</v>
          </cell>
          <cell r="H3229" t="str">
            <v>B&amp;P-002-LS01-D</v>
          </cell>
          <cell r="J3229">
            <v>1</v>
          </cell>
        </row>
        <row r="3230">
          <cell r="C3230" t="str">
            <v>B&amp;P-041-LS01-2RLD</v>
          </cell>
          <cell r="F3230">
            <v>45979.423252314817</v>
          </cell>
          <cell r="H3230" t="str">
            <v>B&amp;P-005-RET/SET-LS01</v>
          </cell>
          <cell r="J3230">
            <v>1</v>
          </cell>
        </row>
        <row r="3231">
          <cell r="C3231" t="str">
            <v>B&amp;P-041-LS01-2RLD</v>
          </cell>
          <cell r="F3231">
            <v>45979.423252314817</v>
          </cell>
          <cell r="H3231" t="str">
            <v>B&amp;P-004-LS01RLD-BLUE</v>
          </cell>
          <cell r="J3231">
            <v>2</v>
          </cell>
        </row>
        <row r="3232">
          <cell r="C3232" t="str">
            <v>B&amp;P-041-LS01-2RLD</v>
          </cell>
          <cell r="F3232">
            <v>45979.423252314817</v>
          </cell>
          <cell r="H3232" t="str">
            <v>B&amp;P-003-Ball-3/16</v>
          </cell>
          <cell r="J3232">
            <v>8</v>
          </cell>
        </row>
        <row r="3233">
          <cell r="C3233" t="str">
            <v>B&amp;P-041-LS02-2RLD</v>
          </cell>
          <cell r="F3233">
            <v>45979.42386574074</v>
          </cell>
          <cell r="H3233" t="str">
            <v>B&amp;P-001-LS02-D</v>
          </cell>
          <cell r="J3233">
            <v>1</v>
          </cell>
        </row>
        <row r="3234">
          <cell r="C3234" t="str">
            <v>B&amp;P-041-LS02-2RLD</v>
          </cell>
          <cell r="F3234">
            <v>45979.42386574074</v>
          </cell>
          <cell r="H3234" t="str">
            <v>B&amp;P-002-LS02-D</v>
          </cell>
          <cell r="J3234">
            <v>1</v>
          </cell>
        </row>
        <row r="3235">
          <cell r="C3235" t="str">
            <v>B&amp;P-041-LS02-2RLD</v>
          </cell>
          <cell r="F3235">
            <v>45979.42386574074</v>
          </cell>
          <cell r="H3235" t="str">
            <v>B&amp;P-005-RET/SET-LS02</v>
          </cell>
          <cell r="J3235">
            <v>1</v>
          </cell>
        </row>
        <row r="3236">
          <cell r="C3236" t="str">
            <v>B&amp;P-041-LS02-2RLD</v>
          </cell>
          <cell r="F3236">
            <v>45979.42386574074</v>
          </cell>
          <cell r="H3236" t="str">
            <v>B&amp;P-004-LS02RLD-BLUE</v>
          </cell>
          <cell r="J3236">
            <v>2</v>
          </cell>
        </row>
        <row r="3237">
          <cell r="C3237" t="str">
            <v>B&amp;P-041-LS02-2RLD</v>
          </cell>
          <cell r="F3237">
            <v>45979.42386574074</v>
          </cell>
          <cell r="H3237" t="str">
            <v>B&amp;P-003-Ball-3/16</v>
          </cell>
          <cell r="J3237">
            <v>9</v>
          </cell>
        </row>
        <row r="3238">
          <cell r="C3238" t="str">
            <v>B&amp;P-041-LS03-2RLD</v>
          </cell>
          <cell r="F3238">
            <v>45979.426678240743</v>
          </cell>
          <cell r="H3238" t="str">
            <v>B&amp;P-001-LS03-D</v>
          </cell>
          <cell r="J3238">
            <v>1</v>
          </cell>
        </row>
        <row r="3239">
          <cell r="C3239" t="str">
            <v>B&amp;P-041-LS03-2RLD</v>
          </cell>
          <cell r="F3239">
            <v>45979.426678240743</v>
          </cell>
          <cell r="H3239" t="str">
            <v>B&amp;P-002-LS03-D</v>
          </cell>
          <cell r="J3239">
            <v>1</v>
          </cell>
        </row>
        <row r="3240">
          <cell r="C3240" t="str">
            <v>B&amp;P-041-LS03-2RLD</v>
          </cell>
          <cell r="F3240">
            <v>45979.426678240743</v>
          </cell>
          <cell r="H3240" t="str">
            <v>B&amp;P-005-RET/SET-LS03</v>
          </cell>
          <cell r="J3240">
            <v>1</v>
          </cell>
        </row>
        <row r="3241">
          <cell r="C3241" t="str">
            <v>B&amp;P-041-LS03-2RLD</v>
          </cell>
          <cell r="F3241">
            <v>45979.426678240743</v>
          </cell>
          <cell r="H3241" t="str">
            <v>B&amp;P-004-LS03RLD-BLUE</v>
          </cell>
          <cell r="J3241">
            <v>2</v>
          </cell>
        </row>
        <row r="3242">
          <cell r="C3242" t="str">
            <v>B&amp;P-041-LS03-2RLD</v>
          </cell>
          <cell r="F3242">
            <v>45979.426678240743</v>
          </cell>
          <cell r="H3242" t="str">
            <v>B&amp;P-003-Ball-3/16</v>
          </cell>
          <cell r="J3242">
            <v>10</v>
          </cell>
        </row>
        <row r="3243">
          <cell r="C3243" t="str">
            <v>B&amp;P-041-LS04-2RLD</v>
          </cell>
          <cell r="F3243">
            <v>45979.42800925926</v>
          </cell>
          <cell r="H3243" t="str">
            <v>B&amp;P-001-LS04-D</v>
          </cell>
          <cell r="J3243">
            <v>1</v>
          </cell>
        </row>
        <row r="3244">
          <cell r="C3244" t="str">
            <v>B&amp;P-041-LS04-2RLD</v>
          </cell>
          <cell r="F3244">
            <v>45979.42800925926</v>
          </cell>
          <cell r="H3244" t="str">
            <v>B&amp;P-002-LS04-D</v>
          </cell>
          <cell r="J3244">
            <v>1</v>
          </cell>
        </row>
        <row r="3245">
          <cell r="C3245" t="str">
            <v>B&amp;P-041-LS04-2RLD</v>
          </cell>
          <cell r="F3245">
            <v>45979.42800925926</v>
          </cell>
          <cell r="H3245" t="str">
            <v>B&amp;P-005-RET/SET-LS04</v>
          </cell>
          <cell r="J3245">
            <v>1</v>
          </cell>
        </row>
        <row r="3246">
          <cell r="C3246" t="str">
            <v>B&amp;P-041-LS04-2RLD</v>
          </cell>
          <cell r="F3246">
            <v>45979.42800925926</v>
          </cell>
          <cell r="H3246" t="str">
            <v>B&amp;P-004-LS04RLD-BLUE</v>
          </cell>
          <cell r="J3246">
            <v>2</v>
          </cell>
        </row>
        <row r="3247">
          <cell r="C3247" t="str">
            <v>B&amp;P-041-LS04-2RLD</v>
          </cell>
          <cell r="F3247">
            <v>45979.42800925926</v>
          </cell>
          <cell r="H3247" t="str">
            <v>BPB-003-BALL-1/4</v>
          </cell>
          <cell r="J3247">
            <v>9</v>
          </cell>
        </row>
        <row r="3248">
          <cell r="C3248" t="str">
            <v>BPB-047-ACL205-14RG</v>
          </cell>
          <cell r="F3248">
            <v>42948.387662037036</v>
          </cell>
          <cell r="H3248" t="str">
            <v>B&amp;P-001-OR205-G</v>
          </cell>
          <cell r="J3248">
            <v>1</v>
          </cell>
        </row>
        <row r="3249">
          <cell r="C3249" t="str">
            <v>BPB-047-ACL205-14RG</v>
          </cell>
          <cell r="F3249">
            <v>42948.387662037036</v>
          </cell>
          <cell r="H3249" t="str">
            <v>B&amp;P-002-ACL205-14-02</v>
          </cell>
          <cell r="J3249">
            <v>1</v>
          </cell>
        </row>
        <row r="3250">
          <cell r="C3250" t="str">
            <v>PEE-SS--6202-D-C3</v>
          </cell>
          <cell r="F3250">
            <v>39926.384988425925</v>
          </cell>
          <cell r="H3250" t="str">
            <v>MID-001-6202-D</v>
          </cell>
          <cell r="J3250">
            <v>1</v>
          </cell>
        </row>
        <row r="3251">
          <cell r="C3251" t="str">
            <v>PEE-SS--6202-D-C3</v>
          </cell>
          <cell r="F3251">
            <v>39926.384988425925</v>
          </cell>
          <cell r="H3251" t="str">
            <v>MID-002-6202-D</v>
          </cell>
          <cell r="J3251">
            <v>1</v>
          </cell>
        </row>
        <row r="3252">
          <cell r="C3252" t="str">
            <v>PEE-SS--6202-D-C3</v>
          </cell>
          <cell r="F3252">
            <v>39926.384988425925</v>
          </cell>
          <cell r="H3252" t="str">
            <v>MID-003-15/64</v>
          </cell>
          <cell r="J3252">
            <v>8</v>
          </cell>
        </row>
        <row r="3253">
          <cell r="C3253" t="str">
            <v>PEE-SS--6205-D-C0</v>
          </cell>
          <cell r="F3253">
            <v>37909.69431712963</v>
          </cell>
          <cell r="H3253" t="str">
            <v>000-001-6205-D</v>
          </cell>
          <cell r="J3253">
            <v>1</v>
          </cell>
        </row>
        <row r="3254">
          <cell r="C3254" t="str">
            <v>PEE-SS--6205-D-C0</v>
          </cell>
          <cell r="F3254">
            <v>37909.69431712963</v>
          </cell>
          <cell r="H3254" t="str">
            <v>000-003-5/16</v>
          </cell>
          <cell r="J3254">
            <v>9</v>
          </cell>
        </row>
        <row r="3255">
          <cell r="C3255" t="str">
            <v>PEE-SS--6205-D-C0</v>
          </cell>
          <cell r="F3255">
            <v>37909.69431712963</v>
          </cell>
          <cell r="H3255" t="str">
            <v>000-002-6205-D</v>
          </cell>
          <cell r="J3255">
            <v>1</v>
          </cell>
        </row>
        <row r="3256">
          <cell r="C3256" t="str">
            <v>PEE-SS--6205-D-C0</v>
          </cell>
          <cell r="F3256">
            <v>37909.69431712963</v>
          </cell>
          <cell r="H3256" t="str">
            <v>000-005-6205-RET/SET</v>
          </cell>
          <cell r="J3256">
            <v>1</v>
          </cell>
        </row>
        <row r="3257">
          <cell r="C3257" t="str">
            <v>PEE-SS--6202-D-C3</v>
          </cell>
          <cell r="F3257">
            <v>39926.384988425925</v>
          </cell>
          <cell r="H3257" t="str">
            <v>MID-005-6202-RET/SET</v>
          </cell>
          <cell r="J3257">
            <v>1</v>
          </cell>
        </row>
        <row r="3258">
          <cell r="C3258" t="str">
            <v>PEE-SS--6205-D-C3</v>
          </cell>
          <cell r="F3258">
            <v>39721.634872685187</v>
          </cell>
          <cell r="H3258" t="str">
            <v>000-001-6205-D</v>
          </cell>
          <cell r="J3258">
            <v>1</v>
          </cell>
        </row>
        <row r="3259">
          <cell r="C3259" t="str">
            <v>PEE-SS--6205-D-C3</v>
          </cell>
          <cell r="F3259">
            <v>39721.634872685187</v>
          </cell>
          <cell r="H3259" t="str">
            <v>000-002-6205-D</v>
          </cell>
          <cell r="J3259">
            <v>1</v>
          </cell>
        </row>
        <row r="3260">
          <cell r="C3260" t="str">
            <v>PEE-SS--6205-D-C3</v>
          </cell>
          <cell r="F3260">
            <v>39721.634872685187</v>
          </cell>
          <cell r="H3260" t="str">
            <v>000-003-5/16</v>
          </cell>
          <cell r="J3260">
            <v>9</v>
          </cell>
        </row>
        <row r="3261">
          <cell r="C3261" t="str">
            <v>PEE-SS--6205-D-C3</v>
          </cell>
          <cell r="F3261">
            <v>39721.634872685187</v>
          </cell>
          <cell r="H3261" t="str">
            <v>000-005-6205-RET/SET</v>
          </cell>
          <cell r="J3261">
            <v>1</v>
          </cell>
        </row>
        <row r="3262">
          <cell r="C3262" t="str">
            <v>PEE-HS--6005-D-C0</v>
          </cell>
          <cell r="F3262">
            <v>38070.725798611114</v>
          </cell>
          <cell r="H3262" t="str">
            <v>000-001-6005-D</v>
          </cell>
          <cell r="J3262">
            <v>1</v>
          </cell>
        </row>
        <row r="3263">
          <cell r="C3263" t="str">
            <v>PEE-HS--6005-D-C0</v>
          </cell>
          <cell r="F3263">
            <v>38070.725798611114</v>
          </cell>
          <cell r="H3263" t="str">
            <v>000-002-6005-D</v>
          </cell>
          <cell r="J3263">
            <v>1</v>
          </cell>
        </row>
        <row r="3264">
          <cell r="C3264" t="str">
            <v>PEE-HS--6005-D-C0</v>
          </cell>
          <cell r="F3264">
            <v>38070.725798611114</v>
          </cell>
          <cell r="H3264" t="str">
            <v>000-003-1/4</v>
          </cell>
          <cell r="J3264">
            <v>10</v>
          </cell>
        </row>
        <row r="3265">
          <cell r="C3265" t="str">
            <v>PEE-HS--6005-D-C0</v>
          </cell>
          <cell r="F3265">
            <v>38070.725798611114</v>
          </cell>
          <cell r="H3265" t="str">
            <v>000-005-6005-RET/SET</v>
          </cell>
          <cell r="J3265">
            <v>1</v>
          </cell>
        </row>
        <row r="3266">
          <cell r="C3266" t="str">
            <v>PEE-HS--6006-D-C3</v>
          </cell>
          <cell r="F3266">
            <v>39303.414641203701</v>
          </cell>
          <cell r="H3266" t="str">
            <v>000-001-6006-D</v>
          </cell>
          <cell r="J3266">
            <v>1</v>
          </cell>
        </row>
        <row r="3267">
          <cell r="C3267" t="str">
            <v>PEE-HS--6006-D-C3</v>
          </cell>
          <cell r="F3267">
            <v>39303.414641203701</v>
          </cell>
          <cell r="H3267" t="str">
            <v>000-002-6006-D</v>
          </cell>
          <cell r="J3267">
            <v>1</v>
          </cell>
        </row>
        <row r="3268">
          <cell r="C3268" t="str">
            <v>PEE-HS--6006-D-C3</v>
          </cell>
          <cell r="F3268">
            <v>39303.414641203701</v>
          </cell>
          <cell r="H3268" t="str">
            <v>000-003-9/32</v>
          </cell>
          <cell r="J3268">
            <v>11</v>
          </cell>
        </row>
        <row r="3269">
          <cell r="C3269" t="str">
            <v>PEE-HS--6006-D-C3</v>
          </cell>
          <cell r="F3269">
            <v>39303.414641203701</v>
          </cell>
          <cell r="H3269" t="str">
            <v>000-005-6006-RET/SET</v>
          </cell>
          <cell r="J3269">
            <v>1</v>
          </cell>
        </row>
        <row r="3270">
          <cell r="C3270" t="str">
            <v>PEE-S---6008-D-C3</v>
          </cell>
          <cell r="F3270">
            <v>37938.365601851852</v>
          </cell>
          <cell r="H3270" t="str">
            <v>000-001-6008-D</v>
          </cell>
          <cell r="J3270">
            <v>1</v>
          </cell>
        </row>
        <row r="3271">
          <cell r="C3271" t="str">
            <v>PEE-S---6008-D-C3</v>
          </cell>
          <cell r="F3271">
            <v>37938.365601851852</v>
          </cell>
          <cell r="H3271" t="str">
            <v>000-002-6008-D</v>
          </cell>
          <cell r="J3271">
            <v>1</v>
          </cell>
        </row>
        <row r="3272">
          <cell r="C3272" t="str">
            <v>PEE-S---6008-D-C3</v>
          </cell>
          <cell r="F3272">
            <v>37938.365601851852</v>
          </cell>
          <cell r="H3272" t="str">
            <v>000-003-8MM</v>
          </cell>
          <cell r="J3272">
            <v>12</v>
          </cell>
        </row>
        <row r="3273">
          <cell r="C3273" t="str">
            <v>PEE-S---6008-D-C3</v>
          </cell>
          <cell r="F3273">
            <v>37938.365601851852</v>
          </cell>
          <cell r="H3273" t="str">
            <v>000-005-6008-RET/SET</v>
          </cell>
          <cell r="J3273">
            <v>1</v>
          </cell>
        </row>
        <row r="3274">
          <cell r="C3274" t="str">
            <v>PEE-HS--6207-D-C0</v>
          </cell>
          <cell r="F3274">
            <v>38007.344212962962</v>
          </cell>
          <cell r="H3274" t="str">
            <v>000-001-6207-D</v>
          </cell>
          <cell r="J3274">
            <v>1</v>
          </cell>
        </row>
        <row r="3275">
          <cell r="C3275" t="str">
            <v>PEE-HS--6207-D-C0</v>
          </cell>
          <cell r="F3275">
            <v>38007.344212962962</v>
          </cell>
          <cell r="H3275" t="str">
            <v>000-002-6207-D</v>
          </cell>
          <cell r="J3275">
            <v>1</v>
          </cell>
        </row>
        <row r="3276">
          <cell r="C3276" t="str">
            <v>PEE-HS--6207-D-C0</v>
          </cell>
          <cell r="F3276">
            <v>38007.344212962962</v>
          </cell>
          <cell r="H3276" t="str">
            <v>000-003-7/16</v>
          </cell>
          <cell r="J3276">
            <v>9</v>
          </cell>
        </row>
        <row r="3277">
          <cell r="C3277" t="str">
            <v>PEE-HS--6207-D-C0</v>
          </cell>
          <cell r="F3277">
            <v>38007.344212962962</v>
          </cell>
          <cell r="H3277" t="str">
            <v>000-005-6207-RET/SET</v>
          </cell>
          <cell r="J3277">
            <v>1</v>
          </cell>
        </row>
        <row r="3278">
          <cell r="C3278" t="str">
            <v>PEE-HS--6207-D-C3</v>
          </cell>
          <cell r="F3278">
            <v>38077.415289351855</v>
          </cell>
          <cell r="H3278" t="str">
            <v>000-001-6207-D</v>
          </cell>
          <cell r="J3278">
            <v>1</v>
          </cell>
        </row>
        <row r="3279">
          <cell r="C3279" t="str">
            <v>PEE-HS--6207-D-C3</v>
          </cell>
          <cell r="F3279">
            <v>38077.415289351855</v>
          </cell>
          <cell r="H3279" t="str">
            <v>000-002-6207-D</v>
          </cell>
          <cell r="J3279">
            <v>1</v>
          </cell>
        </row>
        <row r="3280">
          <cell r="C3280" t="str">
            <v>PEE-HS--6207-D-C3</v>
          </cell>
          <cell r="F3280">
            <v>38077.415289351855</v>
          </cell>
          <cell r="H3280" t="str">
            <v>000-003-7/16</v>
          </cell>
          <cell r="J3280">
            <v>9</v>
          </cell>
        </row>
        <row r="3281">
          <cell r="C3281" t="str">
            <v>PEE-HS--6207-D-C3</v>
          </cell>
          <cell r="F3281">
            <v>38077.415289351855</v>
          </cell>
          <cell r="H3281" t="str">
            <v>000-005-6207-RET/SET</v>
          </cell>
          <cell r="J3281">
            <v>1</v>
          </cell>
        </row>
        <row r="3282">
          <cell r="C3282" t="str">
            <v>PEE-HS--6004-D-C0</v>
          </cell>
          <cell r="F3282">
            <v>37932.467210648145</v>
          </cell>
          <cell r="H3282" t="str">
            <v>000-001-6004-D</v>
          </cell>
          <cell r="J3282">
            <v>1</v>
          </cell>
        </row>
        <row r="3283">
          <cell r="C3283" t="str">
            <v>PEE-HS--6004-D-C0</v>
          </cell>
          <cell r="F3283">
            <v>37932.467210648145</v>
          </cell>
          <cell r="H3283" t="str">
            <v>000-002-6004-D</v>
          </cell>
          <cell r="J3283">
            <v>1</v>
          </cell>
        </row>
        <row r="3284">
          <cell r="C3284" t="str">
            <v>PEE-HS--6004-D-C0</v>
          </cell>
          <cell r="F3284">
            <v>37932.467210648145</v>
          </cell>
          <cell r="H3284" t="str">
            <v>000-003-1/4</v>
          </cell>
          <cell r="J3284">
            <v>9</v>
          </cell>
        </row>
        <row r="3285">
          <cell r="C3285" t="str">
            <v>PEE-HS--6004-D-C0</v>
          </cell>
          <cell r="F3285">
            <v>37932.467210648145</v>
          </cell>
          <cell r="H3285" t="str">
            <v>000-005-6004-RET/SET</v>
          </cell>
          <cell r="J3285">
            <v>1</v>
          </cell>
        </row>
        <row r="3286">
          <cell r="C3286" t="str">
            <v>PEE-SS--6202-D-C3</v>
          </cell>
          <cell r="F3286">
            <v>39926.384988425925</v>
          </cell>
          <cell r="H3286" t="str">
            <v>002-002-001</v>
          </cell>
          <cell r="J3286">
            <v>0.1133</v>
          </cell>
        </row>
        <row r="3287">
          <cell r="C3287" t="str">
            <v>PEE-HS--6004-D-C0</v>
          </cell>
          <cell r="F3287">
            <v>37932.467210648145</v>
          </cell>
          <cell r="H3287" t="str">
            <v>002-002-001</v>
          </cell>
          <cell r="J3287">
            <v>6.0000000000000001E-3</v>
          </cell>
        </row>
        <row r="3288">
          <cell r="C3288" t="str">
            <v>PEE-HS--6005-D-C0</v>
          </cell>
          <cell r="F3288">
            <v>38070.725798611114</v>
          </cell>
          <cell r="H3288" t="str">
            <v>002-002-001</v>
          </cell>
          <cell r="J3288">
            <v>6.0000000000000001E-3</v>
          </cell>
        </row>
        <row r="3289">
          <cell r="C3289" t="str">
            <v>PEE-HS--6006-D-C3</v>
          </cell>
          <cell r="F3289">
            <v>39303.414641203701</v>
          </cell>
          <cell r="H3289" t="str">
            <v>002-002-001</v>
          </cell>
          <cell r="J3289">
            <v>1.1299999999999999E-2</v>
          </cell>
        </row>
        <row r="3290">
          <cell r="C3290" t="str">
            <v>PEE-HS--6207-D-C0</v>
          </cell>
          <cell r="F3290">
            <v>38007.344212962962</v>
          </cell>
          <cell r="H3290" t="str">
            <v>002-002-001</v>
          </cell>
          <cell r="J3290">
            <v>6.0000000000000001E-3</v>
          </cell>
        </row>
        <row r="3291">
          <cell r="C3291" t="str">
            <v>PEE-HS--6207-D-C3</v>
          </cell>
          <cell r="F3291">
            <v>38077.415289351855</v>
          </cell>
          <cell r="H3291" t="str">
            <v>002-002-001</v>
          </cell>
          <cell r="J3291">
            <v>6.0000000000000001E-3</v>
          </cell>
        </row>
        <row r="3292">
          <cell r="C3292" t="str">
            <v>PEE-S---6008-D-C3</v>
          </cell>
          <cell r="F3292">
            <v>37938.365601851852</v>
          </cell>
          <cell r="H3292" t="str">
            <v>002-002-001</v>
          </cell>
          <cell r="J3292">
            <v>6.0000000000000001E-3</v>
          </cell>
        </row>
        <row r="3293">
          <cell r="C3293" t="str">
            <v>PEE-SS--6205-D-C3</v>
          </cell>
          <cell r="F3293">
            <v>39721.634872685187</v>
          </cell>
          <cell r="H3293" t="str">
            <v>002-002-001</v>
          </cell>
          <cell r="J3293">
            <v>6.0000000000000001E-3</v>
          </cell>
        </row>
        <row r="3294">
          <cell r="C3294" t="str">
            <v>PEE-SS--6205-D-C0</v>
          </cell>
          <cell r="F3294">
            <v>37909.69431712963</v>
          </cell>
          <cell r="H3294" t="str">
            <v>002-002-001</v>
          </cell>
          <cell r="J3294">
            <v>6.0000000000000001E-3</v>
          </cell>
        </row>
        <row r="3295">
          <cell r="C3295" t="str">
            <v>PEE-HS--6204-D-C0</v>
          </cell>
          <cell r="F3295">
            <v>37889.365416666667</v>
          </cell>
          <cell r="H3295" t="str">
            <v>000-001-6204-D</v>
          </cell>
          <cell r="J3295">
            <v>1</v>
          </cell>
        </row>
        <row r="3296">
          <cell r="C3296" t="str">
            <v>PEE-HS--6204-D-C0</v>
          </cell>
          <cell r="F3296">
            <v>37889.365416666667</v>
          </cell>
          <cell r="H3296" t="str">
            <v>000-002-6204-D</v>
          </cell>
          <cell r="J3296">
            <v>1</v>
          </cell>
        </row>
        <row r="3297">
          <cell r="C3297" t="str">
            <v>PEE-HS--6204-D-C0</v>
          </cell>
          <cell r="F3297">
            <v>37889.365416666667</v>
          </cell>
          <cell r="H3297" t="str">
            <v>000-005-6204-RET/SET</v>
          </cell>
          <cell r="J3297">
            <v>1</v>
          </cell>
        </row>
        <row r="3298">
          <cell r="C3298" t="str">
            <v>PEE-HS--6204-D-C0</v>
          </cell>
          <cell r="F3298">
            <v>37889.365416666667</v>
          </cell>
          <cell r="H3298" t="str">
            <v>000-003-5/16</v>
          </cell>
          <cell r="J3298">
            <v>8</v>
          </cell>
        </row>
        <row r="3299">
          <cell r="C3299" t="str">
            <v>PEE-HS--6204-D-C0</v>
          </cell>
          <cell r="F3299">
            <v>37889.365416666667</v>
          </cell>
          <cell r="H3299" t="str">
            <v>002-002-001</v>
          </cell>
          <cell r="J3299">
            <v>6.0000000000000001E-3</v>
          </cell>
        </row>
        <row r="3300">
          <cell r="C3300" t="str">
            <v>PEE-HS--6204-2RLD-C2</v>
          </cell>
          <cell r="F3300">
            <v>37902.681018518517</v>
          </cell>
          <cell r="H3300" t="str">
            <v>000-001-6204-D</v>
          </cell>
          <cell r="J3300">
            <v>1</v>
          </cell>
        </row>
        <row r="3301">
          <cell r="C3301" t="str">
            <v>PEE-HS--6204-2RLD-C2</v>
          </cell>
          <cell r="F3301">
            <v>37902.681018518517</v>
          </cell>
          <cell r="H3301" t="str">
            <v>000-002-6204-D</v>
          </cell>
          <cell r="J3301">
            <v>1</v>
          </cell>
        </row>
        <row r="3302">
          <cell r="C3302" t="str">
            <v>PEE-HS--6204-2RLD-C2</v>
          </cell>
          <cell r="F3302">
            <v>37902.681018518517</v>
          </cell>
          <cell r="H3302" t="str">
            <v>000-005-6204-RET/SET</v>
          </cell>
          <cell r="J3302">
            <v>1</v>
          </cell>
        </row>
        <row r="3303">
          <cell r="C3303" t="str">
            <v>PEE-HS--6204-2RLD-C2</v>
          </cell>
          <cell r="F3303">
            <v>37902.681018518517</v>
          </cell>
          <cell r="H3303" t="str">
            <v>000-003-5/16</v>
          </cell>
          <cell r="J3303">
            <v>8</v>
          </cell>
        </row>
        <row r="3304">
          <cell r="C3304" t="str">
            <v>PEE-HS--6204-2RLD-C2</v>
          </cell>
          <cell r="F3304">
            <v>37902.681018518517</v>
          </cell>
          <cell r="H3304" t="str">
            <v>000-004-RLD-6204-RED</v>
          </cell>
          <cell r="J3304">
            <v>2</v>
          </cell>
        </row>
        <row r="3305">
          <cell r="C3305" t="str">
            <v>PEE-HS--6204-2RLD-C2</v>
          </cell>
          <cell r="F3305">
            <v>37902.681018518517</v>
          </cell>
          <cell r="H3305" t="str">
            <v>002-002-001</v>
          </cell>
          <cell r="J3305">
            <v>7.0000000000000001E-3</v>
          </cell>
        </row>
        <row r="3306">
          <cell r="C3306" t="str">
            <v>PEE-HS--6204-2RLD-C2</v>
          </cell>
          <cell r="F3306">
            <v>37902.681018518517</v>
          </cell>
          <cell r="H3306" t="str">
            <v>000-006-001</v>
          </cell>
          <cell r="J3306">
            <v>1.58</v>
          </cell>
        </row>
        <row r="3307">
          <cell r="C3307" t="str">
            <v>PEE-HS--6206-D-C0</v>
          </cell>
          <cell r="F3307">
            <v>37915.385567129626</v>
          </cell>
          <cell r="H3307" t="str">
            <v>000-001-6206-D</v>
          </cell>
          <cell r="J3307">
            <v>1</v>
          </cell>
        </row>
        <row r="3308">
          <cell r="C3308" t="str">
            <v>PEE-HS--6206-D-C0</v>
          </cell>
          <cell r="F3308">
            <v>37915.385567129626</v>
          </cell>
          <cell r="H3308" t="str">
            <v>000-002-6206-D</v>
          </cell>
          <cell r="J3308">
            <v>1</v>
          </cell>
        </row>
        <row r="3309">
          <cell r="C3309" t="str">
            <v>PEE-HS--6206-D-C0</v>
          </cell>
          <cell r="F3309">
            <v>37915.385567129626</v>
          </cell>
          <cell r="H3309" t="str">
            <v>000-005-6206-RET/SET</v>
          </cell>
          <cell r="J3309">
            <v>1</v>
          </cell>
        </row>
        <row r="3310">
          <cell r="C3310" t="str">
            <v>PEE-HS--6206-D-C0</v>
          </cell>
          <cell r="F3310">
            <v>37915.385567129626</v>
          </cell>
          <cell r="H3310" t="str">
            <v>000-003-3/8</v>
          </cell>
          <cell r="J3310">
            <v>9</v>
          </cell>
        </row>
        <row r="3311">
          <cell r="C3311" t="str">
            <v>PEE-HS--6206-D-C0</v>
          </cell>
          <cell r="F3311">
            <v>37915.385567129626</v>
          </cell>
          <cell r="H3311" t="str">
            <v>002-002-001</v>
          </cell>
          <cell r="J3311">
            <v>6.0000000000000001E-3</v>
          </cell>
        </row>
        <row r="3312">
          <cell r="C3312" t="str">
            <v>PEE-HS--6206-D-C2</v>
          </cell>
          <cell r="F3312">
            <v>37916.696817129632</v>
          </cell>
          <cell r="H3312" t="str">
            <v>000-001-6206-D</v>
          </cell>
          <cell r="J3312">
            <v>1</v>
          </cell>
        </row>
        <row r="3313">
          <cell r="C3313" t="str">
            <v>PEE-HS--6206-D-C2</v>
          </cell>
          <cell r="F3313">
            <v>37916.696817129632</v>
          </cell>
          <cell r="H3313" t="str">
            <v>000-002-6206-D</v>
          </cell>
          <cell r="J3313">
            <v>1</v>
          </cell>
        </row>
        <row r="3314">
          <cell r="C3314" t="str">
            <v>PEE-HS--6206-D-C2</v>
          </cell>
          <cell r="F3314">
            <v>37916.696817129632</v>
          </cell>
          <cell r="H3314" t="str">
            <v>000-003-3/8</v>
          </cell>
          <cell r="J3314">
            <v>9</v>
          </cell>
        </row>
        <row r="3315">
          <cell r="C3315" t="str">
            <v>PEE-HS--6206-D-C2</v>
          </cell>
          <cell r="F3315">
            <v>37916.696817129632</v>
          </cell>
          <cell r="H3315" t="str">
            <v>000-005-6206-RET/SET</v>
          </cell>
          <cell r="J3315">
            <v>1</v>
          </cell>
        </row>
        <row r="3316">
          <cell r="C3316" t="str">
            <v>PEE-HS--6206-D-C2</v>
          </cell>
          <cell r="F3316">
            <v>37916.696817129632</v>
          </cell>
          <cell r="H3316" t="str">
            <v>002-002-001</v>
          </cell>
          <cell r="J3316">
            <v>6.0000000000000001E-3</v>
          </cell>
        </row>
        <row r="3317">
          <cell r="C3317" t="str">
            <v>PEE-HS--6306-D-C0</v>
          </cell>
          <cell r="F3317">
            <v>37917.657604166663</v>
          </cell>
          <cell r="H3317" t="str">
            <v>000-001-6306-D</v>
          </cell>
          <cell r="J3317">
            <v>1</v>
          </cell>
        </row>
        <row r="3318">
          <cell r="C3318" t="str">
            <v>PEE-HS--6306-D-C0</v>
          </cell>
          <cell r="F3318">
            <v>37917.657604166663</v>
          </cell>
          <cell r="H3318" t="str">
            <v>000-002-6306-D</v>
          </cell>
          <cell r="J3318">
            <v>1</v>
          </cell>
        </row>
        <row r="3319">
          <cell r="C3319" t="str">
            <v>PEE-HS--6306-D-C0</v>
          </cell>
          <cell r="F3319">
            <v>37917.657604166663</v>
          </cell>
          <cell r="H3319" t="str">
            <v>000-005-6306-RET/SET</v>
          </cell>
          <cell r="J3319">
            <v>1</v>
          </cell>
        </row>
        <row r="3320">
          <cell r="C3320" t="str">
            <v>PEE-HS--6306-D-C0</v>
          </cell>
          <cell r="F3320">
            <v>37917.657604166663</v>
          </cell>
          <cell r="H3320" t="str">
            <v>000-003-15/32</v>
          </cell>
          <cell r="J3320">
            <v>8</v>
          </cell>
        </row>
        <row r="3321">
          <cell r="C3321" t="str">
            <v>PEE-HS--6306-D-C0</v>
          </cell>
          <cell r="F3321">
            <v>37917.657604166663</v>
          </cell>
          <cell r="H3321" t="str">
            <v>002-002-001</v>
          </cell>
          <cell r="J3321">
            <v>6.0000000000000001E-3</v>
          </cell>
        </row>
        <row r="3322">
          <cell r="C3322" t="str">
            <v>PEE-HS--6203-2RST-C2</v>
          </cell>
          <cell r="F3322">
            <v>37922.75953703704</v>
          </cell>
          <cell r="H3322" t="str">
            <v>000-001-6203-D</v>
          </cell>
          <cell r="J3322">
            <v>1</v>
          </cell>
        </row>
        <row r="3323">
          <cell r="C3323" t="str">
            <v>PEE-HS--6203-2RST-C2</v>
          </cell>
          <cell r="F3323">
            <v>37922.75953703704</v>
          </cell>
          <cell r="H3323" t="str">
            <v>000-002-6203-D</v>
          </cell>
          <cell r="J3323">
            <v>1</v>
          </cell>
        </row>
        <row r="3324">
          <cell r="C3324" t="str">
            <v>PEE-HS--6203-2RST-C2</v>
          </cell>
          <cell r="F3324">
            <v>37922.75953703704</v>
          </cell>
          <cell r="H3324" t="str">
            <v>000-003-17/64</v>
          </cell>
          <cell r="J3324">
            <v>8</v>
          </cell>
        </row>
        <row r="3325">
          <cell r="C3325" t="str">
            <v>PEE-HS--6203-2RST-C2</v>
          </cell>
          <cell r="F3325">
            <v>37922.75953703704</v>
          </cell>
          <cell r="H3325" t="str">
            <v>000-005-6203-RET/SET</v>
          </cell>
          <cell r="J3325">
            <v>1</v>
          </cell>
        </row>
        <row r="3326">
          <cell r="C3326" t="str">
            <v>PEE-HS--6203-2RST-C2</v>
          </cell>
          <cell r="F3326">
            <v>37922.75953703704</v>
          </cell>
          <cell r="H3326" t="str">
            <v>000-004-RST-6203-RED</v>
          </cell>
          <cell r="J3326">
            <v>2</v>
          </cell>
        </row>
        <row r="3327">
          <cell r="C3327" t="str">
            <v>PEE-HS--6203-2RST-C2</v>
          </cell>
          <cell r="F3327">
            <v>37922.75953703704</v>
          </cell>
          <cell r="H3327" t="str">
            <v>000-006-001</v>
          </cell>
          <cell r="J3327">
            <v>2.06</v>
          </cell>
        </row>
        <row r="3328">
          <cell r="C3328" t="str">
            <v>PEE-HS--6203-2RST-C2</v>
          </cell>
          <cell r="F3328">
            <v>37922.75953703704</v>
          </cell>
          <cell r="H3328" t="str">
            <v>002-002-001</v>
          </cell>
          <cell r="J3328">
            <v>6.0000000000000001E-3</v>
          </cell>
        </row>
        <row r="3329">
          <cell r="C3329" t="str">
            <v>PEE-HS--6201-D-C3</v>
          </cell>
          <cell r="F3329">
            <v>37929.403645833336</v>
          </cell>
          <cell r="H3329" t="str">
            <v>000-001-6201-D</v>
          </cell>
          <cell r="J3329">
            <v>1</v>
          </cell>
        </row>
        <row r="3330">
          <cell r="C3330" t="str">
            <v>PEE-HS--6201-D-C3</v>
          </cell>
          <cell r="F3330">
            <v>37929.403645833336</v>
          </cell>
          <cell r="H3330" t="str">
            <v>000-002-6201-D</v>
          </cell>
          <cell r="J3330">
            <v>1</v>
          </cell>
        </row>
        <row r="3331">
          <cell r="C3331" t="str">
            <v>PEE-HS--6201-D-C3</v>
          </cell>
          <cell r="F3331">
            <v>37929.403645833336</v>
          </cell>
          <cell r="H3331" t="str">
            <v>000-003-15/64</v>
          </cell>
          <cell r="J3331">
            <v>7</v>
          </cell>
        </row>
        <row r="3332">
          <cell r="C3332" t="str">
            <v>PEE-HS--6201-D-C3</v>
          </cell>
          <cell r="F3332">
            <v>37929.403645833336</v>
          </cell>
          <cell r="H3332" t="str">
            <v>000-005-6201-RET/SET</v>
          </cell>
          <cell r="J3332">
            <v>1</v>
          </cell>
        </row>
        <row r="3333">
          <cell r="C3333" t="str">
            <v>PEE-HS--6201-D-C3</v>
          </cell>
          <cell r="F3333">
            <v>37929.403645833336</v>
          </cell>
          <cell r="H3333" t="str">
            <v>002-002-001</v>
          </cell>
          <cell r="J3333">
            <v>6.0000000000000001E-3</v>
          </cell>
        </row>
        <row r="3334">
          <cell r="C3334" t="str">
            <v>PEE-S---6008-D-C0</v>
          </cell>
          <cell r="F3334">
            <v>37938.377743055556</v>
          </cell>
          <cell r="H3334" t="str">
            <v>000-001-6008-D</v>
          </cell>
          <cell r="J3334">
            <v>1</v>
          </cell>
        </row>
        <row r="3335">
          <cell r="C3335" t="str">
            <v>PEE-S---6008-D-C0</v>
          </cell>
          <cell r="F3335">
            <v>37938.377743055556</v>
          </cell>
          <cell r="H3335" t="str">
            <v>000-002-6008-D</v>
          </cell>
          <cell r="J3335">
            <v>1</v>
          </cell>
        </row>
        <row r="3336">
          <cell r="C3336" t="str">
            <v>PEE-S---6008-D-C0</v>
          </cell>
          <cell r="F3336">
            <v>37938.377743055556</v>
          </cell>
          <cell r="H3336" t="str">
            <v>000-005-6008-RET/SET</v>
          </cell>
          <cell r="J3336">
            <v>1</v>
          </cell>
        </row>
        <row r="3337">
          <cell r="C3337" t="str">
            <v>PEE-S---6008-D-C0</v>
          </cell>
          <cell r="F3337">
            <v>37938.377743055556</v>
          </cell>
          <cell r="H3337" t="str">
            <v>000-003-8MM</v>
          </cell>
          <cell r="J3337">
            <v>12</v>
          </cell>
        </row>
        <row r="3338">
          <cell r="C3338" t="str">
            <v>PEE-S---6008-D-C0</v>
          </cell>
          <cell r="F3338">
            <v>37938.377743055556</v>
          </cell>
          <cell r="H3338" t="str">
            <v>002-002-001</v>
          </cell>
          <cell r="J3338">
            <v>6.0000000000000001E-3</v>
          </cell>
        </row>
        <row r="3339">
          <cell r="C3339" t="str">
            <v>PEE-HS--6208-D-C0</v>
          </cell>
          <cell r="F3339">
            <v>37939.429861111108</v>
          </cell>
          <cell r="H3339" t="str">
            <v>000-001-6208-D</v>
          </cell>
          <cell r="J3339">
            <v>1</v>
          </cell>
        </row>
        <row r="3340">
          <cell r="C3340" t="str">
            <v>PEE-HS--6208-D-C0</v>
          </cell>
          <cell r="F3340">
            <v>37939.429861111108</v>
          </cell>
          <cell r="H3340" t="str">
            <v>000-002-6208-D</v>
          </cell>
          <cell r="J3340">
            <v>1</v>
          </cell>
        </row>
        <row r="3341">
          <cell r="C3341" t="str">
            <v>PEE-HS--6208-D-C0</v>
          </cell>
          <cell r="F3341">
            <v>37939.429861111108</v>
          </cell>
          <cell r="H3341" t="str">
            <v>000-005-6208-RET/SET</v>
          </cell>
          <cell r="J3341">
            <v>1</v>
          </cell>
        </row>
        <row r="3342">
          <cell r="C3342" t="str">
            <v>PEE-HS--6208-D-C0</v>
          </cell>
          <cell r="F3342">
            <v>37939.429861111108</v>
          </cell>
          <cell r="H3342" t="str">
            <v>000-003-1/2</v>
          </cell>
          <cell r="J3342">
            <v>9</v>
          </cell>
        </row>
        <row r="3343">
          <cell r="C3343" t="str">
            <v>PEE-HS--6208-D-C0</v>
          </cell>
          <cell r="F3343">
            <v>37939.429861111108</v>
          </cell>
          <cell r="H3343" t="str">
            <v>002-002-001</v>
          </cell>
          <cell r="J3343">
            <v>6.0000000000000001E-3</v>
          </cell>
        </row>
        <row r="3344">
          <cell r="C3344" t="str">
            <v>PEE-HS--6202-D-C0</v>
          </cell>
          <cell r="F3344">
            <v>37942.484224537038</v>
          </cell>
          <cell r="H3344" t="str">
            <v>000-001-6202-D</v>
          </cell>
          <cell r="J3344">
            <v>1</v>
          </cell>
        </row>
        <row r="3345">
          <cell r="C3345" t="str">
            <v>PEE-HS--6202-D-C0</v>
          </cell>
          <cell r="F3345">
            <v>37942.484224537038</v>
          </cell>
          <cell r="H3345" t="str">
            <v>000-002-6202-D</v>
          </cell>
          <cell r="J3345">
            <v>1</v>
          </cell>
        </row>
        <row r="3346">
          <cell r="C3346" t="str">
            <v>PEE-HS--6202-D-C0</v>
          </cell>
          <cell r="F3346">
            <v>37942.484224537038</v>
          </cell>
          <cell r="H3346" t="str">
            <v>000-005-6202-RET/SET</v>
          </cell>
          <cell r="J3346">
            <v>1</v>
          </cell>
        </row>
        <row r="3347">
          <cell r="C3347" t="str">
            <v>PEE-HS--6202-D-C0</v>
          </cell>
          <cell r="F3347">
            <v>37942.484224537038</v>
          </cell>
          <cell r="H3347" t="str">
            <v>000-003-15/64</v>
          </cell>
          <cell r="J3347">
            <v>8</v>
          </cell>
        </row>
        <row r="3348">
          <cell r="C3348" t="str">
            <v>PEE-HS--6202-D-C0</v>
          </cell>
          <cell r="F3348">
            <v>37942.484224537038</v>
          </cell>
          <cell r="H3348" t="str">
            <v>002-002-001</v>
          </cell>
          <cell r="J3348">
            <v>6.0000000000000001E-3</v>
          </cell>
        </row>
        <row r="3349">
          <cell r="C3349" t="str">
            <v>PEE-HS--6305-D-C0</v>
          </cell>
          <cell r="F3349">
            <v>37967.754687499997</v>
          </cell>
          <cell r="H3349" t="str">
            <v>000-001-6305-D</v>
          </cell>
          <cell r="J3349">
            <v>1</v>
          </cell>
        </row>
        <row r="3350">
          <cell r="C3350" t="str">
            <v>PEE-HS--6305-D-C0</v>
          </cell>
          <cell r="F3350">
            <v>37967.754687499997</v>
          </cell>
          <cell r="H3350" t="str">
            <v>000-002-6305-D</v>
          </cell>
          <cell r="J3350">
            <v>1</v>
          </cell>
        </row>
        <row r="3351">
          <cell r="C3351" t="str">
            <v>PEE-HS--6305-D-C0</v>
          </cell>
          <cell r="F3351">
            <v>37967.754687499997</v>
          </cell>
          <cell r="H3351" t="str">
            <v>000-005-6305-RET/SET</v>
          </cell>
          <cell r="J3351">
            <v>1</v>
          </cell>
        </row>
        <row r="3352">
          <cell r="C3352" t="str">
            <v>PEE-HS--6305-D-C0</v>
          </cell>
          <cell r="F3352">
            <v>37967.754687499997</v>
          </cell>
          <cell r="H3352" t="str">
            <v>000-003-29/64</v>
          </cell>
          <cell r="J3352">
            <v>7</v>
          </cell>
        </row>
        <row r="3353">
          <cell r="C3353" t="str">
            <v>PEE-HS--6305-D-C0</v>
          </cell>
          <cell r="F3353">
            <v>37967.754687499997</v>
          </cell>
          <cell r="H3353" t="str">
            <v>002-002-001</v>
          </cell>
          <cell r="J3353">
            <v>6.0000000000000001E-3</v>
          </cell>
        </row>
        <row r="3354">
          <cell r="C3354" t="str">
            <v>PEE-HS--6201-D-C0</v>
          </cell>
          <cell r="F3354">
            <v>37995.66238425926</v>
          </cell>
          <cell r="H3354" t="str">
            <v>000-001-6201-D</v>
          </cell>
          <cell r="J3354">
            <v>1</v>
          </cell>
        </row>
        <row r="3355">
          <cell r="C3355" t="str">
            <v>PEE-HS--6201-D-C0</v>
          </cell>
          <cell r="F3355">
            <v>37995.66238425926</v>
          </cell>
          <cell r="H3355" t="str">
            <v>000-002-6201-D</v>
          </cell>
          <cell r="J3355">
            <v>1</v>
          </cell>
        </row>
        <row r="3356">
          <cell r="C3356" t="str">
            <v>PEE-HS--6201-D-C0</v>
          </cell>
          <cell r="F3356">
            <v>37995.66238425926</v>
          </cell>
          <cell r="H3356" t="str">
            <v>000-005-6201-RET/SET</v>
          </cell>
          <cell r="J3356">
            <v>1</v>
          </cell>
        </row>
        <row r="3357">
          <cell r="C3357" t="str">
            <v>PEE-HS--6201-D-C0</v>
          </cell>
          <cell r="F3357">
            <v>37995.66238425926</v>
          </cell>
          <cell r="H3357" t="str">
            <v>000-003-15/64</v>
          </cell>
          <cell r="J3357">
            <v>7</v>
          </cell>
        </row>
        <row r="3358">
          <cell r="C3358" t="str">
            <v>PEE-HS--6201-D-C0</v>
          </cell>
          <cell r="F3358">
            <v>37995.66238425926</v>
          </cell>
          <cell r="H3358" t="str">
            <v>002-002-001</v>
          </cell>
          <cell r="J3358">
            <v>6.0000000000000001E-3</v>
          </cell>
        </row>
        <row r="3359">
          <cell r="C3359" t="str">
            <v>PEE-HS--6006-D-C0</v>
          </cell>
          <cell r="F3359">
            <v>38110.502418981479</v>
          </cell>
          <cell r="H3359" t="str">
            <v>000-001-6006-D</v>
          </cell>
          <cell r="J3359">
            <v>1</v>
          </cell>
        </row>
        <row r="3360">
          <cell r="C3360" t="str">
            <v>PEE-HS--6006-D-C0</v>
          </cell>
          <cell r="F3360">
            <v>38110.502418981479</v>
          </cell>
          <cell r="H3360" t="str">
            <v>000-002-6006-D</v>
          </cell>
          <cell r="J3360">
            <v>1</v>
          </cell>
        </row>
        <row r="3361">
          <cell r="C3361" t="str">
            <v>PEE-HS--6006-D-C0</v>
          </cell>
          <cell r="F3361">
            <v>38110.502418981479</v>
          </cell>
          <cell r="H3361" t="str">
            <v>000-005-6006-RET/SET</v>
          </cell>
          <cell r="J3361">
            <v>1</v>
          </cell>
        </row>
        <row r="3362">
          <cell r="C3362" t="str">
            <v>PEE-HS--6006-D-C0</v>
          </cell>
          <cell r="F3362">
            <v>38110.502418981479</v>
          </cell>
          <cell r="H3362" t="str">
            <v>000-003-9/32</v>
          </cell>
          <cell r="J3362">
            <v>11</v>
          </cell>
        </row>
        <row r="3363">
          <cell r="C3363" t="str">
            <v>PEE-HS--6006-D-C0</v>
          </cell>
          <cell r="F3363">
            <v>38110.502418981479</v>
          </cell>
          <cell r="H3363" t="str">
            <v>002-002-001</v>
          </cell>
          <cell r="J3363">
            <v>6.0000000000000001E-3</v>
          </cell>
        </row>
        <row r="3364">
          <cell r="C3364" t="str">
            <v>PEE-HS--203KRR2-D-C0</v>
          </cell>
          <cell r="F3364">
            <v>38218.345462962963</v>
          </cell>
          <cell r="H3364" t="str">
            <v>000-001-203-KRR2-D</v>
          </cell>
          <cell r="J3364">
            <v>1</v>
          </cell>
        </row>
        <row r="3365">
          <cell r="C3365" t="str">
            <v>PEE-HS--203KRR2-D-C0</v>
          </cell>
          <cell r="F3365">
            <v>38218.345462962963</v>
          </cell>
          <cell r="H3365" t="str">
            <v>000-002-203-KRR2-D</v>
          </cell>
          <cell r="J3365">
            <v>1</v>
          </cell>
        </row>
        <row r="3366">
          <cell r="C3366" t="str">
            <v>PEE-HS--203KRR2-D-C0</v>
          </cell>
          <cell r="F3366">
            <v>38218.345462962963</v>
          </cell>
          <cell r="H3366" t="str">
            <v>000-005-203-RET/SET</v>
          </cell>
          <cell r="J3366">
            <v>1</v>
          </cell>
        </row>
        <row r="3367">
          <cell r="C3367" t="str">
            <v>PEE-HS--203KRR2-D-C0</v>
          </cell>
          <cell r="F3367">
            <v>38218.345462962963</v>
          </cell>
          <cell r="H3367" t="str">
            <v>000-003-17/64</v>
          </cell>
          <cell r="J3367">
            <v>8</v>
          </cell>
        </row>
        <row r="3368">
          <cell r="C3368" t="str">
            <v>PEE-HS--203KRR2-D-C0</v>
          </cell>
          <cell r="F3368">
            <v>38218.345462962963</v>
          </cell>
          <cell r="H3368" t="str">
            <v>000-004-RLD-203-RED</v>
          </cell>
          <cell r="J3368">
            <v>2</v>
          </cell>
        </row>
        <row r="3369">
          <cell r="C3369" t="str">
            <v>PEE-HS--203KRR2-D-C0</v>
          </cell>
          <cell r="F3369">
            <v>38218.345462962963</v>
          </cell>
          <cell r="H3369" t="str">
            <v>002-002-001</v>
          </cell>
          <cell r="J3369">
            <v>6.0000000000000001E-3</v>
          </cell>
        </row>
        <row r="3370">
          <cell r="C3370" t="str">
            <v>PEE-S---6005-ZZ</v>
          </cell>
          <cell r="F3370">
            <v>38320.390925925924</v>
          </cell>
          <cell r="H3370" t="str">
            <v>PEE-S---6005-D-C0</v>
          </cell>
          <cell r="J3370">
            <v>1</v>
          </cell>
        </row>
        <row r="3371">
          <cell r="C3371" t="str">
            <v>PEE-S---6005-ZZ</v>
          </cell>
          <cell r="F3371">
            <v>38320.390925925924</v>
          </cell>
          <cell r="H3371" t="str">
            <v>000-004-ZZ-6005</v>
          </cell>
          <cell r="J3371">
            <v>2</v>
          </cell>
        </row>
        <row r="3372">
          <cell r="C3372" t="str">
            <v>PEE-S---6005-ZZ</v>
          </cell>
          <cell r="F3372">
            <v>38320.390925925924</v>
          </cell>
          <cell r="H3372" t="str">
            <v>000-006-001</v>
          </cell>
          <cell r="J3372">
            <v>1.032</v>
          </cell>
        </row>
        <row r="3373">
          <cell r="C3373" t="str">
            <v>PEE-S---6005-ZZ</v>
          </cell>
          <cell r="F3373">
            <v>38320.390925925924</v>
          </cell>
          <cell r="H3373" t="str">
            <v>002-002-001</v>
          </cell>
          <cell r="J3373">
            <v>1.7999999999999999E-2</v>
          </cell>
        </row>
        <row r="3374">
          <cell r="C3374" t="str">
            <v>PEE-HS--6204-2RLD-C0</v>
          </cell>
          <cell r="F3374">
            <v>38320.514756944445</v>
          </cell>
          <cell r="H3374" t="str">
            <v>PEE-HS--6204-D-C0</v>
          </cell>
          <cell r="J3374">
            <v>1</v>
          </cell>
        </row>
        <row r="3375">
          <cell r="C3375" t="str">
            <v>PEE-HS--6204-2RLD-C0</v>
          </cell>
          <cell r="F3375">
            <v>38320.514756944445</v>
          </cell>
          <cell r="H3375" t="str">
            <v>000-004-RLD-6204-RED</v>
          </cell>
          <cell r="J3375">
            <v>2</v>
          </cell>
        </row>
        <row r="3376">
          <cell r="C3376" t="str">
            <v>PEE-HS--6204-2RLD-C0</v>
          </cell>
          <cell r="F3376">
            <v>38320.514756944445</v>
          </cell>
          <cell r="H3376" t="str">
            <v>000-006-001</v>
          </cell>
          <cell r="J3376">
            <v>1.4</v>
          </cell>
        </row>
        <row r="3377">
          <cell r="C3377" t="str">
            <v>PEE-HS--6204-2RLD-C0</v>
          </cell>
          <cell r="F3377">
            <v>38320.514756944445</v>
          </cell>
          <cell r="H3377" t="str">
            <v>002-002-001</v>
          </cell>
          <cell r="J3377">
            <v>1.7999999999999999E-2</v>
          </cell>
        </row>
        <row r="3378">
          <cell r="C3378" t="str">
            <v>PEE-HS--6008-2RLD-C0</v>
          </cell>
          <cell r="F3378">
            <v>38330.464201388888</v>
          </cell>
          <cell r="H3378" t="str">
            <v>PEE-HS--6008-D-C0</v>
          </cell>
          <cell r="J3378">
            <v>1</v>
          </cell>
        </row>
        <row r="3379">
          <cell r="C3379" t="str">
            <v>PEE-HS--6008-2RLD-C0</v>
          </cell>
          <cell r="F3379">
            <v>38330.464201388888</v>
          </cell>
          <cell r="H3379" t="str">
            <v>000-004-RLD-6008-RED</v>
          </cell>
          <cell r="J3379">
            <v>2</v>
          </cell>
        </row>
        <row r="3380">
          <cell r="C3380" t="str">
            <v>PEE-HS--6008-2RLD-C0</v>
          </cell>
          <cell r="F3380">
            <v>38330.464201388888</v>
          </cell>
          <cell r="H3380" t="str">
            <v>000-006-001</v>
          </cell>
          <cell r="J3380">
            <v>2.5</v>
          </cell>
        </row>
        <row r="3381">
          <cell r="C3381" t="str">
            <v>PEE-HS--6008-2RLD-C0</v>
          </cell>
          <cell r="F3381">
            <v>38330.464201388888</v>
          </cell>
          <cell r="H3381" t="str">
            <v>002-002-001</v>
          </cell>
          <cell r="J3381">
            <v>1.7999999999999999E-2</v>
          </cell>
        </row>
        <row r="3382">
          <cell r="C3382" t="str">
            <v>PEE-HS--6203-MD-C3</v>
          </cell>
          <cell r="F3382">
            <v>38335.676655092589</v>
          </cell>
          <cell r="H3382" t="str">
            <v>MID-001-6203-D</v>
          </cell>
          <cell r="J3382">
            <v>1</v>
          </cell>
        </row>
        <row r="3383">
          <cell r="C3383" t="str">
            <v>PEE-HS--6203-MD-C3</v>
          </cell>
          <cell r="F3383">
            <v>38335.676655092589</v>
          </cell>
          <cell r="H3383" t="str">
            <v>MID-002-6203-D</v>
          </cell>
          <cell r="J3383">
            <v>1</v>
          </cell>
        </row>
        <row r="3384">
          <cell r="C3384" t="str">
            <v>PEE-HS--6203-MD-C3</v>
          </cell>
          <cell r="F3384">
            <v>38335.676655092589</v>
          </cell>
          <cell r="H3384" t="str">
            <v>MID-005-6203-RET/SET</v>
          </cell>
          <cell r="J3384">
            <v>1</v>
          </cell>
        </row>
        <row r="3385">
          <cell r="C3385" t="str">
            <v>PEE-HS--6203-MD-C3</v>
          </cell>
          <cell r="F3385">
            <v>38335.676655092589</v>
          </cell>
          <cell r="H3385" t="str">
            <v>MID-003-17/64</v>
          </cell>
          <cell r="J3385">
            <v>8</v>
          </cell>
        </row>
        <row r="3386">
          <cell r="C3386" t="str">
            <v>PEE-HS--6203-MD-C3</v>
          </cell>
          <cell r="F3386">
            <v>38335.676655092589</v>
          </cell>
          <cell r="H3386" t="str">
            <v>002-002-001</v>
          </cell>
          <cell r="J3386">
            <v>6.0000000000000001E-3</v>
          </cell>
        </row>
        <row r="3387">
          <cell r="C3387" t="str">
            <v>PEE-S---6204-D-C3-M</v>
          </cell>
          <cell r="F3387">
            <v>38338.39634259259</v>
          </cell>
          <cell r="H3387" t="str">
            <v>MID-001-6204-D</v>
          </cell>
          <cell r="J3387">
            <v>1</v>
          </cell>
        </row>
        <row r="3388">
          <cell r="C3388" t="str">
            <v>PEE-S---6204-D-C3-M</v>
          </cell>
          <cell r="F3388">
            <v>38338.39634259259</v>
          </cell>
          <cell r="H3388" t="str">
            <v>MID-002-6204-D</v>
          </cell>
          <cell r="J3388">
            <v>1</v>
          </cell>
        </row>
        <row r="3389">
          <cell r="C3389" t="str">
            <v>PEE-S---6204-D-C3-M</v>
          </cell>
          <cell r="F3389">
            <v>38338.39634259259</v>
          </cell>
          <cell r="H3389" t="str">
            <v>MID-005-6204-RET/SET</v>
          </cell>
          <cell r="J3389">
            <v>1</v>
          </cell>
        </row>
        <row r="3390">
          <cell r="C3390" t="str">
            <v>PEE-S---6204-D-C3-M</v>
          </cell>
          <cell r="F3390">
            <v>38338.39634259259</v>
          </cell>
          <cell r="H3390" t="str">
            <v>MID-003-5/16</v>
          </cell>
          <cell r="J3390">
            <v>8</v>
          </cell>
        </row>
        <row r="3391">
          <cell r="C3391" t="str">
            <v>PEE-S---6204-D-C3-M</v>
          </cell>
          <cell r="F3391">
            <v>38338.39634259259</v>
          </cell>
          <cell r="H3391" t="str">
            <v>002-002-001</v>
          </cell>
          <cell r="J3391">
            <v>6.0000000000000001E-3</v>
          </cell>
        </row>
        <row r="3392">
          <cell r="C3392" t="str">
            <v>PEE-HS--6006-2RLD-C0</v>
          </cell>
          <cell r="F3392">
            <v>38345.354745370372</v>
          </cell>
          <cell r="H3392" t="str">
            <v>PEE-HS--6006-D-C0</v>
          </cell>
          <cell r="J3392">
            <v>1</v>
          </cell>
        </row>
        <row r="3393">
          <cell r="C3393" t="str">
            <v>PEE-HS--6006-2RLD-C0</v>
          </cell>
          <cell r="F3393">
            <v>38345.354745370372</v>
          </cell>
          <cell r="H3393" t="str">
            <v>000-004-RLD-6006-RED</v>
          </cell>
          <cell r="J3393">
            <v>2</v>
          </cell>
        </row>
        <row r="3394">
          <cell r="C3394" t="str">
            <v>PEE-HS--6006-2RLD-C0</v>
          </cell>
          <cell r="F3394">
            <v>38345.354745370372</v>
          </cell>
          <cell r="H3394" t="str">
            <v>000-006-001</v>
          </cell>
          <cell r="J3394">
            <v>1.5</v>
          </cell>
        </row>
        <row r="3395">
          <cell r="C3395" t="str">
            <v>PEE-HS--6006-2RLD-C0</v>
          </cell>
          <cell r="F3395">
            <v>38345.354745370372</v>
          </cell>
          <cell r="H3395" t="str">
            <v>002-002-001</v>
          </cell>
          <cell r="J3395">
            <v>1.7999999999999999E-2</v>
          </cell>
        </row>
        <row r="3396">
          <cell r="C3396" t="str">
            <v>PEE-HS--6007-D-C3</v>
          </cell>
          <cell r="F3396">
            <v>38358.359305555554</v>
          </cell>
          <cell r="H3396" t="str">
            <v>000-001-6007-D</v>
          </cell>
          <cell r="J3396">
            <v>1</v>
          </cell>
        </row>
        <row r="3397">
          <cell r="C3397" t="str">
            <v>PEE-HS--6007-D-C3</v>
          </cell>
          <cell r="F3397">
            <v>38358.359305555554</v>
          </cell>
          <cell r="H3397" t="str">
            <v>000-002-6007-D</v>
          </cell>
          <cell r="J3397">
            <v>1</v>
          </cell>
        </row>
        <row r="3398">
          <cell r="C3398" t="str">
            <v>PEE-HS--6007-D-C3</v>
          </cell>
          <cell r="F3398">
            <v>38358.359305555554</v>
          </cell>
          <cell r="H3398" t="str">
            <v>000-005-6007-RET/SET</v>
          </cell>
          <cell r="J3398">
            <v>1</v>
          </cell>
        </row>
        <row r="3399">
          <cell r="C3399" t="str">
            <v>PEE-HS--6007-D-C3</v>
          </cell>
          <cell r="F3399">
            <v>38358.359305555554</v>
          </cell>
          <cell r="H3399" t="str">
            <v>000-003-8MM</v>
          </cell>
          <cell r="J3399">
            <v>11</v>
          </cell>
        </row>
        <row r="3400">
          <cell r="C3400" t="str">
            <v>PEE-HS--6007-D-C3</v>
          </cell>
          <cell r="F3400">
            <v>38358.359305555554</v>
          </cell>
          <cell r="H3400" t="str">
            <v>002-002-001</v>
          </cell>
          <cell r="J3400">
            <v>6.0000000000000001E-3</v>
          </cell>
        </row>
        <row r="3401">
          <cell r="C3401" t="str">
            <v>PEE-HS--6304-D-C3</v>
          </cell>
          <cell r="F3401">
            <v>38362.495243055557</v>
          </cell>
          <cell r="H3401" t="str">
            <v>000-001-6304-D</v>
          </cell>
          <cell r="J3401">
            <v>1</v>
          </cell>
        </row>
        <row r="3402">
          <cell r="C3402" t="str">
            <v>PEE-HS--6304-D-C3</v>
          </cell>
          <cell r="F3402">
            <v>38362.495243055557</v>
          </cell>
          <cell r="H3402" t="str">
            <v>000-002-6304-D</v>
          </cell>
          <cell r="J3402">
            <v>1</v>
          </cell>
        </row>
        <row r="3403">
          <cell r="C3403" t="str">
            <v>PEE-HS--6304-D-C3</v>
          </cell>
          <cell r="F3403">
            <v>38362.495243055557</v>
          </cell>
          <cell r="H3403" t="str">
            <v>000-005-6304-RET/SET</v>
          </cell>
          <cell r="J3403">
            <v>1</v>
          </cell>
        </row>
        <row r="3404">
          <cell r="C3404" t="str">
            <v>PEE-HS--6304-D-C3</v>
          </cell>
          <cell r="F3404">
            <v>38362.495243055557</v>
          </cell>
          <cell r="H3404" t="str">
            <v>000-003-3/8</v>
          </cell>
          <cell r="J3404">
            <v>7</v>
          </cell>
        </row>
        <row r="3405">
          <cell r="C3405" t="str">
            <v>PEE-HS--6304-D-C3</v>
          </cell>
          <cell r="F3405">
            <v>38362.495243055557</v>
          </cell>
          <cell r="H3405" t="str">
            <v>002-002-001</v>
          </cell>
          <cell r="J3405">
            <v>6.0000000000000001E-3</v>
          </cell>
        </row>
        <row r="3406">
          <cell r="C3406" t="str">
            <v>PEE-S---6204-2RST-C3</v>
          </cell>
          <cell r="F3406">
            <v>38394.370844907404</v>
          </cell>
          <cell r="H3406" t="str">
            <v>PEE-S---6204-D-C3</v>
          </cell>
          <cell r="J3406">
            <v>1</v>
          </cell>
        </row>
        <row r="3407">
          <cell r="C3407" t="str">
            <v>PEE-S---6204-2RST-C3</v>
          </cell>
          <cell r="F3407">
            <v>38394.370844907404</v>
          </cell>
          <cell r="H3407" t="str">
            <v>000-004-RST-6204-RED</v>
          </cell>
          <cell r="J3407">
            <v>2</v>
          </cell>
        </row>
        <row r="3408">
          <cell r="C3408" t="str">
            <v>PEE-S---6204-2RST-C3</v>
          </cell>
          <cell r="F3408">
            <v>38394.370844907404</v>
          </cell>
          <cell r="H3408" t="str">
            <v>000-006-001</v>
          </cell>
          <cell r="J3408">
            <v>3.6</v>
          </cell>
        </row>
        <row r="3409">
          <cell r="C3409" t="str">
            <v>PEE-S---6204-2RST-C3</v>
          </cell>
          <cell r="F3409">
            <v>38394.370844907404</v>
          </cell>
          <cell r="H3409" t="str">
            <v>002-002-001</v>
          </cell>
          <cell r="J3409">
            <v>4.0000000000000001E-3</v>
          </cell>
        </row>
        <row r="3410">
          <cell r="C3410" t="str">
            <v>PEE-HS--6206-D-C0-M</v>
          </cell>
          <cell r="F3410">
            <v>38394.748935185184</v>
          </cell>
          <cell r="H3410" t="str">
            <v>MID-001-6206-D</v>
          </cell>
          <cell r="J3410">
            <v>1</v>
          </cell>
        </row>
        <row r="3411">
          <cell r="C3411" t="str">
            <v>PEE-HS--6206-D-C0-M</v>
          </cell>
          <cell r="F3411">
            <v>38394.748935185184</v>
          </cell>
          <cell r="H3411" t="str">
            <v>MID-002-6206-D</v>
          </cell>
          <cell r="J3411">
            <v>1</v>
          </cell>
        </row>
        <row r="3412">
          <cell r="C3412" t="str">
            <v>PEE-HS--6206-D-C0-M</v>
          </cell>
          <cell r="F3412">
            <v>38394.748935185184</v>
          </cell>
          <cell r="H3412" t="str">
            <v>MID-005-6206-RET/SET</v>
          </cell>
          <cell r="J3412">
            <v>1</v>
          </cell>
        </row>
        <row r="3413">
          <cell r="C3413" t="str">
            <v>PEE-HS--6206-D-C0-M</v>
          </cell>
          <cell r="F3413">
            <v>38394.748935185184</v>
          </cell>
          <cell r="H3413" t="str">
            <v>MID-003-3/8</v>
          </cell>
          <cell r="J3413">
            <v>9</v>
          </cell>
        </row>
        <row r="3414">
          <cell r="C3414" t="str">
            <v>PEE-HS--6206-D-C0-M</v>
          </cell>
          <cell r="F3414">
            <v>38394.748935185184</v>
          </cell>
          <cell r="H3414" t="str">
            <v>002-002-001</v>
          </cell>
          <cell r="J3414">
            <v>6.0000000000000001E-3</v>
          </cell>
        </row>
        <row r="3415">
          <cell r="C3415" t="str">
            <v>PEE-SS--6204-2RST-C3</v>
          </cell>
          <cell r="F3415">
            <v>38406.710833333331</v>
          </cell>
          <cell r="H3415" t="str">
            <v>PEE-SS--6204-D-C3</v>
          </cell>
          <cell r="J3415">
            <v>1</v>
          </cell>
        </row>
        <row r="3416">
          <cell r="C3416" t="str">
            <v>PEE-SS--6204-2RST-C3</v>
          </cell>
          <cell r="F3416">
            <v>38406.710833333331</v>
          </cell>
          <cell r="H3416" t="str">
            <v>000-004-RST-6204-RED</v>
          </cell>
          <cell r="J3416">
            <v>2</v>
          </cell>
        </row>
        <row r="3417">
          <cell r="C3417" t="str">
            <v>PEE-SS--6204-2RST-C3</v>
          </cell>
          <cell r="F3417">
            <v>38406.710833333331</v>
          </cell>
          <cell r="H3417" t="str">
            <v>000-006-001</v>
          </cell>
          <cell r="J3417">
            <v>3.6</v>
          </cell>
        </row>
        <row r="3418">
          <cell r="C3418" t="str">
            <v>PEE-SS--6204-2RST-C3</v>
          </cell>
          <cell r="F3418">
            <v>38406.710833333331</v>
          </cell>
          <cell r="H3418" t="str">
            <v>002-002-001</v>
          </cell>
          <cell r="J3418">
            <v>4.0000000000000001E-3</v>
          </cell>
        </row>
        <row r="3419">
          <cell r="C3419" t="str">
            <v>PEE-SS--6204-2RST-C0</v>
          </cell>
          <cell r="F3419">
            <v>38406.724907407406</v>
          </cell>
          <cell r="H3419" t="str">
            <v>PEE-SS--6204-D-C0</v>
          </cell>
          <cell r="J3419">
            <v>1</v>
          </cell>
        </row>
        <row r="3420">
          <cell r="C3420" t="str">
            <v>PEE-SS--6204-2RST-C0</v>
          </cell>
          <cell r="F3420">
            <v>38406.724907407406</v>
          </cell>
          <cell r="H3420" t="str">
            <v>000-004-RST-6204-RED</v>
          </cell>
          <cell r="J3420">
            <v>2</v>
          </cell>
        </row>
        <row r="3421">
          <cell r="C3421" t="str">
            <v>PEE-SS--6204-2RST-C0</v>
          </cell>
          <cell r="F3421">
            <v>38406.724907407406</v>
          </cell>
          <cell r="H3421" t="str">
            <v>000-006-001</v>
          </cell>
          <cell r="J3421">
            <v>3.6</v>
          </cell>
        </row>
        <row r="3422">
          <cell r="C3422" t="str">
            <v>PEE-SS--6204-2RST-C0</v>
          </cell>
          <cell r="F3422">
            <v>38406.724907407406</v>
          </cell>
          <cell r="H3422" t="str">
            <v>002-002-001</v>
          </cell>
          <cell r="J3422">
            <v>4.0000000000000001E-3</v>
          </cell>
        </row>
        <row r="3423">
          <cell r="C3423" t="str">
            <v>PEE-HS--6304-2RLD-C3</v>
          </cell>
          <cell r="F3423">
            <v>38411.379965277774</v>
          </cell>
          <cell r="H3423" t="str">
            <v>PEE-HS--6304-D-C3</v>
          </cell>
          <cell r="J3423">
            <v>1</v>
          </cell>
        </row>
        <row r="3424">
          <cell r="C3424" t="str">
            <v>PEE-HS--6304-2RLD-C3</v>
          </cell>
          <cell r="F3424">
            <v>38411.379965277774</v>
          </cell>
          <cell r="H3424" t="str">
            <v>000-004-RLD-6304-RED</v>
          </cell>
          <cell r="J3424">
            <v>2</v>
          </cell>
        </row>
        <row r="3425">
          <cell r="C3425" t="str">
            <v>PEE-HS--6304-2RLD-C3</v>
          </cell>
          <cell r="F3425">
            <v>38411.379965277774</v>
          </cell>
          <cell r="H3425" t="str">
            <v>000-006-001</v>
          </cell>
          <cell r="J3425">
            <v>1.8</v>
          </cell>
        </row>
        <row r="3426">
          <cell r="C3426" t="str">
            <v>PEE-HS--6304-2RLD-C3</v>
          </cell>
          <cell r="F3426">
            <v>38411.379965277774</v>
          </cell>
          <cell r="H3426" t="str">
            <v>002-002-001</v>
          </cell>
          <cell r="J3426">
            <v>4.0000000000000001E-3</v>
          </cell>
        </row>
        <row r="3427">
          <cell r="C3427" t="str">
            <v>PEE-S---6205-D-C0-M</v>
          </cell>
          <cell r="F3427">
            <v>38411.418275462966</v>
          </cell>
          <cell r="H3427" t="str">
            <v>MID-001-6205-D</v>
          </cell>
          <cell r="J3427">
            <v>1</v>
          </cell>
        </row>
        <row r="3428">
          <cell r="C3428" t="str">
            <v>PEE-S---6205-D-C0-M</v>
          </cell>
          <cell r="F3428">
            <v>38411.418275462966</v>
          </cell>
          <cell r="H3428" t="str">
            <v>MID-002-6205-D</v>
          </cell>
          <cell r="J3428">
            <v>1</v>
          </cell>
        </row>
        <row r="3429">
          <cell r="C3429" t="str">
            <v>PEE-S---6205-D-C0-M</v>
          </cell>
          <cell r="F3429">
            <v>38411.418275462966</v>
          </cell>
          <cell r="H3429" t="str">
            <v>MID-005-6205-RET/SET</v>
          </cell>
          <cell r="J3429">
            <v>1</v>
          </cell>
        </row>
        <row r="3430">
          <cell r="C3430" t="str">
            <v>PEE-S---6205-D-C0-M</v>
          </cell>
          <cell r="F3430">
            <v>38411.418275462966</v>
          </cell>
          <cell r="H3430" t="str">
            <v>MID-003-5/16</v>
          </cell>
          <cell r="J3430">
            <v>9</v>
          </cell>
        </row>
        <row r="3431">
          <cell r="C3431" t="str">
            <v>PEE-S---6205-D-C0-M</v>
          </cell>
          <cell r="F3431">
            <v>38411.418275462966</v>
          </cell>
          <cell r="H3431" t="str">
            <v>002-002-001</v>
          </cell>
          <cell r="J3431">
            <v>1.2E-2</v>
          </cell>
        </row>
        <row r="3432">
          <cell r="C3432" t="str">
            <v>PEE-HS--6007-2RLD-C3</v>
          </cell>
          <cell r="F3432">
            <v>38414.655752314815</v>
          </cell>
          <cell r="H3432" t="str">
            <v>PEE-HS--6007-D-C3</v>
          </cell>
          <cell r="J3432">
            <v>1</v>
          </cell>
        </row>
        <row r="3433">
          <cell r="C3433" t="str">
            <v>PEE-HS--6007-2RLD-C3</v>
          </cell>
          <cell r="F3433">
            <v>38414.655752314815</v>
          </cell>
          <cell r="H3433" t="str">
            <v>000-004-RLD-6007-RED</v>
          </cell>
          <cell r="J3433">
            <v>2</v>
          </cell>
        </row>
        <row r="3434">
          <cell r="C3434" t="str">
            <v>PEE-HS--6007-2RLD-C3</v>
          </cell>
          <cell r="F3434">
            <v>38414.655752314815</v>
          </cell>
          <cell r="H3434" t="str">
            <v>000-006-001</v>
          </cell>
          <cell r="J3434">
            <v>2</v>
          </cell>
        </row>
        <row r="3435">
          <cell r="C3435" t="str">
            <v>PEE-HS--6007-2RLD-C3</v>
          </cell>
          <cell r="F3435">
            <v>38414.655752314815</v>
          </cell>
          <cell r="H3435" t="str">
            <v>002-002-001</v>
          </cell>
          <cell r="J3435">
            <v>0.01</v>
          </cell>
        </row>
        <row r="3436">
          <cell r="C3436" t="str">
            <v>PEE-EMQ-6004-2RLD-C0</v>
          </cell>
          <cell r="F3436">
            <v>38432.429270833331</v>
          </cell>
          <cell r="H3436" t="str">
            <v>PEE-EMQ-6004-D-C0</v>
          </cell>
          <cell r="J3436">
            <v>1</v>
          </cell>
        </row>
        <row r="3437">
          <cell r="C3437" t="str">
            <v>PEE-EMQ-6004-2RLD-C0</v>
          </cell>
          <cell r="F3437">
            <v>38432.429270833331</v>
          </cell>
          <cell r="H3437" t="str">
            <v>000-004-RLD-6004-RED</v>
          </cell>
          <cell r="J3437">
            <v>2</v>
          </cell>
        </row>
        <row r="3438">
          <cell r="C3438" t="str">
            <v>PEE-EMQ-6004-2RLD-C0</v>
          </cell>
          <cell r="F3438">
            <v>38432.429270833331</v>
          </cell>
          <cell r="H3438" t="str">
            <v>000-006-001</v>
          </cell>
          <cell r="J3438">
            <v>0.9</v>
          </cell>
        </row>
        <row r="3439">
          <cell r="C3439" t="str">
            <v>PEE-EMQ-6004-2RLD-C0</v>
          </cell>
          <cell r="F3439">
            <v>38432.429270833331</v>
          </cell>
          <cell r="H3439" t="str">
            <v>002-002-001</v>
          </cell>
          <cell r="J3439">
            <v>4.0000000000000001E-3</v>
          </cell>
        </row>
        <row r="3440">
          <cell r="C3440" t="str">
            <v>PEE-EMQ-6202-2RLD-C0</v>
          </cell>
          <cell r="F3440">
            <v>38432.68954861111</v>
          </cell>
          <cell r="H3440" t="str">
            <v>PEE-EMQ-6202-D-C0</v>
          </cell>
          <cell r="J3440">
            <v>1</v>
          </cell>
        </row>
        <row r="3441">
          <cell r="C3441" t="str">
            <v>PEE-EMQ-6202-2RLD-C0</v>
          </cell>
          <cell r="F3441">
            <v>38432.68954861111</v>
          </cell>
          <cell r="H3441" t="str">
            <v>000-004-RLD-6202-RED</v>
          </cell>
          <cell r="J3441">
            <v>2</v>
          </cell>
        </row>
        <row r="3442">
          <cell r="C3442" t="str">
            <v>PEE-EMQ-6202-2RLD-C0</v>
          </cell>
          <cell r="F3442">
            <v>38432.68954861111</v>
          </cell>
          <cell r="H3442" t="str">
            <v>000-006-001</v>
          </cell>
          <cell r="J3442">
            <v>0.6</v>
          </cell>
        </row>
        <row r="3443">
          <cell r="C3443" t="str">
            <v>PEE-EMQ-6202-2RLD-C0</v>
          </cell>
          <cell r="F3443">
            <v>38432.68954861111</v>
          </cell>
          <cell r="H3443" t="str">
            <v>002-002-001</v>
          </cell>
          <cell r="J3443">
            <v>4.0000000000000001E-3</v>
          </cell>
        </row>
        <row r="3444">
          <cell r="C3444" t="str">
            <v>PEE-HS--6206-2RLD-C0</v>
          </cell>
          <cell r="F3444">
            <v>38448.441562499997</v>
          </cell>
          <cell r="H3444" t="str">
            <v>PEE-HS--6206-D-C0</v>
          </cell>
          <cell r="J3444">
            <v>1</v>
          </cell>
        </row>
        <row r="3445">
          <cell r="C3445" t="str">
            <v>PEE-HS--6206-2RLD-C0</v>
          </cell>
          <cell r="F3445">
            <v>38448.441562499997</v>
          </cell>
          <cell r="H3445" t="str">
            <v>000-004-RLD-6206-RED</v>
          </cell>
          <cell r="J3445">
            <v>2</v>
          </cell>
        </row>
        <row r="3446">
          <cell r="C3446" t="str">
            <v>PEE-HS--6206-2RLD-C0</v>
          </cell>
          <cell r="F3446">
            <v>38448.441562499997</v>
          </cell>
          <cell r="H3446" t="str">
            <v>000-006-001</v>
          </cell>
          <cell r="J3446">
            <v>2.4</v>
          </cell>
        </row>
        <row r="3447">
          <cell r="C3447" t="str">
            <v>PEE-HS--6206-2RLD-C0</v>
          </cell>
          <cell r="F3447">
            <v>38448.441562499997</v>
          </cell>
          <cell r="H3447" t="str">
            <v>002-002-001</v>
          </cell>
          <cell r="J3447">
            <v>5.0000000000000001E-3</v>
          </cell>
        </row>
        <row r="3448">
          <cell r="C3448" t="str">
            <v>PEE-HS--6202-2RLD-C0</v>
          </cell>
          <cell r="F3448">
            <v>38449.680405092593</v>
          </cell>
          <cell r="H3448" t="str">
            <v>PEE-HS--6202-D-C0</v>
          </cell>
          <cell r="J3448">
            <v>1</v>
          </cell>
        </row>
        <row r="3449">
          <cell r="C3449" t="str">
            <v>PEE-HS--6202-2RLD-C0</v>
          </cell>
          <cell r="F3449">
            <v>38449.680405092593</v>
          </cell>
          <cell r="H3449" t="str">
            <v>000-004-RLD-6202-RED</v>
          </cell>
          <cell r="J3449">
            <v>2</v>
          </cell>
        </row>
        <row r="3450">
          <cell r="C3450" t="str">
            <v>PEE-HS--6202-2RLD-C0</v>
          </cell>
          <cell r="F3450">
            <v>38449.680405092593</v>
          </cell>
          <cell r="H3450" t="str">
            <v>000-006-001</v>
          </cell>
          <cell r="J3450">
            <v>0.6</v>
          </cell>
        </row>
        <row r="3451">
          <cell r="C3451" t="str">
            <v>PEE-HS--6202-2RLD-C0</v>
          </cell>
          <cell r="F3451">
            <v>38449.680405092593</v>
          </cell>
          <cell r="H3451" t="str">
            <v>002-002-001</v>
          </cell>
          <cell r="J3451">
            <v>3.0000000000000001E-3</v>
          </cell>
        </row>
        <row r="3452">
          <cell r="C3452" t="str">
            <v>PEE-HS--6205-2RLD-C0</v>
          </cell>
          <cell r="F3452">
            <v>38453.359189814815</v>
          </cell>
          <cell r="H3452" t="str">
            <v>PEE-HS--6205-D-C0</v>
          </cell>
          <cell r="J3452">
            <v>1</v>
          </cell>
        </row>
        <row r="3453">
          <cell r="C3453" t="str">
            <v>PEE-HS--6205-2RLD-C0</v>
          </cell>
          <cell r="F3453">
            <v>38453.359189814815</v>
          </cell>
          <cell r="H3453" t="str">
            <v>000-004-RLD-6205-RED</v>
          </cell>
          <cell r="J3453">
            <v>2</v>
          </cell>
        </row>
        <row r="3454">
          <cell r="C3454" t="str">
            <v>PEE-HS--6205-2RLD-C0</v>
          </cell>
          <cell r="F3454">
            <v>38453.359189814815</v>
          </cell>
          <cell r="H3454" t="str">
            <v>000-006-001</v>
          </cell>
          <cell r="J3454">
            <v>1.7</v>
          </cell>
        </row>
        <row r="3455">
          <cell r="C3455" t="str">
            <v>PEE-HS--6205-2RLD-C0</v>
          </cell>
          <cell r="F3455">
            <v>38453.359189814815</v>
          </cell>
          <cell r="H3455" t="str">
            <v>002-002-001</v>
          </cell>
          <cell r="J3455">
            <v>4.0000000000000001E-3</v>
          </cell>
        </row>
        <row r="3456">
          <cell r="C3456" t="str">
            <v>PEE-EMQ-6201-2RLD-C0</v>
          </cell>
          <cell r="F3456">
            <v>38495.512557870374</v>
          </cell>
          <cell r="H3456" t="str">
            <v>PEE-EMQ-6201-D-C0</v>
          </cell>
          <cell r="J3456">
            <v>1</v>
          </cell>
        </row>
        <row r="3457">
          <cell r="C3457" t="str">
            <v>PEE-EMQ-6201-2RLD-C0</v>
          </cell>
          <cell r="F3457">
            <v>38495.512557870374</v>
          </cell>
          <cell r="H3457" t="str">
            <v>000-004-RLD-6201-RED</v>
          </cell>
          <cell r="J3457">
            <v>2</v>
          </cell>
        </row>
        <row r="3458">
          <cell r="C3458" t="str">
            <v>PEE-EMQ-6201-2RLD-C0</v>
          </cell>
          <cell r="F3458">
            <v>38495.512557870374</v>
          </cell>
          <cell r="H3458" t="str">
            <v>000-006-001</v>
          </cell>
          <cell r="J3458">
            <v>0.5</v>
          </cell>
        </row>
        <row r="3459">
          <cell r="C3459" t="str">
            <v>PEE-EMQ-6201-2RLD-C0</v>
          </cell>
          <cell r="F3459">
            <v>38495.512557870374</v>
          </cell>
          <cell r="H3459" t="str">
            <v>002-002-001</v>
          </cell>
          <cell r="J3459">
            <v>3.0000000000000001E-3</v>
          </cell>
        </row>
        <row r="3460">
          <cell r="C3460" t="str">
            <v>PEE-S---6204-1RSC0-M</v>
          </cell>
          <cell r="F3460">
            <v>38505.375706018516</v>
          </cell>
          <cell r="H3460" t="str">
            <v>MID-001-6204-D</v>
          </cell>
          <cell r="J3460">
            <v>1</v>
          </cell>
        </row>
        <row r="3461">
          <cell r="C3461" t="str">
            <v>PEE-S---6204-1RSC0-M</v>
          </cell>
          <cell r="F3461">
            <v>38505.375706018516</v>
          </cell>
          <cell r="H3461" t="str">
            <v>MID-002-6204-D</v>
          </cell>
          <cell r="J3461">
            <v>1</v>
          </cell>
        </row>
        <row r="3462">
          <cell r="C3462" t="str">
            <v>PEE-S---6204-1RSC0-M</v>
          </cell>
          <cell r="F3462">
            <v>38505.375706018516</v>
          </cell>
          <cell r="H3462" t="str">
            <v>MID-003-5/16</v>
          </cell>
          <cell r="J3462">
            <v>8</v>
          </cell>
        </row>
        <row r="3463">
          <cell r="C3463" t="str">
            <v>PEE-S---6204-1RSC0-M</v>
          </cell>
          <cell r="F3463">
            <v>38505.375706018516</v>
          </cell>
          <cell r="H3463" t="str">
            <v>MID-005-6204-RET/SET</v>
          </cell>
          <cell r="J3463">
            <v>1</v>
          </cell>
        </row>
        <row r="3464">
          <cell r="C3464" t="str">
            <v>PEE-S---6204-1RSC0-M</v>
          </cell>
          <cell r="F3464">
            <v>38505.375706018516</v>
          </cell>
          <cell r="H3464" t="str">
            <v>MID-004-RLD-6204-RED</v>
          </cell>
          <cell r="J3464">
            <v>1</v>
          </cell>
        </row>
        <row r="3465">
          <cell r="C3465" t="str">
            <v>PEE-S---6204-1RSC0-M</v>
          </cell>
          <cell r="F3465">
            <v>38505.375706018516</v>
          </cell>
          <cell r="H3465" t="str">
            <v>002-002-001</v>
          </cell>
          <cell r="J3465">
            <v>1.2999999999999999E-2</v>
          </cell>
        </row>
        <row r="3466">
          <cell r="C3466" t="str">
            <v>PEE-S---6203-2RLD-C3</v>
          </cell>
          <cell r="F3466">
            <v>38538.805763888886</v>
          </cell>
          <cell r="H3466" t="str">
            <v>PEE-S---6203-D-C3</v>
          </cell>
          <cell r="J3466">
            <v>1</v>
          </cell>
        </row>
        <row r="3467">
          <cell r="C3467" t="str">
            <v>PEE-S---6203-2RLD-C3</v>
          </cell>
          <cell r="F3467">
            <v>38538.805763888886</v>
          </cell>
          <cell r="H3467" t="str">
            <v>000-004-RLD-6203-RED</v>
          </cell>
          <cell r="J3467">
            <v>2</v>
          </cell>
        </row>
        <row r="3468">
          <cell r="C3468" t="str">
            <v>PEE-S---6203-2RLD-C3</v>
          </cell>
          <cell r="F3468">
            <v>38538.805763888886</v>
          </cell>
          <cell r="H3468" t="str">
            <v>000-006-001</v>
          </cell>
          <cell r="J3468">
            <v>0.8</v>
          </cell>
        </row>
        <row r="3469">
          <cell r="C3469" t="str">
            <v>PEE-S---6203-2RLD-C3</v>
          </cell>
          <cell r="F3469">
            <v>38538.805763888886</v>
          </cell>
          <cell r="H3469" t="str">
            <v>002-002-001</v>
          </cell>
          <cell r="J3469">
            <v>4.0000000000000001E-3</v>
          </cell>
        </row>
        <row r="3470">
          <cell r="C3470" t="str">
            <v>PEE-HS--6202-D-C3-M</v>
          </cell>
          <cell r="F3470">
            <v>38539.401724537034</v>
          </cell>
          <cell r="H3470" t="str">
            <v>MID-001-6202-D</v>
          </cell>
          <cell r="J3470">
            <v>1</v>
          </cell>
        </row>
        <row r="3471">
          <cell r="C3471" t="str">
            <v>PEE-HS--6202-D-C3-M</v>
          </cell>
          <cell r="F3471">
            <v>38539.401724537034</v>
          </cell>
          <cell r="H3471" t="str">
            <v>MID-002-6202-D</v>
          </cell>
          <cell r="J3471">
            <v>1</v>
          </cell>
        </row>
        <row r="3472">
          <cell r="C3472" t="str">
            <v>PEE-HS--6202-D-C3-M</v>
          </cell>
          <cell r="F3472">
            <v>38539.401724537034</v>
          </cell>
          <cell r="H3472" t="str">
            <v>MID-003-15/64</v>
          </cell>
          <cell r="J3472">
            <v>8</v>
          </cell>
        </row>
        <row r="3473">
          <cell r="C3473" t="str">
            <v>PEE-HS--6202-D-C3-M</v>
          </cell>
          <cell r="F3473">
            <v>38539.401724537034</v>
          </cell>
          <cell r="H3473" t="str">
            <v>MID-005-6202-RET/SET</v>
          </cell>
          <cell r="J3473">
            <v>1</v>
          </cell>
        </row>
        <row r="3474">
          <cell r="C3474" t="str">
            <v>PEE-HS--6202-D-C3-M</v>
          </cell>
          <cell r="F3474">
            <v>38539.401724537034</v>
          </cell>
          <cell r="H3474" t="str">
            <v>002-002-001</v>
          </cell>
          <cell r="J3474">
            <v>1.6E-2</v>
          </cell>
        </row>
        <row r="3475">
          <cell r="C3475" t="str">
            <v>PEE-S---6205-2RLD-C3</v>
          </cell>
          <cell r="F3475">
            <v>38555.479490740741</v>
          </cell>
          <cell r="H3475" t="str">
            <v>PEE-S---6205-D-C3</v>
          </cell>
          <cell r="J3475">
            <v>1</v>
          </cell>
        </row>
        <row r="3476">
          <cell r="C3476" t="str">
            <v>PEE-S---6205-2RLD-C3</v>
          </cell>
          <cell r="F3476">
            <v>38555.479490740741</v>
          </cell>
          <cell r="H3476" t="str">
            <v>000-004-RLD-6205-RED</v>
          </cell>
          <cell r="J3476">
            <v>2</v>
          </cell>
        </row>
        <row r="3477">
          <cell r="C3477" t="str">
            <v>PEE-S---6205-2RLD-C3</v>
          </cell>
          <cell r="F3477">
            <v>38555.479490740741</v>
          </cell>
          <cell r="H3477" t="str">
            <v>000-006-001</v>
          </cell>
          <cell r="J3477">
            <v>1.7</v>
          </cell>
        </row>
        <row r="3478">
          <cell r="C3478" t="str">
            <v>PEE-S---6205-2RLD-C3</v>
          </cell>
          <cell r="F3478">
            <v>38555.479490740741</v>
          </cell>
          <cell r="H3478" t="str">
            <v>002-002-001</v>
          </cell>
          <cell r="J3478">
            <v>4.0000000000000001E-3</v>
          </cell>
        </row>
        <row r="3479">
          <cell r="C3479" t="str">
            <v>PEE-HS--6005-ZZ-C3</v>
          </cell>
          <cell r="F3479">
            <v>39608.558379629627</v>
          </cell>
          <cell r="H3479" t="str">
            <v>MID-001-6005-R</v>
          </cell>
          <cell r="J3479">
            <v>1</v>
          </cell>
        </row>
        <row r="3480">
          <cell r="C3480" t="str">
            <v>PEE-HS--6005-ZZ-C3</v>
          </cell>
          <cell r="F3480">
            <v>39608.558379629627</v>
          </cell>
          <cell r="H3480" t="str">
            <v>MID-002-6005-R</v>
          </cell>
          <cell r="J3480">
            <v>1</v>
          </cell>
        </row>
        <row r="3481">
          <cell r="C3481" t="str">
            <v>PEE-HS--6005-ZZ-C3</v>
          </cell>
          <cell r="F3481">
            <v>39608.558379629627</v>
          </cell>
          <cell r="H3481" t="str">
            <v>MID-003-1/4</v>
          </cell>
          <cell r="J3481">
            <v>10</v>
          </cell>
        </row>
        <row r="3482">
          <cell r="C3482" t="str">
            <v>PEE-HS--6005-ZZ-C3</v>
          </cell>
          <cell r="F3482">
            <v>39608.558379629627</v>
          </cell>
          <cell r="H3482" t="str">
            <v>MID-004-6005-Z</v>
          </cell>
          <cell r="J3482">
            <v>2</v>
          </cell>
        </row>
        <row r="3483">
          <cell r="C3483" t="str">
            <v>PEE-HS--6005-ZZ-C3</v>
          </cell>
          <cell r="F3483">
            <v>39608.558379629627</v>
          </cell>
          <cell r="H3483" t="str">
            <v>MID-005-6005-RET/SET</v>
          </cell>
          <cell r="J3483">
            <v>1</v>
          </cell>
        </row>
        <row r="3484">
          <cell r="C3484" t="str">
            <v>PEE-HS--6005-ZZ-C3</v>
          </cell>
          <cell r="F3484">
            <v>39608.558379629627</v>
          </cell>
          <cell r="H3484" t="str">
            <v>000-006-001</v>
          </cell>
          <cell r="J3484">
            <v>1</v>
          </cell>
        </row>
        <row r="3485">
          <cell r="C3485" t="str">
            <v>PEE-HS--6005-ZZ-C3</v>
          </cell>
          <cell r="F3485">
            <v>39608.558379629627</v>
          </cell>
          <cell r="H3485" t="str">
            <v>002-002-001</v>
          </cell>
          <cell r="J3485">
            <v>1.1299999999999999E-2</v>
          </cell>
        </row>
        <row r="3486">
          <cell r="C3486" t="str">
            <v>PEE-SS--6206-2RLD-C3</v>
          </cell>
          <cell r="F3486">
            <v>39846.35</v>
          </cell>
          <cell r="H3486" t="str">
            <v>PEE-SS--6206-D-C3</v>
          </cell>
          <cell r="J3486">
            <v>1</v>
          </cell>
        </row>
        <row r="3487">
          <cell r="C3487" t="str">
            <v>PEE-SS--6206-2RLD-C3</v>
          </cell>
          <cell r="F3487">
            <v>39846.35</v>
          </cell>
          <cell r="H3487" t="str">
            <v>MID-004-RLD-6206-RED</v>
          </cell>
          <cell r="J3487">
            <v>2</v>
          </cell>
        </row>
        <row r="3488">
          <cell r="C3488" t="str">
            <v>PEE-SS--6206-2RLD-C3</v>
          </cell>
          <cell r="F3488">
            <v>39846.35</v>
          </cell>
          <cell r="H3488" t="str">
            <v>000-006-001</v>
          </cell>
          <cell r="J3488">
            <v>2.4</v>
          </cell>
        </row>
        <row r="3489">
          <cell r="C3489" t="str">
            <v>PEE-SS--6206-2RLD-C3</v>
          </cell>
          <cell r="F3489">
            <v>39846.35</v>
          </cell>
          <cell r="H3489" t="str">
            <v>002-002-001</v>
          </cell>
          <cell r="J3489">
            <v>4.0000000000000001E-3</v>
          </cell>
        </row>
        <row r="3490">
          <cell r="C3490" t="str">
            <v>BPB-047-UC-205-DBL</v>
          </cell>
          <cell r="F3490">
            <v>40115.4687962963</v>
          </cell>
          <cell r="H3490" t="str">
            <v>RET-047-UC-205-DBL</v>
          </cell>
          <cell r="J3490">
            <v>1</v>
          </cell>
        </row>
        <row r="3491">
          <cell r="C3491" t="str">
            <v>BPB-047-UC-205-DBL</v>
          </cell>
          <cell r="F3491">
            <v>40115.4687962963</v>
          </cell>
          <cell r="H3491" t="str">
            <v>RET-027-SEAL-205DBL</v>
          </cell>
          <cell r="J3491">
            <v>2</v>
          </cell>
        </row>
        <row r="3492">
          <cell r="C3492" t="str">
            <v>BPB-041-5206-2RST</v>
          </cell>
          <cell r="F3492">
            <v>40221.397534722222</v>
          </cell>
          <cell r="H3492" t="str">
            <v>RET-041-5206-2RST</v>
          </cell>
          <cell r="J3492">
            <v>1</v>
          </cell>
        </row>
        <row r="3493">
          <cell r="C3493" t="str">
            <v>BPB-041-5206-2RST</v>
          </cell>
          <cell r="F3493">
            <v>40221.397534722222</v>
          </cell>
          <cell r="H3493" t="str">
            <v>RET-027-5206-SEAL</v>
          </cell>
          <cell r="J3493">
            <v>2</v>
          </cell>
        </row>
        <row r="3494">
          <cell r="C3494" t="str">
            <v>BPB-047-HC-206-30mm</v>
          </cell>
          <cell r="F3494">
            <v>40231.667986111112</v>
          </cell>
          <cell r="H3494" t="str">
            <v>RET-047-HC-206-30mm</v>
          </cell>
          <cell r="J3494">
            <v>1</v>
          </cell>
        </row>
        <row r="3495">
          <cell r="C3495" t="str">
            <v>BPB-047-ECL-205-15-D</v>
          </cell>
          <cell r="F3495">
            <v>40231.680231481485</v>
          </cell>
          <cell r="H3495" t="str">
            <v>RET-047-ECL-205-15-D</v>
          </cell>
          <cell r="J3495">
            <v>1</v>
          </cell>
        </row>
        <row r="3496">
          <cell r="C3496" t="str">
            <v>BPB-047-ECL-205-15-D</v>
          </cell>
          <cell r="F3496">
            <v>40231.680231481485</v>
          </cell>
          <cell r="H3496" t="str">
            <v>RET-027-SEAL-205DBL</v>
          </cell>
          <cell r="J3496">
            <v>2</v>
          </cell>
        </row>
        <row r="3497">
          <cell r="C3497" t="str">
            <v>BPB-047-HC-204-20-DB</v>
          </cell>
          <cell r="F3497">
            <v>40249.422488425924</v>
          </cell>
          <cell r="H3497" t="str">
            <v>RET-047-HC-204-20-DB</v>
          </cell>
          <cell r="J3497">
            <v>1</v>
          </cell>
        </row>
        <row r="3498">
          <cell r="C3498" t="str">
            <v>BPB-047-HC-204-20-DB</v>
          </cell>
          <cell r="F3498">
            <v>40249.422488425924</v>
          </cell>
          <cell r="H3498" t="str">
            <v>RET-027-SEAL-204DBL</v>
          </cell>
          <cell r="J3498">
            <v>2</v>
          </cell>
        </row>
        <row r="3499">
          <cell r="C3499" t="str">
            <v>PEE-HS--6205-2RLD-C3</v>
          </cell>
          <cell r="F3499">
            <v>40254.451550925929</v>
          </cell>
          <cell r="H3499" t="str">
            <v>MID-003-5/16</v>
          </cell>
          <cell r="J3499">
            <v>9</v>
          </cell>
        </row>
        <row r="3500">
          <cell r="C3500" t="str">
            <v>BPB-048-204-KYY7</v>
          </cell>
          <cell r="F3500">
            <v>40259.623703703706</v>
          </cell>
          <cell r="H3500" t="str">
            <v>RET-048-204-KYY7</v>
          </cell>
          <cell r="J3500">
            <v>1</v>
          </cell>
        </row>
        <row r="3501">
          <cell r="C3501" t="str">
            <v>BPB-047-HC-209-45-mm</v>
          </cell>
          <cell r="F3501">
            <v>40261.562303240738</v>
          </cell>
          <cell r="H3501" t="str">
            <v>RET-047-HC-209-45mm</v>
          </cell>
          <cell r="J3501">
            <v>1</v>
          </cell>
        </row>
        <row r="3502">
          <cell r="C3502" t="str">
            <v>BPB-047-HC-209-45-mm</v>
          </cell>
          <cell r="F3502">
            <v>40261.562303240738</v>
          </cell>
          <cell r="H3502" t="str">
            <v>RET-027-SEAL-209</v>
          </cell>
          <cell r="J3502">
            <v>2</v>
          </cell>
        </row>
        <row r="3503">
          <cell r="C3503" t="str">
            <v>BPB-048-204-JZ6</v>
          </cell>
          <cell r="F3503">
            <v>40269.369664351849</v>
          </cell>
          <cell r="H3503" t="str">
            <v>RET-048-204-JZ6</v>
          </cell>
          <cell r="J3503">
            <v>1</v>
          </cell>
        </row>
        <row r="3504">
          <cell r="C3504" t="str">
            <v>PEE-SE--6203-D-C3</v>
          </cell>
          <cell r="F3504">
            <v>39624.324201388888</v>
          </cell>
          <cell r="H3504" t="str">
            <v>000-001-6203-R</v>
          </cell>
          <cell r="J3504">
            <v>1</v>
          </cell>
        </row>
        <row r="3505">
          <cell r="C3505" t="str">
            <v>PEE-SE--6203-D-C3</v>
          </cell>
          <cell r="F3505">
            <v>39624.324201388888</v>
          </cell>
          <cell r="H3505" t="str">
            <v>000-002-6203-R</v>
          </cell>
          <cell r="J3505">
            <v>1</v>
          </cell>
        </row>
        <row r="3506">
          <cell r="C3506" t="str">
            <v>PEE-SE--6203-D-C3</v>
          </cell>
          <cell r="F3506">
            <v>39624.324201388888</v>
          </cell>
          <cell r="H3506" t="str">
            <v>000-003-17/64</v>
          </cell>
          <cell r="J3506">
            <v>8</v>
          </cell>
        </row>
        <row r="3507">
          <cell r="C3507" t="str">
            <v>PEE-SE--6203-D-C3</v>
          </cell>
          <cell r="F3507">
            <v>39624.324201388888</v>
          </cell>
          <cell r="H3507" t="str">
            <v>000-005-6203-RET/SET</v>
          </cell>
          <cell r="J3507">
            <v>1</v>
          </cell>
        </row>
        <row r="3508">
          <cell r="C3508" t="str">
            <v>PEE-SE--6203-D-C3</v>
          </cell>
          <cell r="F3508">
            <v>39624.324201388888</v>
          </cell>
          <cell r="H3508" t="str">
            <v>002-002-001</v>
          </cell>
          <cell r="J3508">
            <v>1.1299999999999999E-2</v>
          </cell>
        </row>
        <row r="3509">
          <cell r="C3509" t="str">
            <v>PEE-S---6005-D-C3</v>
          </cell>
          <cell r="F3509">
            <v>39624.389606481483</v>
          </cell>
          <cell r="H3509" t="str">
            <v>MID-001-6005-R</v>
          </cell>
          <cell r="J3509">
            <v>1</v>
          </cell>
        </row>
        <row r="3510">
          <cell r="C3510" t="str">
            <v>PEE-S---6005-D-C3</v>
          </cell>
          <cell r="F3510">
            <v>39624.389606481483</v>
          </cell>
          <cell r="H3510" t="str">
            <v>MID-002-6005-R</v>
          </cell>
          <cell r="J3510">
            <v>1</v>
          </cell>
        </row>
        <row r="3511">
          <cell r="C3511" t="str">
            <v>PEE-S---6005-D-C3</v>
          </cell>
          <cell r="F3511">
            <v>39624.389606481483</v>
          </cell>
          <cell r="H3511" t="str">
            <v>MID-003-1/4</v>
          </cell>
          <cell r="J3511">
            <v>10</v>
          </cell>
        </row>
        <row r="3512">
          <cell r="C3512" t="str">
            <v>PEE-S---6005-D-C3</v>
          </cell>
          <cell r="F3512">
            <v>39624.389606481483</v>
          </cell>
          <cell r="H3512" t="str">
            <v>MID-005-6005-RET/SET</v>
          </cell>
          <cell r="J3512">
            <v>1</v>
          </cell>
        </row>
        <row r="3513">
          <cell r="C3513" t="str">
            <v>PEE-S---6005-D-C3</v>
          </cell>
          <cell r="F3513">
            <v>39624.389606481483</v>
          </cell>
          <cell r="H3513" t="str">
            <v>002-002-001</v>
          </cell>
          <cell r="J3513">
            <v>1.1299999999999999E-2</v>
          </cell>
        </row>
        <row r="3514">
          <cell r="C3514" t="str">
            <v>BPB-048-W-208-YYB22</v>
          </cell>
          <cell r="F3514">
            <v>40112.692013888889</v>
          </cell>
          <cell r="H3514" t="str">
            <v>RET-027-SEAL-W208B22</v>
          </cell>
          <cell r="J3514">
            <v>2</v>
          </cell>
        </row>
        <row r="3515">
          <cell r="C3515" t="str">
            <v>BPB-048-FHR-207-22</v>
          </cell>
          <cell r="F3515">
            <v>40297.662361111114</v>
          </cell>
          <cell r="H3515" t="str">
            <v>RET-048-FHR-207-22</v>
          </cell>
          <cell r="J3515">
            <v>1</v>
          </cell>
        </row>
        <row r="3516">
          <cell r="C3516" t="str">
            <v>BPB-048-203-KRR3</v>
          </cell>
          <cell r="F3516">
            <v>40345.391585648147</v>
          </cell>
          <cell r="H3516" t="str">
            <v>RET-027-SEAL-203KRR3</v>
          </cell>
          <cell r="J3516">
            <v>2</v>
          </cell>
        </row>
        <row r="3517">
          <cell r="C3517" t="str">
            <v>BPB-048-203-KRR3</v>
          </cell>
          <cell r="F3517">
            <v>40345.391585648147</v>
          </cell>
          <cell r="H3517" t="str">
            <v>RET-048-203-KRR3</v>
          </cell>
          <cell r="J3517">
            <v>1</v>
          </cell>
        </row>
        <row r="3518">
          <cell r="C3518" t="str">
            <v>BPB-041-6205-2RST-C0</v>
          </cell>
          <cell r="F3518">
            <v>40372.413530092592</v>
          </cell>
          <cell r="H3518" t="str">
            <v>RET-027-RST-6205-RED</v>
          </cell>
          <cell r="J3518">
            <v>2</v>
          </cell>
        </row>
        <row r="3519">
          <cell r="C3519" t="str">
            <v>BPB-041-6205-2RST-C0</v>
          </cell>
          <cell r="F3519">
            <v>40372.413530092592</v>
          </cell>
          <cell r="H3519" t="str">
            <v>BPB-002-6205-D</v>
          </cell>
          <cell r="J3519">
            <v>1</v>
          </cell>
        </row>
        <row r="3520">
          <cell r="C3520" t="str">
            <v>BPB-041-6205-2RST-C0</v>
          </cell>
          <cell r="F3520">
            <v>40372.413530092592</v>
          </cell>
          <cell r="H3520" t="str">
            <v>BPB-001-6205-D</v>
          </cell>
          <cell r="J3520">
            <v>1</v>
          </cell>
        </row>
        <row r="3521">
          <cell r="C3521" t="str">
            <v>BPB-041-6205-2RST-C0</v>
          </cell>
          <cell r="F3521">
            <v>40372.413530092592</v>
          </cell>
          <cell r="H3521" t="str">
            <v>MID-005-6205-RET/SET</v>
          </cell>
          <cell r="J3521">
            <v>1</v>
          </cell>
        </row>
        <row r="3522">
          <cell r="C3522" t="str">
            <v>BPB-041-6205-2RST-C0</v>
          </cell>
          <cell r="F3522">
            <v>40372.413530092592</v>
          </cell>
          <cell r="H3522" t="str">
            <v>MID-003-5/16</v>
          </cell>
          <cell r="J3522">
            <v>9</v>
          </cell>
        </row>
        <row r="3523">
          <cell r="C3523" t="str">
            <v>BPB-041-6205-2RST-C0</v>
          </cell>
          <cell r="F3523">
            <v>40372.413530092592</v>
          </cell>
          <cell r="H3523" t="str">
            <v>000-006-001</v>
          </cell>
          <cell r="J3523">
            <v>4.2</v>
          </cell>
        </row>
        <row r="3524">
          <cell r="C3524" t="str">
            <v>PEE-HS--6007-2RLD-C0</v>
          </cell>
          <cell r="F3524">
            <v>40385.631828703707</v>
          </cell>
          <cell r="H3524" t="str">
            <v>PEE-HS--6007-D-C0</v>
          </cell>
          <cell r="J3524">
            <v>1</v>
          </cell>
        </row>
        <row r="3525">
          <cell r="C3525" t="str">
            <v>PEE-HS--6007-2RLD-C0</v>
          </cell>
          <cell r="F3525">
            <v>40385.631828703707</v>
          </cell>
          <cell r="H3525" t="str">
            <v>000-004-RLD-6007-RED</v>
          </cell>
          <cell r="J3525">
            <v>2</v>
          </cell>
        </row>
        <row r="3526">
          <cell r="C3526" t="str">
            <v>PEE-HS--6007-2RLD-C0</v>
          </cell>
          <cell r="F3526">
            <v>40385.631828703707</v>
          </cell>
          <cell r="H3526" t="str">
            <v>000-006-001</v>
          </cell>
          <cell r="J3526">
            <v>2</v>
          </cell>
        </row>
        <row r="3527">
          <cell r="C3527" t="str">
            <v>BPB-047-ECL-306-30mm</v>
          </cell>
          <cell r="F3527">
            <v>40402.390185185184</v>
          </cell>
          <cell r="H3527" t="str">
            <v>RET-047-ECL-306-30mm</v>
          </cell>
          <cell r="J3527">
            <v>1</v>
          </cell>
        </row>
        <row r="3528">
          <cell r="C3528" t="str">
            <v>PEE-047-AEL-210-31</v>
          </cell>
          <cell r="F3528">
            <v>40427.438738425924</v>
          </cell>
          <cell r="H3528" t="str">
            <v>RET-047-AEL-210-31</v>
          </cell>
          <cell r="J3528">
            <v>1</v>
          </cell>
        </row>
        <row r="3529">
          <cell r="C3529" t="str">
            <v>PEE-HS--6203-D-C0</v>
          </cell>
          <cell r="F3529">
            <v>40578.409699074073</v>
          </cell>
          <cell r="H3529" t="str">
            <v>MID-001-6203-D</v>
          </cell>
          <cell r="J3529">
            <v>1</v>
          </cell>
        </row>
        <row r="3530">
          <cell r="C3530" t="str">
            <v>PEE-HS--6203-D-C0</v>
          </cell>
          <cell r="F3530">
            <v>40578.409699074073</v>
          </cell>
          <cell r="H3530" t="str">
            <v>MID-002-6203-D</v>
          </cell>
          <cell r="J3530">
            <v>1</v>
          </cell>
        </row>
        <row r="3531">
          <cell r="C3531" t="str">
            <v>PEE-HS--6203-D-C0</v>
          </cell>
          <cell r="F3531">
            <v>40578.409699074073</v>
          </cell>
          <cell r="H3531" t="str">
            <v>000-005-6203-RET/SET</v>
          </cell>
          <cell r="J3531">
            <v>1</v>
          </cell>
        </row>
        <row r="3532">
          <cell r="C3532" t="str">
            <v>PEE-HS--6203-D-C0</v>
          </cell>
          <cell r="F3532">
            <v>40578.409699074073</v>
          </cell>
          <cell r="H3532" t="str">
            <v>MID-003-17/64</v>
          </cell>
          <cell r="J3532">
            <v>8</v>
          </cell>
        </row>
        <row r="3533">
          <cell r="C3533" t="str">
            <v>BPB-041-6202-ZZ</v>
          </cell>
          <cell r="F3533">
            <v>40590.374178240738</v>
          </cell>
          <cell r="H3533" t="str">
            <v>MID-001-6202-D</v>
          </cell>
          <cell r="J3533">
            <v>1</v>
          </cell>
        </row>
        <row r="3534">
          <cell r="C3534" t="str">
            <v>BPB-041-6202-ZZ</v>
          </cell>
          <cell r="F3534">
            <v>40590.374178240738</v>
          </cell>
          <cell r="H3534" t="str">
            <v>MID-002-6202-D</v>
          </cell>
          <cell r="J3534">
            <v>1</v>
          </cell>
        </row>
        <row r="3535">
          <cell r="C3535" t="str">
            <v>BPB-041-6202-ZZ</v>
          </cell>
          <cell r="F3535">
            <v>40590.374178240738</v>
          </cell>
          <cell r="H3535" t="str">
            <v>MID-003-15/64</v>
          </cell>
          <cell r="J3535">
            <v>8</v>
          </cell>
        </row>
        <row r="3536">
          <cell r="C3536" t="str">
            <v>BPB-041-6202-ZZ</v>
          </cell>
          <cell r="F3536">
            <v>40590.374178240738</v>
          </cell>
          <cell r="H3536" t="str">
            <v>MID-004-ZZ-6202</v>
          </cell>
          <cell r="J3536">
            <v>2</v>
          </cell>
        </row>
        <row r="3537">
          <cell r="C3537" t="str">
            <v>BPB-041-6202-ZZ</v>
          </cell>
          <cell r="F3537">
            <v>40590.374178240738</v>
          </cell>
          <cell r="H3537" t="str">
            <v>MID-005-6202-RET/SET</v>
          </cell>
          <cell r="J3537">
            <v>1</v>
          </cell>
        </row>
        <row r="3538">
          <cell r="C3538" t="str">
            <v>BPB-041-6202-ZZ</v>
          </cell>
          <cell r="F3538">
            <v>40590.374178240738</v>
          </cell>
          <cell r="H3538" t="str">
            <v>000-006-001</v>
          </cell>
          <cell r="J3538">
            <v>0.6</v>
          </cell>
        </row>
        <row r="3539">
          <cell r="C3539" t="str">
            <v>BPB-041-6206-D-C3</v>
          </cell>
          <cell r="F3539">
            <v>40620.393252314818</v>
          </cell>
          <cell r="H3539" t="str">
            <v>000-001-6206-D</v>
          </cell>
          <cell r="J3539">
            <v>1</v>
          </cell>
        </row>
        <row r="3540">
          <cell r="C3540" t="str">
            <v>BPB-041-6206-D-C3</v>
          </cell>
          <cell r="F3540">
            <v>40620.393252314818</v>
          </cell>
          <cell r="H3540" t="str">
            <v>000-002-6206-D</v>
          </cell>
          <cell r="J3540">
            <v>1</v>
          </cell>
        </row>
        <row r="3541">
          <cell r="C3541" t="str">
            <v>BPB-041-6206-D-C3</v>
          </cell>
          <cell r="F3541">
            <v>40620.393252314818</v>
          </cell>
          <cell r="H3541" t="str">
            <v>BPB-005-RET/SET-6206</v>
          </cell>
          <cell r="J3541">
            <v>1</v>
          </cell>
        </row>
        <row r="3542">
          <cell r="C3542" t="str">
            <v>B&amp;P-LED-RND-30CW</v>
          </cell>
          <cell r="F3542">
            <v>43010.674930555557</v>
          </cell>
          <cell r="H3542" t="str">
            <v>B&amp;P-DOB-30-R-5000K</v>
          </cell>
          <cell r="J3542">
            <v>1</v>
          </cell>
        </row>
        <row r="3543">
          <cell r="C3543" t="str">
            <v>B&amp;P-LED-RND-30CW</v>
          </cell>
          <cell r="F3543">
            <v>43010.674930555557</v>
          </cell>
          <cell r="H3543" t="str">
            <v>B&amp;P-LED-Housing-RND</v>
          </cell>
          <cell r="J3543">
            <v>1</v>
          </cell>
        </row>
        <row r="3544">
          <cell r="C3544" t="str">
            <v>B&amp;P-LED-OV90-5</v>
          </cell>
          <cell r="F3544">
            <v>43062.631435185183</v>
          </cell>
          <cell r="H3544" t="str">
            <v>B&amp;P-LED-OV90-5-01</v>
          </cell>
          <cell r="J3544">
            <v>1</v>
          </cell>
        </row>
        <row r="3545">
          <cell r="C3545" t="str">
            <v>B&amp;P-LED-OV90-5</v>
          </cell>
          <cell r="F3545">
            <v>43062.631435185183</v>
          </cell>
          <cell r="H3545" t="str">
            <v>B&amp;P-FAL-BP-120C-54</v>
          </cell>
          <cell r="J3545">
            <v>1</v>
          </cell>
        </row>
        <row r="3546">
          <cell r="C3546" t="str">
            <v>B&amp;P-LED-OV90-5</v>
          </cell>
          <cell r="F3546">
            <v>43062.631435185183</v>
          </cell>
          <cell r="H3546" t="str">
            <v>B&amp;P-LED-HB-905000K</v>
          </cell>
          <cell r="J3546">
            <v>1</v>
          </cell>
        </row>
        <row r="3547">
          <cell r="C3547" t="str">
            <v>B&amp;P-LED-OV-54200-5</v>
          </cell>
          <cell r="F3547">
            <v>43080.598553240743</v>
          </cell>
          <cell r="H3547" t="str">
            <v>B&amp;P-LED-OV300-5-01</v>
          </cell>
          <cell r="J3547">
            <v>1</v>
          </cell>
        </row>
        <row r="3548">
          <cell r="C3548" t="str">
            <v>B&amp;P-LED-LP200-5</v>
          </cell>
          <cell r="F3548">
            <v>43138.574594907404</v>
          </cell>
          <cell r="H3548" t="str">
            <v>B&amp;P-FAL-LP-240C-54</v>
          </cell>
          <cell r="J3548">
            <v>1</v>
          </cell>
        </row>
        <row r="3549">
          <cell r="C3549" t="str">
            <v>B&amp;P-LED-LP200-5</v>
          </cell>
          <cell r="F3549">
            <v>43138.574594907404</v>
          </cell>
          <cell r="H3549" t="str">
            <v>B&amp;P-LED-LP200-Housin</v>
          </cell>
          <cell r="J3549">
            <v>1</v>
          </cell>
        </row>
        <row r="3550">
          <cell r="C3550" t="str">
            <v>B&amp;P-LED-LP200-5</v>
          </cell>
          <cell r="F3550">
            <v>43138.574594907404</v>
          </cell>
          <cell r="H3550" t="str">
            <v>B&amp;P-PCB-LP2005000K</v>
          </cell>
          <cell r="J3550">
            <v>1</v>
          </cell>
        </row>
        <row r="3551">
          <cell r="C3551" t="str">
            <v>B&amp;P-LED-GROW150</v>
          </cell>
          <cell r="F3551">
            <v>43173.484525462962</v>
          </cell>
          <cell r="H3551" t="str">
            <v>B&amp;P-GRO-DISI200</v>
          </cell>
          <cell r="J3551">
            <v>1</v>
          </cell>
        </row>
        <row r="3552">
          <cell r="C3552" t="str">
            <v>B&amp;P-LED-GROW150</v>
          </cell>
          <cell r="F3552">
            <v>43173.484525462962</v>
          </cell>
          <cell r="H3552" t="str">
            <v>B&amp;P-GRO-LENS120</v>
          </cell>
          <cell r="J3552">
            <v>1</v>
          </cell>
        </row>
        <row r="3553">
          <cell r="C3553" t="str">
            <v>B&amp;P-LED-GROW150</v>
          </cell>
          <cell r="F3553">
            <v>43173.484525462962</v>
          </cell>
          <cell r="H3553" t="str">
            <v>B&amp;P-GRO-PCB212</v>
          </cell>
          <cell r="J3553">
            <v>1</v>
          </cell>
        </row>
        <row r="3554">
          <cell r="C3554" t="str">
            <v>B&amp;P-LED-GROW150</v>
          </cell>
          <cell r="F3554">
            <v>43173.484525462962</v>
          </cell>
          <cell r="H3554" t="str">
            <v>B&amp;P-FAL-BP-150D-38</v>
          </cell>
          <cell r="J3554">
            <v>1</v>
          </cell>
        </row>
        <row r="3555">
          <cell r="C3555" t="str">
            <v>B&amp;P-LED-CPY-130</v>
          </cell>
          <cell r="F3555">
            <v>43200.34584490741</v>
          </cell>
          <cell r="H3555" t="str">
            <v>B&amp;P-FAL-HLG-150H-48B</v>
          </cell>
          <cell r="J3555">
            <v>1</v>
          </cell>
        </row>
        <row r="3556">
          <cell r="C3556" t="str">
            <v>B&amp;P-LED-CPY-130</v>
          </cell>
          <cell r="F3556">
            <v>43200.34584490741</v>
          </cell>
          <cell r="H3556" t="str">
            <v>B&amp;P-LED-ALBA130-5-01</v>
          </cell>
          <cell r="J3556">
            <v>1</v>
          </cell>
        </row>
        <row r="3557">
          <cell r="C3557" t="str">
            <v>B&amp;P-LED-CPY-130</v>
          </cell>
          <cell r="F3557">
            <v>43200.34584490741</v>
          </cell>
          <cell r="H3557" t="str">
            <v>B&amp;P-PCB-ALBA130-5-02</v>
          </cell>
          <cell r="J3557">
            <v>1</v>
          </cell>
        </row>
        <row r="3558">
          <cell r="C3558" t="str">
            <v>B&amp;P-LED-NX-120</v>
          </cell>
          <cell r="F3558">
            <v>43224.65121527778</v>
          </cell>
          <cell r="H3558" t="str">
            <v>B&amp;P-PCB-NX-1205000K</v>
          </cell>
          <cell r="J3558">
            <v>1</v>
          </cell>
        </row>
        <row r="3559">
          <cell r="C3559" t="str">
            <v>B&amp;P-LED-NX-120</v>
          </cell>
          <cell r="F3559">
            <v>43224.65121527778</v>
          </cell>
          <cell r="H3559" t="str">
            <v>B&amp;P-LED-NX-120-Housi</v>
          </cell>
          <cell r="J3559">
            <v>1</v>
          </cell>
        </row>
        <row r="3560">
          <cell r="C3560" t="str">
            <v>B&amp;P-LED-NX-120</v>
          </cell>
          <cell r="F3560">
            <v>43224.65121527778</v>
          </cell>
          <cell r="H3560" t="str">
            <v>B&amp;P-FAL-BP-120H-54B</v>
          </cell>
          <cell r="J3560">
            <v>1</v>
          </cell>
        </row>
        <row r="3561">
          <cell r="C3561" t="str">
            <v>B&amp;P-LED-NX-120</v>
          </cell>
          <cell r="F3561">
            <v>43224.65121527778</v>
          </cell>
          <cell r="H3561" t="str">
            <v>B&amp;P-LED-SP1</v>
          </cell>
          <cell r="J3561">
            <v>1</v>
          </cell>
        </row>
        <row r="3562">
          <cell r="C3562" t="str">
            <v>B&amp;P-LED-ALBA-200</v>
          </cell>
          <cell r="F3562">
            <v>43270.58258101852</v>
          </cell>
          <cell r="H3562" t="str">
            <v>B&amp;P-LED-HB06200-PCB</v>
          </cell>
          <cell r="J3562">
            <v>1</v>
          </cell>
        </row>
        <row r="3563">
          <cell r="C3563" t="str">
            <v>B&amp;P-LED-ALBA-200</v>
          </cell>
          <cell r="F3563">
            <v>43270.58258101852</v>
          </cell>
          <cell r="H3563" t="str">
            <v>B&amp;P-LED-HB06200-Hous</v>
          </cell>
          <cell r="J3563">
            <v>1</v>
          </cell>
        </row>
        <row r="3564">
          <cell r="C3564" t="str">
            <v>B&amp;P-LED-ALBA-200</v>
          </cell>
          <cell r="F3564">
            <v>43270.58258101852</v>
          </cell>
          <cell r="H3564" t="str">
            <v>B&amp;P-FAL-BP-240R-54</v>
          </cell>
          <cell r="J3564">
            <v>1</v>
          </cell>
        </row>
        <row r="3565">
          <cell r="C3565" t="str">
            <v>R44-ALU-PLUS-150</v>
          </cell>
          <cell r="F3565">
            <v>43935.651539351849</v>
          </cell>
          <cell r="H3565" t="str">
            <v>R44-ALU-DISI-PLUS150</v>
          </cell>
          <cell r="J3565">
            <v>1</v>
          </cell>
        </row>
        <row r="3566">
          <cell r="C3566" t="str">
            <v>R44-ALU-PLUS-150</v>
          </cell>
          <cell r="F3566">
            <v>43935.651539351849</v>
          </cell>
          <cell r="H3566" t="str">
            <v>R44-PCB-PCBPLUS155</v>
          </cell>
          <cell r="J3566">
            <v>1</v>
          </cell>
        </row>
        <row r="3567">
          <cell r="C3567" t="str">
            <v>R44-ALU-PLUS-150</v>
          </cell>
          <cell r="F3567">
            <v>43935.651539351849</v>
          </cell>
          <cell r="H3567" t="str">
            <v>R44-ALU-PLUS150-LENS</v>
          </cell>
          <cell r="J3567">
            <v>1</v>
          </cell>
        </row>
        <row r="3568">
          <cell r="C3568" t="str">
            <v>R44-ALU-PLUS-150</v>
          </cell>
          <cell r="F3568">
            <v>43935.651539351849</v>
          </cell>
          <cell r="H3568" t="str">
            <v>R44-FAL-DRIVER-PLUS</v>
          </cell>
          <cell r="J3568">
            <v>3</v>
          </cell>
        </row>
        <row r="3569">
          <cell r="C3569" t="str">
            <v>R44-ALU-PLUS-50</v>
          </cell>
          <cell r="F3569">
            <v>43936.394108796296</v>
          </cell>
          <cell r="H3569" t="str">
            <v>R44-ALU-PLUS50-LENS</v>
          </cell>
          <cell r="J3569">
            <v>1</v>
          </cell>
        </row>
        <row r="3570">
          <cell r="C3570" t="str">
            <v>R44-ALU-PLUS-50</v>
          </cell>
          <cell r="F3570">
            <v>43936.394108796296</v>
          </cell>
          <cell r="H3570" t="str">
            <v>R44-PCB-PCBPLUS55</v>
          </cell>
          <cell r="J3570">
            <v>1</v>
          </cell>
        </row>
        <row r="3571">
          <cell r="C3571" t="str">
            <v>R44-ALU-PLUS-50</v>
          </cell>
          <cell r="F3571">
            <v>43936.394108796296</v>
          </cell>
          <cell r="H3571" t="str">
            <v>R44-FAL-DRIVER-PLUS</v>
          </cell>
          <cell r="J3571">
            <v>1</v>
          </cell>
        </row>
        <row r="3572">
          <cell r="C3572" t="str">
            <v>R44-ALU-PLUS-50</v>
          </cell>
          <cell r="F3572">
            <v>43936.394108796296</v>
          </cell>
          <cell r="H3572" t="str">
            <v>R44-ALU-DISI-PLUS50</v>
          </cell>
          <cell r="J3572">
            <v>1</v>
          </cell>
        </row>
        <row r="3573">
          <cell r="C3573" t="str">
            <v>B&amp;P-ALU-EX100-5</v>
          </cell>
          <cell r="F3573">
            <v>44013.489016203705</v>
          </cell>
          <cell r="H3573" t="str">
            <v>B&amp;P-ALU-DISI-EX100</v>
          </cell>
          <cell r="J3573">
            <v>1</v>
          </cell>
        </row>
        <row r="3574">
          <cell r="C3574" t="str">
            <v>B&amp;P-ALU-EX100-5</v>
          </cell>
          <cell r="F3574">
            <v>44013.489016203705</v>
          </cell>
          <cell r="H3574" t="str">
            <v>B&amp;P-PCB-PCBEX105</v>
          </cell>
          <cell r="J3574">
            <v>1</v>
          </cell>
        </row>
        <row r="3575">
          <cell r="C3575" t="str">
            <v>B&amp;P-ALU-EX100-5</v>
          </cell>
          <cell r="F3575">
            <v>44013.489016203705</v>
          </cell>
          <cell r="H3575" t="str">
            <v>B&amp;P-ALU-EX100-LENS</v>
          </cell>
          <cell r="J3575">
            <v>1</v>
          </cell>
        </row>
        <row r="3576">
          <cell r="C3576" t="str">
            <v>B&amp;P-ALU-EX100-5</v>
          </cell>
          <cell r="F3576">
            <v>44013.489016203705</v>
          </cell>
          <cell r="H3576" t="str">
            <v>B&amp;P-FAL-SPD-10KV</v>
          </cell>
          <cell r="J3576">
            <v>1</v>
          </cell>
        </row>
        <row r="3577">
          <cell r="C3577" t="str">
            <v>R44-ALU-PLUS-60</v>
          </cell>
          <cell r="F3577">
            <v>44027.620474537034</v>
          </cell>
          <cell r="H3577" t="str">
            <v>R44-ALU-DISI-PLUS50</v>
          </cell>
          <cell r="J3577">
            <v>1</v>
          </cell>
        </row>
        <row r="3578">
          <cell r="C3578" t="str">
            <v>R44-ALU-PLUS-60</v>
          </cell>
          <cell r="F3578">
            <v>44027.620474537034</v>
          </cell>
          <cell r="H3578" t="str">
            <v>R44-PCB-PCBPLUS55</v>
          </cell>
          <cell r="J3578">
            <v>1</v>
          </cell>
        </row>
        <row r="3579">
          <cell r="C3579" t="str">
            <v>R44-ALU-PLUS-60</v>
          </cell>
          <cell r="F3579">
            <v>44027.620474537034</v>
          </cell>
          <cell r="H3579" t="str">
            <v>R44-ALU-PLUS50-LENS</v>
          </cell>
          <cell r="J3579">
            <v>1</v>
          </cell>
        </row>
        <row r="3580">
          <cell r="C3580" t="str">
            <v>R44-ALU-PLUS-60</v>
          </cell>
          <cell r="F3580">
            <v>44027.620474537034</v>
          </cell>
          <cell r="H3580" t="str">
            <v>R44-FAL-DRIVER-PLUS</v>
          </cell>
          <cell r="J3580">
            <v>1</v>
          </cell>
        </row>
        <row r="3581">
          <cell r="C3581" t="str">
            <v>B&amp;P-ALU-EX150-5/NSPD</v>
          </cell>
          <cell r="F3581">
            <v>44068.610497685186</v>
          </cell>
          <cell r="H3581" t="str">
            <v>B&amp;P-ALU-DISI-EX150</v>
          </cell>
          <cell r="J3581">
            <v>1</v>
          </cell>
        </row>
        <row r="3582">
          <cell r="C3582" t="str">
            <v>B&amp;P-ALU-EX150-5/NSPD</v>
          </cell>
          <cell r="F3582">
            <v>44068.610497685186</v>
          </cell>
          <cell r="H3582" t="str">
            <v>B&amp;P-ALU-EX150-LENS</v>
          </cell>
          <cell r="J3582">
            <v>1</v>
          </cell>
        </row>
        <row r="3583">
          <cell r="C3583" t="str">
            <v>B&amp;P-ALU-EX150-5/NSPD</v>
          </cell>
          <cell r="F3583">
            <v>44068.610497685186</v>
          </cell>
          <cell r="H3583" t="str">
            <v>B&amp;P-PCB-PCBEX155</v>
          </cell>
          <cell r="J3583">
            <v>1</v>
          </cell>
        </row>
        <row r="3584">
          <cell r="C3584" t="str">
            <v>B&amp;P-LED-CPY-101</v>
          </cell>
          <cell r="F3584">
            <v>44076.425196759257</v>
          </cell>
          <cell r="H3584" t="str">
            <v>B&amp;P-LED-LP101-5</v>
          </cell>
          <cell r="J3584">
            <v>1</v>
          </cell>
        </row>
        <row r="3585">
          <cell r="C3585" t="str">
            <v>B&amp;P-LED-CPY-101</v>
          </cell>
          <cell r="F3585">
            <v>44076.425196759257</v>
          </cell>
          <cell r="H3585" t="str">
            <v>B&amp;P-LED-SOP-CPY101</v>
          </cell>
          <cell r="J3585">
            <v>1</v>
          </cell>
        </row>
        <row r="3586">
          <cell r="C3586" t="str">
            <v>BPB-058-HM-518445-10</v>
          </cell>
          <cell r="F3586">
            <v>44088.648078703707</v>
          </cell>
          <cell r="H3586" t="str">
            <v>000-053-TCX-1845</v>
          </cell>
          <cell r="J3586">
            <v>1</v>
          </cell>
        </row>
        <row r="3587">
          <cell r="C3587" t="str">
            <v>BPB-058-HM-518445-10</v>
          </cell>
          <cell r="F3587">
            <v>44088.648078703707</v>
          </cell>
          <cell r="H3587" t="str">
            <v>000-005-TCX-1845</v>
          </cell>
          <cell r="J3587">
            <v>1</v>
          </cell>
        </row>
        <row r="3588">
          <cell r="C3588" t="str">
            <v>BPB-058-HM-518445-10</v>
          </cell>
          <cell r="F3588">
            <v>44088.648078703707</v>
          </cell>
          <cell r="H3588" t="str">
            <v>000-003-TCX-1845</v>
          </cell>
          <cell r="J3588">
            <v>21</v>
          </cell>
        </row>
        <row r="3589">
          <cell r="C3589" t="str">
            <v>BPB-058-HM-518445-10</v>
          </cell>
          <cell r="F3589">
            <v>44088.648078703707</v>
          </cell>
          <cell r="H3589" t="str">
            <v>000-054-TCY-8410</v>
          </cell>
          <cell r="J3589">
            <v>1</v>
          </cell>
        </row>
        <row r="3590">
          <cell r="C3590" t="str">
            <v>B&amp;P-ALU-EX100-SMART</v>
          </cell>
          <cell r="F3590">
            <v>44148.436631944445</v>
          </cell>
          <cell r="H3590" t="str">
            <v>B&amp;P-ALU-DISI-EX100</v>
          </cell>
          <cell r="J3590">
            <v>1</v>
          </cell>
        </row>
        <row r="3591">
          <cell r="C3591" t="str">
            <v>B&amp;P-ALU-EX100-SMART</v>
          </cell>
          <cell r="F3591">
            <v>44148.436631944445</v>
          </cell>
          <cell r="H3591" t="str">
            <v>B&amp;P-ALU-EX100-LENS</v>
          </cell>
          <cell r="J3591">
            <v>1</v>
          </cell>
        </row>
        <row r="3592">
          <cell r="C3592" t="str">
            <v>B&amp;P-ALU-EX100-SMART</v>
          </cell>
          <cell r="F3592">
            <v>44148.436631944445</v>
          </cell>
          <cell r="H3592" t="str">
            <v>B&amp;P-PCB-PCBEX105-DIM</v>
          </cell>
          <cell r="J3592">
            <v>1</v>
          </cell>
        </row>
        <row r="3593">
          <cell r="C3593" t="str">
            <v>B&amp;P-ALU-EX100-SMART</v>
          </cell>
          <cell r="F3593">
            <v>44148.436631944445</v>
          </cell>
          <cell r="H3593" t="str">
            <v>B&amp;P-ALU-NEMA3-CON</v>
          </cell>
          <cell r="J3593">
            <v>1</v>
          </cell>
        </row>
        <row r="3594">
          <cell r="C3594" t="str">
            <v>B&amp;P-ALU-EX100-SMART</v>
          </cell>
          <cell r="F3594">
            <v>44148.436631944445</v>
          </cell>
          <cell r="H3594" t="str">
            <v>B&amp;P-ALU-JL-241</v>
          </cell>
          <cell r="J3594">
            <v>1</v>
          </cell>
        </row>
        <row r="3595">
          <cell r="C3595" t="str">
            <v>B&amp;P-LED-BULB-GROW50</v>
          </cell>
          <cell r="F3595">
            <v>44201.647013888891</v>
          </cell>
          <cell r="H3595" t="str">
            <v>B&amp;P-ALU-BULB30-HOUSI</v>
          </cell>
          <cell r="J3595">
            <v>1</v>
          </cell>
        </row>
        <row r="3596">
          <cell r="C3596" t="str">
            <v>B&amp;P-LED-BULB-GROW50</v>
          </cell>
          <cell r="F3596">
            <v>44201.647013888891</v>
          </cell>
          <cell r="H3596" t="str">
            <v>B&amp;P-LED-DOB50WGROW</v>
          </cell>
          <cell r="J3596">
            <v>1</v>
          </cell>
        </row>
        <row r="3597">
          <cell r="C3597" t="str">
            <v>B&amp;P-ALU-EX150-SMART</v>
          </cell>
          <cell r="F3597">
            <v>44274.531724537039</v>
          </cell>
          <cell r="H3597" t="str">
            <v>B&amp;P-ALU-DISI-EX150</v>
          </cell>
          <cell r="J3597">
            <v>1</v>
          </cell>
        </row>
        <row r="3598">
          <cell r="C3598" t="str">
            <v>B&amp;P-ALU-EX150-SMART</v>
          </cell>
          <cell r="F3598">
            <v>44274.531724537039</v>
          </cell>
          <cell r="H3598" t="str">
            <v>B&amp;P-FAL-SPD-10KV</v>
          </cell>
          <cell r="J3598">
            <v>1</v>
          </cell>
        </row>
        <row r="3599">
          <cell r="C3599" t="str">
            <v>B&amp;P-ALU-EX150-SMART</v>
          </cell>
          <cell r="F3599">
            <v>44274.531724537039</v>
          </cell>
          <cell r="H3599" t="str">
            <v>B&amp;P-PCB-PCBEX155-DIM</v>
          </cell>
          <cell r="J3599">
            <v>1</v>
          </cell>
        </row>
        <row r="3600">
          <cell r="C3600" t="str">
            <v>BPB-999-30212-MX</v>
          </cell>
          <cell r="F3600">
            <v>44089.331377314818</v>
          </cell>
          <cell r="H3600" t="str">
            <v>000-053-X-30212</v>
          </cell>
          <cell r="J3600">
            <v>1</v>
          </cell>
        </row>
        <row r="3601">
          <cell r="C3601" t="str">
            <v>BPB-999-30212-MX</v>
          </cell>
          <cell r="F3601">
            <v>44089.331377314818</v>
          </cell>
          <cell r="H3601" t="str">
            <v>000-054-TCY212</v>
          </cell>
          <cell r="J3601">
            <v>1</v>
          </cell>
        </row>
        <row r="3602">
          <cell r="C3602" t="str">
            <v>BPB-999-30211-MX</v>
          </cell>
          <cell r="F3602">
            <v>44089.355590277781</v>
          </cell>
          <cell r="H3602" t="str">
            <v>000-053-X-30211</v>
          </cell>
          <cell r="J3602">
            <v>1</v>
          </cell>
        </row>
        <row r="3603">
          <cell r="C3603" t="str">
            <v>BPB-999-30211-MX</v>
          </cell>
          <cell r="F3603">
            <v>44089.355590277781</v>
          </cell>
          <cell r="H3603" t="str">
            <v>000-054-TCY211</v>
          </cell>
          <cell r="J3603">
            <v>1</v>
          </cell>
        </row>
        <row r="3604">
          <cell r="C3604" t="str">
            <v>B&amp;P-ALU-EX150-SMART</v>
          </cell>
          <cell r="F3604">
            <v>44274.531724537039</v>
          </cell>
          <cell r="H3604" t="str">
            <v>B&amp;P-ALU-EX150-LENS</v>
          </cell>
          <cell r="J3604">
            <v>1</v>
          </cell>
        </row>
        <row r="3605">
          <cell r="C3605" t="str">
            <v>B&amp;P-ALU-EX150-SMART</v>
          </cell>
          <cell r="F3605">
            <v>44274.531724537039</v>
          </cell>
          <cell r="H3605" t="str">
            <v>B&amp;P-ALU-NEMA3-CON</v>
          </cell>
          <cell r="J3605">
            <v>1</v>
          </cell>
        </row>
        <row r="3606">
          <cell r="C3606" t="str">
            <v>B&amp;P-ALU-EX150-SMART</v>
          </cell>
          <cell r="F3606">
            <v>44274.531724537039</v>
          </cell>
          <cell r="H3606" t="str">
            <v>B&amp;P-ALU-JL-241</v>
          </cell>
          <cell r="J3606">
            <v>1</v>
          </cell>
        </row>
        <row r="3607">
          <cell r="C3607" t="str">
            <v>R44-ALU-PLUS2-150</v>
          </cell>
          <cell r="F3607">
            <v>44371.547071759262</v>
          </cell>
          <cell r="H3607" t="str">
            <v>B&amp;P-ALU-P2-DISI-150</v>
          </cell>
          <cell r="J3607">
            <v>1</v>
          </cell>
        </row>
        <row r="3608">
          <cell r="C3608" t="str">
            <v>R44-ALU-PLUS2-150</v>
          </cell>
          <cell r="F3608">
            <v>44371.547071759262</v>
          </cell>
          <cell r="H3608" t="str">
            <v>B&amp;P-ALU-P2-150-LENS</v>
          </cell>
          <cell r="J3608">
            <v>1</v>
          </cell>
        </row>
        <row r="3609">
          <cell r="C3609" t="str">
            <v>R44-ALU-PLUS2-150</v>
          </cell>
          <cell r="F3609">
            <v>44371.547071759262</v>
          </cell>
          <cell r="H3609" t="str">
            <v>B&amp;P-PCB-PLUS2-155</v>
          </cell>
          <cell r="J3609">
            <v>1</v>
          </cell>
        </row>
        <row r="3610">
          <cell r="C3610" t="str">
            <v>R44-ALU-PLUS2-150</v>
          </cell>
          <cell r="F3610">
            <v>44371.547071759262</v>
          </cell>
          <cell r="H3610" t="str">
            <v>B&amp;P-LED-SP1</v>
          </cell>
          <cell r="J3610">
            <v>1</v>
          </cell>
        </row>
        <row r="3611">
          <cell r="C3611" t="str">
            <v>B&amp;P-LED-LP101-5</v>
          </cell>
          <cell r="F3611">
            <v>44564.411990740744</v>
          </cell>
          <cell r="H3611" t="str">
            <v>B&amp;P-ALU-DISI-LP101</v>
          </cell>
          <cell r="J3611">
            <v>1</v>
          </cell>
        </row>
        <row r="3612">
          <cell r="C3612" t="str">
            <v>B&amp;P-LED-LP101-5</v>
          </cell>
          <cell r="F3612">
            <v>44564.411990740744</v>
          </cell>
          <cell r="H3612" t="str">
            <v>B&amp;P-LED-LP101-glass</v>
          </cell>
          <cell r="J3612">
            <v>1</v>
          </cell>
        </row>
        <row r="3613">
          <cell r="C3613" t="str">
            <v>B&amp;P-LED-LP101-5</v>
          </cell>
          <cell r="F3613">
            <v>44564.411990740744</v>
          </cell>
          <cell r="H3613" t="str">
            <v>B&amp;P-LED-LP101PCB</v>
          </cell>
          <cell r="J3613">
            <v>1</v>
          </cell>
        </row>
        <row r="3614">
          <cell r="C3614" t="str">
            <v>B&amp;P-LED-LP201-5</v>
          </cell>
          <cell r="F3614">
            <v>44683.510393518518</v>
          </cell>
          <cell r="H3614" t="str">
            <v>B&amp;P-ALU-DISI-LP201</v>
          </cell>
          <cell r="J3614">
            <v>1</v>
          </cell>
        </row>
        <row r="3615">
          <cell r="C3615" t="str">
            <v>B&amp;P-LED-LP201-5</v>
          </cell>
          <cell r="F3615">
            <v>44683.510393518518</v>
          </cell>
          <cell r="H3615" t="str">
            <v>B&amp;P-PCB-LP201PCB</v>
          </cell>
          <cell r="J3615">
            <v>1</v>
          </cell>
        </row>
        <row r="3616">
          <cell r="C3616" t="str">
            <v>B&amp;P-LED-LP201-5</v>
          </cell>
          <cell r="F3616">
            <v>44683.510393518518</v>
          </cell>
          <cell r="H3616" t="str">
            <v>B&amp;P-LED-LP201-glass</v>
          </cell>
          <cell r="J3616">
            <v>1</v>
          </cell>
        </row>
        <row r="3617">
          <cell r="C3617" t="str">
            <v>B&amp;P-LED-PARK-101</v>
          </cell>
          <cell r="F3617">
            <v>44845.349594907406</v>
          </cell>
          <cell r="H3617" t="str">
            <v>B&amp;P-LED-PARK-disi</v>
          </cell>
          <cell r="J3617">
            <v>1</v>
          </cell>
        </row>
        <row r="3618">
          <cell r="C3618" t="str">
            <v>B&amp;P-LED-PARK-101</v>
          </cell>
          <cell r="F3618">
            <v>44845.349594907406</v>
          </cell>
          <cell r="H3618" t="str">
            <v>B&amp;P-LED-PARK-pcb</v>
          </cell>
          <cell r="J3618">
            <v>1</v>
          </cell>
        </row>
        <row r="3619">
          <cell r="C3619" t="str">
            <v>B&amp;P-LED-PARK-101</v>
          </cell>
          <cell r="F3619">
            <v>44845.349594907406</v>
          </cell>
          <cell r="H3619" t="str">
            <v>B&amp;P-LED-PARK-glass</v>
          </cell>
          <cell r="J3619">
            <v>1</v>
          </cell>
        </row>
        <row r="3620">
          <cell r="C3620" t="str">
            <v>B&amp;P-LED-PARK-101</v>
          </cell>
          <cell r="F3620">
            <v>44845.349594907406</v>
          </cell>
          <cell r="H3620" t="str">
            <v>B&amp;P-LED-PARK101-pole</v>
          </cell>
          <cell r="J3620">
            <v>3</v>
          </cell>
        </row>
        <row r="3621">
          <cell r="C3621" t="str">
            <v>B&amp;P-ALU-EX50/NSPD</v>
          </cell>
          <cell r="F3621">
            <v>44895.604259259257</v>
          </cell>
          <cell r="H3621" t="str">
            <v>B&amp;P-ALU-DISI-EX50</v>
          </cell>
          <cell r="J3621">
            <v>1</v>
          </cell>
        </row>
        <row r="3622">
          <cell r="C3622" t="str">
            <v>B&amp;P-ALU-EX50/NSPD</v>
          </cell>
          <cell r="F3622">
            <v>44895.604259259257</v>
          </cell>
          <cell r="H3622" t="str">
            <v>B&amp;P-PCB-PCBEX55</v>
          </cell>
          <cell r="J3622">
            <v>1</v>
          </cell>
        </row>
        <row r="3623">
          <cell r="C3623" t="str">
            <v>PEE-S---6202-2RSC3-M</v>
          </cell>
          <cell r="F3623">
            <v>38567.364953703705</v>
          </cell>
          <cell r="H3623" t="str">
            <v>PEE-S---6202-D-C3-M</v>
          </cell>
          <cell r="J3623">
            <v>1</v>
          </cell>
        </row>
        <row r="3624">
          <cell r="C3624" t="str">
            <v>PEE-S---6202-2RSC3-M</v>
          </cell>
          <cell r="F3624">
            <v>38567.364953703705</v>
          </cell>
          <cell r="H3624" t="str">
            <v>MID-004-RLD-6202-RED</v>
          </cell>
          <cell r="J3624">
            <v>2</v>
          </cell>
        </row>
        <row r="3625">
          <cell r="C3625" t="str">
            <v>PEE-S---6202-2RSC3-M</v>
          </cell>
          <cell r="F3625">
            <v>38567.364953703705</v>
          </cell>
          <cell r="H3625" t="str">
            <v>000-006-001</v>
          </cell>
          <cell r="J3625">
            <v>0.6</v>
          </cell>
        </row>
        <row r="3626">
          <cell r="C3626" t="str">
            <v>PEE-S---6202-2RSC3-M</v>
          </cell>
          <cell r="F3626">
            <v>38567.364953703705</v>
          </cell>
          <cell r="H3626" t="str">
            <v>002-002-001</v>
          </cell>
          <cell r="J3626">
            <v>3.0000000000000001E-3</v>
          </cell>
        </row>
        <row r="3627">
          <cell r="C3627" t="str">
            <v>PEE-HS--6204-2RSC3-M</v>
          </cell>
          <cell r="F3627">
            <v>39022.646932870368</v>
          </cell>
          <cell r="H3627" t="str">
            <v>PEE-HS--6204-D-C3-M</v>
          </cell>
          <cell r="J3627">
            <v>1</v>
          </cell>
        </row>
        <row r="3628">
          <cell r="C3628" t="str">
            <v>PEE-HS--6204-2RSC3-M</v>
          </cell>
          <cell r="F3628">
            <v>39022.646932870368</v>
          </cell>
          <cell r="H3628" t="str">
            <v>MID-004-RLD-6204-RED</v>
          </cell>
          <cell r="J3628">
            <v>2</v>
          </cell>
        </row>
        <row r="3629">
          <cell r="C3629" t="str">
            <v>PEE-HS--6204-2RSC3-M</v>
          </cell>
          <cell r="F3629">
            <v>39022.646932870368</v>
          </cell>
          <cell r="H3629" t="str">
            <v>000-006-001</v>
          </cell>
          <cell r="J3629">
            <v>1.4</v>
          </cell>
        </row>
        <row r="3630">
          <cell r="C3630" t="str">
            <v>PEE-HS--6204-2RSC3-M</v>
          </cell>
          <cell r="F3630">
            <v>39022.646932870368</v>
          </cell>
          <cell r="H3630" t="str">
            <v>002-002-001</v>
          </cell>
          <cell r="J3630">
            <v>4.0000000000000001E-3</v>
          </cell>
        </row>
        <row r="3631">
          <cell r="C3631" t="str">
            <v>PEE-HS--6307-2RLD-C0</v>
          </cell>
          <cell r="F3631">
            <v>38597.675844907404</v>
          </cell>
          <cell r="H3631" t="str">
            <v>PEE-HS--6307-D-C0</v>
          </cell>
          <cell r="J3631">
            <v>1</v>
          </cell>
        </row>
        <row r="3632">
          <cell r="C3632" t="str">
            <v>PEE-HS--6307-2RLD-C0</v>
          </cell>
          <cell r="F3632">
            <v>38597.675844907404</v>
          </cell>
          <cell r="H3632" t="str">
            <v>000-004-RLD-6307-RED</v>
          </cell>
          <cell r="J3632">
            <v>2</v>
          </cell>
        </row>
        <row r="3633">
          <cell r="C3633" t="str">
            <v>PEE-HS--6307-2RLD-C0</v>
          </cell>
          <cell r="F3633">
            <v>38597.675844907404</v>
          </cell>
          <cell r="H3633" t="str">
            <v>000-006-001</v>
          </cell>
          <cell r="J3633">
            <v>6</v>
          </cell>
        </row>
        <row r="3634">
          <cell r="C3634" t="str">
            <v>PEE-HS--6307-2RLD-C0</v>
          </cell>
          <cell r="F3634">
            <v>38597.675844907404</v>
          </cell>
          <cell r="H3634" t="str">
            <v>002-002-001</v>
          </cell>
          <cell r="J3634">
            <v>0.01</v>
          </cell>
        </row>
        <row r="3635">
          <cell r="C3635" t="str">
            <v>PEE-HS--6307-D-C0</v>
          </cell>
          <cell r="F3635">
            <v>38597.684525462966</v>
          </cell>
          <cell r="H3635" t="str">
            <v>000-001-6307-D</v>
          </cell>
          <cell r="J3635">
            <v>1</v>
          </cell>
        </row>
        <row r="3636">
          <cell r="C3636" t="str">
            <v>PEE-HS--6307-D-C0</v>
          </cell>
          <cell r="F3636">
            <v>38597.684525462966</v>
          </cell>
          <cell r="H3636" t="str">
            <v>000-002-6307-D</v>
          </cell>
          <cell r="J3636">
            <v>1</v>
          </cell>
        </row>
        <row r="3637">
          <cell r="C3637" t="str">
            <v>PEE-HS--6307-D-C0</v>
          </cell>
          <cell r="F3637">
            <v>38597.684525462966</v>
          </cell>
          <cell r="H3637" t="str">
            <v>000-003-17/32</v>
          </cell>
          <cell r="J3637">
            <v>8</v>
          </cell>
        </row>
        <row r="3638">
          <cell r="C3638" t="str">
            <v>PEE-HS--6307-D-C0</v>
          </cell>
          <cell r="F3638">
            <v>38597.684525462966</v>
          </cell>
          <cell r="H3638" t="str">
            <v>000-005-6307-RET/SET</v>
          </cell>
          <cell r="J3638">
            <v>1</v>
          </cell>
        </row>
        <row r="3639">
          <cell r="C3639" t="str">
            <v>PEE-HS--6307-D-C0</v>
          </cell>
          <cell r="F3639">
            <v>38597.684525462966</v>
          </cell>
          <cell r="H3639" t="str">
            <v>002-002-001</v>
          </cell>
          <cell r="J3639">
            <v>1.7999999999999999E-2</v>
          </cell>
        </row>
        <row r="3640">
          <cell r="C3640" t="str">
            <v>PEE-HS--6307-2RST-C2</v>
          </cell>
          <cell r="F3640">
            <v>38597.728761574072</v>
          </cell>
          <cell r="H3640" t="str">
            <v>PEE-HS--6307-D-C2</v>
          </cell>
          <cell r="J3640">
            <v>1</v>
          </cell>
        </row>
        <row r="3641">
          <cell r="C3641" t="str">
            <v>PEE-HS--6307-2RST-C2</v>
          </cell>
          <cell r="F3641">
            <v>38597.728761574072</v>
          </cell>
          <cell r="H3641" t="str">
            <v>000-004-RST-6307-RED</v>
          </cell>
          <cell r="J3641">
            <v>2</v>
          </cell>
        </row>
        <row r="3642">
          <cell r="C3642" t="str">
            <v>PEE-HS--6307-2RST-C2</v>
          </cell>
          <cell r="F3642">
            <v>38597.728761574072</v>
          </cell>
          <cell r="H3642" t="str">
            <v>000-006-001</v>
          </cell>
          <cell r="J3642">
            <v>16</v>
          </cell>
        </row>
        <row r="3643">
          <cell r="C3643" t="str">
            <v>PEE-HS--6307-2RST-C2</v>
          </cell>
          <cell r="F3643">
            <v>38597.728761574072</v>
          </cell>
          <cell r="H3643" t="str">
            <v>002-002-001</v>
          </cell>
          <cell r="J3643">
            <v>0.01</v>
          </cell>
        </row>
        <row r="3644">
          <cell r="C3644" t="str">
            <v>PEE-HS--6203-2RSC3-M</v>
          </cell>
          <cell r="F3644">
            <v>39008.499768518515</v>
          </cell>
          <cell r="H3644" t="str">
            <v>MID-001-6203-D</v>
          </cell>
          <cell r="J3644">
            <v>1</v>
          </cell>
        </row>
        <row r="3645">
          <cell r="C3645" t="str">
            <v>PEE-HS--6203-2RSC3-M</v>
          </cell>
          <cell r="F3645">
            <v>39008.499768518515</v>
          </cell>
          <cell r="H3645" t="str">
            <v>MID-002-6203-D</v>
          </cell>
          <cell r="J3645">
            <v>1</v>
          </cell>
        </row>
        <row r="3646">
          <cell r="C3646" t="str">
            <v>PEE-HS--6203-2RSC3-M</v>
          </cell>
          <cell r="F3646">
            <v>39008.499768518515</v>
          </cell>
          <cell r="H3646" t="str">
            <v>MID-003-17/64</v>
          </cell>
          <cell r="J3646">
            <v>8</v>
          </cell>
        </row>
        <row r="3647">
          <cell r="C3647" t="str">
            <v>PEE-HS--6203-2RSC3-M</v>
          </cell>
          <cell r="F3647">
            <v>39008.499768518515</v>
          </cell>
          <cell r="H3647" t="str">
            <v>MID-004-RLD-6203-RED</v>
          </cell>
          <cell r="J3647">
            <v>2</v>
          </cell>
        </row>
        <row r="3648">
          <cell r="C3648" t="str">
            <v>PEE-HS--6203-2RSC3-M</v>
          </cell>
          <cell r="F3648">
            <v>39008.499768518515</v>
          </cell>
          <cell r="H3648" t="str">
            <v>MID-005-6203-RET/SET</v>
          </cell>
          <cell r="J3648">
            <v>1</v>
          </cell>
        </row>
        <row r="3649">
          <cell r="C3649" t="str">
            <v>PEE-HS--6203-2RSC3-M</v>
          </cell>
          <cell r="F3649">
            <v>39008.499768518515</v>
          </cell>
          <cell r="H3649" t="str">
            <v>000-006-001</v>
          </cell>
          <cell r="J3649">
            <v>0.8</v>
          </cell>
        </row>
        <row r="3650">
          <cell r="C3650" t="str">
            <v>PEE-HS--6203-2RSC3-M</v>
          </cell>
          <cell r="F3650">
            <v>39008.499768518515</v>
          </cell>
          <cell r="H3650" t="str">
            <v>002-002-001</v>
          </cell>
          <cell r="J3650">
            <v>1.6E-2</v>
          </cell>
        </row>
        <row r="3651">
          <cell r="C3651" t="str">
            <v>MID-001-6203-R</v>
          </cell>
          <cell r="F3651">
            <v>38607.454965277779</v>
          </cell>
          <cell r="H3651" t="str">
            <v>MID-001-6203-UG</v>
          </cell>
          <cell r="J3651">
            <v>1</v>
          </cell>
        </row>
        <row r="3652">
          <cell r="C3652" t="str">
            <v>MID-001-6204-R</v>
          </cell>
          <cell r="F3652">
            <v>38607.710555555554</v>
          </cell>
          <cell r="H3652" t="str">
            <v>MID-001-6204-UG</v>
          </cell>
          <cell r="J3652">
            <v>1</v>
          </cell>
        </row>
        <row r="3653">
          <cell r="C3653" t="str">
            <v>MID-002-6203-R</v>
          </cell>
          <cell r="F3653">
            <v>38608.638657407406</v>
          </cell>
          <cell r="H3653" t="str">
            <v>MID-002-6203-UG</v>
          </cell>
          <cell r="J3653">
            <v>1</v>
          </cell>
        </row>
        <row r="3654">
          <cell r="C3654" t="str">
            <v>MID-002-6204-R</v>
          </cell>
          <cell r="F3654">
            <v>38608.644432870373</v>
          </cell>
          <cell r="H3654" t="str">
            <v>MID-002-6204-UG</v>
          </cell>
          <cell r="J3654">
            <v>1</v>
          </cell>
        </row>
        <row r="3655">
          <cell r="C3655" t="str">
            <v>PEE-HS--6206-1RLD-C0</v>
          </cell>
          <cell r="F3655">
            <v>38608.802442129629</v>
          </cell>
          <cell r="H3655" t="str">
            <v>PEE-HS--6206-D-C0</v>
          </cell>
          <cell r="J3655">
            <v>1</v>
          </cell>
        </row>
        <row r="3656">
          <cell r="C3656" t="str">
            <v>PEE-HS--6206-1RLD-C0</v>
          </cell>
          <cell r="F3656">
            <v>38608.802442129629</v>
          </cell>
          <cell r="H3656" t="str">
            <v>000-004-RLD-6206-RED</v>
          </cell>
          <cell r="J3656">
            <v>1</v>
          </cell>
        </row>
        <row r="3657">
          <cell r="C3657" t="str">
            <v>PEE-HS--6206-1RLD-C0</v>
          </cell>
          <cell r="F3657">
            <v>38608.802442129629</v>
          </cell>
          <cell r="H3657" t="str">
            <v>002-002-001</v>
          </cell>
          <cell r="J3657">
            <v>2E-3</v>
          </cell>
        </row>
        <row r="3658">
          <cell r="C3658" t="str">
            <v>000-001-204-JY3-R</v>
          </cell>
          <cell r="F3658">
            <v>38630.443657407406</v>
          </cell>
          <cell r="H3658" t="str">
            <v>000-001-204JY3-UG</v>
          </cell>
          <cell r="J3658">
            <v>1</v>
          </cell>
        </row>
        <row r="3659">
          <cell r="C3659" t="str">
            <v>000-002-204-JY3-R</v>
          </cell>
          <cell r="F3659">
            <v>38630.444699074076</v>
          </cell>
          <cell r="H3659" t="str">
            <v>000-002-204JY3-UG</v>
          </cell>
          <cell r="J3659">
            <v>1</v>
          </cell>
        </row>
        <row r="3660">
          <cell r="C3660" t="str">
            <v>PEE-HS--6305-2RLD-C0</v>
          </cell>
          <cell r="F3660">
            <v>38670.4377662037</v>
          </cell>
          <cell r="H3660" t="str">
            <v>PEE-HS--6305-D-C0</v>
          </cell>
          <cell r="J3660">
            <v>1</v>
          </cell>
        </row>
        <row r="3661">
          <cell r="C3661" t="str">
            <v>PEE-HS--6305-2RLD-C0</v>
          </cell>
          <cell r="F3661">
            <v>38670.4377662037</v>
          </cell>
          <cell r="H3661" t="str">
            <v>000-004-RLD-6305-RED</v>
          </cell>
          <cell r="J3661">
            <v>2</v>
          </cell>
        </row>
        <row r="3662">
          <cell r="C3662" t="str">
            <v>PEE-HS--6305-2RLD-C0</v>
          </cell>
          <cell r="F3662">
            <v>38670.4377662037</v>
          </cell>
          <cell r="H3662" t="str">
            <v>000-006-001</v>
          </cell>
          <cell r="J3662">
            <v>3.2</v>
          </cell>
        </row>
        <row r="3663">
          <cell r="C3663" t="str">
            <v>PEE-HS--6305-2RLD-C0</v>
          </cell>
          <cell r="F3663">
            <v>38670.4377662037</v>
          </cell>
          <cell r="H3663" t="str">
            <v>002-002-001</v>
          </cell>
          <cell r="J3663">
            <v>3.0000000000000001E-3</v>
          </cell>
        </row>
        <row r="3664">
          <cell r="C3664" t="str">
            <v>PEE-EMQ-6203-ZZ-C3</v>
          </cell>
          <cell r="F3664">
            <v>39707.671782407408</v>
          </cell>
          <cell r="H3664" t="str">
            <v>000-004-ZZ-6203</v>
          </cell>
          <cell r="J3664">
            <v>2</v>
          </cell>
        </row>
        <row r="3665">
          <cell r="C3665" t="str">
            <v>PEE-EMQ-6203-ZZ-C3</v>
          </cell>
          <cell r="F3665">
            <v>39707.671782407408</v>
          </cell>
          <cell r="H3665" t="str">
            <v>000-006-001</v>
          </cell>
          <cell r="J3665">
            <v>0.8</v>
          </cell>
        </row>
        <row r="3666">
          <cell r="C3666" t="str">
            <v>PEE-EMQ-6203-ZZ-C3</v>
          </cell>
          <cell r="F3666">
            <v>39707.671782407408</v>
          </cell>
          <cell r="H3666" t="str">
            <v>002-002-001</v>
          </cell>
          <cell r="J3666">
            <v>1.1299999999999999E-2</v>
          </cell>
        </row>
        <row r="3667">
          <cell r="C3667" t="str">
            <v>PEE-S---6005-ZZ-C3</v>
          </cell>
          <cell r="F3667">
            <v>39758.349039351851</v>
          </cell>
          <cell r="H3667" t="str">
            <v>PEE-S---6005-D-C3</v>
          </cell>
          <cell r="J3667">
            <v>1</v>
          </cell>
        </row>
        <row r="3668">
          <cell r="C3668" t="str">
            <v>PEE-S---6005-ZZ-C3</v>
          </cell>
          <cell r="F3668">
            <v>39758.349039351851</v>
          </cell>
          <cell r="H3668" t="str">
            <v>MID-004-6005-Z</v>
          </cell>
          <cell r="J3668">
            <v>2</v>
          </cell>
        </row>
        <row r="3669">
          <cell r="C3669" t="str">
            <v>PEE-S---6005-ZZ-C3</v>
          </cell>
          <cell r="F3669">
            <v>39758.349039351851</v>
          </cell>
          <cell r="H3669" t="str">
            <v>000-006-001</v>
          </cell>
          <cell r="J3669">
            <v>1</v>
          </cell>
        </row>
        <row r="3670">
          <cell r="C3670" t="str">
            <v>PEE-S---6005-ZZ-C3</v>
          </cell>
          <cell r="F3670">
            <v>39758.349039351851</v>
          </cell>
          <cell r="H3670" t="str">
            <v>002-002-001</v>
          </cell>
          <cell r="J3670">
            <v>1.1299999999999999E-2</v>
          </cell>
        </row>
        <row r="3671">
          <cell r="C3671" t="str">
            <v>PEE-HS--6201-2RLD-C3</v>
          </cell>
          <cell r="F3671">
            <v>39771.732488425929</v>
          </cell>
          <cell r="H3671" t="str">
            <v>MID-001-6201-D</v>
          </cell>
          <cell r="J3671">
            <v>1</v>
          </cell>
        </row>
        <row r="3672">
          <cell r="C3672" t="str">
            <v>PEE-HS--6201-2RLD-C3</v>
          </cell>
          <cell r="F3672">
            <v>39771.732488425929</v>
          </cell>
          <cell r="H3672" t="str">
            <v>MID-002-6201-D</v>
          </cell>
          <cell r="J3672">
            <v>1</v>
          </cell>
        </row>
        <row r="3673">
          <cell r="C3673" t="str">
            <v>PEE-HS--6201-2RLD-C3</v>
          </cell>
          <cell r="F3673">
            <v>39771.732488425929</v>
          </cell>
          <cell r="H3673" t="str">
            <v>MID-003-15/64</v>
          </cell>
          <cell r="J3673">
            <v>7</v>
          </cell>
        </row>
        <row r="3674">
          <cell r="C3674" t="str">
            <v>PEE-HS--6201-2RLD-C3</v>
          </cell>
          <cell r="F3674">
            <v>39771.732488425929</v>
          </cell>
          <cell r="H3674" t="str">
            <v>000-004-RLD-6201-RED</v>
          </cell>
          <cell r="J3674">
            <v>2</v>
          </cell>
        </row>
        <row r="3675">
          <cell r="C3675" t="str">
            <v>PEE-HS--6201-2RLD-C3</v>
          </cell>
          <cell r="F3675">
            <v>39771.732488425929</v>
          </cell>
          <cell r="H3675" t="str">
            <v>MID-005-6201-RET/SET</v>
          </cell>
          <cell r="J3675">
            <v>1</v>
          </cell>
        </row>
        <row r="3676">
          <cell r="C3676" t="str">
            <v>PEE-HS--6201-2RLD-C3</v>
          </cell>
          <cell r="F3676">
            <v>39771.732488425929</v>
          </cell>
          <cell r="H3676" t="str">
            <v>000-006-001</v>
          </cell>
          <cell r="J3676">
            <v>0.5</v>
          </cell>
        </row>
        <row r="3677">
          <cell r="C3677" t="str">
            <v>PEE-HS--6201-2RLD-C3</v>
          </cell>
          <cell r="F3677">
            <v>39771.732488425929</v>
          </cell>
          <cell r="H3677" t="str">
            <v>002-002-001</v>
          </cell>
          <cell r="J3677">
            <v>0.1133</v>
          </cell>
        </row>
        <row r="3678">
          <cell r="C3678" t="str">
            <v>PEE-SE--6203-2RS-C3</v>
          </cell>
          <cell r="F3678">
            <v>39853.405092592591</v>
          </cell>
          <cell r="H3678" t="str">
            <v>PEE-SE--6203-D-C3</v>
          </cell>
          <cell r="J3678">
            <v>1</v>
          </cell>
        </row>
        <row r="3679">
          <cell r="C3679" t="str">
            <v>PEE-SE--6203-2RS-C3</v>
          </cell>
          <cell r="F3679">
            <v>39853.405092592591</v>
          </cell>
          <cell r="H3679" t="str">
            <v>MID-004-RLD-6203-RED</v>
          </cell>
          <cell r="J3679">
            <v>2</v>
          </cell>
        </row>
        <row r="3680">
          <cell r="C3680" t="str">
            <v>PEE-SE--6203-2RS-C3</v>
          </cell>
          <cell r="F3680">
            <v>39853.405092592591</v>
          </cell>
          <cell r="H3680" t="str">
            <v>000-006-001</v>
          </cell>
          <cell r="J3680">
            <v>0.8</v>
          </cell>
        </row>
        <row r="3681">
          <cell r="C3681" t="str">
            <v>PEE-SE--6203-2RS-C3</v>
          </cell>
          <cell r="F3681">
            <v>39853.405092592591</v>
          </cell>
          <cell r="H3681" t="str">
            <v>002-002-001</v>
          </cell>
          <cell r="J3681">
            <v>4.0000000000000001E-3</v>
          </cell>
        </row>
        <row r="3682">
          <cell r="C3682" t="str">
            <v>PEE-S---6201-D-C0</v>
          </cell>
          <cell r="F3682">
            <v>39853.666516203702</v>
          </cell>
          <cell r="H3682" t="str">
            <v>MID-001-6201-D</v>
          </cell>
          <cell r="J3682">
            <v>1</v>
          </cell>
        </row>
        <row r="3683">
          <cell r="C3683" t="str">
            <v>PEE-S---6201-D-C0</v>
          </cell>
          <cell r="F3683">
            <v>39853.666516203702</v>
          </cell>
          <cell r="H3683" t="str">
            <v>MID-002-6201-D</v>
          </cell>
          <cell r="J3683">
            <v>1</v>
          </cell>
        </row>
        <row r="3684">
          <cell r="C3684" t="str">
            <v>PEE-S---6201-D-C0</v>
          </cell>
          <cell r="F3684">
            <v>39853.666516203702</v>
          </cell>
          <cell r="H3684" t="str">
            <v>MID-003-15/64</v>
          </cell>
          <cell r="J3684">
            <v>7</v>
          </cell>
        </row>
        <row r="3685">
          <cell r="C3685" t="str">
            <v>PEE-S---6201-D-C0</v>
          </cell>
          <cell r="F3685">
            <v>39853.666516203702</v>
          </cell>
          <cell r="H3685" t="str">
            <v>MID-005-6201-RET/SET</v>
          </cell>
          <cell r="J3685">
            <v>1</v>
          </cell>
        </row>
        <row r="3686">
          <cell r="C3686" t="str">
            <v>PEE-S---6201-D-C0</v>
          </cell>
          <cell r="F3686">
            <v>39853.666516203702</v>
          </cell>
          <cell r="H3686" t="str">
            <v>002-002-001</v>
          </cell>
          <cell r="J3686">
            <v>1.1299999999999999E-2</v>
          </cell>
        </row>
        <row r="3687">
          <cell r="C3687" t="str">
            <v>BPB-048-W-208-YYB22</v>
          </cell>
          <cell r="F3687">
            <v>40112.692013888889</v>
          </cell>
          <cell r="H3687" t="str">
            <v>RET-048-W-208-YYB22</v>
          </cell>
          <cell r="J3687">
            <v>1</v>
          </cell>
        </row>
        <row r="3688">
          <cell r="C3688" t="str">
            <v>BPB-048-GW-208-PPB22</v>
          </cell>
          <cell r="F3688">
            <v>40112.693530092591</v>
          </cell>
          <cell r="H3688" t="str">
            <v>RET-048-GW-208-PPB22</v>
          </cell>
          <cell r="J3688">
            <v>1</v>
          </cell>
        </row>
        <row r="3689">
          <cell r="C3689" t="str">
            <v>BPB-048-GW-208-PPB22</v>
          </cell>
          <cell r="F3689">
            <v>40112.693530092591</v>
          </cell>
          <cell r="H3689" t="str">
            <v>RET-027-SEAL-W208B22</v>
          </cell>
          <cell r="J3689">
            <v>2</v>
          </cell>
        </row>
        <row r="3690">
          <cell r="C3690" t="str">
            <v>BPB-047-SAB-205-25DG</v>
          </cell>
          <cell r="F3690">
            <v>40158.378194444442</v>
          </cell>
          <cell r="H3690" t="str">
            <v>RET-027-SEAL-205DBL</v>
          </cell>
          <cell r="J3690">
            <v>2</v>
          </cell>
        </row>
        <row r="3691">
          <cell r="C3691" t="str">
            <v>BPB-047-SAB-205-25DG</v>
          </cell>
          <cell r="F3691">
            <v>40158.378194444442</v>
          </cell>
          <cell r="H3691" t="str">
            <v>RET-047-SAB-205-25DG</v>
          </cell>
          <cell r="J3691">
            <v>1</v>
          </cell>
        </row>
        <row r="3692">
          <cell r="C3692" t="str">
            <v>BPB-047-ECL-211-35-D</v>
          </cell>
          <cell r="F3692">
            <v>40162.491273148145</v>
          </cell>
          <cell r="H3692" t="str">
            <v>RET-047-ECL-211-35DB</v>
          </cell>
          <cell r="J3692">
            <v>1</v>
          </cell>
        </row>
        <row r="3693">
          <cell r="C3693" t="str">
            <v>BPB-047-UC-204-20-D</v>
          </cell>
          <cell r="F3693">
            <v>40162.496099537035</v>
          </cell>
          <cell r="H3693" t="str">
            <v>RET-047-UC-204-20mm</v>
          </cell>
          <cell r="J3693">
            <v>1</v>
          </cell>
        </row>
        <row r="3694">
          <cell r="C3694" t="str">
            <v>BPB-047-UC-204-20-D</v>
          </cell>
          <cell r="F3694">
            <v>40162.496099537035</v>
          </cell>
          <cell r="H3694" t="str">
            <v>RET-027-SEAL-204DBL</v>
          </cell>
          <cell r="J3694">
            <v>2</v>
          </cell>
        </row>
        <row r="3695">
          <cell r="C3695" t="str">
            <v>BPB-047-ECL-209-27-D</v>
          </cell>
          <cell r="F3695">
            <v>40163.691736111112</v>
          </cell>
          <cell r="H3695" t="str">
            <v>RET-047-ECL-209-27-D</v>
          </cell>
          <cell r="J3695">
            <v>1</v>
          </cell>
        </row>
        <row r="3696">
          <cell r="C3696" t="str">
            <v>BPB-048-AG59196DDH</v>
          </cell>
          <cell r="F3696">
            <v>40200.377233796295</v>
          </cell>
          <cell r="H3696" t="str">
            <v>RET-048-AG59196DDH</v>
          </cell>
          <cell r="J3696">
            <v>1</v>
          </cell>
        </row>
        <row r="3697">
          <cell r="C3697" t="str">
            <v>PEE-HS--6204-1RLD-C3</v>
          </cell>
          <cell r="F3697">
            <v>40239.412824074076</v>
          </cell>
          <cell r="H3697" t="str">
            <v>PEE-HS--6204-D-C3</v>
          </cell>
          <cell r="J3697">
            <v>1</v>
          </cell>
        </row>
        <row r="3698">
          <cell r="C3698" t="str">
            <v>PEE-HS--6204-1RLD-C3</v>
          </cell>
          <cell r="F3698">
            <v>40239.412824074076</v>
          </cell>
          <cell r="H3698" t="str">
            <v>000-004-RLD-6204-RED</v>
          </cell>
          <cell r="J3698">
            <v>1</v>
          </cell>
        </row>
        <row r="3699">
          <cell r="C3699" t="str">
            <v>BPB-041-6205-D-C3</v>
          </cell>
          <cell r="F3699">
            <v>40254.406041666669</v>
          </cell>
          <cell r="H3699" t="str">
            <v>BPB-001-6205-D</v>
          </cell>
          <cell r="J3699">
            <v>1</v>
          </cell>
        </row>
        <row r="3700">
          <cell r="C3700" t="str">
            <v>BPB-041-6205-D-C3</v>
          </cell>
          <cell r="F3700">
            <v>40254.406041666669</v>
          </cell>
          <cell r="H3700" t="str">
            <v>BPB-002-6205-D</v>
          </cell>
          <cell r="J3700">
            <v>1</v>
          </cell>
        </row>
        <row r="3701">
          <cell r="C3701" t="str">
            <v>BPB-041-6205-D-C3</v>
          </cell>
          <cell r="F3701">
            <v>40254.406041666669</v>
          </cell>
          <cell r="H3701" t="str">
            <v>MID-005-6205-RET/SET</v>
          </cell>
          <cell r="J3701">
            <v>1</v>
          </cell>
        </row>
        <row r="3702">
          <cell r="C3702" t="str">
            <v>BPB-041-6205-D-C3</v>
          </cell>
          <cell r="F3702">
            <v>40254.406041666669</v>
          </cell>
          <cell r="H3702" t="str">
            <v>MID-003-5/16</v>
          </cell>
          <cell r="J3702">
            <v>9</v>
          </cell>
        </row>
        <row r="3703">
          <cell r="C3703" t="str">
            <v>PEE-HS--6205-2RLD-C3</v>
          </cell>
          <cell r="F3703">
            <v>40254.451550925929</v>
          </cell>
          <cell r="H3703" t="str">
            <v>BPB-001-6205-D</v>
          </cell>
          <cell r="J3703">
            <v>1</v>
          </cell>
        </row>
        <row r="3704">
          <cell r="C3704" t="str">
            <v>PEE-HS--6205-2RLD-C3</v>
          </cell>
          <cell r="F3704">
            <v>40254.451550925929</v>
          </cell>
          <cell r="H3704" t="str">
            <v>000-004-RLD-6205-RED</v>
          </cell>
          <cell r="J3704">
            <v>2</v>
          </cell>
        </row>
        <row r="3705">
          <cell r="C3705" t="str">
            <v>PEE-HS--6205-2RLD-C3</v>
          </cell>
          <cell r="F3705">
            <v>40254.451550925929</v>
          </cell>
          <cell r="H3705" t="str">
            <v>BPB-002-6205-D</v>
          </cell>
          <cell r="J3705">
            <v>1</v>
          </cell>
        </row>
        <row r="3706">
          <cell r="C3706" t="str">
            <v>PEE-HS--6205-2RLD-C3</v>
          </cell>
          <cell r="F3706">
            <v>40254.451550925929</v>
          </cell>
          <cell r="H3706" t="str">
            <v>MID-005-6205-RET/SET</v>
          </cell>
          <cell r="J3706">
            <v>1</v>
          </cell>
        </row>
        <row r="3707">
          <cell r="C3707" t="str">
            <v>PEE-HS--6203-D-C3-R</v>
          </cell>
          <cell r="F3707">
            <v>38686.655115740738</v>
          </cell>
          <cell r="H3707" t="str">
            <v>MID-001-6203-R</v>
          </cell>
          <cell r="J3707">
            <v>1</v>
          </cell>
        </row>
        <row r="3708">
          <cell r="C3708" t="str">
            <v>PEE-HS--6203-D-C3-R</v>
          </cell>
          <cell r="F3708">
            <v>38686.655115740738</v>
          </cell>
          <cell r="H3708" t="str">
            <v>MID-002-6203-R</v>
          </cell>
          <cell r="J3708">
            <v>1</v>
          </cell>
        </row>
        <row r="3709">
          <cell r="C3709" t="str">
            <v>PEE-HS--6203-D-C3-R</v>
          </cell>
          <cell r="F3709">
            <v>38686.655115740738</v>
          </cell>
          <cell r="H3709" t="str">
            <v>MID-003-17/64</v>
          </cell>
          <cell r="J3709">
            <v>8</v>
          </cell>
        </row>
        <row r="3710">
          <cell r="C3710" t="str">
            <v>PEE-HS--6203-D-C3-R</v>
          </cell>
          <cell r="F3710">
            <v>38686.655115740738</v>
          </cell>
          <cell r="H3710" t="str">
            <v>MID-005-6203-RET/SET</v>
          </cell>
          <cell r="J3710">
            <v>1</v>
          </cell>
        </row>
        <row r="3711">
          <cell r="C3711" t="str">
            <v>PEE-HS--6203-D-C3-R</v>
          </cell>
          <cell r="F3711">
            <v>38686.655115740738</v>
          </cell>
          <cell r="H3711" t="str">
            <v>002-002-001</v>
          </cell>
          <cell r="J3711">
            <v>7.0000000000000001E-3</v>
          </cell>
        </row>
        <row r="3712">
          <cell r="C3712" t="str">
            <v>PEE-HS--6203-D-C3-RM</v>
          </cell>
          <cell r="F3712">
            <v>38686.705625000002</v>
          </cell>
          <cell r="H3712" t="str">
            <v>MID-001-6203-R</v>
          </cell>
          <cell r="J3712">
            <v>1</v>
          </cell>
        </row>
        <row r="3713">
          <cell r="C3713" t="str">
            <v>PEE-HS--6203-D-C3-RM</v>
          </cell>
          <cell r="F3713">
            <v>38686.705625000002</v>
          </cell>
          <cell r="H3713" t="str">
            <v>MID-002-6203-R</v>
          </cell>
          <cell r="J3713">
            <v>1</v>
          </cell>
        </row>
        <row r="3714">
          <cell r="C3714" t="str">
            <v>PEE-HS--6203-D-C3-RM</v>
          </cell>
          <cell r="F3714">
            <v>38686.705625000002</v>
          </cell>
          <cell r="H3714" t="str">
            <v>MID-003-17/64</v>
          </cell>
          <cell r="J3714">
            <v>8</v>
          </cell>
        </row>
        <row r="3715">
          <cell r="C3715" t="str">
            <v>PEE-HS--6203-D-C3-RM</v>
          </cell>
          <cell r="F3715">
            <v>38686.705625000002</v>
          </cell>
          <cell r="H3715" t="str">
            <v>MID-005-6203-RET/SET</v>
          </cell>
          <cell r="J3715">
            <v>1</v>
          </cell>
        </row>
        <row r="3716">
          <cell r="C3716" t="str">
            <v>PEE-HS--6203-D-C3-RM</v>
          </cell>
          <cell r="F3716">
            <v>38686.705625000002</v>
          </cell>
          <cell r="H3716" t="str">
            <v>002-002-001</v>
          </cell>
          <cell r="J3716">
            <v>7.0000000000000001E-3</v>
          </cell>
        </row>
        <row r="3717">
          <cell r="C3717" t="str">
            <v>MID-001-6206-R</v>
          </cell>
          <cell r="F3717">
            <v>38688.383692129632</v>
          </cell>
          <cell r="H3717" t="str">
            <v>MID-001-6206-UG</v>
          </cell>
          <cell r="J3717">
            <v>1</v>
          </cell>
        </row>
        <row r="3718">
          <cell r="C3718" t="str">
            <v>MID-002-6206-R</v>
          </cell>
          <cell r="F3718">
            <v>38688.404618055552</v>
          </cell>
          <cell r="H3718" t="str">
            <v>MID-002-6206-UG</v>
          </cell>
          <cell r="J3718">
            <v>1</v>
          </cell>
        </row>
        <row r="3719">
          <cell r="C3719" t="str">
            <v>PEE-HS--6201-2RLD-C0</v>
          </cell>
          <cell r="F3719">
            <v>38699.723333333335</v>
          </cell>
          <cell r="H3719" t="str">
            <v>PEE-HS--6201-D-C0</v>
          </cell>
          <cell r="J3719">
            <v>1</v>
          </cell>
        </row>
        <row r="3720">
          <cell r="C3720" t="str">
            <v>PEE-HS--6201-2RLD-C0</v>
          </cell>
          <cell r="F3720">
            <v>38699.723333333335</v>
          </cell>
          <cell r="H3720" t="str">
            <v>000-004-RLD-6201-RED</v>
          </cell>
          <cell r="J3720">
            <v>2</v>
          </cell>
        </row>
        <row r="3721">
          <cell r="C3721" t="str">
            <v>PEE-HS--6201-2RLD-C0</v>
          </cell>
          <cell r="F3721">
            <v>38699.723333333335</v>
          </cell>
          <cell r="H3721" t="str">
            <v>000-006-001</v>
          </cell>
          <cell r="J3721">
            <v>0.5</v>
          </cell>
        </row>
        <row r="3722">
          <cell r="C3722" t="str">
            <v>PEE-HS--6201-2RLD-C0</v>
          </cell>
          <cell r="F3722">
            <v>38699.723333333335</v>
          </cell>
          <cell r="H3722" t="str">
            <v>002-002-001</v>
          </cell>
          <cell r="J3722">
            <v>3.0000000000000001E-3</v>
          </cell>
        </row>
        <row r="3723">
          <cell r="C3723" t="str">
            <v>PEE-S---6203-RST-C3M</v>
          </cell>
          <cell r="F3723">
            <v>38700.446562500001</v>
          </cell>
          <cell r="H3723" t="str">
            <v>PEE-S---6203-D-C3-RM</v>
          </cell>
          <cell r="J3723">
            <v>1</v>
          </cell>
        </row>
        <row r="3724">
          <cell r="C3724" t="str">
            <v>PEE-S---6203-RST-C3M</v>
          </cell>
          <cell r="F3724">
            <v>38700.446562500001</v>
          </cell>
          <cell r="H3724" t="str">
            <v>MID-004-RST-6203-RED</v>
          </cell>
          <cell r="J3724">
            <v>2</v>
          </cell>
        </row>
        <row r="3725">
          <cell r="C3725" t="str">
            <v>PEE-S---6203-RST-C3M</v>
          </cell>
          <cell r="F3725">
            <v>38700.446562500001</v>
          </cell>
          <cell r="H3725" t="str">
            <v>000-006-001</v>
          </cell>
          <cell r="J3725">
            <v>2.1</v>
          </cell>
        </row>
        <row r="3726">
          <cell r="C3726" t="str">
            <v>PEE-S---6203-RST-C3M</v>
          </cell>
          <cell r="F3726">
            <v>38700.446562500001</v>
          </cell>
          <cell r="H3726" t="str">
            <v>002-002-001</v>
          </cell>
          <cell r="J3726">
            <v>3.3E-3</v>
          </cell>
        </row>
        <row r="3727">
          <cell r="C3727" t="str">
            <v>PEE-EMQ-6203-2RS-C3</v>
          </cell>
          <cell r="F3727">
            <v>38720.790532407409</v>
          </cell>
          <cell r="H3727" t="str">
            <v>PEE-EMQ-6203-D-C3-RM</v>
          </cell>
          <cell r="J3727">
            <v>1</v>
          </cell>
        </row>
        <row r="3728">
          <cell r="C3728" t="str">
            <v>PEE-EMQ-6203-2RS-C3</v>
          </cell>
          <cell r="F3728">
            <v>38720.790532407409</v>
          </cell>
          <cell r="H3728" t="str">
            <v>MID-004-RLD-6203-RED</v>
          </cell>
          <cell r="J3728">
            <v>2</v>
          </cell>
        </row>
        <row r="3729">
          <cell r="C3729" t="str">
            <v>PEE-EMQ-6203-2RS-C3</v>
          </cell>
          <cell r="F3729">
            <v>38720.790532407409</v>
          </cell>
          <cell r="H3729" t="str">
            <v>000-006-001</v>
          </cell>
          <cell r="J3729">
            <v>0.8</v>
          </cell>
        </row>
        <row r="3730">
          <cell r="C3730" t="str">
            <v>PEE-EMQ-6203-2RS-C3</v>
          </cell>
          <cell r="F3730">
            <v>38720.790532407409</v>
          </cell>
          <cell r="H3730" t="str">
            <v>002-002-001</v>
          </cell>
          <cell r="J3730">
            <v>3.3E-3</v>
          </cell>
        </row>
        <row r="3731">
          <cell r="C3731" t="str">
            <v>PEE-HS--6005-ZZ-C0</v>
          </cell>
          <cell r="F3731">
            <v>38758.351423611108</v>
          </cell>
          <cell r="H3731" t="str">
            <v>PEE-HS--6005-D-C0</v>
          </cell>
          <cell r="J3731">
            <v>1</v>
          </cell>
        </row>
        <row r="3732">
          <cell r="C3732" t="str">
            <v>PEE-HS--6005-ZZ-C0</v>
          </cell>
          <cell r="F3732">
            <v>38758.351423611108</v>
          </cell>
          <cell r="H3732" t="str">
            <v>000-004-ZZ-6005</v>
          </cell>
          <cell r="J3732">
            <v>2</v>
          </cell>
        </row>
        <row r="3733">
          <cell r="C3733" t="str">
            <v>PEE-HS--6005-ZZ-C0</v>
          </cell>
          <cell r="F3733">
            <v>38758.351423611108</v>
          </cell>
          <cell r="H3733" t="str">
            <v>000-006-001</v>
          </cell>
          <cell r="J3733">
            <v>1</v>
          </cell>
        </row>
        <row r="3734">
          <cell r="C3734" t="str">
            <v>PEE-HS--6005-ZZ-C0</v>
          </cell>
          <cell r="F3734">
            <v>38758.351423611108</v>
          </cell>
          <cell r="H3734" t="str">
            <v>002-002-001</v>
          </cell>
          <cell r="J3734">
            <v>4.0000000000000001E-3</v>
          </cell>
        </row>
        <row r="3735">
          <cell r="C3735" t="str">
            <v>PEE-HS--6005-2RLD-C3</v>
          </cell>
          <cell r="F3735">
            <v>38758.356469907405</v>
          </cell>
          <cell r="H3735" t="str">
            <v>PEE-HS--6005-D-C3</v>
          </cell>
          <cell r="J3735">
            <v>1</v>
          </cell>
        </row>
        <row r="3736">
          <cell r="C3736" t="str">
            <v>PEE-HS--6005-2RLD-C3</v>
          </cell>
          <cell r="F3736">
            <v>38758.356469907405</v>
          </cell>
          <cell r="H3736" t="str">
            <v>000-004-RLD-6005-RED</v>
          </cell>
          <cell r="J3736">
            <v>2</v>
          </cell>
        </row>
        <row r="3737">
          <cell r="C3737" t="str">
            <v>PEE-HS--6005-2RLD-C3</v>
          </cell>
          <cell r="F3737">
            <v>38758.356469907405</v>
          </cell>
          <cell r="H3737" t="str">
            <v>000-006-001</v>
          </cell>
          <cell r="J3737">
            <v>1</v>
          </cell>
        </row>
        <row r="3738">
          <cell r="C3738" t="str">
            <v>PEE-HS--6005-2RLD-C3</v>
          </cell>
          <cell r="F3738">
            <v>38758.356469907405</v>
          </cell>
          <cell r="H3738" t="str">
            <v>002-002-001</v>
          </cell>
          <cell r="J3738">
            <v>4.0000000000000001E-3</v>
          </cell>
        </row>
        <row r="3739">
          <cell r="C3739" t="str">
            <v>PEE-S---6005-2RLD-C3</v>
          </cell>
          <cell r="F3739">
            <v>38758.362685185188</v>
          </cell>
          <cell r="H3739" t="str">
            <v>PEE-S---6005-D-C3</v>
          </cell>
          <cell r="J3739">
            <v>1</v>
          </cell>
        </row>
        <row r="3740">
          <cell r="C3740" t="str">
            <v>PEE-S---6005-2RLD-C3</v>
          </cell>
          <cell r="F3740">
            <v>38758.362685185188</v>
          </cell>
          <cell r="H3740" t="str">
            <v>000-004-RLD-6005-RED</v>
          </cell>
          <cell r="J3740">
            <v>2</v>
          </cell>
        </row>
        <row r="3741">
          <cell r="C3741" t="str">
            <v>PEE-S---6005-2RLD-C3</v>
          </cell>
          <cell r="F3741">
            <v>38758.362685185188</v>
          </cell>
          <cell r="H3741" t="str">
            <v>000-006-001</v>
          </cell>
          <cell r="J3741">
            <v>1</v>
          </cell>
        </row>
        <row r="3742">
          <cell r="C3742" t="str">
            <v>PEE-S---6005-2RLD-C3</v>
          </cell>
          <cell r="F3742">
            <v>38758.362685185188</v>
          </cell>
          <cell r="H3742" t="str">
            <v>002-002-001</v>
          </cell>
          <cell r="J3742">
            <v>4.0000000000000001E-3</v>
          </cell>
        </row>
        <row r="3743">
          <cell r="C3743" t="str">
            <v>PEE-HS--6005-2RS-C3</v>
          </cell>
          <cell r="F3743">
            <v>38758.509814814817</v>
          </cell>
          <cell r="H3743" t="str">
            <v>PEE-HS--6005-D-C3-M</v>
          </cell>
          <cell r="J3743">
            <v>1</v>
          </cell>
        </row>
        <row r="3744">
          <cell r="C3744" t="str">
            <v>PEE-HS--6005-2RS-C3</v>
          </cell>
          <cell r="F3744">
            <v>38758.509814814817</v>
          </cell>
          <cell r="H3744" t="str">
            <v>MID-004-RLD-6005-RED</v>
          </cell>
          <cell r="J3744">
            <v>2</v>
          </cell>
        </row>
        <row r="3745">
          <cell r="C3745" t="str">
            <v>PEE-HS--6005-2RS-C3</v>
          </cell>
          <cell r="F3745">
            <v>38758.509814814817</v>
          </cell>
          <cell r="H3745" t="str">
            <v>000-006-001</v>
          </cell>
          <cell r="J3745">
            <v>1</v>
          </cell>
        </row>
        <row r="3746">
          <cell r="C3746" t="str">
            <v>PEE-HS--6005-2RS-C3</v>
          </cell>
          <cell r="F3746">
            <v>38758.509814814817</v>
          </cell>
          <cell r="H3746" t="str">
            <v>002-002-001</v>
          </cell>
          <cell r="J3746">
            <v>4.0000000000000001E-3</v>
          </cell>
        </row>
        <row r="3747">
          <cell r="C3747" t="str">
            <v>PEE-S---6005-2RS-C3</v>
          </cell>
          <cell r="F3747">
            <v>38758.511006944442</v>
          </cell>
          <cell r="H3747" t="str">
            <v>PEE-S---6005-D-C3-M</v>
          </cell>
          <cell r="J3747">
            <v>1</v>
          </cell>
        </row>
        <row r="3748">
          <cell r="C3748" t="str">
            <v>PEE-S---6005-2RS-C3</v>
          </cell>
          <cell r="F3748">
            <v>38758.511006944442</v>
          </cell>
          <cell r="H3748" t="str">
            <v>MID-004-RLD-6005-RED</v>
          </cell>
          <cell r="J3748">
            <v>2</v>
          </cell>
        </row>
        <row r="3749">
          <cell r="C3749" t="str">
            <v>PEE-S---6005-2RS-C3</v>
          </cell>
          <cell r="F3749">
            <v>38758.511006944442</v>
          </cell>
          <cell r="H3749" t="str">
            <v>000-006-001</v>
          </cell>
          <cell r="J3749">
            <v>1</v>
          </cell>
        </row>
        <row r="3750">
          <cell r="C3750" t="str">
            <v>PEE-S---6005-2RS-C3</v>
          </cell>
          <cell r="F3750">
            <v>38758.511006944442</v>
          </cell>
          <cell r="H3750" t="str">
            <v>002-002-001</v>
          </cell>
          <cell r="J3750">
            <v>4.0000000000000001E-3</v>
          </cell>
        </row>
        <row r="3751">
          <cell r="C3751" t="str">
            <v>PEE-SS--6204-2RSC3-M</v>
          </cell>
          <cell r="F3751">
            <v>38758.651307870372</v>
          </cell>
          <cell r="H3751" t="str">
            <v>PEE-SS--6204-D-C3-M</v>
          </cell>
          <cell r="J3751">
            <v>1</v>
          </cell>
        </row>
        <row r="3752">
          <cell r="C3752" t="str">
            <v>PEE-SS--6204-2RSC3-M</v>
          </cell>
          <cell r="F3752">
            <v>38758.651307870372</v>
          </cell>
          <cell r="H3752" t="str">
            <v>MID-004-RLD-6204-RED</v>
          </cell>
          <cell r="J3752">
            <v>2</v>
          </cell>
        </row>
        <row r="3753">
          <cell r="C3753" t="str">
            <v>PEE-SS--6204-2RSC3-M</v>
          </cell>
          <cell r="F3753">
            <v>38758.651307870372</v>
          </cell>
          <cell r="H3753" t="str">
            <v>000-006-001</v>
          </cell>
          <cell r="J3753">
            <v>1.4</v>
          </cell>
        </row>
        <row r="3754">
          <cell r="C3754" t="str">
            <v>PEE-SS--6204-2RSC3-M</v>
          </cell>
          <cell r="F3754">
            <v>38758.651307870372</v>
          </cell>
          <cell r="H3754" t="str">
            <v>002-002-001</v>
          </cell>
          <cell r="J3754">
            <v>4.0000000000000001E-3</v>
          </cell>
        </row>
        <row r="3755">
          <cell r="C3755" t="str">
            <v>PEE-EMQ-6203-2RSC3-M</v>
          </cell>
          <cell r="F3755">
            <v>38859.707071759258</v>
          </cell>
          <cell r="H3755" t="str">
            <v>PEE-EMQ-6203-D-C3-RM</v>
          </cell>
          <cell r="J3755">
            <v>1</v>
          </cell>
        </row>
        <row r="3756">
          <cell r="C3756" t="str">
            <v>PEE-EMQ-6203-2RSC3-M</v>
          </cell>
          <cell r="F3756">
            <v>38859.707071759258</v>
          </cell>
          <cell r="H3756" t="str">
            <v>MID-004-RLD-6203-RED</v>
          </cell>
          <cell r="J3756">
            <v>2</v>
          </cell>
        </row>
        <row r="3757">
          <cell r="C3757" t="str">
            <v>PEE-EMQ-6203-2RSC3-M</v>
          </cell>
          <cell r="F3757">
            <v>38859.707071759258</v>
          </cell>
          <cell r="H3757" t="str">
            <v>000-006-001</v>
          </cell>
          <cell r="J3757">
            <v>0.8</v>
          </cell>
        </row>
        <row r="3758">
          <cell r="C3758" t="str">
            <v>PEE-EMQ-6203-2RSC3-M</v>
          </cell>
          <cell r="F3758">
            <v>38859.707071759258</v>
          </cell>
          <cell r="H3758" t="str">
            <v>002-002-001</v>
          </cell>
          <cell r="J3758">
            <v>4.0000000000000001E-3</v>
          </cell>
        </row>
        <row r="3759">
          <cell r="C3759" t="str">
            <v>PEE-HS--6207-2RLD-C0</v>
          </cell>
          <cell r="F3759">
            <v>38880.603784722225</v>
          </cell>
          <cell r="H3759" t="str">
            <v>PEE-HS--6207-D-C0</v>
          </cell>
          <cell r="J3759">
            <v>1</v>
          </cell>
        </row>
        <row r="3760">
          <cell r="C3760" t="str">
            <v>PEE-HS--6207-2RLD-C0</v>
          </cell>
          <cell r="F3760">
            <v>38880.603784722225</v>
          </cell>
          <cell r="H3760" t="str">
            <v>000-004-RLD-6207-RED</v>
          </cell>
          <cell r="J3760">
            <v>2</v>
          </cell>
        </row>
        <row r="3761">
          <cell r="C3761" t="str">
            <v>PEE-HS--6207-2RLD-C0</v>
          </cell>
          <cell r="F3761">
            <v>38880.603784722225</v>
          </cell>
          <cell r="H3761" t="str">
            <v>000-006-001</v>
          </cell>
          <cell r="J3761">
            <v>3.4</v>
          </cell>
        </row>
        <row r="3762">
          <cell r="C3762" t="str">
            <v>PEE-HS--6207-2RLD-C0</v>
          </cell>
          <cell r="F3762">
            <v>38880.603784722225</v>
          </cell>
          <cell r="H3762" t="str">
            <v>002-002-001</v>
          </cell>
          <cell r="J3762">
            <v>6.0000000000000001E-3</v>
          </cell>
        </row>
        <row r="3763">
          <cell r="C3763" t="str">
            <v>000-001-205-GP-R</v>
          </cell>
          <cell r="F3763">
            <v>38880.627997685187</v>
          </cell>
          <cell r="H3763" t="str">
            <v>000-001-205GP-UG</v>
          </cell>
          <cell r="J3763">
            <v>1</v>
          </cell>
        </row>
        <row r="3764">
          <cell r="C3764" t="str">
            <v>000-002-205-GP-R</v>
          </cell>
          <cell r="F3764">
            <v>38880.640416666669</v>
          </cell>
          <cell r="H3764" t="str">
            <v>000-002-205GP-UG</v>
          </cell>
          <cell r="J3764">
            <v>1</v>
          </cell>
        </row>
        <row r="3765">
          <cell r="C3765" t="str">
            <v>PEE-S---6205-2RSC3-M</v>
          </cell>
          <cell r="F3765">
            <v>38896.347719907404</v>
          </cell>
          <cell r="H3765" t="str">
            <v>PEE-S---6205-D-C3-M</v>
          </cell>
          <cell r="J3765">
            <v>1</v>
          </cell>
        </row>
        <row r="3766">
          <cell r="C3766" t="str">
            <v>PEE-S---6205-2RSC3-M</v>
          </cell>
          <cell r="F3766">
            <v>38896.347719907404</v>
          </cell>
          <cell r="H3766" t="str">
            <v>MID-004-RLD-6205-RED</v>
          </cell>
          <cell r="J3766">
            <v>2</v>
          </cell>
        </row>
        <row r="3767">
          <cell r="C3767" t="str">
            <v>PEE-S---6205-2RSC3-M</v>
          </cell>
          <cell r="F3767">
            <v>38896.347719907404</v>
          </cell>
          <cell r="H3767" t="str">
            <v>000-006-001</v>
          </cell>
          <cell r="J3767">
            <v>1.7</v>
          </cell>
        </row>
        <row r="3768">
          <cell r="C3768" t="str">
            <v>PEE-S---6205-2RSC3-M</v>
          </cell>
          <cell r="F3768">
            <v>38896.347719907404</v>
          </cell>
          <cell r="H3768" t="str">
            <v>002-002-001</v>
          </cell>
          <cell r="J3768">
            <v>4.0000000000000001E-3</v>
          </cell>
        </row>
        <row r="3769">
          <cell r="C3769" t="str">
            <v>PEE-HS--6205-2RST-C0</v>
          </cell>
          <cell r="F3769">
            <v>38903.446979166663</v>
          </cell>
          <cell r="H3769" t="str">
            <v>MID-001-6205-D</v>
          </cell>
          <cell r="J3769">
            <v>1</v>
          </cell>
        </row>
        <row r="3770">
          <cell r="C3770" t="str">
            <v>PEE-HS--6205-2RST-C0</v>
          </cell>
          <cell r="F3770">
            <v>38903.446979166663</v>
          </cell>
          <cell r="H3770" t="str">
            <v>MID-002-6205-D</v>
          </cell>
          <cell r="J3770">
            <v>1</v>
          </cell>
        </row>
        <row r="3771">
          <cell r="C3771" t="str">
            <v>PEE-HS--6205-2RST-C0</v>
          </cell>
          <cell r="F3771">
            <v>38903.446979166663</v>
          </cell>
          <cell r="H3771" t="str">
            <v>MID-003-5/16</v>
          </cell>
          <cell r="J3771">
            <v>9</v>
          </cell>
        </row>
        <row r="3772">
          <cell r="C3772" t="str">
            <v>PEE-HS--6205-2RST-C0</v>
          </cell>
          <cell r="F3772">
            <v>38903.446979166663</v>
          </cell>
          <cell r="H3772" t="str">
            <v>000-004-RST-6205-RED</v>
          </cell>
          <cell r="J3772">
            <v>2</v>
          </cell>
        </row>
        <row r="3773">
          <cell r="C3773" t="str">
            <v>PEE-HS--6205-2RST-C0</v>
          </cell>
          <cell r="F3773">
            <v>38903.446979166663</v>
          </cell>
          <cell r="H3773" t="str">
            <v>MID-005-6205-RET/SET</v>
          </cell>
          <cell r="J3773">
            <v>1</v>
          </cell>
        </row>
        <row r="3774">
          <cell r="C3774" t="str">
            <v>PEE-HS--6205-2RST-C0</v>
          </cell>
          <cell r="F3774">
            <v>38903.446979166663</v>
          </cell>
          <cell r="H3774" t="str">
            <v>000-006-001</v>
          </cell>
          <cell r="J3774">
            <v>4.2</v>
          </cell>
        </row>
        <row r="3775">
          <cell r="C3775" t="str">
            <v>PEE-HS--6205-2RST-C0</v>
          </cell>
          <cell r="F3775">
            <v>38903.446979166663</v>
          </cell>
          <cell r="H3775" t="str">
            <v>002-002-001</v>
          </cell>
          <cell r="J3775">
            <v>1.1299999999999999E-2</v>
          </cell>
        </row>
        <row r="3776">
          <cell r="C3776" t="str">
            <v>PEE-HS--6005-D-C3</v>
          </cell>
          <cell r="F3776">
            <v>38910.373969907407</v>
          </cell>
          <cell r="H3776" t="str">
            <v>000-001-6005-D</v>
          </cell>
          <cell r="J3776">
            <v>1</v>
          </cell>
        </row>
        <row r="3777">
          <cell r="C3777" t="str">
            <v>PEE-HS--6005-D-C3</v>
          </cell>
          <cell r="F3777">
            <v>38910.373969907407</v>
          </cell>
          <cell r="H3777" t="str">
            <v>000-002-6005-D</v>
          </cell>
          <cell r="J3777">
            <v>1</v>
          </cell>
        </row>
        <row r="3778">
          <cell r="C3778" t="str">
            <v>PEE-HS--6005-D-C3</v>
          </cell>
          <cell r="F3778">
            <v>38910.373969907407</v>
          </cell>
          <cell r="H3778" t="str">
            <v>000-003-1/4</v>
          </cell>
          <cell r="J3778">
            <v>10</v>
          </cell>
        </row>
        <row r="3779">
          <cell r="C3779" t="str">
            <v>PEE-HS--6005-D-C3</v>
          </cell>
          <cell r="F3779">
            <v>38910.373969907407</v>
          </cell>
          <cell r="H3779" t="str">
            <v>000-005-6005-RET/SET</v>
          </cell>
          <cell r="J3779">
            <v>1</v>
          </cell>
        </row>
        <row r="3780">
          <cell r="C3780" t="str">
            <v>PEE-HS--6005-D-C3</v>
          </cell>
          <cell r="F3780">
            <v>38910.373969907407</v>
          </cell>
          <cell r="H3780" t="str">
            <v>002-002-001</v>
          </cell>
          <cell r="J3780">
            <v>7.0000000000000001E-3</v>
          </cell>
        </row>
        <row r="3781">
          <cell r="C3781" t="str">
            <v>PEE-HS--6203-2RSC0-M</v>
          </cell>
          <cell r="F3781">
            <v>38923.386307870373</v>
          </cell>
          <cell r="H3781" t="str">
            <v>PEE-HS--6203-D-C0-M</v>
          </cell>
          <cell r="J3781">
            <v>1</v>
          </cell>
        </row>
        <row r="3782">
          <cell r="C3782" t="str">
            <v>PEE-HS--6203-2RSC0-M</v>
          </cell>
          <cell r="F3782">
            <v>38923.386307870373</v>
          </cell>
          <cell r="H3782" t="str">
            <v>MID-004-RLD-6203-RED</v>
          </cell>
          <cell r="J3782">
            <v>2</v>
          </cell>
        </row>
        <row r="3783">
          <cell r="C3783" t="str">
            <v>PEE-HS--6203-2RSC0-M</v>
          </cell>
          <cell r="F3783">
            <v>38923.386307870373</v>
          </cell>
          <cell r="H3783" t="str">
            <v>000-006-001</v>
          </cell>
          <cell r="J3783">
            <v>0.8</v>
          </cell>
        </row>
        <row r="3784">
          <cell r="C3784" t="str">
            <v>PEE-HS--6203-2RSC0-M</v>
          </cell>
          <cell r="F3784">
            <v>38923.386307870373</v>
          </cell>
          <cell r="H3784" t="str">
            <v>002-002-001</v>
          </cell>
          <cell r="J3784">
            <v>4.0000000000000001E-3</v>
          </cell>
        </row>
        <row r="3785">
          <cell r="C3785" t="str">
            <v>000-002-6205-R</v>
          </cell>
          <cell r="F3785">
            <v>38923.680925925924</v>
          </cell>
          <cell r="H3785" t="str">
            <v>000-002-6205-UG</v>
          </cell>
          <cell r="J3785">
            <v>1</v>
          </cell>
        </row>
        <row r="3786">
          <cell r="C3786" t="str">
            <v>BPB-052-59501-02</v>
          </cell>
          <cell r="F3786">
            <v>40799.528680555559</v>
          </cell>
          <cell r="H3786" t="str">
            <v>BPB-027-SAE1045L-Ø50</v>
          </cell>
          <cell r="J3786">
            <v>9</v>
          </cell>
        </row>
        <row r="3787">
          <cell r="C3787" t="str">
            <v>PEE-SS--6005-D-C0-M</v>
          </cell>
          <cell r="F3787">
            <v>38924.751388888886</v>
          </cell>
          <cell r="H3787" t="str">
            <v>MID-001-6005-R</v>
          </cell>
          <cell r="J3787">
            <v>1</v>
          </cell>
        </row>
        <row r="3788">
          <cell r="C3788" t="str">
            <v>PEE-SS--6005-D-C0-M</v>
          </cell>
          <cell r="F3788">
            <v>38924.751388888886</v>
          </cell>
          <cell r="H3788" t="str">
            <v>MID-002-6005-R</v>
          </cell>
          <cell r="J3788">
            <v>1</v>
          </cell>
        </row>
        <row r="3789">
          <cell r="C3789" t="str">
            <v>PEE-SS--6005-D-C0-M</v>
          </cell>
          <cell r="F3789">
            <v>38924.751388888886</v>
          </cell>
          <cell r="H3789" t="str">
            <v>MID-003-1/4</v>
          </cell>
          <cell r="J3789">
            <v>10</v>
          </cell>
        </row>
        <row r="3790">
          <cell r="C3790" t="str">
            <v>PEE-SS--6005-D-C0-M</v>
          </cell>
          <cell r="F3790">
            <v>38924.751388888886</v>
          </cell>
          <cell r="H3790" t="str">
            <v>MID-005-6005-RET/SET</v>
          </cell>
          <cell r="J3790">
            <v>1</v>
          </cell>
        </row>
        <row r="3791">
          <cell r="C3791" t="str">
            <v>PEE-SS--6005-D-C0-M</v>
          </cell>
          <cell r="F3791">
            <v>38924.751388888886</v>
          </cell>
          <cell r="H3791" t="str">
            <v>002-002-001</v>
          </cell>
          <cell r="J3791">
            <v>6.0000000000000001E-3</v>
          </cell>
        </row>
        <row r="3792">
          <cell r="C3792" t="str">
            <v>PEE-HS--6204-1RSC0-M</v>
          </cell>
          <cell r="F3792">
            <v>38929.414849537039</v>
          </cell>
          <cell r="H3792" t="str">
            <v>MID-001-6204-R</v>
          </cell>
          <cell r="J3792">
            <v>1</v>
          </cell>
        </row>
        <row r="3793">
          <cell r="C3793" t="str">
            <v>PEE-HS--6204-1RSC0-M</v>
          </cell>
          <cell r="F3793">
            <v>38929.414849537039</v>
          </cell>
          <cell r="H3793" t="str">
            <v>MID-002-6204-R</v>
          </cell>
          <cell r="J3793">
            <v>1</v>
          </cell>
        </row>
        <row r="3794">
          <cell r="C3794" t="str">
            <v>PEE-HS--6204-1RSC0-M</v>
          </cell>
          <cell r="F3794">
            <v>38929.414849537039</v>
          </cell>
          <cell r="H3794" t="str">
            <v>MID-003-5/16</v>
          </cell>
          <cell r="J3794">
            <v>8</v>
          </cell>
        </row>
        <row r="3795">
          <cell r="C3795" t="str">
            <v>PEE-HS--6204-1RSC0-M</v>
          </cell>
          <cell r="F3795">
            <v>38929.414849537039</v>
          </cell>
          <cell r="H3795" t="str">
            <v>MID-004-RLD-6204-RED</v>
          </cell>
          <cell r="J3795">
            <v>1</v>
          </cell>
        </row>
        <row r="3796">
          <cell r="C3796" t="str">
            <v>PEE-HS--6204-1RSC0-M</v>
          </cell>
          <cell r="F3796">
            <v>38929.414849537039</v>
          </cell>
          <cell r="H3796" t="str">
            <v>MID-005-6204-RET/SET</v>
          </cell>
          <cell r="J3796">
            <v>1</v>
          </cell>
        </row>
        <row r="3797">
          <cell r="C3797" t="str">
            <v>PEE-HS--6204-1RSC0-M</v>
          </cell>
          <cell r="F3797">
            <v>38929.414849537039</v>
          </cell>
          <cell r="H3797" t="str">
            <v>002-002-001</v>
          </cell>
          <cell r="J3797">
            <v>8.0000000000000002E-3</v>
          </cell>
        </row>
        <row r="3798">
          <cell r="C3798" t="str">
            <v>PEE-S---6202-2RLD-C0</v>
          </cell>
          <cell r="F3798">
            <v>38933.37771990741</v>
          </cell>
          <cell r="H3798" t="str">
            <v>PEE-S---6202-D-C0</v>
          </cell>
          <cell r="J3798">
            <v>1</v>
          </cell>
        </row>
        <row r="3799">
          <cell r="C3799" t="str">
            <v>PEE-S---6202-2RLD-C0</v>
          </cell>
          <cell r="F3799">
            <v>38933.37771990741</v>
          </cell>
          <cell r="H3799" t="str">
            <v>000-004-RLD-6202-RED</v>
          </cell>
          <cell r="J3799">
            <v>2</v>
          </cell>
        </row>
        <row r="3800">
          <cell r="C3800" t="str">
            <v>PEE-S---6202-2RLD-C0</v>
          </cell>
          <cell r="F3800">
            <v>38933.37771990741</v>
          </cell>
          <cell r="H3800" t="str">
            <v>000-006-001</v>
          </cell>
          <cell r="J3800">
            <v>0.6</v>
          </cell>
        </row>
        <row r="3801">
          <cell r="C3801" t="str">
            <v>PEE-S---6202-2RLD-C0</v>
          </cell>
          <cell r="F3801">
            <v>38933.37771990741</v>
          </cell>
          <cell r="H3801" t="str">
            <v>002-002-001</v>
          </cell>
          <cell r="J3801">
            <v>4.0000000000000001E-3</v>
          </cell>
        </row>
        <row r="3802">
          <cell r="C3802" t="str">
            <v>PEE-SS--6202-2RSC3-M</v>
          </cell>
          <cell r="F3802">
            <v>38933.381539351853</v>
          </cell>
          <cell r="H3802" t="str">
            <v>PEE-SS--6202-D-C3-M</v>
          </cell>
          <cell r="J3802">
            <v>1</v>
          </cell>
        </row>
        <row r="3803">
          <cell r="C3803" t="str">
            <v>PEE-SS--6202-2RSC3-M</v>
          </cell>
          <cell r="F3803">
            <v>38933.381539351853</v>
          </cell>
          <cell r="H3803" t="str">
            <v>MID-004-RLD-6202-RED</v>
          </cell>
          <cell r="J3803">
            <v>2</v>
          </cell>
        </row>
        <row r="3804">
          <cell r="C3804" t="str">
            <v>PEE-SS--6202-2RSC3-M</v>
          </cell>
          <cell r="F3804">
            <v>38933.381539351853</v>
          </cell>
          <cell r="H3804" t="str">
            <v>000-006-001</v>
          </cell>
          <cell r="J3804">
            <v>0.6</v>
          </cell>
        </row>
        <row r="3805">
          <cell r="C3805" t="str">
            <v>PEE-SS--6202-2RSC3-M</v>
          </cell>
          <cell r="F3805">
            <v>38933.381539351853</v>
          </cell>
          <cell r="H3805" t="str">
            <v>002-002-001</v>
          </cell>
          <cell r="J3805">
            <v>4.0000000000000001E-3</v>
          </cell>
        </row>
        <row r="3806">
          <cell r="C3806" t="str">
            <v>BPB-047-SAB205-25DG</v>
          </cell>
          <cell r="F3806">
            <v>40814.40965277778</v>
          </cell>
          <cell r="H3806" t="str">
            <v>RET-027-SEAL-205DBL</v>
          </cell>
          <cell r="J3806">
            <v>2</v>
          </cell>
        </row>
        <row r="3807">
          <cell r="C3807" t="str">
            <v>BPB-047-SAB205-25DG</v>
          </cell>
          <cell r="F3807">
            <v>40814.40965277778</v>
          </cell>
          <cell r="H3807" t="str">
            <v>RET-047-SAB205-25DG</v>
          </cell>
          <cell r="J3807">
            <v>1</v>
          </cell>
        </row>
        <row r="3808">
          <cell r="C3808" t="str">
            <v>BPB-047-ECL-210-50mm</v>
          </cell>
          <cell r="F3808">
            <v>40982.316493055558</v>
          </cell>
          <cell r="H3808" t="str">
            <v>BPB-004-SEAL-210DBL</v>
          </cell>
          <cell r="J3808">
            <v>2</v>
          </cell>
        </row>
        <row r="3809">
          <cell r="C3809" t="str">
            <v>BPB-048-206-KRR6</v>
          </cell>
          <cell r="F3809">
            <v>40835.365185185183</v>
          </cell>
          <cell r="H3809" t="str">
            <v>BPB-027-SEAL-206KRR6</v>
          </cell>
          <cell r="J3809">
            <v>2</v>
          </cell>
        </row>
        <row r="3810">
          <cell r="C3810" t="str">
            <v>BPB-048-WLG5208-2RST</v>
          </cell>
          <cell r="F3810">
            <v>40835.494421296295</v>
          </cell>
          <cell r="H3810" t="str">
            <v>RET-048-WLG5208-2RST</v>
          </cell>
          <cell r="J3810">
            <v>1</v>
          </cell>
        </row>
        <row r="3811">
          <cell r="C3811" t="str">
            <v>BPB-048-WLG5208-2RST</v>
          </cell>
          <cell r="F3811">
            <v>40835.494421296295</v>
          </cell>
          <cell r="H3811" t="str">
            <v>BPB-004-SEAL-WLG5208</v>
          </cell>
          <cell r="J3811">
            <v>2</v>
          </cell>
        </row>
        <row r="3812">
          <cell r="C3812" t="str">
            <v>BPB-048-WLG5208-2RST</v>
          </cell>
          <cell r="F3812">
            <v>40835.494421296295</v>
          </cell>
          <cell r="H3812" t="str">
            <v>000-006-POLYREX-EM</v>
          </cell>
          <cell r="J3812">
            <v>5.7</v>
          </cell>
        </row>
        <row r="3813">
          <cell r="C3813" t="str">
            <v>PEE-042-22213CW33C3</v>
          </cell>
          <cell r="F3813">
            <v>40843.422418981485</v>
          </cell>
          <cell r="H3813" t="str">
            <v>RET-042-22213CW33C3</v>
          </cell>
          <cell r="J3813">
            <v>1</v>
          </cell>
        </row>
        <row r="3814">
          <cell r="C3814" t="str">
            <v>BPB-048-59509-01</v>
          </cell>
          <cell r="F3814">
            <v>40865.464861111112</v>
          </cell>
          <cell r="H3814" t="str">
            <v>BPB-048-59501-09</v>
          </cell>
          <cell r="J3814">
            <v>1</v>
          </cell>
        </row>
        <row r="3815">
          <cell r="C3815" t="str">
            <v>BPB-048-BH2047-02</v>
          </cell>
          <cell r="F3815">
            <v>40868.324884259258</v>
          </cell>
          <cell r="H3815" t="str">
            <v>RET-048-BH2047-02</v>
          </cell>
          <cell r="J3815">
            <v>1</v>
          </cell>
        </row>
        <row r="3816">
          <cell r="C3816" t="str">
            <v>B&amp;P-053-X-32013</v>
          </cell>
          <cell r="F3816">
            <v>40872.706458333334</v>
          </cell>
          <cell r="H3816" t="str">
            <v>B&amp;P-053-TDX013</v>
          </cell>
          <cell r="J3816">
            <v>1</v>
          </cell>
        </row>
        <row r="3817">
          <cell r="C3817" t="str">
            <v>BPB-048-NTR2050-BRG</v>
          </cell>
          <cell r="F3817">
            <v>40879.30363425926</v>
          </cell>
          <cell r="H3817" t="str">
            <v>RET-048-NTR2050-BRG</v>
          </cell>
          <cell r="J3817">
            <v>1</v>
          </cell>
        </row>
        <row r="3818">
          <cell r="C3818" t="str">
            <v>BPB-037-59501-04-I</v>
          </cell>
          <cell r="F3818">
            <v>40884.373229166667</v>
          </cell>
          <cell r="H3818" t="str">
            <v>BPB-020-SAE1040Ø28</v>
          </cell>
          <cell r="J3818">
            <v>41</v>
          </cell>
        </row>
        <row r="3819">
          <cell r="C3819" t="str">
            <v>BPB-037-59501-04-D</v>
          </cell>
          <cell r="F3819">
            <v>40884.374814814815</v>
          </cell>
          <cell r="H3819" t="str">
            <v>BPB-020-SAE1040Ø28</v>
          </cell>
          <cell r="J3819">
            <v>41</v>
          </cell>
        </row>
        <row r="3820">
          <cell r="C3820" t="str">
            <v>BPB-042-22207-CW33C3</v>
          </cell>
          <cell r="F3820">
            <v>40891.471203703702</v>
          </cell>
          <cell r="H3820" t="str">
            <v>RET-042-22207-CW33C3</v>
          </cell>
          <cell r="J3820">
            <v>1</v>
          </cell>
        </row>
        <row r="3821">
          <cell r="C3821" t="str">
            <v>BPB-041-6203-D-C3</v>
          </cell>
          <cell r="F3821">
            <v>40899.442083333335</v>
          </cell>
          <cell r="H3821" t="str">
            <v>BPB-001-6203-D</v>
          </cell>
          <cell r="J3821">
            <v>1</v>
          </cell>
        </row>
        <row r="3822">
          <cell r="C3822" t="str">
            <v>BPB-041-6203-D-C3</v>
          </cell>
          <cell r="F3822">
            <v>40899.442083333335</v>
          </cell>
          <cell r="H3822" t="str">
            <v>BPB-002-6203-D</v>
          </cell>
          <cell r="J3822">
            <v>1</v>
          </cell>
        </row>
        <row r="3823">
          <cell r="C3823" t="str">
            <v>BPB-041-6203-D-C3</v>
          </cell>
          <cell r="F3823">
            <v>40899.442083333335</v>
          </cell>
          <cell r="H3823" t="str">
            <v>000-005-6203-RET/SET</v>
          </cell>
          <cell r="J3823">
            <v>1</v>
          </cell>
        </row>
        <row r="3824">
          <cell r="C3824" t="str">
            <v>BPB-041-6203-D-C3</v>
          </cell>
          <cell r="F3824">
            <v>40899.442083333335</v>
          </cell>
          <cell r="H3824" t="str">
            <v>MID-003-17/64</v>
          </cell>
          <cell r="J3824">
            <v>8</v>
          </cell>
        </row>
        <row r="3825">
          <cell r="C3825" t="str">
            <v>BPB-052-BUJ-Ø27X24MM</v>
          </cell>
          <cell r="F3825">
            <v>40921.296782407408</v>
          </cell>
          <cell r="H3825" t="str">
            <v>BPB-020-SAE1040Ø28</v>
          </cell>
          <cell r="J3825">
            <v>30</v>
          </cell>
        </row>
        <row r="3826">
          <cell r="C3826" t="str">
            <v>BPB-041-625-2Z-C3P62</v>
          </cell>
          <cell r="F3826">
            <v>40948.454189814816</v>
          </cell>
          <cell r="H3826" t="str">
            <v>RET-041-625-2Z-C362</v>
          </cell>
          <cell r="J3826">
            <v>1</v>
          </cell>
        </row>
        <row r="3827">
          <cell r="C3827" t="str">
            <v>B&amp;P-053-X-30204-MX</v>
          </cell>
          <cell r="F3827">
            <v>40962.668194444443</v>
          </cell>
          <cell r="H3827" t="str">
            <v>B&amp;P-053-TCX204</v>
          </cell>
          <cell r="J3827">
            <v>1</v>
          </cell>
        </row>
        <row r="3828">
          <cell r="C3828" t="str">
            <v>B&amp;P-053-X-32208-MX</v>
          </cell>
          <cell r="F3828">
            <v>40962.669988425929</v>
          </cell>
          <cell r="H3828" t="str">
            <v>B&amp;P-053-TDX208</v>
          </cell>
          <cell r="J3828">
            <v>1</v>
          </cell>
        </row>
        <row r="3829">
          <cell r="C3829" t="str">
            <v>BPB-037-CAZ-ME9</v>
          </cell>
          <cell r="F3829">
            <v>40974.604780092595</v>
          </cell>
          <cell r="H3829" t="str">
            <v>RET-037-CAZ-ME9</v>
          </cell>
          <cell r="J3829">
            <v>1</v>
          </cell>
        </row>
        <row r="3830">
          <cell r="C3830" t="str">
            <v>BPB-037-CAZ-ME9</v>
          </cell>
          <cell r="F3830">
            <v>40974.604780092595</v>
          </cell>
          <cell r="H3830" t="str">
            <v>BPB-034-G20-PB</v>
          </cell>
          <cell r="J3830">
            <v>1</v>
          </cell>
        </row>
        <row r="3831">
          <cell r="C3831" t="str">
            <v>BPB-037-CAZ-ME9</v>
          </cell>
          <cell r="F3831">
            <v>40974.604780092595</v>
          </cell>
          <cell r="H3831" t="str">
            <v>BPB-037-ME9-10</v>
          </cell>
          <cell r="J3831">
            <v>3</v>
          </cell>
        </row>
        <row r="3832">
          <cell r="C3832" t="str">
            <v>B&amp;P-037-EJE-100674-G</v>
          </cell>
          <cell r="F3832">
            <v>40977.481759259259</v>
          </cell>
          <cell r="H3832" t="str">
            <v>BPB-020-SAE4140Ø41.2</v>
          </cell>
          <cell r="J3832">
            <v>0.377</v>
          </cell>
        </row>
        <row r="3833">
          <cell r="C3833" t="str">
            <v>BPB-047-ECL-211-DBL</v>
          </cell>
          <cell r="F3833">
            <v>40984.309687499997</v>
          </cell>
          <cell r="H3833" t="str">
            <v>RET-047-ECL-211-DBL</v>
          </cell>
          <cell r="J3833">
            <v>1</v>
          </cell>
        </row>
        <row r="3834">
          <cell r="C3834" t="str">
            <v>BPB-041-MS07-2RST</v>
          </cell>
          <cell r="F3834">
            <v>40996.412453703706</v>
          </cell>
          <cell r="H3834" t="str">
            <v>RET-041-MS07-2RST</v>
          </cell>
          <cell r="J3834">
            <v>1</v>
          </cell>
        </row>
        <row r="3835">
          <cell r="C3835" t="str">
            <v>B&amp;P-037-EJE-102302-G</v>
          </cell>
          <cell r="F3835">
            <v>40996.466284722221</v>
          </cell>
          <cell r="H3835" t="str">
            <v>BPB-020-SAE4140Ø41.2</v>
          </cell>
          <cell r="J3835">
            <v>0.28999999999999998</v>
          </cell>
        </row>
        <row r="3836">
          <cell r="C3836" t="str">
            <v>B&amp;P-037-EJE-102303-G</v>
          </cell>
          <cell r="F3836">
            <v>40996.46802083333</v>
          </cell>
          <cell r="H3836" t="str">
            <v>BPB-020-SAE4140Ø44.4</v>
          </cell>
          <cell r="J3836">
            <v>0.3</v>
          </cell>
        </row>
        <row r="3837">
          <cell r="C3837" t="str">
            <v>B&amp;P-037-EJE-10375-CS</v>
          </cell>
          <cell r="F3837">
            <v>41003.510358796295</v>
          </cell>
          <cell r="H3837" t="str">
            <v>BPB-020-SAE4140Ø34.9</v>
          </cell>
          <cell r="J3837">
            <v>0.375</v>
          </cell>
        </row>
        <row r="3838">
          <cell r="C3838" t="str">
            <v>BPB-041-6900-2RS</v>
          </cell>
          <cell r="F3838">
            <v>41022.637754629628</v>
          </cell>
          <cell r="H3838" t="str">
            <v>RET-041-6900-2RS</v>
          </cell>
          <cell r="J3838">
            <v>1</v>
          </cell>
        </row>
        <row r="3839">
          <cell r="C3839" t="str">
            <v>BPB-041-6900-2RS</v>
          </cell>
          <cell r="F3839">
            <v>41022.637754629628</v>
          </cell>
          <cell r="H3839" t="str">
            <v>000-006-POLYREX-EM</v>
          </cell>
          <cell r="J3839">
            <v>0.1</v>
          </cell>
        </row>
        <row r="3840">
          <cell r="C3840" t="str">
            <v>B&amp;P-037-X4-08-5704</v>
          </cell>
          <cell r="F3840">
            <v>41025.309687499997</v>
          </cell>
          <cell r="H3840" t="str">
            <v>BPB-020-SAE1040Ø28</v>
          </cell>
          <cell r="J3840">
            <v>2.5000000000000001E-2</v>
          </cell>
        </row>
        <row r="3841">
          <cell r="C3841" t="str">
            <v>BPB-047-ECL-311-32-R</v>
          </cell>
          <cell r="F3841">
            <v>41038.375300925924</v>
          </cell>
          <cell r="H3841" t="str">
            <v>RET-047-ECL-311-32-R</v>
          </cell>
          <cell r="J3841">
            <v>1</v>
          </cell>
        </row>
        <row r="3842">
          <cell r="C3842" t="str">
            <v>B&amp;P-HS--MS04-2RLD-C3</v>
          </cell>
          <cell r="F3842">
            <v>41067.507222222222</v>
          </cell>
          <cell r="H3842" t="str">
            <v>B&amp;P-001-MS04-D</v>
          </cell>
          <cell r="J3842">
            <v>1</v>
          </cell>
        </row>
        <row r="3843">
          <cell r="C3843" t="str">
            <v>B&amp;P-HS--MS04-2RLD-C3</v>
          </cell>
          <cell r="F3843">
            <v>41067.507222222222</v>
          </cell>
          <cell r="H3843" t="str">
            <v>B&amp;P-002-MS04-D</v>
          </cell>
          <cell r="J3843">
            <v>1</v>
          </cell>
        </row>
        <row r="3844">
          <cell r="C3844" t="str">
            <v>B&amp;P-HS--MS04-2RLD-C3</v>
          </cell>
          <cell r="F3844">
            <v>41067.507222222222</v>
          </cell>
          <cell r="H3844" t="str">
            <v>B&amp;P-003-Ball-5/16</v>
          </cell>
          <cell r="J3844">
            <v>8</v>
          </cell>
        </row>
        <row r="3845">
          <cell r="C3845" t="str">
            <v>B&amp;P-HS--MS04-2RLD-C3</v>
          </cell>
          <cell r="F3845">
            <v>41067.507222222222</v>
          </cell>
          <cell r="H3845" t="str">
            <v>B&amp;P-005-RET/SET-MS04</v>
          </cell>
          <cell r="J3845">
            <v>1</v>
          </cell>
        </row>
        <row r="3846">
          <cell r="C3846" t="str">
            <v>B&amp;P-HS--MS04-2RLD-C3</v>
          </cell>
          <cell r="F3846">
            <v>41067.507222222222</v>
          </cell>
          <cell r="H3846" t="str">
            <v>000-006-POLYREX-EM</v>
          </cell>
          <cell r="J3846">
            <v>1.4</v>
          </cell>
        </row>
        <row r="3847">
          <cell r="C3847" t="str">
            <v>B&amp;P-HS--MS04-2RLD-C3</v>
          </cell>
          <cell r="F3847">
            <v>41067.507222222222</v>
          </cell>
          <cell r="H3847" t="str">
            <v>BPB-004-RLD6204BLUE</v>
          </cell>
          <cell r="J3847">
            <v>2</v>
          </cell>
        </row>
        <row r="3848">
          <cell r="C3848" t="str">
            <v>B&amp;P-010-PTE-DEL-MXR</v>
          </cell>
          <cell r="F3848">
            <v>41082.439467592594</v>
          </cell>
          <cell r="H3848" t="str">
            <v>B&amp;P-010-CAÑOD1</v>
          </cell>
          <cell r="J3848">
            <v>1</v>
          </cell>
        </row>
        <row r="3849">
          <cell r="C3849" t="str">
            <v>B&amp;P-010-PTE-DEL-MXR</v>
          </cell>
          <cell r="F3849">
            <v>41082.439467592594</v>
          </cell>
          <cell r="H3849" t="str">
            <v>B&amp;P-010-CAÑOD2</v>
          </cell>
          <cell r="J3849">
            <v>2</v>
          </cell>
        </row>
        <row r="3850">
          <cell r="C3850" t="str">
            <v>B&amp;P-010-PTE-DEL-MXR</v>
          </cell>
          <cell r="F3850">
            <v>41082.439467592594</v>
          </cell>
          <cell r="H3850" t="str">
            <v>B&amp;P-010-CAÑOD3</v>
          </cell>
          <cell r="J3850">
            <v>1</v>
          </cell>
        </row>
        <row r="3851">
          <cell r="C3851" t="str">
            <v>B&amp;P-010-PTE-DEL-MXR</v>
          </cell>
          <cell r="F3851">
            <v>41082.439467592594</v>
          </cell>
          <cell r="H3851" t="str">
            <v>B&amp;P-010-CAÑOD4</v>
          </cell>
          <cell r="J3851">
            <v>1</v>
          </cell>
        </row>
        <row r="3852">
          <cell r="C3852" t="str">
            <v>B&amp;P-010-PTE-DEL-MXR</v>
          </cell>
          <cell r="F3852">
            <v>41082.439467592594</v>
          </cell>
          <cell r="H3852" t="str">
            <v>B&amp;P-010-CAÑOD5</v>
          </cell>
          <cell r="J3852">
            <v>1</v>
          </cell>
        </row>
        <row r="3853">
          <cell r="C3853" t="str">
            <v>PEE-HS--6205-2RSC3-M</v>
          </cell>
          <cell r="F3853">
            <v>38939.467048611114</v>
          </cell>
          <cell r="H3853" t="str">
            <v>PEE-HS--6205-D-C3-M</v>
          </cell>
          <cell r="J3853">
            <v>1</v>
          </cell>
        </row>
        <row r="3854">
          <cell r="C3854" t="str">
            <v>PEE-HS--6205-2RSC3-M</v>
          </cell>
          <cell r="F3854">
            <v>38939.467048611114</v>
          </cell>
          <cell r="H3854" t="str">
            <v>MID-004-RLD-6205-RED</v>
          </cell>
          <cell r="J3854">
            <v>2</v>
          </cell>
        </row>
        <row r="3855">
          <cell r="C3855" t="str">
            <v>PEE-HS--6205-2RSC3-M</v>
          </cell>
          <cell r="F3855">
            <v>38939.467048611114</v>
          </cell>
          <cell r="H3855" t="str">
            <v>000-006-001</v>
          </cell>
          <cell r="J3855">
            <v>1.7</v>
          </cell>
        </row>
        <row r="3856">
          <cell r="C3856" t="str">
            <v>PEE-HS--6205-2RSC3-M</v>
          </cell>
          <cell r="F3856">
            <v>38939.467048611114</v>
          </cell>
          <cell r="H3856" t="str">
            <v>002-002-001</v>
          </cell>
          <cell r="J3856">
            <v>4.0000000000000001E-3</v>
          </cell>
        </row>
        <row r="3857">
          <cell r="C3857" t="str">
            <v>000-002-BB203-KRR2-R</v>
          </cell>
          <cell r="F3857">
            <v>38943.589131944442</v>
          </cell>
          <cell r="H3857" t="str">
            <v>000-002-BB203KRR2-UG</v>
          </cell>
          <cell r="J3857">
            <v>1</v>
          </cell>
        </row>
        <row r="3858">
          <cell r="C3858" t="str">
            <v>PEE-HS--6204-2RSTC3M</v>
          </cell>
          <cell r="F3858">
            <v>38952.473657407405</v>
          </cell>
          <cell r="H3858" t="str">
            <v>PEE-HS--6204-D-C3-M</v>
          </cell>
          <cell r="J3858">
            <v>1</v>
          </cell>
        </row>
        <row r="3859">
          <cell r="C3859" t="str">
            <v>PEE-HS--6204-2RSTC3M</v>
          </cell>
          <cell r="F3859">
            <v>38952.473657407405</v>
          </cell>
          <cell r="H3859" t="str">
            <v>SAV-004-6204-RST-RED</v>
          </cell>
          <cell r="J3859">
            <v>2</v>
          </cell>
        </row>
        <row r="3860">
          <cell r="C3860" t="str">
            <v>PEE-HS--6204-2RSTC3M</v>
          </cell>
          <cell r="F3860">
            <v>38952.473657407405</v>
          </cell>
          <cell r="H3860" t="str">
            <v>000-006-001</v>
          </cell>
          <cell r="J3860">
            <v>3.6</v>
          </cell>
        </row>
        <row r="3861">
          <cell r="C3861" t="str">
            <v>PEE-HS--6204-2RSTC3M</v>
          </cell>
          <cell r="F3861">
            <v>38952.473657407405</v>
          </cell>
          <cell r="H3861" t="str">
            <v>002-002-001</v>
          </cell>
          <cell r="J3861">
            <v>4.0000000000000001E-3</v>
          </cell>
        </row>
        <row r="3862">
          <cell r="C3862" t="str">
            <v>PEE-S---6204-2RSTC3M</v>
          </cell>
          <cell r="F3862">
            <v>38952.478738425925</v>
          </cell>
          <cell r="H3862" t="str">
            <v>PEE-S---6204-D-C3-M</v>
          </cell>
          <cell r="J3862">
            <v>1</v>
          </cell>
        </row>
        <row r="3863">
          <cell r="C3863" t="str">
            <v>PEE-S---6204-2RSTC3M</v>
          </cell>
          <cell r="F3863">
            <v>38952.478738425925</v>
          </cell>
          <cell r="H3863" t="str">
            <v>SAV-004-6204-RST-RED</v>
          </cell>
          <cell r="J3863">
            <v>2</v>
          </cell>
        </row>
        <row r="3864">
          <cell r="C3864" t="str">
            <v>PEE-S---6204-2RSTC3M</v>
          </cell>
          <cell r="F3864">
            <v>38952.478738425925</v>
          </cell>
          <cell r="H3864" t="str">
            <v>000-006-001</v>
          </cell>
          <cell r="J3864">
            <v>3.6</v>
          </cell>
        </row>
        <row r="3865">
          <cell r="C3865" t="str">
            <v>PEE-S---6204-2RSTC3M</v>
          </cell>
          <cell r="F3865">
            <v>38952.478738425925</v>
          </cell>
          <cell r="H3865" t="str">
            <v>002-002-001</v>
          </cell>
          <cell r="J3865">
            <v>4.0000000000000001E-3</v>
          </cell>
        </row>
        <row r="3866">
          <cell r="C3866" t="str">
            <v>PEE-EMQ-6204-1RS-C3</v>
          </cell>
          <cell r="F3866">
            <v>38952.601898148147</v>
          </cell>
          <cell r="H3866" t="str">
            <v>PEE-EMQ-6204-D-C3-M</v>
          </cell>
          <cell r="J3866">
            <v>1</v>
          </cell>
        </row>
        <row r="3867">
          <cell r="C3867" t="str">
            <v>PEE-EMQ-6204-1RS-C3</v>
          </cell>
          <cell r="F3867">
            <v>38952.601898148147</v>
          </cell>
          <cell r="H3867" t="str">
            <v>MID-004-RLD-6204-RED</v>
          </cell>
          <cell r="J3867">
            <v>1</v>
          </cell>
        </row>
        <row r="3868">
          <cell r="C3868" t="str">
            <v>PEE-EMQ-6204-1RS-C3</v>
          </cell>
          <cell r="F3868">
            <v>38952.601898148147</v>
          </cell>
          <cell r="H3868" t="str">
            <v>002-002-001</v>
          </cell>
          <cell r="J3868">
            <v>2E-3</v>
          </cell>
        </row>
        <row r="3869">
          <cell r="C3869" t="str">
            <v>PEE-S---6205-1RS-C3</v>
          </cell>
          <cell r="F3869">
            <v>38952.603078703702</v>
          </cell>
          <cell r="H3869" t="str">
            <v>PEE-S---6205-D-C3-M</v>
          </cell>
          <cell r="J3869">
            <v>1</v>
          </cell>
        </row>
        <row r="3870">
          <cell r="C3870" t="str">
            <v>PEE-S---6205-1RS-C3</v>
          </cell>
          <cell r="F3870">
            <v>38952.603078703702</v>
          </cell>
          <cell r="H3870" t="str">
            <v>MID-004-RLD-6205-RED</v>
          </cell>
          <cell r="J3870">
            <v>1</v>
          </cell>
        </row>
        <row r="3871">
          <cell r="C3871" t="str">
            <v>PEE-S---6205-1RS-C3</v>
          </cell>
          <cell r="F3871">
            <v>38952.603078703702</v>
          </cell>
          <cell r="H3871" t="str">
            <v>002-002-001</v>
          </cell>
          <cell r="J3871">
            <v>2E-3</v>
          </cell>
        </row>
        <row r="3872">
          <cell r="C3872" t="str">
            <v>PEE-048-205GP</v>
          </cell>
          <cell r="F3872">
            <v>38973.439791666664</v>
          </cell>
          <cell r="H3872" t="str">
            <v>000-001-205-GP-R</v>
          </cell>
          <cell r="J3872">
            <v>1</v>
          </cell>
        </row>
        <row r="3873">
          <cell r="C3873" t="str">
            <v>PEE-048-205GP</v>
          </cell>
          <cell r="F3873">
            <v>38973.439791666664</v>
          </cell>
          <cell r="H3873" t="str">
            <v>000-002-205-GP-R</v>
          </cell>
          <cell r="J3873">
            <v>1</v>
          </cell>
        </row>
        <row r="3874">
          <cell r="C3874" t="str">
            <v>PEE-048-205GP</v>
          </cell>
          <cell r="F3874">
            <v>38973.439791666664</v>
          </cell>
          <cell r="H3874" t="str">
            <v>000-003-5/16</v>
          </cell>
          <cell r="J3874">
            <v>9</v>
          </cell>
        </row>
        <row r="3875">
          <cell r="C3875" t="str">
            <v>PEE-048-205GP</v>
          </cell>
          <cell r="F3875">
            <v>38973.439791666664</v>
          </cell>
          <cell r="H3875" t="str">
            <v>000-005-205GPRET/SET</v>
          </cell>
          <cell r="J3875">
            <v>1</v>
          </cell>
        </row>
        <row r="3876">
          <cell r="C3876" t="str">
            <v>PEE-048-205GP</v>
          </cell>
          <cell r="F3876">
            <v>38973.439791666664</v>
          </cell>
          <cell r="H3876" t="str">
            <v>000-004-SEAL-205GP</v>
          </cell>
          <cell r="J3876">
            <v>2</v>
          </cell>
        </row>
        <row r="3877">
          <cell r="C3877" t="str">
            <v>000-001-BB203-KRR2-R</v>
          </cell>
          <cell r="F3877">
            <v>38959.350613425922</v>
          </cell>
          <cell r="H3877" t="str">
            <v>000-001-BB203KRR2-UG</v>
          </cell>
          <cell r="J3877">
            <v>1</v>
          </cell>
        </row>
        <row r="3878">
          <cell r="C3878" t="str">
            <v>PEE-EMQ-6204-2RSC3-M</v>
          </cell>
          <cell r="F3878">
            <v>38960.408946759257</v>
          </cell>
          <cell r="H3878" t="str">
            <v>PEE-EMQ-6204-D-C3-M</v>
          </cell>
          <cell r="J3878">
            <v>1</v>
          </cell>
        </row>
        <row r="3879">
          <cell r="C3879" t="str">
            <v>PEE-EMQ-6204-2RSC3-M</v>
          </cell>
          <cell r="F3879">
            <v>38960.408946759257</v>
          </cell>
          <cell r="H3879" t="str">
            <v>MID-004-RLD-6204-RED</v>
          </cell>
          <cell r="J3879">
            <v>2</v>
          </cell>
        </row>
        <row r="3880">
          <cell r="C3880" t="str">
            <v>PEE-EMQ-6204-2RSC3-M</v>
          </cell>
          <cell r="F3880">
            <v>38960.408946759257</v>
          </cell>
          <cell r="H3880" t="str">
            <v>000-006-001</v>
          </cell>
          <cell r="J3880">
            <v>1.4</v>
          </cell>
        </row>
        <row r="3881">
          <cell r="C3881" t="str">
            <v>PEE-EMQ-6204-2RSC3-M</v>
          </cell>
          <cell r="F3881">
            <v>38960.408946759257</v>
          </cell>
          <cell r="H3881" t="str">
            <v>002-002-001</v>
          </cell>
          <cell r="J3881">
            <v>4.0000000000000001E-3</v>
          </cell>
        </row>
        <row r="3882">
          <cell r="C3882" t="str">
            <v>PEE-S---6005-2RSC3-M</v>
          </cell>
          <cell r="F3882">
            <v>38964.414097222223</v>
          </cell>
          <cell r="H3882" t="str">
            <v>PEE-S---6005-D-C3-M</v>
          </cell>
          <cell r="J3882">
            <v>1</v>
          </cell>
        </row>
        <row r="3883">
          <cell r="C3883" t="str">
            <v>PEE-S---6005-2RSC3-M</v>
          </cell>
          <cell r="F3883">
            <v>38964.414097222223</v>
          </cell>
          <cell r="H3883" t="str">
            <v>MID-004-RLD-6005-RED</v>
          </cell>
          <cell r="J3883">
            <v>2</v>
          </cell>
        </row>
        <row r="3884">
          <cell r="C3884" t="str">
            <v>PEE-S---6005-2RSC3-M</v>
          </cell>
          <cell r="F3884">
            <v>38964.414097222223</v>
          </cell>
          <cell r="H3884" t="str">
            <v>000-006-001</v>
          </cell>
          <cell r="J3884">
            <v>1</v>
          </cell>
        </row>
        <row r="3885">
          <cell r="C3885" t="str">
            <v>PEE-S---6005-2RSC3-M</v>
          </cell>
          <cell r="F3885">
            <v>38964.414097222223</v>
          </cell>
          <cell r="H3885" t="str">
            <v>002-002-001</v>
          </cell>
          <cell r="J3885">
            <v>4.0000000000000001E-3</v>
          </cell>
        </row>
        <row r="3886">
          <cell r="C3886" t="str">
            <v>PEE-HS--6204-D-C0-M</v>
          </cell>
          <cell r="F3886">
            <v>38975.352465277778</v>
          </cell>
          <cell r="H3886" t="str">
            <v>MID-001-6204-R</v>
          </cell>
          <cell r="J3886">
            <v>1</v>
          </cell>
        </row>
        <row r="3887">
          <cell r="C3887" t="str">
            <v>PEE-HS--6204-D-C0-M</v>
          </cell>
          <cell r="F3887">
            <v>38975.352465277778</v>
          </cell>
          <cell r="H3887" t="str">
            <v>MID-002-6204-R</v>
          </cell>
          <cell r="J3887">
            <v>1</v>
          </cell>
        </row>
        <row r="3888">
          <cell r="C3888" t="str">
            <v>PEE-HS--6204-D-C0-M</v>
          </cell>
          <cell r="F3888">
            <v>38975.352465277778</v>
          </cell>
          <cell r="H3888" t="str">
            <v>MID-003-5/16</v>
          </cell>
          <cell r="J3888">
            <v>8</v>
          </cell>
        </row>
        <row r="3889">
          <cell r="C3889" t="str">
            <v>PEE-HS--6204-D-C0-M</v>
          </cell>
          <cell r="F3889">
            <v>38975.352465277778</v>
          </cell>
          <cell r="H3889" t="str">
            <v>MID-005-6204-RET/SET</v>
          </cell>
          <cell r="J3889">
            <v>1</v>
          </cell>
        </row>
        <row r="3890">
          <cell r="C3890" t="str">
            <v>PEE-HS--6204-D-C0-M</v>
          </cell>
          <cell r="F3890">
            <v>38975.352465277778</v>
          </cell>
          <cell r="H3890" t="str">
            <v>002-002-001</v>
          </cell>
          <cell r="J3890">
            <v>7.0000000000000001E-3</v>
          </cell>
        </row>
        <row r="3891">
          <cell r="C3891" t="str">
            <v>PEE-048-205GP</v>
          </cell>
          <cell r="F3891">
            <v>38973.439791666664</v>
          </cell>
          <cell r="H3891" t="str">
            <v>000-006-ALVANIA-RL3</v>
          </cell>
          <cell r="J3891">
            <v>3.74</v>
          </cell>
        </row>
        <row r="3892">
          <cell r="C3892" t="str">
            <v>PEE-048-205GP</v>
          </cell>
          <cell r="F3892">
            <v>38973.439791666664</v>
          </cell>
          <cell r="H3892" t="str">
            <v>002-002-001</v>
          </cell>
          <cell r="J3892">
            <v>1.1299999999999999E-2</v>
          </cell>
        </row>
        <row r="3893">
          <cell r="C3893" t="str">
            <v>000-001-6205-R</v>
          </cell>
          <cell r="F3893">
            <v>38982.439375000002</v>
          </cell>
          <cell r="H3893" t="str">
            <v>000-001-6205-UG</v>
          </cell>
          <cell r="J3893">
            <v>1</v>
          </cell>
        </row>
        <row r="3894">
          <cell r="C3894" t="str">
            <v>PEE-HS--6205-D-C3</v>
          </cell>
          <cell r="F3894">
            <v>38994.605590277781</v>
          </cell>
          <cell r="H3894" t="str">
            <v>000-001-6205-R</v>
          </cell>
          <cell r="J3894">
            <v>1</v>
          </cell>
        </row>
        <row r="3895">
          <cell r="C3895" t="str">
            <v>PEE-HS--6205-D-C3</v>
          </cell>
          <cell r="F3895">
            <v>38994.605590277781</v>
          </cell>
          <cell r="H3895" t="str">
            <v>000-002-6205-R</v>
          </cell>
          <cell r="J3895">
            <v>1</v>
          </cell>
        </row>
        <row r="3896">
          <cell r="C3896" t="str">
            <v>PEE-HS--6205-D-C3</v>
          </cell>
          <cell r="F3896">
            <v>38994.605590277781</v>
          </cell>
          <cell r="H3896" t="str">
            <v>000-003-5/16</v>
          </cell>
          <cell r="J3896">
            <v>9</v>
          </cell>
        </row>
        <row r="3897">
          <cell r="C3897" t="str">
            <v>PEE-HS--6205-D-C3</v>
          </cell>
          <cell r="F3897">
            <v>38994.605590277781</v>
          </cell>
          <cell r="H3897" t="str">
            <v>000-005-6205-RET/SET</v>
          </cell>
          <cell r="J3897">
            <v>1</v>
          </cell>
        </row>
        <row r="3898">
          <cell r="C3898" t="str">
            <v>PEE-HS--6205-D-C3</v>
          </cell>
          <cell r="F3898">
            <v>38994.605590277781</v>
          </cell>
          <cell r="H3898" t="str">
            <v>002-002-001</v>
          </cell>
          <cell r="J3898">
            <v>7.0000000000000001E-3</v>
          </cell>
        </row>
        <row r="3899">
          <cell r="C3899" t="str">
            <v>PEE-HS--6308-D-C3</v>
          </cell>
          <cell r="F3899">
            <v>39001.309849537036</v>
          </cell>
          <cell r="H3899" t="str">
            <v>MID-001-6308-D</v>
          </cell>
          <cell r="J3899">
            <v>1</v>
          </cell>
        </row>
        <row r="3900">
          <cell r="C3900" t="str">
            <v>PEE-HS--6308-D-C3</v>
          </cell>
          <cell r="F3900">
            <v>39001.309849537036</v>
          </cell>
          <cell r="H3900" t="str">
            <v>MID-002-6308-D</v>
          </cell>
          <cell r="J3900">
            <v>1</v>
          </cell>
        </row>
        <row r="3901">
          <cell r="C3901" t="str">
            <v>PEE-HS--6308-D-C3</v>
          </cell>
          <cell r="F3901">
            <v>39001.309849537036</v>
          </cell>
          <cell r="H3901" t="str">
            <v>MID-003-19/32</v>
          </cell>
          <cell r="J3901">
            <v>8</v>
          </cell>
        </row>
        <row r="3902">
          <cell r="C3902" t="str">
            <v>PEE-HS--6308-D-C3</v>
          </cell>
          <cell r="F3902">
            <v>39001.309849537036</v>
          </cell>
          <cell r="H3902" t="str">
            <v>MID-005-6308-RET/SET</v>
          </cell>
          <cell r="J3902">
            <v>1</v>
          </cell>
        </row>
        <row r="3903">
          <cell r="C3903" t="str">
            <v>PEE-HS--6308-D-C3</v>
          </cell>
          <cell r="F3903">
            <v>39001.309849537036</v>
          </cell>
          <cell r="H3903" t="str">
            <v>002-002-001</v>
          </cell>
          <cell r="J3903">
            <v>0.01</v>
          </cell>
        </row>
        <row r="3904">
          <cell r="C3904" t="str">
            <v>PEE-S---6203-2RSC0-M</v>
          </cell>
          <cell r="F3904">
            <v>39029.423958333333</v>
          </cell>
          <cell r="H3904" t="str">
            <v>PEE-S---6203-D-C0-M</v>
          </cell>
          <cell r="J3904">
            <v>1</v>
          </cell>
        </row>
        <row r="3905">
          <cell r="C3905" t="str">
            <v>PEE-S---6203-2RSC0-M</v>
          </cell>
          <cell r="F3905">
            <v>39029.423958333333</v>
          </cell>
          <cell r="H3905" t="str">
            <v>MID-004-RLD-6203-RED</v>
          </cell>
          <cell r="J3905">
            <v>2</v>
          </cell>
        </row>
        <row r="3906">
          <cell r="C3906" t="str">
            <v>PEE-S---6203-2RSC0-M</v>
          </cell>
          <cell r="F3906">
            <v>39029.423958333333</v>
          </cell>
          <cell r="H3906" t="str">
            <v>000-006-001</v>
          </cell>
          <cell r="J3906">
            <v>0.8</v>
          </cell>
        </row>
        <row r="3907">
          <cell r="C3907" t="str">
            <v>PEE-S---6203-2RSC0-M</v>
          </cell>
          <cell r="F3907">
            <v>39029.423958333333</v>
          </cell>
          <cell r="H3907" t="str">
            <v>002-002-001</v>
          </cell>
          <cell r="J3907">
            <v>4.0000000000000001E-3</v>
          </cell>
        </row>
        <row r="3908">
          <cell r="C3908" t="str">
            <v>PEE-HS--6203-D-C0-M</v>
          </cell>
          <cell r="F3908">
            <v>39070.617337962962</v>
          </cell>
          <cell r="H3908" t="str">
            <v>MID-001-6203-D</v>
          </cell>
          <cell r="J3908">
            <v>1</v>
          </cell>
        </row>
        <row r="3909">
          <cell r="C3909" t="str">
            <v>PEE-HS--6203-D-C0-M</v>
          </cell>
          <cell r="F3909">
            <v>39070.617337962962</v>
          </cell>
          <cell r="H3909" t="str">
            <v>MID-002-6203-D</v>
          </cell>
          <cell r="J3909">
            <v>1</v>
          </cell>
        </row>
        <row r="3910">
          <cell r="C3910" t="str">
            <v>PEE-HS--6203-D-C0-M</v>
          </cell>
          <cell r="F3910">
            <v>39070.617337962962</v>
          </cell>
          <cell r="H3910" t="str">
            <v>MID-003-17/64</v>
          </cell>
          <cell r="J3910">
            <v>8</v>
          </cell>
        </row>
        <row r="3911">
          <cell r="C3911" t="str">
            <v>PEE-HS--6203-D-C0-M</v>
          </cell>
          <cell r="F3911">
            <v>39070.617337962962</v>
          </cell>
          <cell r="H3911" t="str">
            <v>MID-005-6203-RET/SET</v>
          </cell>
          <cell r="J3911">
            <v>1</v>
          </cell>
        </row>
        <row r="3912">
          <cell r="C3912" t="str">
            <v>PEE-HS--6203-D-C0-M</v>
          </cell>
          <cell r="F3912">
            <v>39070.617337962962</v>
          </cell>
          <cell r="H3912" t="str">
            <v>002-002-001</v>
          </cell>
          <cell r="J3912">
            <v>7.0000000000000001E-3</v>
          </cell>
        </row>
        <row r="3913">
          <cell r="C3913" t="str">
            <v>PEE-EMQ-6205-2RSC3</v>
          </cell>
          <cell r="F3913">
            <v>39142.462187500001</v>
          </cell>
          <cell r="H3913" t="str">
            <v>PEE-EMQ-6205-D-C3-M</v>
          </cell>
          <cell r="J3913">
            <v>1</v>
          </cell>
        </row>
        <row r="3914">
          <cell r="C3914" t="str">
            <v>PEE-EMQ-6205-2RSC3</v>
          </cell>
          <cell r="F3914">
            <v>39142.462187500001</v>
          </cell>
          <cell r="H3914" t="str">
            <v>000-006-001</v>
          </cell>
          <cell r="J3914">
            <v>1.7</v>
          </cell>
        </row>
        <row r="3915">
          <cell r="C3915" t="str">
            <v>PEE-EMQ-6205-2RSC3</v>
          </cell>
          <cell r="F3915">
            <v>39142.462187500001</v>
          </cell>
          <cell r="H3915" t="str">
            <v>MID-004-RLD-6205-RED</v>
          </cell>
          <cell r="J3915">
            <v>2</v>
          </cell>
        </row>
        <row r="3916">
          <cell r="C3916" t="str">
            <v>PEE-EMQ-6205-2RSC3</v>
          </cell>
          <cell r="F3916">
            <v>39142.462187500001</v>
          </cell>
          <cell r="H3916" t="str">
            <v>002-002-001</v>
          </cell>
          <cell r="J3916">
            <v>4.0000000000000001E-3</v>
          </cell>
        </row>
        <row r="3917">
          <cell r="C3917" t="str">
            <v>PEE-EMQ-6203-2RLD-C3</v>
          </cell>
          <cell r="F3917">
            <v>39150.559282407405</v>
          </cell>
          <cell r="H3917" t="str">
            <v>000-001-6203-R</v>
          </cell>
          <cell r="J3917">
            <v>1</v>
          </cell>
        </row>
        <row r="3918">
          <cell r="C3918" t="str">
            <v>PEE-EMQ-6203-2RLD-C3</v>
          </cell>
          <cell r="F3918">
            <v>39150.559282407405</v>
          </cell>
          <cell r="H3918" t="str">
            <v>000-002-6203-R</v>
          </cell>
          <cell r="J3918">
            <v>1</v>
          </cell>
        </row>
        <row r="3919">
          <cell r="C3919" t="str">
            <v>PEE-EMQ-6203-2RLD-C3</v>
          </cell>
          <cell r="F3919">
            <v>39150.559282407405</v>
          </cell>
          <cell r="H3919" t="str">
            <v>000-003-17/64</v>
          </cell>
          <cell r="J3919">
            <v>8</v>
          </cell>
        </row>
        <row r="3920">
          <cell r="C3920" t="str">
            <v>PEE-EMQ-6203-2RLD-C3</v>
          </cell>
          <cell r="F3920">
            <v>39150.559282407405</v>
          </cell>
          <cell r="H3920" t="str">
            <v>000-004-RLD-6203-BLK</v>
          </cell>
          <cell r="J3920">
            <v>2</v>
          </cell>
        </row>
        <row r="3921">
          <cell r="C3921" t="str">
            <v>PEE-EMQ-6203-2RLD-C3</v>
          </cell>
          <cell r="F3921">
            <v>39150.559282407405</v>
          </cell>
          <cell r="H3921" t="str">
            <v>000-005-6203-RET/SET</v>
          </cell>
          <cell r="J3921">
            <v>1</v>
          </cell>
        </row>
        <row r="3922">
          <cell r="C3922" t="str">
            <v>PEE-EMQ-6203-2RLD-C3</v>
          </cell>
          <cell r="F3922">
            <v>39150.559282407405</v>
          </cell>
          <cell r="H3922" t="str">
            <v>000-006-POLYREX-EM</v>
          </cell>
          <cell r="J3922">
            <v>0.8</v>
          </cell>
        </row>
        <row r="3923">
          <cell r="C3923" t="str">
            <v>PEE-EMQ-6203-2RLD-C3</v>
          </cell>
          <cell r="F3923">
            <v>39150.559282407405</v>
          </cell>
          <cell r="H3923" t="str">
            <v>002-002-001</v>
          </cell>
          <cell r="J3923">
            <v>0.1133</v>
          </cell>
        </row>
        <row r="3924">
          <cell r="C3924" t="str">
            <v>PEE-EMQ-6203-D-C3</v>
          </cell>
          <cell r="F3924">
            <v>39164.447337962964</v>
          </cell>
          <cell r="H3924" t="str">
            <v>000-001-6203-R</v>
          </cell>
          <cell r="J3924">
            <v>1</v>
          </cell>
        </row>
        <row r="3925">
          <cell r="C3925" t="str">
            <v>PEE-EMQ-6203-D-C3</v>
          </cell>
          <cell r="F3925">
            <v>39164.447337962964</v>
          </cell>
          <cell r="H3925" t="str">
            <v>000-002-6203-R</v>
          </cell>
          <cell r="J3925">
            <v>1</v>
          </cell>
        </row>
        <row r="3926">
          <cell r="C3926" t="str">
            <v>PEE-EMQ-6203-D-C3</v>
          </cell>
          <cell r="F3926">
            <v>39164.447337962964</v>
          </cell>
          <cell r="H3926" t="str">
            <v>000-003-17/64</v>
          </cell>
          <cell r="J3926">
            <v>8</v>
          </cell>
        </row>
        <row r="3927">
          <cell r="C3927" t="str">
            <v>PEE-EMQ-6203-D-C3</v>
          </cell>
          <cell r="F3927">
            <v>39164.447337962964</v>
          </cell>
          <cell r="H3927" t="str">
            <v>000-005-6203-RET/SET</v>
          </cell>
          <cell r="J3927">
            <v>1</v>
          </cell>
        </row>
        <row r="3928">
          <cell r="C3928" t="str">
            <v>PEE-EMQ-6203-D-C3</v>
          </cell>
          <cell r="F3928">
            <v>39164.447337962964</v>
          </cell>
          <cell r="H3928" t="str">
            <v>002-002-001</v>
          </cell>
          <cell r="J3928">
            <v>7.0000000000000001E-3</v>
          </cell>
        </row>
        <row r="3929">
          <cell r="C3929" t="str">
            <v>PEE-S---6007-2RLD-C0</v>
          </cell>
          <cell r="F3929">
            <v>39205.626018518517</v>
          </cell>
          <cell r="H3929" t="str">
            <v>PEE-S---6007-D-C0</v>
          </cell>
          <cell r="J3929">
            <v>1</v>
          </cell>
        </row>
        <row r="3930">
          <cell r="C3930" t="str">
            <v>PEE-S---6007-2RLD-C0</v>
          </cell>
          <cell r="F3930">
            <v>39205.626018518517</v>
          </cell>
          <cell r="H3930" t="str">
            <v>000-004-RLD-6007-RED</v>
          </cell>
          <cell r="J3930">
            <v>2</v>
          </cell>
        </row>
        <row r="3931">
          <cell r="C3931" t="str">
            <v>PEE-S---6007-2RLD-C0</v>
          </cell>
          <cell r="F3931">
            <v>39205.626018518517</v>
          </cell>
          <cell r="H3931" t="str">
            <v>000-006-001</v>
          </cell>
          <cell r="J3931">
            <v>2</v>
          </cell>
        </row>
        <row r="3932">
          <cell r="C3932" t="str">
            <v>PEE-S---6007-2RLD-C0</v>
          </cell>
          <cell r="F3932">
            <v>39205.626018518517</v>
          </cell>
          <cell r="H3932" t="str">
            <v>002-002-001</v>
          </cell>
          <cell r="J3932">
            <v>4.0000000000000001E-3</v>
          </cell>
        </row>
        <row r="3933">
          <cell r="C3933" t="str">
            <v>MID-002-6005-RT</v>
          </cell>
          <cell r="F3933">
            <v>39209.662685185183</v>
          </cell>
          <cell r="H3933" t="str">
            <v>MID-002-6005-NFRT</v>
          </cell>
          <cell r="J3933">
            <v>1</v>
          </cell>
        </row>
        <row r="3934">
          <cell r="C3934" t="str">
            <v>MID-001-6005-RT</v>
          </cell>
          <cell r="F3934">
            <v>39209.664710648147</v>
          </cell>
          <cell r="H3934" t="str">
            <v>MID-001-6005-NFRT</v>
          </cell>
          <cell r="J3934">
            <v>1</v>
          </cell>
        </row>
        <row r="3935">
          <cell r="C3935" t="str">
            <v>MID-001-6205-RT</v>
          </cell>
          <cell r="F3935">
            <v>39233.596851851849</v>
          </cell>
          <cell r="H3935" t="str">
            <v>MID-001-6205-NFRT</v>
          </cell>
          <cell r="J3935">
            <v>1</v>
          </cell>
        </row>
        <row r="3936">
          <cell r="C3936" t="str">
            <v>MID-002-6205-RT</v>
          </cell>
          <cell r="F3936">
            <v>39233.597592592596</v>
          </cell>
          <cell r="H3936" t="str">
            <v>MID-002-6205-NFRT</v>
          </cell>
          <cell r="J3936">
            <v>1</v>
          </cell>
        </row>
        <row r="3937">
          <cell r="C3937" t="str">
            <v>PET-HS--6205-ZZ-C3</v>
          </cell>
          <cell r="F3937">
            <v>39252.615671296298</v>
          </cell>
          <cell r="H3937" t="str">
            <v>MID-001-6205-RT</v>
          </cell>
          <cell r="J3937">
            <v>1</v>
          </cell>
        </row>
        <row r="3938">
          <cell r="C3938" t="str">
            <v>PET-HS--6205-ZZ-C3</v>
          </cell>
          <cell r="F3938">
            <v>39252.615671296298</v>
          </cell>
          <cell r="H3938" t="str">
            <v>MID-002-6205-RT</v>
          </cell>
          <cell r="J3938">
            <v>1</v>
          </cell>
        </row>
        <row r="3939">
          <cell r="C3939" t="str">
            <v>PET-HS--6205-ZZ-C3</v>
          </cell>
          <cell r="F3939">
            <v>39252.615671296298</v>
          </cell>
          <cell r="H3939" t="str">
            <v>MID-003-5/16T</v>
          </cell>
          <cell r="J3939">
            <v>9</v>
          </cell>
        </row>
        <row r="3940">
          <cell r="C3940" t="str">
            <v>PET-HS--6205-ZZ-C3</v>
          </cell>
          <cell r="F3940">
            <v>39252.615671296298</v>
          </cell>
          <cell r="H3940" t="str">
            <v>MID-004-6205-ZT</v>
          </cell>
          <cell r="J3940">
            <v>2</v>
          </cell>
        </row>
        <row r="3941">
          <cell r="C3941" t="str">
            <v>PET-HS--6205-ZZ-C3</v>
          </cell>
          <cell r="F3941">
            <v>39252.615671296298</v>
          </cell>
          <cell r="H3941" t="str">
            <v>MID-005-6205RET/SETT</v>
          </cell>
          <cell r="J3941">
            <v>1</v>
          </cell>
        </row>
        <row r="3942">
          <cell r="C3942" t="str">
            <v>PET-HS--6205-ZZ-C3</v>
          </cell>
          <cell r="F3942">
            <v>39252.615671296298</v>
          </cell>
          <cell r="H3942" t="str">
            <v>000-006-001</v>
          </cell>
          <cell r="J3942">
            <v>1.7</v>
          </cell>
        </row>
        <row r="3943">
          <cell r="C3943" t="str">
            <v>PET-HS--6205-ZZ-C3</v>
          </cell>
          <cell r="F3943">
            <v>39252.615671296298</v>
          </cell>
          <cell r="H3943" t="str">
            <v>002-002-001</v>
          </cell>
          <cell r="J3943">
            <v>1.1299999999999999E-2</v>
          </cell>
        </row>
        <row r="3944">
          <cell r="C3944" t="str">
            <v>PEE-EMQ-6201-2RLD-C3</v>
          </cell>
          <cell r="F3944">
            <v>39258.342314814814</v>
          </cell>
          <cell r="H3944" t="str">
            <v>PEE-EMQ-6201-D-C3</v>
          </cell>
          <cell r="J3944">
            <v>1</v>
          </cell>
        </row>
        <row r="3945">
          <cell r="C3945" t="str">
            <v>PEE-EMQ-6201-2RLD-C3</v>
          </cell>
          <cell r="F3945">
            <v>39258.342314814814</v>
          </cell>
          <cell r="H3945" t="str">
            <v>000-004-RLD-6201-RED</v>
          </cell>
          <cell r="J3945">
            <v>2</v>
          </cell>
        </row>
        <row r="3946">
          <cell r="C3946" t="str">
            <v>PEE-EMQ-6201-2RLD-C3</v>
          </cell>
          <cell r="F3946">
            <v>39258.342314814814</v>
          </cell>
          <cell r="H3946" t="str">
            <v>000-006-001</v>
          </cell>
          <cell r="J3946">
            <v>0.5</v>
          </cell>
        </row>
        <row r="3947">
          <cell r="C3947" t="str">
            <v>PEE-EMQ-6201-2RLD-C3</v>
          </cell>
          <cell r="F3947">
            <v>39258.342314814814</v>
          </cell>
          <cell r="H3947" t="str">
            <v>002-002-001</v>
          </cell>
          <cell r="J3947">
            <v>4.0000000000000001E-3</v>
          </cell>
        </row>
        <row r="3948">
          <cell r="C3948" t="str">
            <v>ESG-001-BB-203-RT</v>
          </cell>
          <cell r="F3948">
            <v>39269.612905092596</v>
          </cell>
          <cell r="H3948" t="str">
            <v>ESG-001-BB-203-NFRT</v>
          </cell>
          <cell r="J3948">
            <v>1</v>
          </cell>
        </row>
        <row r="3949">
          <cell r="C3949" t="str">
            <v>ESG-002-BB-203-RT</v>
          </cell>
          <cell r="F3949">
            <v>39269.621192129627</v>
          </cell>
          <cell r="H3949" t="str">
            <v>ESG-002-BB-203-NFRT</v>
          </cell>
          <cell r="J3949">
            <v>1</v>
          </cell>
        </row>
        <row r="3950">
          <cell r="C3950" t="str">
            <v>PEE-SS--6205-1RS-C3</v>
          </cell>
          <cell r="F3950">
            <v>39274.330925925926</v>
          </cell>
          <cell r="H3950" t="str">
            <v>PEE-SS--6205-D-C3-M</v>
          </cell>
          <cell r="J3950">
            <v>1</v>
          </cell>
        </row>
        <row r="3951">
          <cell r="C3951" t="str">
            <v>PEE-SS--6205-1RS-C3</v>
          </cell>
          <cell r="F3951">
            <v>39274.330925925926</v>
          </cell>
          <cell r="H3951" t="str">
            <v>MID-004-RLD-6205-RED</v>
          </cell>
          <cell r="J3951">
            <v>1</v>
          </cell>
        </row>
        <row r="3952">
          <cell r="C3952" t="str">
            <v>PEE-SS--6205-1RS-C3</v>
          </cell>
          <cell r="F3952">
            <v>39274.330925925926</v>
          </cell>
          <cell r="H3952" t="str">
            <v>002-002-001</v>
          </cell>
          <cell r="J3952">
            <v>4.0000000000000001E-3</v>
          </cell>
        </row>
        <row r="3953">
          <cell r="C3953" t="str">
            <v>PEE-SE--6205-1RS-C3</v>
          </cell>
          <cell r="F3953">
            <v>39287.625833333332</v>
          </cell>
          <cell r="H3953" t="str">
            <v>PEE-SE--6205-D-C3-M</v>
          </cell>
          <cell r="J3953">
            <v>1</v>
          </cell>
        </row>
        <row r="3954">
          <cell r="C3954" t="str">
            <v>PEE-SE--6205-1RS-C3</v>
          </cell>
          <cell r="F3954">
            <v>39287.625833333332</v>
          </cell>
          <cell r="H3954" t="str">
            <v>MID-004-RLD-6205-RED</v>
          </cell>
          <cell r="J3954">
            <v>1</v>
          </cell>
        </row>
        <row r="3955">
          <cell r="C3955" t="str">
            <v>PEE-SE--6205-1RS-C3</v>
          </cell>
          <cell r="F3955">
            <v>39287.625833333332</v>
          </cell>
          <cell r="H3955" t="str">
            <v>002-002-001</v>
          </cell>
          <cell r="J3955">
            <v>4.0000000000000001E-3</v>
          </cell>
        </row>
        <row r="3956">
          <cell r="C3956" t="str">
            <v>PEE-S---6006-2RLD-C3</v>
          </cell>
          <cell r="F3956">
            <v>39309.617326388892</v>
          </cell>
          <cell r="H3956" t="str">
            <v>PEE-S---6006-D-C3</v>
          </cell>
          <cell r="J3956">
            <v>1</v>
          </cell>
        </row>
        <row r="3957">
          <cell r="C3957" t="str">
            <v>PEE-S---6006-2RLD-C3</v>
          </cell>
          <cell r="F3957">
            <v>39309.617326388892</v>
          </cell>
          <cell r="H3957" t="str">
            <v>000-004-RLD-6006-RED</v>
          </cell>
          <cell r="J3957">
            <v>2</v>
          </cell>
        </row>
        <row r="3958">
          <cell r="C3958" t="str">
            <v>PEE-S---6006-2RLD-C3</v>
          </cell>
          <cell r="F3958">
            <v>39309.617326388892</v>
          </cell>
          <cell r="H3958" t="str">
            <v>000-006-001</v>
          </cell>
          <cell r="J3958">
            <v>1.5</v>
          </cell>
        </row>
        <row r="3959">
          <cell r="C3959" t="str">
            <v>PEE-S---6006-2RLD-C3</v>
          </cell>
          <cell r="F3959">
            <v>39309.617326388892</v>
          </cell>
          <cell r="H3959" t="str">
            <v>002-002-001</v>
          </cell>
          <cell r="J3959">
            <v>4.0000000000000001E-3</v>
          </cell>
        </row>
        <row r="3960">
          <cell r="C3960" t="str">
            <v>PET-041-6905-2RLD-C3</v>
          </cell>
          <cell r="F3960">
            <v>39325.423495370371</v>
          </cell>
          <cell r="H3960" t="str">
            <v>MID-001-OR-6905-FRT</v>
          </cell>
          <cell r="J3960">
            <v>1</v>
          </cell>
        </row>
        <row r="3961">
          <cell r="C3961" t="str">
            <v>PET-041-6905-2RLD-C3</v>
          </cell>
          <cell r="F3961">
            <v>39325.423495370371</v>
          </cell>
          <cell r="H3961" t="str">
            <v>MID-002-IR-6905-FRT</v>
          </cell>
          <cell r="J3961">
            <v>1</v>
          </cell>
        </row>
        <row r="3962">
          <cell r="C3962" t="str">
            <v>PET-041-6905-2RLD-C3</v>
          </cell>
          <cell r="F3962">
            <v>39325.423495370371</v>
          </cell>
          <cell r="H3962" t="str">
            <v>MID-003-3/16-G10-T</v>
          </cell>
          <cell r="J3962">
            <v>12</v>
          </cell>
        </row>
        <row r="3963">
          <cell r="C3963" t="str">
            <v>PET-041-6905-2RLD-C3</v>
          </cell>
          <cell r="F3963">
            <v>39325.423495370371</v>
          </cell>
          <cell r="H3963" t="str">
            <v>MID-004-RLD-6905-T</v>
          </cell>
          <cell r="J3963">
            <v>2</v>
          </cell>
        </row>
        <row r="3964">
          <cell r="C3964" t="str">
            <v>PET-041-6905-2RLD-C3</v>
          </cell>
          <cell r="F3964">
            <v>39325.423495370371</v>
          </cell>
          <cell r="H3964" t="str">
            <v>MID-005-RET/SET6905T</v>
          </cell>
          <cell r="J3964">
            <v>1</v>
          </cell>
        </row>
        <row r="3965">
          <cell r="C3965" t="str">
            <v>PET-041-6905-2RLD-C3</v>
          </cell>
          <cell r="F3965">
            <v>39325.423495370371</v>
          </cell>
          <cell r="H3965" t="str">
            <v>000-006-001</v>
          </cell>
          <cell r="J3965">
            <v>0.6</v>
          </cell>
        </row>
        <row r="3966">
          <cell r="C3966" t="str">
            <v>PET-041-6905-2RLD-C3</v>
          </cell>
          <cell r="F3966">
            <v>39325.423495370371</v>
          </cell>
          <cell r="H3966" t="str">
            <v>002-002-001</v>
          </cell>
          <cell r="J3966">
            <v>1.1299999999999999E-2</v>
          </cell>
        </row>
        <row r="3967">
          <cell r="C3967" t="str">
            <v>PEE-HS--6007-D-C0</v>
          </cell>
          <cell r="F3967">
            <v>39325.610752314817</v>
          </cell>
          <cell r="H3967" t="str">
            <v>000-001-6007-D</v>
          </cell>
          <cell r="J3967">
            <v>1</v>
          </cell>
        </row>
        <row r="3968">
          <cell r="C3968" t="str">
            <v>PEE-HS--6007-D-C0</v>
          </cell>
          <cell r="F3968">
            <v>39325.610752314817</v>
          </cell>
          <cell r="H3968" t="str">
            <v>000-002-6007-D</v>
          </cell>
          <cell r="J3968">
            <v>1</v>
          </cell>
        </row>
        <row r="3969">
          <cell r="C3969" t="str">
            <v>PEE-HS--6007-D-C0</v>
          </cell>
          <cell r="F3969">
            <v>39325.610752314817</v>
          </cell>
          <cell r="H3969" t="str">
            <v>000-003-8MM</v>
          </cell>
          <cell r="J3969">
            <v>11</v>
          </cell>
        </row>
        <row r="3970">
          <cell r="C3970" t="str">
            <v>PEE-HS--6007-D-C0</v>
          </cell>
          <cell r="F3970">
            <v>39325.610752314817</v>
          </cell>
          <cell r="H3970" t="str">
            <v>000-005-6007-RET/SET</v>
          </cell>
          <cell r="J3970">
            <v>1</v>
          </cell>
        </row>
        <row r="3971">
          <cell r="C3971" t="str">
            <v>PEE-HS--6007-D-C0</v>
          </cell>
          <cell r="F3971">
            <v>39325.610752314817</v>
          </cell>
          <cell r="H3971" t="str">
            <v>002-002-001</v>
          </cell>
          <cell r="J3971">
            <v>1.1299999999999999E-2</v>
          </cell>
        </row>
        <row r="3972">
          <cell r="C3972" t="str">
            <v>PEE-HS--6205-ZZ-C3</v>
          </cell>
          <cell r="F3972">
            <v>39336.332094907404</v>
          </cell>
          <cell r="H3972" t="str">
            <v>MID-001-6205-R</v>
          </cell>
          <cell r="J3972">
            <v>1</v>
          </cell>
        </row>
        <row r="3973">
          <cell r="C3973" t="str">
            <v>PEE-HS--6205-ZZ-C3</v>
          </cell>
          <cell r="F3973">
            <v>39336.332094907404</v>
          </cell>
          <cell r="H3973" t="str">
            <v>MID-002-6205-R</v>
          </cell>
          <cell r="J3973">
            <v>1</v>
          </cell>
        </row>
        <row r="3974">
          <cell r="C3974" t="str">
            <v>PEE-HS--6205-ZZ-C3</v>
          </cell>
          <cell r="F3974">
            <v>39336.332094907404</v>
          </cell>
          <cell r="H3974" t="str">
            <v>MID-003-5/16</v>
          </cell>
          <cell r="J3974">
            <v>9</v>
          </cell>
        </row>
        <row r="3975">
          <cell r="C3975" t="str">
            <v>PEE-HS--6205-ZZ-C3</v>
          </cell>
          <cell r="F3975">
            <v>39336.332094907404</v>
          </cell>
          <cell r="H3975" t="str">
            <v>MID-004-6205-Z</v>
          </cell>
          <cell r="J3975">
            <v>2</v>
          </cell>
        </row>
        <row r="3976">
          <cell r="C3976" t="str">
            <v>PEE-HS--6205-ZZ-C3</v>
          </cell>
          <cell r="F3976">
            <v>39336.332094907404</v>
          </cell>
          <cell r="H3976" t="str">
            <v>MID-005-6205-RET/SET</v>
          </cell>
          <cell r="J3976">
            <v>1</v>
          </cell>
        </row>
        <row r="3977">
          <cell r="C3977" t="str">
            <v>PEE-HS--6205-ZZ-C3</v>
          </cell>
          <cell r="F3977">
            <v>39336.332094907404</v>
          </cell>
          <cell r="H3977" t="str">
            <v>000-006-001</v>
          </cell>
          <cell r="J3977">
            <v>1.7</v>
          </cell>
        </row>
        <row r="3978">
          <cell r="C3978" t="str">
            <v>PEE-HS--6205-ZZ-C3</v>
          </cell>
          <cell r="F3978">
            <v>39336.332094907404</v>
          </cell>
          <cell r="H3978" t="str">
            <v>002-002-001</v>
          </cell>
          <cell r="J3978">
            <v>1.1299999999999999E-2</v>
          </cell>
        </row>
        <row r="3979">
          <cell r="C3979" t="str">
            <v>PEE-HS--6203-2RST-C3</v>
          </cell>
          <cell r="F3979">
            <v>39343.683645833335</v>
          </cell>
          <cell r="H3979" t="str">
            <v>PEE-HS--6203-D-C3</v>
          </cell>
          <cell r="J3979">
            <v>1</v>
          </cell>
        </row>
        <row r="3980">
          <cell r="C3980" t="str">
            <v>PEE-HS--6203-2RST-C3</v>
          </cell>
          <cell r="F3980">
            <v>39343.683645833335</v>
          </cell>
          <cell r="H3980" t="str">
            <v>000-004-RST-6203-RED</v>
          </cell>
          <cell r="J3980">
            <v>2</v>
          </cell>
        </row>
        <row r="3981">
          <cell r="C3981" t="str">
            <v>PEE-HS--6203-2RST-C3</v>
          </cell>
          <cell r="F3981">
            <v>39343.683645833335</v>
          </cell>
          <cell r="H3981" t="str">
            <v>000-006-001</v>
          </cell>
          <cell r="J3981">
            <v>2.1</v>
          </cell>
        </row>
        <row r="3982">
          <cell r="C3982" t="str">
            <v>PEE-HS--6203-2RST-C3</v>
          </cell>
          <cell r="F3982">
            <v>39343.683645833335</v>
          </cell>
          <cell r="H3982" t="str">
            <v>002-002-001</v>
          </cell>
          <cell r="J3982">
            <v>4.0000000000000001E-3</v>
          </cell>
        </row>
        <row r="3983">
          <cell r="C3983" t="str">
            <v>ESG-001-BB-203-R</v>
          </cell>
          <cell r="F3983">
            <v>39352.333969907406</v>
          </cell>
          <cell r="H3983" t="str">
            <v>ESG-001-BB-203-NFR</v>
          </cell>
          <cell r="J3983">
            <v>1</v>
          </cell>
        </row>
        <row r="3984">
          <cell r="C3984" t="str">
            <v>ESG-002-BB-203-R</v>
          </cell>
          <cell r="F3984">
            <v>39352.33489583333</v>
          </cell>
          <cell r="H3984" t="str">
            <v>ESG-002-BB-203-NFR</v>
          </cell>
          <cell r="J3984">
            <v>1</v>
          </cell>
        </row>
        <row r="3985">
          <cell r="C3985" t="str">
            <v>PET-041-6805-2RLD-C3</v>
          </cell>
          <cell r="F3985">
            <v>39394.650717592594</v>
          </cell>
          <cell r="H3985" t="str">
            <v>MID-001-OR-6805-FRT</v>
          </cell>
          <cell r="J3985">
            <v>1</v>
          </cell>
        </row>
        <row r="3986">
          <cell r="C3986" t="str">
            <v>PET-041-6805-2RLD-C3</v>
          </cell>
          <cell r="F3986">
            <v>39394.650717592594</v>
          </cell>
          <cell r="H3986" t="str">
            <v>MID-002-IR-6805-FRT</v>
          </cell>
          <cell r="J3986">
            <v>1</v>
          </cell>
        </row>
        <row r="3987">
          <cell r="C3987" t="str">
            <v>PET-041-6805-2RLD-C3</v>
          </cell>
          <cell r="F3987">
            <v>39394.650717592594</v>
          </cell>
          <cell r="H3987" t="str">
            <v>MID-003-1/8-G10-T</v>
          </cell>
          <cell r="J3987">
            <v>16</v>
          </cell>
        </row>
        <row r="3988">
          <cell r="C3988" t="str">
            <v>PET-041-6805-2RLD-C3</v>
          </cell>
          <cell r="F3988">
            <v>39394.650717592594</v>
          </cell>
          <cell r="H3988" t="str">
            <v>MID-004-RLD-6805-T</v>
          </cell>
          <cell r="J3988">
            <v>2</v>
          </cell>
        </row>
        <row r="3989">
          <cell r="C3989" t="str">
            <v>PET-041-6805-2RLD-C3</v>
          </cell>
          <cell r="F3989">
            <v>39394.650717592594</v>
          </cell>
          <cell r="H3989" t="str">
            <v>MID-005-RET/SET6805T</v>
          </cell>
          <cell r="J3989">
            <v>1</v>
          </cell>
        </row>
        <row r="3990">
          <cell r="C3990" t="str">
            <v>PET-041-6805-2RLD-C3</v>
          </cell>
          <cell r="F3990">
            <v>39394.650717592594</v>
          </cell>
          <cell r="H3990" t="str">
            <v>000-006-001</v>
          </cell>
          <cell r="J3990">
            <v>0.4</v>
          </cell>
        </row>
        <row r="3991">
          <cell r="C3991" t="str">
            <v>PET-041-6805-2RLD-C3</v>
          </cell>
          <cell r="F3991">
            <v>39394.650717592594</v>
          </cell>
          <cell r="H3991" t="str">
            <v>002-002-001</v>
          </cell>
          <cell r="J3991">
            <v>0.1133</v>
          </cell>
        </row>
        <row r="3992">
          <cell r="C3992" t="str">
            <v>BPB-047-UC-206-DBL</v>
          </cell>
          <cell r="F3992">
            <v>40123.459166666667</v>
          </cell>
          <cell r="H3992" t="str">
            <v>RET-047-UC-206-DBL</v>
          </cell>
          <cell r="J3992">
            <v>1</v>
          </cell>
        </row>
        <row r="3993">
          <cell r="C3993" t="str">
            <v>BPB-047-HC-205-DBL</v>
          </cell>
          <cell r="F3993">
            <v>40212.491655092592</v>
          </cell>
          <cell r="H3993" t="str">
            <v>RET-047-HC-205-DBL</v>
          </cell>
          <cell r="J3993">
            <v>1</v>
          </cell>
        </row>
        <row r="3994">
          <cell r="C3994" t="str">
            <v>BPB-047-HC-205-DBL</v>
          </cell>
          <cell r="F3994">
            <v>40212.491655092592</v>
          </cell>
          <cell r="H3994" t="str">
            <v>RET-027-SEAL-205DBL</v>
          </cell>
          <cell r="J3994">
            <v>2</v>
          </cell>
        </row>
        <row r="3995">
          <cell r="C3995" t="str">
            <v>BPB-047-ECL-212-60DB</v>
          </cell>
          <cell r="F3995">
            <v>41065.299456018518</v>
          </cell>
          <cell r="H3995" t="str">
            <v>RET-047-ECL-212-60DB</v>
          </cell>
          <cell r="J3995">
            <v>1</v>
          </cell>
        </row>
        <row r="3996">
          <cell r="C3996" t="str">
            <v>BPB-047-ECL-212-60DB</v>
          </cell>
          <cell r="F3996">
            <v>41065.299456018518</v>
          </cell>
          <cell r="H3996" t="str">
            <v>RET-027-SEAL-212-DBL</v>
          </cell>
          <cell r="J3996">
            <v>2</v>
          </cell>
        </row>
        <row r="3997">
          <cell r="C3997" t="str">
            <v>PEE-S---6206-2RLD-C3</v>
          </cell>
          <cell r="F3997">
            <v>40389.658032407409</v>
          </cell>
          <cell r="H3997" t="str">
            <v>PEE-041-6206-1RLD-C3</v>
          </cell>
          <cell r="J3997">
            <v>1</v>
          </cell>
        </row>
        <row r="3998">
          <cell r="C3998" t="str">
            <v>PEE-S---6206-2RLD-C3</v>
          </cell>
          <cell r="F3998">
            <v>40389.658032407409</v>
          </cell>
          <cell r="H3998" t="str">
            <v>MID-004-RLD-6206-RED</v>
          </cell>
          <cell r="J3998">
            <v>1</v>
          </cell>
        </row>
        <row r="3999">
          <cell r="C3999" t="str">
            <v>PEE-S---6206-2RLD-C3</v>
          </cell>
          <cell r="F3999">
            <v>40389.658032407409</v>
          </cell>
          <cell r="H3999" t="str">
            <v>000-006-001</v>
          </cell>
          <cell r="J3999">
            <v>2.4</v>
          </cell>
        </row>
        <row r="4000">
          <cell r="C4000" t="str">
            <v>BPB-048-5207-KRRB19</v>
          </cell>
          <cell r="F4000">
            <v>40394.366956018515</v>
          </cell>
          <cell r="H4000" t="str">
            <v>RET-048-5207-KRRB19</v>
          </cell>
          <cell r="J4000">
            <v>1</v>
          </cell>
        </row>
        <row r="4001">
          <cell r="C4001" t="str">
            <v>BPB-048-5203-KYY2</v>
          </cell>
          <cell r="F4001">
            <v>40403.627986111111</v>
          </cell>
          <cell r="H4001" t="str">
            <v>RET-048-5203-KYY2</v>
          </cell>
          <cell r="J4001">
            <v>1</v>
          </cell>
        </row>
        <row r="4002">
          <cell r="C4002" t="str">
            <v>BPB-041-6205-D-C0</v>
          </cell>
          <cell r="F4002">
            <v>40434.408599537041</v>
          </cell>
          <cell r="H4002" t="str">
            <v>BPB-001-6205-D</v>
          </cell>
          <cell r="J4002">
            <v>1</v>
          </cell>
        </row>
        <row r="4003">
          <cell r="C4003" t="str">
            <v>BPB-041-6205-D-C0</v>
          </cell>
          <cell r="F4003">
            <v>40434.408599537041</v>
          </cell>
          <cell r="H4003" t="str">
            <v>BPB-002-6205-D</v>
          </cell>
          <cell r="J4003">
            <v>1</v>
          </cell>
        </row>
        <row r="4004">
          <cell r="C4004" t="str">
            <v>BPB-041-6205-D-C0</v>
          </cell>
          <cell r="F4004">
            <v>40434.408599537041</v>
          </cell>
          <cell r="H4004" t="str">
            <v>MID-005-6205-RET/SET</v>
          </cell>
          <cell r="J4004">
            <v>1</v>
          </cell>
        </row>
        <row r="4005">
          <cell r="C4005" t="str">
            <v>BPB-041-6205-D-C0</v>
          </cell>
          <cell r="F4005">
            <v>40434.408599537041</v>
          </cell>
          <cell r="H4005" t="str">
            <v>MID-003-5/16</v>
          </cell>
          <cell r="J4005">
            <v>9</v>
          </cell>
        </row>
        <row r="4006">
          <cell r="C4006" t="str">
            <v>PEE-HS--6204-2RLD-C3</v>
          </cell>
          <cell r="F4006">
            <v>40443.37940972222</v>
          </cell>
          <cell r="H4006" t="str">
            <v>PEE-HS--6204-D-C3</v>
          </cell>
          <cell r="J4006">
            <v>1</v>
          </cell>
        </row>
        <row r="4007">
          <cell r="C4007" t="str">
            <v>PEE-HS--6204-2RLD-C3</v>
          </cell>
          <cell r="F4007">
            <v>40443.37940972222</v>
          </cell>
          <cell r="H4007" t="str">
            <v>BPB-004-RLD6204BLUE</v>
          </cell>
          <cell r="J4007">
            <v>2</v>
          </cell>
        </row>
        <row r="4008">
          <cell r="C4008" t="str">
            <v>PEE-HS--6204-2RLD-C3</v>
          </cell>
          <cell r="F4008">
            <v>40443.37940972222</v>
          </cell>
          <cell r="H4008" t="str">
            <v>000-006-001</v>
          </cell>
          <cell r="J4008">
            <v>1.4</v>
          </cell>
        </row>
        <row r="4009">
          <cell r="C4009" t="str">
            <v>BPB-048-DTR-3572-FM</v>
          </cell>
          <cell r="F4009">
            <v>40445.737141203703</v>
          </cell>
          <cell r="H4009" t="str">
            <v>BPB-053-DTR3572-CON</v>
          </cell>
          <cell r="J4009">
            <v>2</v>
          </cell>
        </row>
        <row r="4010">
          <cell r="C4010" t="str">
            <v>BPB-048-DTR-3572-FM</v>
          </cell>
          <cell r="F4010">
            <v>40445.737141203703</v>
          </cell>
          <cell r="H4010" t="str">
            <v>BPB-054-DTR3572-CUP</v>
          </cell>
          <cell r="J4010">
            <v>1</v>
          </cell>
        </row>
        <row r="4011">
          <cell r="C4011" t="str">
            <v>BPB-048-DTR-3572-FM</v>
          </cell>
          <cell r="F4011">
            <v>40445.737141203703</v>
          </cell>
          <cell r="H4011" t="str">
            <v>BPB-004-DTR3572-SEAL</v>
          </cell>
          <cell r="J4011">
            <v>2</v>
          </cell>
        </row>
        <row r="4012">
          <cell r="C4012" t="str">
            <v>BPB-048-DTR-3572-FM</v>
          </cell>
          <cell r="F4012">
            <v>40445.737141203703</v>
          </cell>
          <cell r="H4012" t="str">
            <v>000-006-MOBILGREASE</v>
          </cell>
          <cell r="J4012">
            <v>25</v>
          </cell>
        </row>
        <row r="4013">
          <cell r="C4013" t="str">
            <v>BPB-047-SP205</v>
          </cell>
          <cell r="F4013">
            <v>40452.391215277778</v>
          </cell>
          <cell r="H4013" t="str">
            <v>RET-047-SP205</v>
          </cell>
          <cell r="J4013">
            <v>1</v>
          </cell>
        </row>
        <row r="4014">
          <cell r="C4014" t="str">
            <v>BPB-054-010-DTR2552</v>
          </cell>
          <cell r="F4014">
            <v>40457.605879629627</v>
          </cell>
          <cell r="H4014" t="str">
            <v>RET-037-010-DTR2552</v>
          </cell>
          <cell r="J4014">
            <v>1</v>
          </cell>
        </row>
        <row r="4015">
          <cell r="C4015" t="str">
            <v>PEE-HS--6203-2RLD-C3</v>
          </cell>
          <cell r="F4015">
            <v>40465.452789351853</v>
          </cell>
          <cell r="H4015" t="str">
            <v>MID-001-6203-D</v>
          </cell>
          <cell r="J4015">
            <v>1</v>
          </cell>
        </row>
        <row r="4016">
          <cell r="C4016" t="str">
            <v>PEE-HS--6203-2RLD-C3</v>
          </cell>
          <cell r="F4016">
            <v>40465.452789351853</v>
          </cell>
          <cell r="H4016" t="str">
            <v>MID-002-6203-D</v>
          </cell>
          <cell r="J4016">
            <v>1</v>
          </cell>
        </row>
        <row r="4017">
          <cell r="C4017" t="str">
            <v>PEE-HS--6203-2RLD-C3</v>
          </cell>
          <cell r="F4017">
            <v>40465.452789351853</v>
          </cell>
          <cell r="H4017" t="str">
            <v>000-005-6203-RET/SET</v>
          </cell>
          <cell r="J4017">
            <v>1</v>
          </cell>
        </row>
        <row r="4018">
          <cell r="C4018" t="str">
            <v>PEE-HS--6203-2RLD-C3</v>
          </cell>
          <cell r="F4018">
            <v>40465.452789351853</v>
          </cell>
          <cell r="H4018" t="str">
            <v>000-004-RLD-6203-RED</v>
          </cell>
          <cell r="J4018">
            <v>2</v>
          </cell>
        </row>
        <row r="4019">
          <cell r="C4019" t="str">
            <v>PEE-HS--6203-2RLD-C3</v>
          </cell>
          <cell r="F4019">
            <v>40465.452789351853</v>
          </cell>
          <cell r="H4019" t="str">
            <v>000-006-001</v>
          </cell>
          <cell r="J4019">
            <v>0.8</v>
          </cell>
        </row>
        <row r="4020">
          <cell r="C4020" t="str">
            <v>PEE-HS--6203-2RLD-C3</v>
          </cell>
          <cell r="F4020">
            <v>40465.452789351853</v>
          </cell>
          <cell r="H4020" t="str">
            <v>MID-003-17/64</v>
          </cell>
          <cell r="J4020">
            <v>8</v>
          </cell>
        </row>
        <row r="4021">
          <cell r="C4021" t="str">
            <v>BPB-041-6205-2RST-C3</v>
          </cell>
          <cell r="F4021">
            <v>40493.346180555556</v>
          </cell>
          <cell r="H4021" t="str">
            <v>BPB-041-6205-D-C3</v>
          </cell>
          <cell r="J4021">
            <v>1</v>
          </cell>
        </row>
        <row r="4022">
          <cell r="C4022" t="str">
            <v>BPB-041-6205-2RST-C3</v>
          </cell>
          <cell r="F4022">
            <v>40493.346180555556</v>
          </cell>
          <cell r="H4022" t="str">
            <v>000-004-RST-6205-RED</v>
          </cell>
          <cell r="J4022">
            <v>2</v>
          </cell>
        </row>
        <row r="4023">
          <cell r="C4023" t="str">
            <v>BPB-041-6205-2RST-C3</v>
          </cell>
          <cell r="F4023">
            <v>40493.346180555556</v>
          </cell>
          <cell r="H4023" t="str">
            <v>000-006-POLYREX-EM</v>
          </cell>
          <cell r="J4023">
            <v>4.2</v>
          </cell>
        </row>
        <row r="4024">
          <cell r="C4024" t="str">
            <v>BPB-041-6207-D-C0</v>
          </cell>
          <cell r="F4024">
            <v>40494.616840277777</v>
          </cell>
          <cell r="H4024" t="str">
            <v>000-001-6207-D</v>
          </cell>
          <cell r="J4024">
            <v>1</v>
          </cell>
        </row>
        <row r="4025">
          <cell r="C4025" t="str">
            <v>BPB-041-6207-D-C0</v>
          </cell>
          <cell r="F4025">
            <v>40494.616840277777</v>
          </cell>
          <cell r="H4025" t="str">
            <v>000-002-6207-D</v>
          </cell>
          <cell r="J4025">
            <v>1</v>
          </cell>
        </row>
        <row r="4026">
          <cell r="C4026" t="str">
            <v>BPB-041-6207-D-C0</v>
          </cell>
          <cell r="F4026">
            <v>40494.616840277777</v>
          </cell>
          <cell r="H4026" t="str">
            <v>000-003-7/16</v>
          </cell>
          <cell r="J4026">
            <v>9</v>
          </cell>
        </row>
        <row r="4027">
          <cell r="C4027" t="str">
            <v>BPB-041-6207-D-C0</v>
          </cell>
          <cell r="F4027">
            <v>40494.616840277777</v>
          </cell>
          <cell r="H4027" t="str">
            <v>000-005-6207-RET/SET</v>
          </cell>
          <cell r="J4027">
            <v>1</v>
          </cell>
        </row>
        <row r="4028">
          <cell r="C4028" t="str">
            <v>BPB-041-5210-2RST-C3</v>
          </cell>
          <cell r="F4028">
            <v>40528.473321759258</v>
          </cell>
          <cell r="H4028" t="str">
            <v>RET-041-5210-2RST-C3</v>
          </cell>
          <cell r="J4028">
            <v>1</v>
          </cell>
        </row>
        <row r="4029">
          <cell r="C4029" t="str">
            <v>BPB-041-5210-2RST-C3</v>
          </cell>
          <cell r="F4029">
            <v>40528.473321759258</v>
          </cell>
          <cell r="H4029" t="str">
            <v>000-006-POLYREX-EM</v>
          </cell>
          <cell r="J4029">
            <v>11</v>
          </cell>
        </row>
        <row r="4030">
          <cell r="C4030" t="str">
            <v>BPB-047-HC-207-35-DB</v>
          </cell>
          <cell r="F4030">
            <v>40242.710416666669</v>
          </cell>
          <cell r="H4030" t="str">
            <v>RET-047-HC-207-35DBL</v>
          </cell>
          <cell r="J4030">
            <v>1</v>
          </cell>
        </row>
        <row r="4031">
          <cell r="C4031" t="str">
            <v>BPB-047-HC-207-35-DB</v>
          </cell>
          <cell r="F4031">
            <v>40242.710416666669</v>
          </cell>
          <cell r="H4031" t="str">
            <v>RET-027-SEAL-207DBL</v>
          </cell>
          <cell r="J4031">
            <v>2</v>
          </cell>
        </row>
        <row r="4032">
          <cell r="C4032" t="str">
            <v>PEE-HS--6205-2RLD-C3</v>
          </cell>
          <cell r="F4032">
            <v>40254.451550925929</v>
          </cell>
          <cell r="H4032" t="str">
            <v>000-006-001</v>
          </cell>
          <cell r="J4032">
            <v>1.7</v>
          </cell>
        </row>
        <row r="4033">
          <cell r="C4033" t="str">
            <v>BPB-047-SBX-209</v>
          </cell>
          <cell r="F4033">
            <v>40282.361238425925</v>
          </cell>
          <cell r="H4033" t="str">
            <v>RET-047-SBX-209</v>
          </cell>
          <cell r="J4033">
            <v>1</v>
          </cell>
        </row>
        <row r="4034">
          <cell r="C4034" t="str">
            <v>BPB-041-6209-2RSTKC3</v>
          </cell>
          <cell r="F4034">
            <v>40282.45684027778</v>
          </cell>
          <cell r="H4034" t="str">
            <v>RET-041-6209-2RSTKC3</v>
          </cell>
          <cell r="J4034">
            <v>1</v>
          </cell>
        </row>
        <row r="4035">
          <cell r="C4035" t="str">
            <v>BPB-047-UC-212-60-DB</v>
          </cell>
          <cell r="F4035">
            <v>40282.495219907411</v>
          </cell>
          <cell r="H4035" t="str">
            <v>RET-047-UC-212-60-DB</v>
          </cell>
          <cell r="J4035">
            <v>1</v>
          </cell>
        </row>
        <row r="4036">
          <cell r="C4036" t="str">
            <v>BPB-041-5210-2RST-C3</v>
          </cell>
          <cell r="F4036">
            <v>40528.473321759258</v>
          </cell>
          <cell r="H4036" t="str">
            <v>BPB-004-RST-5210</v>
          </cell>
          <cell r="J4036">
            <v>2</v>
          </cell>
        </row>
        <row r="4037">
          <cell r="C4037" t="str">
            <v>BPB-048-AG-3565-CH</v>
          </cell>
          <cell r="F4037">
            <v>40529.607731481483</v>
          </cell>
          <cell r="H4037" t="str">
            <v>RET-048-AG-3565-CH</v>
          </cell>
          <cell r="J4037">
            <v>1</v>
          </cell>
        </row>
        <row r="4038">
          <cell r="C4038" t="str">
            <v>BPB-041-6206-2RLD-C3</v>
          </cell>
          <cell r="F4038">
            <v>40633.371874999997</v>
          </cell>
          <cell r="H4038" t="str">
            <v>BPB-041-6206-D-C3</v>
          </cell>
          <cell r="J4038">
            <v>1</v>
          </cell>
        </row>
        <row r="4039">
          <cell r="C4039" t="str">
            <v>BPB-041-6206-2RLD-C3</v>
          </cell>
          <cell r="F4039">
            <v>40633.371874999997</v>
          </cell>
          <cell r="H4039" t="str">
            <v>MID-004-RLD-6206-RED</v>
          </cell>
          <cell r="J4039">
            <v>2</v>
          </cell>
        </row>
        <row r="4040">
          <cell r="C4040" t="str">
            <v>BPB-041-6206-2RLD-C3</v>
          </cell>
          <cell r="F4040">
            <v>40633.371874999997</v>
          </cell>
          <cell r="H4040" t="str">
            <v>000-006-001</v>
          </cell>
          <cell r="J4040">
            <v>2.4</v>
          </cell>
        </row>
        <row r="4041">
          <cell r="C4041" t="str">
            <v>BPB-048-204-JY3</v>
          </cell>
          <cell r="F4041">
            <v>40638.513425925928</v>
          </cell>
          <cell r="H4041" t="str">
            <v>RET-048-204-JY3</v>
          </cell>
          <cell r="J4041">
            <v>1</v>
          </cell>
        </row>
        <row r="4042">
          <cell r="C4042" t="str">
            <v>BPB-048-204-JY3</v>
          </cell>
          <cell r="F4042">
            <v>40638.513425925928</v>
          </cell>
          <cell r="H4042" t="str">
            <v>000-004-SEAL204JY3SL</v>
          </cell>
          <cell r="J4042">
            <v>1</v>
          </cell>
        </row>
        <row r="4043">
          <cell r="C4043" t="str">
            <v>BPB-027-AG-5950109</v>
          </cell>
          <cell r="F4043">
            <v>40646.450972222221</v>
          </cell>
          <cell r="H4043" t="str">
            <v>BPB-027-5950109</v>
          </cell>
          <cell r="J4043">
            <v>1</v>
          </cell>
        </row>
        <row r="4044">
          <cell r="C4044" t="str">
            <v>BPB-027-AG-5950109</v>
          </cell>
          <cell r="F4044">
            <v>40646.450972222221</v>
          </cell>
          <cell r="H4044" t="str">
            <v>BPB-048-DTR2047-FM</v>
          </cell>
          <cell r="J4044">
            <v>1</v>
          </cell>
        </row>
        <row r="4045">
          <cell r="C4045" t="str">
            <v>BPB-041-6204-D-C3</v>
          </cell>
          <cell r="F4045">
            <v>40668.493703703702</v>
          </cell>
          <cell r="H4045" t="str">
            <v>000-001-6204-D</v>
          </cell>
          <cell r="J4045">
            <v>1</v>
          </cell>
        </row>
        <row r="4046">
          <cell r="C4046" t="str">
            <v>BPB-041-6204-D-C3</v>
          </cell>
          <cell r="F4046">
            <v>40668.493703703702</v>
          </cell>
          <cell r="H4046" t="str">
            <v>000-002-6204-D</v>
          </cell>
          <cell r="J4046">
            <v>1</v>
          </cell>
        </row>
        <row r="4047">
          <cell r="C4047" t="str">
            <v>BPB-041-6204-D-C3</v>
          </cell>
          <cell r="F4047">
            <v>40668.493703703702</v>
          </cell>
          <cell r="H4047" t="str">
            <v>BPB-003-BALLS-5/16</v>
          </cell>
          <cell r="J4047">
            <v>8</v>
          </cell>
        </row>
        <row r="4048">
          <cell r="C4048" t="str">
            <v>BPB-041-6204-D-C3</v>
          </cell>
          <cell r="F4048">
            <v>40668.493703703702</v>
          </cell>
          <cell r="H4048" t="str">
            <v>BPB-005-RET/SET-6204</v>
          </cell>
          <cell r="J4048">
            <v>1</v>
          </cell>
        </row>
        <row r="4049">
          <cell r="C4049" t="str">
            <v>BPB-041-6204-2RLD-C3</v>
          </cell>
          <cell r="F4049">
            <v>40672.403124999997</v>
          </cell>
          <cell r="H4049" t="str">
            <v>BPB-041-6204-D-C3</v>
          </cell>
          <cell r="J4049">
            <v>1</v>
          </cell>
        </row>
        <row r="4050">
          <cell r="C4050" t="str">
            <v>BPB-041-6204-2RLD-C3</v>
          </cell>
          <cell r="F4050">
            <v>40672.403124999997</v>
          </cell>
          <cell r="H4050" t="str">
            <v>BPB-004-RLD6204BLUE</v>
          </cell>
          <cell r="J4050">
            <v>2</v>
          </cell>
        </row>
        <row r="4051">
          <cell r="C4051" t="str">
            <v>BPB-041-6204-2RLD-C3</v>
          </cell>
          <cell r="F4051">
            <v>40672.403124999997</v>
          </cell>
          <cell r="H4051" t="str">
            <v>000-006-001</v>
          </cell>
          <cell r="J4051">
            <v>1.4</v>
          </cell>
        </row>
        <row r="4052">
          <cell r="C4052" t="str">
            <v>BPB-047-ECL-207-22DB</v>
          </cell>
          <cell r="F4052">
            <v>40676.411793981482</v>
          </cell>
          <cell r="H4052" t="str">
            <v>RET-047-ECL-207-22DB</v>
          </cell>
          <cell r="J4052">
            <v>1</v>
          </cell>
        </row>
        <row r="4053">
          <cell r="C4053" t="str">
            <v>BPB-047-ECL-207-22DB</v>
          </cell>
          <cell r="F4053">
            <v>40676.411793981482</v>
          </cell>
          <cell r="H4053" t="str">
            <v>BPB-004-SEAL-207-DBL</v>
          </cell>
          <cell r="J4053">
            <v>2</v>
          </cell>
        </row>
        <row r="4054">
          <cell r="C4054" t="str">
            <v>BPB-047-ECL207-35D1</v>
          </cell>
          <cell r="F4054">
            <v>40676.427905092591</v>
          </cell>
          <cell r="H4054" t="str">
            <v>RET-047-ECL207-35D1</v>
          </cell>
          <cell r="J4054">
            <v>1</v>
          </cell>
        </row>
        <row r="4055">
          <cell r="C4055" t="str">
            <v>BPB-047-ECL207-35D1</v>
          </cell>
          <cell r="F4055">
            <v>40676.427905092591</v>
          </cell>
          <cell r="H4055" t="str">
            <v>BPB-004-SEAL-207-DBL</v>
          </cell>
          <cell r="J4055">
            <v>2</v>
          </cell>
        </row>
        <row r="4056">
          <cell r="C4056" t="str">
            <v>BPB-048-5204-KPP3</v>
          </cell>
          <cell r="F4056">
            <v>40683.467430555553</v>
          </cell>
          <cell r="H4056" t="str">
            <v>RET-048-5204-KPP3</v>
          </cell>
          <cell r="J4056">
            <v>1</v>
          </cell>
        </row>
        <row r="4057">
          <cell r="C4057" t="str">
            <v>BPB-047-HC-307-35-DB</v>
          </cell>
          <cell r="F4057">
            <v>40697.471944444442</v>
          </cell>
          <cell r="H4057" t="str">
            <v>BPB-004-SEAL-307-DBL</v>
          </cell>
          <cell r="J4057">
            <v>2</v>
          </cell>
        </row>
        <row r="4058">
          <cell r="C4058" t="str">
            <v>BPB-041-6205-2RLD-C0</v>
          </cell>
          <cell r="F4058">
            <v>40728.481956018521</v>
          </cell>
          <cell r="H4058" t="str">
            <v>BPB-001-6205-D</v>
          </cell>
          <cell r="J4058">
            <v>1</v>
          </cell>
        </row>
        <row r="4059">
          <cell r="C4059" t="str">
            <v>BPB-041-6205-2RLD-C0</v>
          </cell>
          <cell r="F4059">
            <v>40728.481956018521</v>
          </cell>
          <cell r="H4059" t="str">
            <v>BPB-002-6205-D</v>
          </cell>
          <cell r="J4059">
            <v>1</v>
          </cell>
        </row>
        <row r="4060">
          <cell r="C4060" t="str">
            <v>BPB-041-6205-2RLD-C0</v>
          </cell>
          <cell r="F4060">
            <v>40728.481956018521</v>
          </cell>
          <cell r="H4060" t="str">
            <v>MID-004-RLD-6205-RED</v>
          </cell>
          <cell r="J4060">
            <v>2</v>
          </cell>
        </row>
        <row r="4061">
          <cell r="C4061" t="str">
            <v>BPB-041-6205-2RLD-C0</v>
          </cell>
          <cell r="F4061">
            <v>40728.481956018521</v>
          </cell>
          <cell r="H4061" t="str">
            <v>MID-005-6205-RET/SET</v>
          </cell>
          <cell r="J4061">
            <v>1</v>
          </cell>
        </row>
        <row r="4062">
          <cell r="C4062" t="str">
            <v>BPB-041-6205-2RLD-C0</v>
          </cell>
          <cell r="F4062">
            <v>40728.481956018521</v>
          </cell>
          <cell r="H4062" t="str">
            <v>000-003-5/16</v>
          </cell>
          <cell r="J4062">
            <v>9</v>
          </cell>
        </row>
        <row r="4063">
          <cell r="C4063" t="str">
            <v>BPB-041-6205-2RLD-C0</v>
          </cell>
          <cell r="F4063">
            <v>40728.481956018521</v>
          </cell>
          <cell r="H4063" t="str">
            <v>000-006-001</v>
          </cell>
          <cell r="J4063">
            <v>1.7</v>
          </cell>
        </row>
        <row r="4064">
          <cell r="C4064" t="str">
            <v>INA-048-BE30-AH01</v>
          </cell>
          <cell r="F4064">
            <v>40791.384317129632</v>
          </cell>
          <cell r="H4064" t="str">
            <v>RET-048-BE30-AH01</v>
          </cell>
          <cell r="J4064">
            <v>1</v>
          </cell>
        </row>
        <row r="4065">
          <cell r="C4065" t="str">
            <v>BPB-048-J91-B</v>
          </cell>
          <cell r="F4065">
            <v>40823.414502314816</v>
          </cell>
          <cell r="H4065" t="str">
            <v>RET-048-J91-B</v>
          </cell>
          <cell r="J4065">
            <v>1</v>
          </cell>
        </row>
        <row r="4066">
          <cell r="C4066" t="str">
            <v>BPB-048-J91-B</v>
          </cell>
          <cell r="F4066">
            <v>40823.414502314816</v>
          </cell>
          <cell r="H4066" t="str">
            <v>RET-027-J91-R.08</v>
          </cell>
          <cell r="J4066">
            <v>1</v>
          </cell>
        </row>
        <row r="4067">
          <cell r="C4067" t="str">
            <v>BPB-048-J91-B</v>
          </cell>
          <cell r="F4067">
            <v>40823.414502314816</v>
          </cell>
          <cell r="H4067" t="str">
            <v>000-006-POLYREX-EM</v>
          </cell>
          <cell r="J4067">
            <v>4</v>
          </cell>
        </row>
        <row r="4068">
          <cell r="C4068" t="str">
            <v>BPB-047-UC-210-BDL</v>
          </cell>
          <cell r="F4068">
            <v>40850.374722222223</v>
          </cell>
          <cell r="H4068" t="str">
            <v>RET-047-UC-210-DBL</v>
          </cell>
          <cell r="J4068">
            <v>1</v>
          </cell>
        </row>
        <row r="4069">
          <cell r="C4069" t="str">
            <v>BPB-047-UC-210-BDL</v>
          </cell>
          <cell r="F4069">
            <v>40850.374722222223</v>
          </cell>
          <cell r="H4069" t="str">
            <v>BPB-004-SEAL-210DBL</v>
          </cell>
          <cell r="J4069">
            <v>2</v>
          </cell>
        </row>
        <row r="4070">
          <cell r="C4070" t="str">
            <v>BPB-047-HC-208-40mm</v>
          </cell>
          <cell r="F4070">
            <v>40256.356435185182</v>
          </cell>
          <cell r="H4070" t="str">
            <v>RET-047-HC-208-40mm</v>
          </cell>
          <cell r="J4070">
            <v>1</v>
          </cell>
        </row>
        <row r="4071">
          <cell r="C4071" t="str">
            <v>BPB-047-HC-208-40mm</v>
          </cell>
          <cell r="F4071">
            <v>40256.356435185182</v>
          </cell>
          <cell r="H4071" t="str">
            <v>RET-027-SEAL-208</v>
          </cell>
          <cell r="J4071">
            <v>2</v>
          </cell>
        </row>
        <row r="4072">
          <cell r="C4072" t="str">
            <v>BPB-047-UC-208-40-DB</v>
          </cell>
          <cell r="F4072">
            <v>40301.409560185188</v>
          </cell>
          <cell r="H4072" t="str">
            <v>RET-047-UC-208-40-DB</v>
          </cell>
          <cell r="J4072">
            <v>1</v>
          </cell>
        </row>
        <row r="4073">
          <cell r="C4073" t="str">
            <v>BPB-047-UC-208-40-DB</v>
          </cell>
          <cell r="F4073">
            <v>40301.409560185188</v>
          </cell>
          <cell r="H4073" t="str">
            <v>RET-027-SEAL-208</v>
          </cell>
          <cell r="J4073">
            <v>2</v>
          </cell>
        </row>
        <row r="4074">
          <cell r="C4074" t="str">
            <v>BPB-047-FH-205-25MM</v>
          </cell>
          <cell r="F4074">
            <v>40303.414085648146</v>
          </cell>
          <cell r="H4074" t="str">
            <v>RET-047-FH-205-25MM</v>
          </cell>
          <cell r="J4074">
            <v>1</v>
          </cell>
        </row>
        <row r="4075">
          <cell r="C4075" t="str">
            <v>BPB-041-6206-2RST</v>
          </cell>
          <cell r="F4075">
            <v>40316.696319444447</v>
          </cell>
          <cell r="H4075" t="str">
            <v>RET-041-6206-2RST</v>
          </cell>
          <cell r="J4075">
            <v>1</v>
          </cell>
        </row>
        <row r="4076">
          <cell r="C4076" t="str">
            <v>BPB-048-DTR3062-FM</v>
          </cell>
          <cell r="F4076">
            <v>40331.352488425924</v>
          </cell>
          <cell r="H4076" t="str">
            <v>RET-048-DTR-3062-08</v>
          </cell>
          <cell r="J4076">
            <v>2</v>
          </cell>
        </row>
        <row r="4077">
          <cell r="C4077" t="str">
            <v>BPB-048-DTR3062-FM</v>
          </cell>
          <cell r="F4077">
            <v>40331.352488425924</v>
          </cell>
          <cell r="H4077" t="str">
            <v>RET-048-JRME3062-CON</v>
          </cell>
          <cell r="J4077">
            <v>2</v>
          </cell>
        </row>
        <row r="4078">
          <cell r="C4078" t="str">
            <v>BPB-048-DTR3062-FM</v>
          </cell>
          <cell r="F4078">
            <v>40331.352488425924</v>
          </cell>
          <cell r="H4078" t="str">
            <v>RET-048-JRME3062-CUP</v>
          </cell>
          <cell r="J4078">
            <v>1</v>
          </cell>
        </row>
        <row r="4079">
          <cell r="C4079" t="str">
            <v>BPB-048-DTR3062-FM</v>
          </cell>
          <cell r="F4079">
            <v>40331.352488425924</v>
          </cell>
          <cell r="H4079" t="str">
            <v>000-006-POLYREX-EM</v>
          </cell>
          <cell r="J4079">
            <v>9.5</v>
          </cell>
        </row>
        <row r="4080">
          <cell r="C4080" t="str">
            <v>PEE-SS--6203-2RLD-C3</v>
          </cell>
          <cell r="F4080">
            <v>40366.378553240742</v>
          </cell>
          <cell r="H4080" t="str">
            <v>RET-041-6203-D-C3</v>
          </cell>
          <cell r="J4080">
            <v>1</v>
          </cell>
        </row>
        <row r="4081">
          <cell r="C4081" t="str">
            <v>PEE-SS--6203-2RLD-C3</v>
          </cell>
          <cell r="F4081">
            <v>40366.378553240742</v>
          </cell>
          <cell r="H4081" t="str">
            <v>000-004-RLD-6203-RED</v>
          </cell>
          <cell r="J4081">
            <v>2</v>
          </cell>
        </row>
        <row r="4082">
          <cell r="C4082" t="str">
            <v>PEE-SS--6203-2RLD-C3</v>
          </cell>
          <cell r="F4082">
            <v>40366.378553240742</v>
          </cell>
          <cell r="H4082" t="str">
            <v>000-006-001</v>
          </cell>
          <cell r="J4082">
            <v>0.8</v>
          </cell>
        </row>
        <row r="4083">
          <cell r="C4083" t="str">
            <v>BPB-054-JRME2549-16</v>
          </cell>
          <cell r="F4083">
            <v>40472.439479166664</v>
          </cell>
          <cell r="H4083" t="str">
            <v>RET-037-JRME2549-16</v>
          </cell>
          <cell r="J4083">
            <v>1</v>
          </cell>
        </row>
        <row r="4084">
          <cell r="C4084" t="str">
            <v>BPB-047-UC-214-DBL</v>
          </cell>
          <cell r="F4084">
            <v>40751.382280092592</v>
          </cell>
          <cell r="H4084" t="str">
            <v>RET-047-UC-214-DBL</v>
          </cell>
          <cell r="J4084">
            <v>1</v>
          </cell>
        </row>
        <row r="4085">
          <cell r="C4085" t="str">
            <v>BPB-047-ECL-210-50mm</v>
          </cell>
          <cell r="F4085">
            <v>40982.316493055558</v>
          </cell>
          <cell r="H4085" t="str">
            <v>RET-047-ECL-210-50mm</v>
          </cell>
          <cell r="J4085">
            <v>1</v>
          </cell>
        </row>
        <row r="4086">
          <cell r="C4086" t="str">
            <v>BPB-047-FH-210-50MM</v>
          </cell>
          <cell r="F4086">
            <v>40889.442141203705</v>
          </cell>
          <cell r="H4086" t="str">
            <v>RET-047-FH-210-50MM</v>
          </cell>
          <cell r="J4086">
            <v>1</v>
          </cell>
        </row>
        <row r="4087">
          <cell r="C4087" t="str">
            <v>BPB-047-ECL-206-30MM</v>
          </cell>
          <cell r="F4087">
            <v>40954.324571759258</v>
          </cell>
          <cell r="H4087" t="str">
            <v>RET-047-ECL-206-30MM</v>
          </cell>
          <cell r="J4087">
            <v>1</v>
          </cell>
        </row>
        <row r="4088">
          <cell r="C4088" t="str">
            <v>BPB-047-ECL-206-30MM</v>
          </cell>
          <cell r="F4088">
            <v>40954.324571759258</v>
          </cell>
          <cell r="H4088" t="str">
            <v>BPB-004-SEAL-206-DBL</v>
          </cell>
          <cell r="J4088">
            <v>2</v>
          </cell>
        </row>
        <row r="4089">
          <cell r="C4089" t="str">
            <v>BPB-048-AG59509</v>
          </cell>
          <cell r="F4089">
            <v>40968.667986111112</v>
          </cell>
          <cell r="H4089" t="str">
            <v>BPB-048-59509-01</v>
          </cell>
          <cell r="J4089">
            <v>1</v>
          </cell>
        </row>
        <row r="4090">
          <cell r="C4090" t="str">
            <v>BPB-048-AG59509</v>
          </cell>
          <cell r="F4090">
            <v>40968.667986111112</v>
          </cell>
          <cell r="H4090" t="str">
            <v>BPB-048-DTR2047-FM</v>
          </cell>
          <cell r="J4090">
            <v>1</v>
          </cell>
        </row>
        <row r="4091">
          <cell r="C4091" t="str">
            <v>BPB-048-AG59509</v>
          </cell>
          <cell r="F4091">
            <v>40968.667986111112</v>
          </cell>
          <cell r="H4091" t="str">
            <v>BPB-037-ZEGGER472-47</v>
          </cell>
          <cell r="J4091">
            <v>1</v>
          </cell>
        </row>
        <row r="4092">
          <cell r="C4092" t="str">
            <v>BPB-047-ECL-211-DBL</v>
          </cell>
          <cell r="F4092">
            <v>40984.309687499997</v>
          </cell>
          <cell r="H4092" t="str">
            <v>RET-027-SEAL-211DBL</v>
          </cell>
          <cell r="J4092">
            <v>2</v>
          </cell>
        </row>
        <row r="4093">
          <cell r="C4093" t="str">
            <v>BPB-047-FHT-207-35FZ</v>
          </cell>
          <cell r="F4093">
            <v>41026.544131944444</v>
          </cell>
          <cell r="H4093" t="str">
            <v>RET-047-FHT-207-35FZ</v>
          </cell>
          <cell r="J4093">
            <v>1</v>
          </cell>
        </row>
        <row r="4094">
          <cell r="C4094" t="str">
            <v>BPB-047-FHT-207-35FZ</v>
          </cell>
          <cell r="F4094">
            <v>41026.544131944444</v>
          </cell>
          <cell r="H4094" t="str">
            <v>B&amp;P-004-SEA207-R1-08</v>
          </cell>
          <cell r="J4094">
            <v>1</v>
          </cell>
        </row>
        <row r="4095">
          <cell r="C4095" t="str">
            <v>BPB-041-6201-2RLD</v>
          </cell>
          <cell r="F4095">
            <v>41046.31386574074</v>
          </cell>
          <cell r="H4095" t="str">
            <v>MID-001-6201-D</v>
          </cell>
          <cell r="J4095">
            <v>1</v>
          </cell>
        </row>
        <row r="4096">
          <cell r="C4096" t="str">
            <v>BPB-041-6201-2RLD</v>
          </cell>
          <cell r="F4096">
            <v>41046.31386574074</v>
          </cell>
          <cell r="H4096" t="str">
            <v>MID-002-6201-D</v>
          </cell>
          <cell r="J4096">
            <v>1</v>
          </cell>
        </row>
        <row r="4097">
          <cell r="C4097" t="str">
            <v>BPB-041-6201-2RLD</v>
          </cell>
          <cell r="F4097">
            <v>41046.31386574074</v>
          </cell>
          <cell r="H4097" t="str">
            <v>MID-003-15/64</v>
          </cell>
          <cell r="J4097">
            <v>7</v>
          </cell>
        </row>
        <row r="4098">
          <cell r="C4098" t="str">
            <v>BPB-041-6201-2RLD</v>
          </cell>
          <cell r="F4098">
            <v>41046.31386574074</v>
          </cell>
          <cell r="H4098" t="str">
            <v>MID-005-6201-RET/SET</v>
          </cell>
          <cell r="J4098">
            <v>1</v>
          </cell>
        </row>
        <row r="4099">
          <cell r="C4099" t="str">
            <v>BPB-041-6201-2RLD</v>
          </cell>
          <cell r="F4099">
            <v>41046.31386574074</v>
          </cell>
          <cell r="H4099" t="str">
            <v>BPB-004-RLD-6201BLUE</v>
          </cell>
          <cell r="J4099">
            <v>2</v>
          </cell>
        </row>
        <row r="4100">
          <cell r="C4100" t="str">
            <v>BPB-041-6201-2RLD</v>
          </cell>
          <cell r="F4100">
            <v>41046.31386574074</v>
          </cell>
          <cell r="H4100" t="str">
            <v>000-006-POLYREX-EM</v>
          </cell>
          <cell r="J4100">
            <v>0.5</v>
          </cell>
        </row>
        <row r="4101">
          <cell r="C4101" t="str">
            <v>B&amp;P-037-X4-08-5701</v>
          </cell>
          <cell r="F4101">
            <v>41052.701817129629</v>
          </cell>
          <cell r="H4101" t="str">
            <v>B&amp;P-037-X4-08-5701-A</v>
          </cell>
          <cell r="J4101">
            <v>1</v>
          </cell>
        </row>
        <row r="4102">
          <cell r="C4102" t="str">
            <v>B&amp;P-010-PTE-DEL-MXR</v>
          </cell>
          <cell r="F4102">
            <v>41082.439467592594</v>
          </cell>
          <cell r="H4102" t="str">
            <v>B&amp;P-010-CAÑOD6</v>
          </cell>
          <cell r="J4102">
            <v>1</v>
          </cell>
        </row>
        <row r="4103">
          <cell r="C4103" t="str">
            <v>B&amp;P-010-PTE-DEL-MXR</v>
          </cell>
          <cell r="F4103">
            <v>41082.439467592594</v>
          </cell>
          <cell r="H4103" t="str">
            <v>B&amp;P-010-CAÑOD7</v>
          </cell>
          <cell r="J4103">
            <v>2</v>
          </cell>
        </row>
        <row r="4104">
          <cell r="C4104" t="str">
            <v>B&amp;P-010-PTE-TRA-MXR</v>
          </cell>
          <cell r="F4104">
            <v>41082.449467592596</v>
          </cell>
          <cell r="H4104" t="str">
            <v>B&amp;P-010-CAÑOT1</v>
          </cell>
          <cell r="J4104">
            <v>2</v>
          </cell>
        </row>
        <row r="4105">
          <cell r="C4105" t="str">
            <v>B&amp;P-010-PTE-TRA-MXR</v>
          </cell>
          <cell r="F4105">
            <v>41082.449467592596</v>
          </cell>
          <cell r="H4105" t="str">
            <v>B&amp;P-010-CAÑOT2</v>
          </cell>
          <cell r="J4105">
            <v>2</v>
          </cell>
        </row>
        <row r="4106">
          <cell r="C4106" t="str">
            <v>B&amp;P-010-PTE-TRA-MXR</v>
          </cell>
          <cell r="F4106">
            <v>41082.449467592596</v>
          </cell>
          <cell r="H4106" t="str">
            <v>B&amp;P-010-CAÑOT3</v>
          </cell>
          <cell r="J4106">
            <v>2</v>
          </cell>
        </row>
        <row r="4107">
          <cell r="C4107" t="str">
            <v>B&amp;P-010-PTE-TRA-MXR</v>
          </cell>
          <cell r="F4107">
            <v>41082.449467592596</v>
          </cell>
          <cell r="H4107" t="str">
            <v>B&amp;P-010-CAÑOT4</v>
          </cell>
          <cell r="J4107">
            <v>2</v>
          </cell>
        </row>
        <row r="4108">
          <cell r="C4108" t="str">
            <v>B&amp;P-010-PTE-TRA-MXR</v>
          </cell>
          <cell r="F4108">
            <v>41082.449467592596</v>
          </cell>
          <cell r="H4108" t="str">
            <v>B&amp;P-010-CAÑOT5</v>
          </cell>
          <cell r="J4108">
            <v>2</v>
          </cell>
        </row>
        <row r="4109">
          <cell r="C4109" t="str">
            <v>B&amp;P-010-PTE-TRA-MXR</v>
          </cell>
          <cell r="F4109">
            <v>41082.449467592596</v>
          </cell>
          <cell r="H4109" t="str">
            <v>B&amp;P-010-CAÑOT6</v>
          </cell>
          <cell r="J4109">
            <v>2</v>
          </cell>
        </row>
        <row r="4110">
          <cell r="C4110" t="str">
            <v>B&amp;P-010-PTE-TRA-MXR</v>
          </cell>
          <cell r="F4110">
            <v>41082.449467592596</v>
          </cell>
          <cell r="H4110" t="str">
            <v>B&amp;P-010-CAÑOT7</v>
          </cell>
          <cell r="J4110">
            <v>2</v>
          </cell>
        </row>
        <row r="4111">
          <cell r="C4111" t="str">
            <v>B&amp;P-010-PTE-TRA-MXR</v>
          </cell>
          <cell r="F4111">
            <v>41082.449467592596</v>
          </cell>
          <cell r="H4111" t="str">
            <v>B&amp;P-010-CAÑOT12</v>
          </cell>
          <cell r="J4111">
            <v>1</v>
          </cell>
        </row>
        <row r="4112">
          <cell r="C4112" t="str">
            <v>B&amp;P-010-PTE-TRA-MXR</v>
          </cell>
          <cell r="F4112">
            <v>41082.449467592596</v>
          </cell>
          <cell r="H4112" t="str">
            <v>B&amp;P-010-CAÑOT13</v>
          </cell>
          <cell r="J4112">
            <v>1</v>
          </cell>
        </row>
        <row r="4113">
          <cell r="C4113" t="str">
            <v>B&amp;P-010-PTE-TRA-MXR</v>
          </cell>
          <cell r="F4113">
            <v>41082.449467592596</v>
          </cell>
          <cell r="H4113" t="str">
            <v>B&amp;P-010-CAÑOT14</v>
          </cell>
          <cell r="J4113">
            <v>1</v>
          </cell>
        </row>
        <row r="4114">
          <cell r="C4114" t="str">
            <v>B&amp;P-010-PTE-TRA-MXR</v>
          </cell>
          <cell r="F4114">
            <v>41082.449467592596</v>
          </cell>
          <cell r="H4114" t="str">
            <v>B&amp;P-010-CAÑOT8DER</v>
          </cell>
          <cell r="J4114">
            <v>1</v>
          </cell>
        </row>
        <row r="4115">
          <cell r="C4115" t="str">
            <v>B&amp;P-010-PTE-TRA-MXR</v>
          </cell>
          <cell r="F4115">
            <v>41082.449467592596</v>
          </cell>
          <cell r="H4115" t="str">
            <v>B&amp;P-010-CAÑOT8IZQ</v>
          </cell>
          <cell r="J4115">
            <v>1</v>
          </cell>
        </row>
        <row r="4116">
          <cell r="C4116" t="str">
            <v>B&amp;P-010-PTE-TRA-MXR</v>
          </cell>
          <cell r="F4116">
            <v>41082.449467592596</v>
          </cell>
          <cell r="H4116" t="str">
            <v>B&amp;P-010-CAÑOT9DER</v>
          </cell>
          <cell r="J4116">
            <v>1</v>
          </cell>
        </row>
        <row r="4117">
          <cell r="C4117" t="str">
            <v>B&amp;P-010-PTE-TRA-MXR</v>
          </cell>
          <cell r="F4117">
            <v>41082.449467592596</v>
          </cell>
          <cell r="H4117" t="str">
            <v>B&amp;P-010-CAÑOT9IZQ</v>
          </cell>
          <cell r="J4117">
            <v>1</v>
          </cell>
        </row>
        <row r="4118">
          <cell r="C4118" t="str">
            <v>B&amp;P-010-PTE-TRA-MXR</v>
          </cell>
          <cell r="F4118">
            <v>41082.449467592596</v>
          </cell>
          <cell r="H4118" t="str">
            <v>B&amp;P-010-CAÑOT10DER</v>
          </cell>
          <cell r="J4118">
            <v>1</v>
          </cell>
        </row>
        <row r="4119">
          <cell r="C4119" t="str">
            <v>BPB-047-ECL-212-39DB</v>
          </cell>
          <cell r="F4119">
            <v>40277.657407407409</v>
          </cell>
          <cell r="H4119" t="str">
            <v>RET-047-ECL-212-39DB</v>
          </cell>
          <cell r="J4119">
            <v>1</v>
          </cell>
        </row>
        <row r="4120">
          <cell r="C4120" t="str">
            <v>BPB-041-6206-2RLD</v>
          </cell>
          <cell r="F4120">
            <v>40394.742523148147</v>
          </cell>
          <cell r="H4120" t="str">
            <v>RET-041-6206-2RST</v>
          </cell>
          <cell r="J4120">
            <v>1</v>
          </cell>
        </row>
        <row r="4121">
          <cell r="C4121" t="str">
            <v>BPB-041-6206-2RLD</v>
          </cell>
          <cell r="F4121">
            <v>40394.742523148147</v>
          </cell>
          <cell r="H4121" t="str">
            <v>MID-004-RLD-6206-RED</v>
          </cell>
          <cell r="J4121">
            <v>2</v>
          </cell>
        </row>
        <row r="4122">
          <cell r="C4122" t="str">
            <v>BPB-041-6206-D-C3</v>
          </cell>
          <cell r="F4122">
            <v>40620.393252314818</v>
          </cell>
          <cell r="H4122" t="str">
            <v>BPB-003-BALLS-3/8</v>
          </cell>
          <cell r="J4122">
            <v>9</v>
          </cell>
        </row>
        <row r="4123">
          <cell r="C4123" t="str">
            <v>BPB-048-59501-01</v>
          </cell>
          <cell r="F4123">
            <v>40865.38857638889</v>
          </cell>
          <cell r="H4123" t="str">
            <v>BPB-048-59501-09</v>
          </cell>
          <cell r="J4123">
            <v>1</v>
          </cell>
        </row>
        <row r="4124">
          <cell r="C4124" t="str">
            <v>BPB-048-AG59501</v>
          </cell>
          <cell r="F4124">
            <v>40879.488287037035</v>
          </cell>
          <cell r="H4124" t="str">
            <v>BPB-048-59501-01</v>
          </cell>
          <cell r="J4124">
            <v>1</v>
          </cell>
        </row>
        <row r="4125">
          <cell r="C4125" t="str">
            <v>BPB-048-AG59501</v>
          </cell>
          <cell r="F4125">
            <v>40879.488287037035</v>
          </cell>
          <cell r="H4125" t="str">
            <v>BPB-037-ZEGGER472-47</v>
          </cell>
          <cell r="J4125">
            <v>2</v>
          </cell>
        </row>
        <row r="4126">
          <cell r="C4126" t="str">
            <v>BPB-048-AG59501</v>
          </cell>
          <cell r="F4126">
            <v>40879.488287037035</v>
          </cell>
          <cell r="H4126" t="str">
            <v>BPB-048-DTR2047-FM</v>
          </cell>
          <cell r="J4126">
            <v>1</v>
          </cell>
        </row>
        <row r="4127">
          <cell r="C4127" t="str">
            <v>BPB-048-AG59501</v>
          </cell>
          <cell r="F4127">
            <v>40879.488287037035</v>
          </cell>
          <cell r="H4127" t="str">
            <v>BPB-052-59501-02</v>
          </cell>
          <cell r="J4127">
            <v>1</v>
          </cell>
        </row>
        <row r="4128">
          <cell r="C4128" t="str">
            <v>B&amp;P-010-PTE-TRA-MXR</v>
          </cell>
          <cell r="F4128">
            <v>41082.449467592596</v>
          </cell>
          <cell r="H4128" t="str">
            <v>B&amp;P-010-CAÑOT10IZQ</v>
          </cell>
          <cell r="J4128">
            <v>1</v>
          </cell>
        </row>
        <row r="4129">
          <cell r="C4129" t="str">
            <v>B&amp;P-010-PTE-TRA-MXR</v>
          </cell>
          <cell r="F4129">
            <v>41082.449467592596</v>
          </cell>
          <cell r="H4129" t="str">
            <v>B&amp;P-010-CAÑOT11DER</v>
          </cell>
          <cell r="J4129">
            <v>1</v>
          </cell>
        </row>
        <row r="4130">
          <cell r="C4130" t="str">
            <v>B&amp;P-010-PTE-TRA-MXR</v>
          </cell>
          <cell r="F4130">
            <v>41082.449467592596</v>
          </cell>
          <cell r="H4130" t="str">
            <v>B&amp;P-010-CAÑOT11IZQ</v>
          </cell>
          <cell r="J4130">
            <v>1</v>
          </cell>
        </row>
        <row r="4131">
          <cell r="C4131" t="str">
            <v>B&amp;P-HS--MS04-D-C3</v>
          </cell>
          <cell r="F4131">
            <v>41089.539537037039</v>
          </cell>
          <cell r="H4131" t="str">
            <v>B&amp;P-001-MS04-D</v>
          </cell>
          <cell r="J4131">
            <v>1</v>
          </cell>
        </row>
        <row r="4132">
          <cell r="C4132" t="str">
            <v>B&amp;P-HS--MS04-D-C3</v>
          </cell>
          <cell r="F4132">
            <v>41089.539537037039</v>
          </cell>
          <cell r="H4132" t="str">
            <v>B&amp;P-002-MS04-D</v>
          </cell>
          <cell r="J4132">
            <v>1</v>
          </cell>
        </row>
        <row r="4133">
          <cell r="C4133" t="str">
            <v>B&amp;P-HS--MS04-D-C3</v>
          </cell>
          <cell r="F4133">
            <v>41089.539537037039</v>
          </cell>
          <cell r="H4133" t="str">
            <v>B&amp;P-005-RET/SET-MS04</v>
          </cell>
          <cell r="J4133">
            <v>1</v>
          </cell>
        </row>
        <row r="4134">
          <cell r="C4134" t="str">
            <v>B&amp;P-HS--MS04-D-C3</v>
          </cell>
          <cell r="F4134">
            <v>41089.539537037039</v>
          </cell>
          <cell r="H4134" t="str">
            <v>000-003-5/16</v>
          </cell>
          <cell r="J4134">
            <v>8</v>
          </cell>
        </row>
        <row r="4135">
          <cell r="C4135" t="str">
            <v>B&amp;P-010-LOC212-60</v>
          </cell>
          <cell r="F4135">
            <v>41134.49119212963</v>
          </cell>
          <cell r="H4135" t="str">
            <v>BPB-020-SAE1045Ø88.9</v>
          </cell>
          <cell r="J4135">
            <v>2.8000000000000001E-2</v>
          </cell>
        </row>
        <row r="4136">
          <cell r="C4136" t="str">
            <v>B&amp;P-ALU-IP65-1NW30</v>
          </cell>
          <cell r="F4136">
            <v>41157.308067129627</v>
          </cell>
          <cell r="H4136" t="str">
            <v>B&amp;P-PCB-NG-P030LAS27</v>
          </cell>
          <cell r="J4136">
            <v>1</v>
          </cell>
        </row>
        <row r="4137">
          <cell r="C4137" t="str">
            <v>B&amp;P-ALU-IP65-1NW30</v>
          </cell>
          <cell r="F4137">
            <v>41157.308067129627</v>
          </cell>
          <cell r="H4137" t="str">
            <v>B&amp;P-ALU-CD057-058</v>
          </cell>
          <cell r="J4137">
            <v>1</v>
          </cell>
        </row>
        <row r="4138">
          <cell r="C4138" t="str">
            <v>B&amp;P-ALU-IP65-1NW30</v>
          </cell>
          <cell r="F4138">
            <v>41157.308067129627</v>
          </cell>
          <cell r="H4138" t="str">
            <v>B&amp;P-FAL-1750mA-18-22</v>
          </cell>
          <cell r="J4138">
            <v>1</v>
          </cell>
        </row>
        <row r="4139">
          <cell r="C4139" t="str">
            <v>BPB-058-DTR-2549-FM</v>
          </cell>
          <cell r="F4139">
            <v>41157.32439814815</v>
          </cell>
          <cell r="H4139" t="str">
            <v>BPB-053-DTR2549</v>
          </cell>
          <cell r="J4139">
            <v>2</v>
          </cell>
        </row>
        <row r="4140">
          <cell r="C4140" t="str">
            <v>BPB-058-DTR-2549-FM</v>
          </cell>
          <cell r="F4140">
            <v>41157.32439814815</v>
          </cell>
          <cell r="H4140" t="str">
            <v>BPB-054-010-DTR2549</v>
          </cell>
          <cell r="J4140">
            <v>1</v>
          </cell>
        </row>
        <row r="4141">
          <cell r="C4141" t="str">
            <v>BPB-058-DTR-2549-FM</v>
          </cell>
          <cell r="F4141">
            <v>41157.32439814815</v>
          </cell>
          <cell r="H4141" t="str">
            <v>BPB-004-08-DTR2549</v>
          </cell>
          <cell r="J4141">
            <v>2</v>
          </cell>
        </row>
        <row r="4142">
          <cell r="C4142" t="str">
            <v>BPB-058-DTR-2549-FM</v>
          </cell>
          <cell r="F4142">
            <v>41157.32439814815</v>
          </cell>
          <cell r="H4142" t="str">
            <v>000-006-POLYREX-EM</v>
          </cell>
          <cell r="J4142">
            <v>3.2</v>
          </cell>
        </row>
        <row r="4143">
          <cell r="C4143" t="str">
            <v>BPB-053-X-30206-MX</v>
          </cell>
          <cell r="F4143">
            <v>41158.333796296298</v>
          </cell>
          <cell r="H4143" t="str">
            <v>MID-053-JRME3062-CON</v>
          </cell>
          <cell r="J4143">
            <v>1</v>
          </cell>
        </row>
        <row r="4144">
          <cell r="C4144" t="str">
            <v>BPB-041-6203-2RST</v>
          </cell>
          <cell r="F4144">
            <v>41184.604560185187</v>
          </cell>
          <cell r="H4144" t="str">
            <v>000-006-POLYREX-EM</v>
          </cell>
          <cell r="J4144">
            <v>2.1</v>
          </cell>
        </row>
        <row r="4145">
          <cell r="C4145" t="str">
            <v>BPB-041-6203-2RST</v>
          </cell>
          <cell r="F4145">
            <v>41184.604560185187</v>
          </cell>
          <cell r="H4145" t="str">
            <v>BPB-027-RST-6203</v>
          </cell>
          <cell r="J4145">
            <v>2</v>
          </cell>
        </row>
        <row r="4146">
          <cell r="C4146" t="str">
            <v>BPB-HS--6203-2RLD-C3</v>
          </cell>
          <cell r="F4146">
            <v>41191.369432870371</v>
          </cell>
          <cell r="H4146" t="str">
            <v>000-004-RLD-6203-RED</v>
          </cell>
          <cell r="J4146">
            <v>2</v>
          </cell>
        </row>
        <row r="4147">
          <cell r="C4147" t="str">
            <v>BPB-HS--6203-2RLD-C3</v>
          </cell>
          <cell r="F4147">
            <v>41191.369432870371</v>
          </cell>
          <cell r="H4147" t="str">
            <v>000-006-POLYREX-EM</v>
          </cell>
          <cell r="J4147">
            <v>0.8</v>
          </cell>
        </row>
        <row r="4148">
          <cell r="C4148" t="str">
            <v>BPB-047-ACL-207-23</v>
          </cell>
          <cell r="F4148">
            <v>41205.594988425924</v>
          </cell>
          <cell r="H4148" t="str">
            <v>RET-047-ACL-207-23</v>
          </cell>
          <cell r="J4148">
            <v>1</v>
          </cell>
        </row>
        <row r="4149">
          <cell r="C4149" t="str">
            <v>BPB-047-ACL-207-23</v>
          </cell>
          <cell r="F4149">
            <v>41205.594988425924</v>
          </cell>
          <cell r="H4149" t="str">
            <v>B&amp;P-004-207-RST-08</v>
          </cell>
          <cell r="J4149">
            <v>2</v>
          </cell>
        </row>
        <row r="4150">
          <cell r="C4150" t="str">
            <v>B&amp;P-047-ACL-210-50mm</v>
          </cell>
          <cell r="F4150">
            <v>41219.317766203705</v>
          </cell>
          <cell r="H4150" t="str">
            <v>RET-047-ACL-210-50mm</v>
          </cell>
          <cell r="J4150">
            <v>1</v>
          </cell>
        </row>
        <row r="4151">
          <cell r="C4151" t="str">
            <v>B&amp;P-047-ACL-210-50mm</v>
          </cell>
          <cell r="F4151">
            <v>41219.317766203705</v>
          </cell>
          <cell r="H4151" t="str">
            <v>BPB-027-SEAL210-RSTW</v>
          </cell>
          <cell r="J4151">
            <v>2</v>
          </cell>
        </row>
        <row r="4152">
          <cell r="C4152" t="str">
            <v>PEE-EMQ-6203-ZZ-C3</v>
          </cell>
          <cell r="F4152">
            <v>39707.671782407408</v>
          </cell>
          <cell r="H4152" t="str">
            <v>000-001-6203-R</v>
          </cell>
          <cell r="J4152">
            <v>1</v>
          </cell>
        </row>
        <row r="4153">
          <cell r="C4153" t="str">
            <v>PEE-EMQ-6203-ZZ-C3</v>
          </cell>
          <cell r="F4153">
            <v>39707.671782407408</v>
          </cell>
          <cell r="H4153" t="str">
            <v>000-002-6203-R</v>
          </cell>
          <cell r="J4153">
            <v>1</v>
          </cell>
        </row>
        <row r="4154">
          <cell r="C4154" t="str">
            <v>PEE-EMQ-6203-ZZ-C3</v>
          </cell>
          <cell r="F4154">
            <v>39707.671782407408</v>
          </cell>
          <cell r="H4154" t="str">
            <v>000-003-17/64</v>
          </cell>
          <cell r="J4154">
            <v>8</v>
          </cell>
        </row>
        <row r="4155">
          <cell r="C4155" t="str">
            <v>PET-EMQ-6205-D-C3</v>
          </cell>
          <cell r="F4155">
            <v>39479.619942129626</v>
          </cell>
          <cell r="H4155" t="str">
            <v>MID-001-6205-RT</v>
          </cell>
          <cell r="J4155">
            <v>1</v>
          </cell>
        </row>
        <row r="4156">
          <cell r="C4156" t="str">
            <v>PET-EMQ-6205-D-C3</v>
          </cell>
          <cell r="F4156">
            <v>39479.619942129626</v>
          </cell>
          <cell r="H4156" t="str">
            <v>MID-002-6205-RT</v>
          </cell>
          <cell r="J4156">
            <v>1</v>
          </cell>
        </row>
        <row r="4157">
          <cell r="C4157" t="str">
            <v>PET-EMQ-6205-D-C3</v>
          </cell>
          <cell r="F4157">
            <v>39479.619942129626</v>
          </cell>
          <cell r="H4157" t="str">
            <v>MID-003-5/16T</v>
          </cell>
          <cell r="J4157">
            <v>9</v>
          </cell>
        </row>
        <row r="4158">
          <cell r="C4158" t="str">
            <v>PET-EMQ-6205-D-C3</v>
          </cell>
          <cell r="F4158">
            <v>39479.619942129626</v>
          </cell>
          <cell r="H4158" t="str">
            <v>MID-005-6205RET/SETT</v>
          </cell>
          <cell r="J4158">
            <v>1</v>
          </cell>
        </row>
        <row r="4159">
          <cell r="C4159" t="str">
            <v>PET-EMQ-6205-D-C3</v>
          </cell>
          <cell r="F4159">
            <v>39479.619942129626</v>
          </cell>
          <cell r="H4159" t="str">
            <v>002-002-001</v>
          </cell>
          <cell r="J4159">
            <v>0.1133</v>
          </cell>
        </row>
        <row r="4160">
          <cell r="C4160" t="str">
            <v>PEE-SS--6203-2RST-C3</v>
          </cell>
          <cell r="F4160">
            <v>39514.576423611114</v>
          </cell>
          <cell r="H4160" t="str">
            <v>PEE-SS--6203-D-C3</v>
          </cell>
          <cell r="J4160">
            <v>1</v>
          </cell>
        </row>
        <row r="4161">
          <cell r="C4161" t="str">
            <v>PEE-SS--6203-2RST-C3</v>
          </cell>
          <cell r="F4161">
            <v>39514.576423611114</v>
          </cell>
          <cell r="H4161" t="str">
            <v>000-004-RST-6203-RED</v>
          </cell>
          <cell r="J4161">
            <v>2</v>
          </cell>
        </row>
        <row r="4162">
          <cell r="C4162" t="str">
            <v>PEE-SS--6203-2RST-C3</v>
          </cell>
          <cell r="F4162">
            <v>39514.576423611114</v>
          </cell>
          <cell r="H4162" t="str">
            <v>000-006-001</v>
          </cell>
          <cell r="J4162">
            <v>2.1</v>
          </cell>
        </row>
        <row r="4163">
          <cell r="C4163" t="str">
            <v>PEE-SS--6203-2RST-C3</v>
          </cell>
          <cell r="F4163">
            <v>39514.576423611114</v>
          </cell>
          <cell r="H4163" t="str">
            <v>002-002-001</v>
          </cell>
          <cell r="J4163">
            <v>4.0000000000000001E-3</v>
          </cell>
        </row>
        <row r="4164">
          <cell r="C4164" t="str">
            <v>PEE-S---6207-D-C3</v>
          </cell>
          <cell r="F4164">
            <v>39561.318888888891</v>
          </cell>
          <cell r="H4164" t="str">
            <v>MID-001-OR-6207-D</v>
          </cell>
          <cell r="J4164">
            <v>1</v>
          </cell>
        </row>
        <row r="4165">
          <cell r="C4165" t="str">
            <v>PEE-S---6207-D-C3</v>
          </cell>
          <cell r="F4165">
            <v>39561.318888888891</v>
          </cell>
          <cell r="H4165" t="str">
            <v>MID-002-IR-6207-D</v>
          </cell>
          <cell r="J4165">
            <v>1</v>
          </cell>
        </row>
        <row r="4166">
          <cell r="C4166" t="str">
            <v>PEE-S---6207-D-C3</v>
          </cell>
          <cell r="F4166">
            <v>39561.318888888891</v>
          </cell>
          <cell r="H4166" t="str">
            <v>MID-003-7/16</v>
          </cell>
          <cell r="J4166">
            <v>9</v>
          </cell>
        </row>
        <row r="4167">
          <cell r="C4167" t="str">
            <v>PEE-S---6207-D-C3</v>
          </cell>
          <cell r="F4167">
            <v>39561.318888888891</v>
          </cell>
          <cell r="H4167" t="str">
            <v>MID-005-6207-RET/SET</v>
          </cell>
          <cell r="J4167">
            <v>1</v>
          </cell>
        </row>
        <row r="4168">
          <cell r="C4168" t="str">
            <v>PEE-S---6207-D-C3</v>
          </cell>
          <cell r="F4168">
            <v>39561.318888888891</v>
          </cell>
          <cell r="H4168" t="str">
            <v>002-002-001</v>
          </cell>
          <cell r="J4168">
            <v>1.1299999999999999E-2</v>
          </cell>
        </row>
        <row r="4169">
          <cell r="C4169" t="str">
            <v>PEE-S---6205-D-C3</v>
          </cell>
          <cell r="F4169">
            <v>39561.328182870369</v>
          </cell>
          <cell r="H4169" t="str">
            <v>MID-001-6205-R</v>
          </cell>
          <cell r="J4169">
            <v>1</v>
          </cell>
        </row>
        <row r="4170">
          <cell r="C4170" t="str">
            <v>PEE-S---6205-D-C3</v>
          </cell>
          <cell r="F4170">
            <v>39561.328182870369</v>
          </cell>
          <cell r="H4170" t="str">
            <v>MID-002-6205-R</v>
          </cell>
          <cell r="J4170">
            <v>1</v>
          </cell>
        </row>
        <row r="4171">
          <cell r="C4171" t="str">
            <v>PEE-S---6205-D-C3</v>
          </cell>
          <cell r="F4171">
            <v>39561.328182870369</v>
          </cell>
          <cell r="H4171" t="str">
            <v>MID-003-5/16</v>
          </cell>
          <cell r="J4171">
            <v>9</v>
          </cell>
        </row>
        <row r="4172">
          <cell r="C4172" t="str">
            <v>PEE-S---6205-D-C3</v>
          </cell>
          <cell r="F4172">
            <v>39561.328182870369</v>
          </cell>
          <cell r="H4172" t="str">
            <v>MID-005-6205-RET/SET</v>
          </cell>
          <cell r="J4172">
            <v>1</v>
          </cell>
        </row>
        <row r="4173">
          <cell r="C4173" t="str">
            <v>PEE-S---6205-D-C3</v>
          </cell>
          <cell r="F4173">
            <v>39561.328182870369</v>
          </cell>
          <cell r="H4173" t="str">
            <v>002-002-001</v>
          </cell>
          <cell r="J4173">
            <v>1.1299999999999999E-2</v>
          </cell>
        </row>
        <row r="4174">
          <cell r="C4174" t="str">
            <v>PET-HS--6005-2RS-C3</v>
          </cell>
          <cell r="F4174">
            <v>39562.450312499997</v>
          </cell>
          <cell r="H4174" t="str">
            <v>MID-001-6005-RT</v>
          </cell>
          <cell r="J4174">
            <v>1</v>
          </cell>
        </row>
        <row r="4175">
          <cell r="C4175" t="str">
            <v>PET-HS--6005-2RS-C3</v>
          </cell>
          <cell r="F4175">
            <v>39562.450312499997</v>
          </cell>
          <cell r="H4175" t="str">
            <v>MID-002-6005-RT</v>
          </cell>
          <cell r="J4175">
            <v>1</v>
          </cell>
        </row>
        <row r="4176">
          <cell r="C4176" t="str">
            <v>PET-HS--6005-2RS-C3</v>
          </cell>
          <cell r="F4176">
            <v>39562.450312499997</v>
          </cell>
          <cell r="H4176" t="str">
            <v>MID-003-1/4T</v>
          </cell>
          <cell r="J4176">
            <v>10</v>
          </cell>
        </row>
        <row r="4177">
          <cell r="C4177" t="str">
            <v>PET-HS--6005-2RS-C3</v>
          </cell>
          <cell r="F4177">
            <v>39562.450312499997</v>
          </cell>
          <cell r="H4177" t="str">
            <v>MID-004-RLD-6005-BLK</v>
          </cell>
          <cell r="J4177">
            <v>2</v>
          </cell>
        </row>
        <row r="4178">
          <cell r="C4178" t="str">
            <v>PET-HS--6005-2RS-C3</v>
          </cell>
          <cell r="F4178">
            <v>39562.450312499997</v>
          </cell>
          <cell r="H4178" t="str">
            <v>MID-005-6005RET/SETT</v>
          </cell>
          <cell r="J4178">
            <v>1</v>
          </cell>
        </row>
        <row r="4179">
          <cell r="C4179" t="str">
            <v>PET-HS--6005-2RS-C3</v>
          </cell>
          <cell r="F4179">
            <v>39562.450312499997</v>
          </cell>
          <cell r="H4179" t="str">
            <v>000-006-001</v>
          </cell>
          <cell r="J4179">
            <v>2.8</v>
          </cell>
        </row>
        <row r="4180">
          <cell r="C4180" t="str">
            <v>PET-HS--6005-2RS-C3</v>
          </cell>
          <cell r="F4180">
            <v>39562.450312499997</v>
          </cell>
          <cell r="H4180" t="str">
            <v>002-002-001</v>
          </cell>
          <cell r="J4180">
            <v>1.1299999999999999E-2</v>
          </cell>
        </row>
        <row r="4181">
          <cell r="C4181" t="str">
            <v>BPB-058-30209-MX</v>
          </cell>
          <cell r="F4181">
            <v>40532.669571759259</v>
          </cell>
          <cell r="H4181" t="str">
            <v>RET-037-30209-MX</v>
          </cell>
          <cell r="J4181">
            <v>1</v>
          </cell>
        </row>
        <row r="4182">
          <cell r="C4182" t="str">
            <v>PEE-HS--6202-2RLD-C3</v>
          </cell>
          <cell r="F4182">
            <v>40555.684606481482</v>
          </cell>
          <cell r="H4182" t="str">
            <v>PEE-HS--6202-D-C3</v>
          </cell>
          <cell r="J4182">
            <v>1</v>
          </cell>
        </row>
        <row r="4183">
          <cell r="C4183" t="str">
            <v>PEE-HS--6202-2RLD-C3</v>
          </cell>
          <cell r="F4183">
            <v>40555.684606481482</v>
          </cell>
          <cell r="H4183" t="str">
            <v>000-004-RLD-6202-RED</v>
          </cell>
          <cell r="J4183">
            <v>2</v>
          </cell>
        </row>
        <row r="4184">
          <cell r="C4184" t="str">
            <v>PEE-HS--6202-2RLD-C3</v>
          </cell>
          <cell r="F4184">
            <v>40555.684606481482</v>
          </cell>
          <cell r="H4184" t="str">
            <v>000-006-001</v>
          </cell>
          <cell r="J4184">
            <v>0.6</v>
          </cell>
        </row>
        <row r="4185">
          <cell r="C4185" t="str">
            <v>BPB-027-5950109</v>
          </cell>
          <cell r="F4185">
            <v>40641.471099537041</v>
          </cell>
          <cell r="H4185" t="str">
            <v>RET-037-5950109</v>
          </cell>
          <cell r="J4185">
            <v>1</v>
          </cell>
        </row>
        <row r="4186">
          <cell r="C4186" t="str">
            <v>BPB-041-6013-2RS-22</v>
          </cell>
          <cell r="F4186">
            <v>40666.457650462966</v>
          </cell>
          <cell r="H4186" t="str">
            <v>RET-041-6013-2RS-22</v>
          </cell>
          <cell r="J4186">
            <v>1</v>
          </cell>
        </row>
        <row r="4187">
          <cell r="C4187" t="str">
            <v>PEE-HS--6203-2RLD-C0</v>
          </cell>
          <cell r="F4187">
            <v>40681.340624999997</v>
          </cell>
          <cell r="H4187" t="str">
            <v>PEE-HS--6203-D-C0</v>
          </cell>
          <cell r="J4187">
            <v>1</v>
          </cell>
        </row>
        <row r="4188">
          <cell r="C4188" t="str">
            <v>PEE-HS--6203-2RLD-C0</v>
          </cell>
          <cell r="F4188">
            <v>40681.340624999997</v>
          </cell>
          <cell r="H4188" t="str">
            <v>000-004-RLD-6203-RED</v>
          </cell>
          <cell r="J4188">
            <v>2</v>
          </cell>
        </row>
        <row r="4189">
          <cell r="C4189" t="str">
            <v>PEE-HS--6203-2RLD-C0</v>
          </cell>
          <cell r="F4189">
            <v>40681.340624999997</v>
          </cell>
          <cell r="H4189" t="str">
            <v>000-006-001</v>
          </cell>
          <cell r="J4189">
            <v>0.8</v>
          </cell>
        </row>
        <row r="4190">
          <cell r="C4190" t="str">
            <v>BPB-047-HC-307-35-DB</v>
          </cell>
          <cell r="F4190">
            <v>40697.471944444442</v>
          </cell>
          <cell r="H4190" t="str">
            <v>RET-047-HC-307-35-DB</v>
          </cell>
          <cell r="J4190">
            <v>1</v>
          </cell>
        </row>
        <row r="4191">
          <cell r="C4191" t="str">
            <v>PEE-047-GR209-28</v>
          </cell>
          <cell r="F4191">
            <v>40702.337581018517</v>
          </cell>
          <cell r="H4191" t="str">
            <v>RET-047-GR209-28</v>
          </cell>
          <cell r="J4191">
            <v>1</v>
          </cell>
        </row>
        <row r="4192">
          <cell r="C4192" t="str">
            <v>BPB-041-6203-2RLD-C3</v>
          </cell>
          <cell r="F4192">
            <v>41242.530104166668</v>
          </cell>
          <cell r="H4192" t="str">
            <v>BPB-001-6203-D</v>
          </cell>
          <cell r="J4192">
            <v>1</v>
          </cell>
        </row>
        <row r="4193">
          <cell r="C4193" t="str">
            <v>BPB-041-6203-2RLD-C3</v>
          </cell>
          <cell r="F4193">
            <v>41242.530104166668</v>
          </cell>
          <cell r="H4193" t="str">
            <v>BPB-002-6203-D</v>
          </cell>
          <cell r="J4193">
            <v>1</v>
          </cell>
        </row>
        <row r="4194">
          <cell r="C4194" t="str">
            <v>BPB-041-6203-2RLD-C3</v>
          </cell>
          <cell r="F4194">
            <v>41242.530104166668</v>
          </cell>
          <cell r="H4194" t="str">
            <v>MID-003-17/64</v>
          </cell>
          <cell r="J4194">
            <v>8</v>
          </cell>
        </row>
        <row r="4195">
          <cell r="C4195" t="str">
            <v>BPB-041-6203-2RLD-C3</v>
          </cell>
          <cell r="F4195">
            <v>41242.530104166668</v>
          </cell>
          <cell r="H4195" t="str">
            <v>000-005-6203-RET/SET</v>
          </cell>
          <cell r="J4195">
            <v>1</v>
          </cell>
        </row>
        <row r="4196">
          <cell r="C4196" t="str">
            <v>BPB-041-6203-2RLD-C3</v>
          </cell>
          <cell r="F4196">
            <v>41242.530104166668</v>
          </cell>
          <cell r="H4196" t="str">
            <v>MID-004-RLD-6203-RED</v>
          </cell>
          <cell r="J4196">
            <v>2</v>
          </cell>
        </row>
        <row r="4197">
          <cell r="C4197" t="str">
            <v>BPB-041-6203-2RLD-C3</v>
          </cell>
          <cell r="F4197">
            <v>41242.530104166668</v>
          </cell>
          <cell r="H4197" t="str">
            <v>000-006-001</v>
          </cell>
          <cell r="J4197">
            <v>0.8</v>
          </cell>
        </row>
        <row r="4198">
          <cell r="C4198" t="str">
            <v>BPB-048-FDECL211-50</v>
          </cell>
          <cell r="F4198">
            <v>40749.407962962963</v>
          </cell>
          <cell r="H4198" t="str">
            <v>RET-048-FDECL211-50</v>
          </cell>
          <cell r="J4198">
            <v>1</v>
          </cell>
        </row>
        <row r="4199">
          <cell r="C4199" t="str">
            <v>BPB-047-UC-214-DBL</v>
          </cell>
          <cell r="F4199">
            <v>40751.382280092592</v>
          </cell>
          <cell r="H4199" t="str">
            <v>RET-027-SEAL-214-DBL</v>
          </cell>
          <cell r="J4199">
            <v>2</v>
          </cell>
        </row>
        <row r="4200">
          <cell r="C4200" t="str">
            <v>BPB-047-ACL206-30RR1</v>
          </cell>
          <cell r="F4200">
            <v>40774.340289351851</v>
          </cell>
          <cell r="H4200" t="str">
            <v>RET-047-ACL206-30RR1</v>
          </cell>
          <cell r="J4200">
            <v>1</v>
          </cell>
        </row>
        <row r="4201">
          <cell r="C4201" t="str">
            <v>BPB-047-ACL206-30RR1</v>
          </cell>
          <cell r="F4201">
            <v>40774.340289351851</v>
          </cell>
          <cell r="H4201" t="str">
            <v>BPB-027-SEAL-206-R1</v>
          </cell>
          <cell r="J4201">
            <v>2</v>
          </cell>
        </row>
        <row r="4202">
          <cell r="C4202" t="str">
            <v>BPB-052-BR1-POSB-30</v>
          </cell>
          <cell r="F4202">
            <v>40779.459768518522</v>
          </cell>
          <cell r="H4202" t="str">
            <v>BPB-020-SAE-1045Ø35</v>
          </cell>
          <cell r="J4202">
            <v>23</v>
          </cell>
        </row>
        <row r="4203">
          <cell r="C4203" t="str">
            <v>BPB-052-BUJ-G41-21GG</v>
          </cell>
          <cell r="F4203">
            <v>40780.487500000003</v>
          </cell>
          <cell r="H4203" t="str">
            <v>BPB-020-SAE1010Ø36MM</v>
          </cell>
          <cell r="J4203">
            <v>8.0000000000000002E-3</v>
          </cell>
        </row>
        <row r="4204">
          <cell r="C4204" t="str">
            <v>BPB-041-6007-2RS</v>
          </cell>
          <cell r="F4204">
            <v>40786.435543981483</v>
          </cell>
          <cell r="H4204" t="str">
            <v>RET-041-6007-2RS</v>
          </cell>
          <cell r="J4204">
            <v>1</v>
          </cell>
        </row>
        <row r="4205">
          <cell r="C4205" t="str">
            <v>BPB-041-6007-2RS</v>
          </cell>
          <cell r="F4205">
            <v>40786.435543981483</v>
          </cell>
          <cell r="H4205" t="str">
            <v>000-006-001</v>
          </cell>
          <cell r="J4205">
            <v>4</v>
          </cell>
        </row>
        <row r="4206">
          <cell r="C4206" t="str">
            <v>BPB-048-UC-5209-G-45</v>
          </cell>
          <cell r="F4206">
            <v>40786.457800925928</v>
          </cell>
          <cell r="H4206" t="str">
            <v>RET-048-UC-5209-G-45</v>
          </cell>
          <cell r="J4206">
            <v>1</v>
          </cell>
        </row>
        <row r="4207">
          <cell r="C4207" t="str">
            <v>BPB-048-UC-5209-G-45</v>
          </cell>
          <cell r="F4207">
            <v>40786.457800925928</v>
          </cell>
          <cell r="H4207" t="str">
            <v>000-006-001</v>
          </cell>
          <cell r="J4207">
            <v>7</v>
          </cell>
        </row>
        <row r="4208">
          <cell r="C4208" t="str">
            <v>BPB-048-UC-5209-G-45</v>
          </cell>
          <cell r="F4208">
            <v>40786.457800925928</v>
          </cell>
          <cell r="H4208" t="str">
            <v>BPB-027-SEAL-G5209</v>
          </cell>
          <cell r="J4208">
            <v>1</v>
          </cell>
        </row>
        <row r="4209">
          <cell r="C4209" t="str">
            <v>BPB-041-6202-2RLD-C0</v>
          </cell>
          <cell r="F4209">
            <v>40786.470555555556</v>
          </cell>
          <cell r="H4209" t="str">
            <v>MID-001-6202-D</v>
          </cell>
          <cell r="J4209">
            <v>1</v>
          </cell>
        </row>
        <row r="4210">
          <cell r="C4210" t="str">
            <v>BPB-041-6202-2RLD-C0</v>
          </cell>
          <cell r="F4210">
            <v>40786.470555555556</v>
          </cell>
          <cell r="H4210" t="str">
            <v>MID-002-6202-D</v>
          </cell>
          <cell r="J4210">
            <v>1</v>
          </cell>
        </row>
        <row r="4211">
          <cell r="C4211" t="str">
            <v>BPB-041-6202-2RLD-C0</v>
          </cell>
          <cell r="F4211">
            <v>40786.470555555556</v>
          </cell>
          <cell r="H4211" t="str">
            <v>BPB-004-RLD6202BLUE</v>
          </cell>
          <cell r="J4211">
            <v>2</v>
          </cell>
        </row>
        <row r="4212">
          <cell r="C4212" t="str">
            <v>BPB-041-6202-2RLD-C0</v>
          </cell>
          <cell r="F4212">
            <v>40786.470555555556</v>
          </cell>
          <cell r="H4212" t="str">
            <v>MID-003-15/64</v>
          </cell>
          <cell r="J4212">
            <v>8</v>
          </cell>
        </row>
        <row r="4213">
          <cell r="C4213" t="str">
            <v>BPB-041-6202-2RLD-C0</v>
          </cell>
          <cell r="F4213">
            <v>40786.470555555556</v>
          </cell>
          <cell r="H4213" t="str">
            <v>MID-005-6202-RET/SET</v>
          </cell>
          <cell r="J4213">
            <v>1</v>
          </cell>
        </row>
        <row r="4214">
          <cell r="C4214" t="str">
            <v>BPB-041-6202-2RLD-C0</v>
          </cell>
          <cell r="F4214">
            <v>40786.470555555556</v>
          </cell>
          <cell r="H4214" t="str">
            <v>000-006-MOBILGREASE</v>
          </cell>
          <cell r="J4214">
            <v>0.6</v>
          </cell>
        </row>
        <row r="4215">
          <cell r="C4215" t="str">
            <v>BPB-055-59501-03</v>
          </cell>
          <cell r="F4215">
            <v>40806.333645833336</v>
          </cell>
          <cell r="H4215" t="str">
            <v>BPB-020-SAE1040Ø28</v>
          </cell>
          <cell r="J4215">
            <v>11</v>
          </cell>
        </row>
        <row r="4216">
          <cell r="C4216" t="str">
            <v>BPB-041-6202-D-C0</v>
          </cell>
          <cell r="F4216">
            <v>40827.349664351852</v>
          </cell>
          <cell r="H4216" t="str">
            <v>MID-001-6202-D</v>
          </cell>
          <cell r="J4216">
            <v>1</v>
          </cell>
        </row>
        <row r="4217">
          <cell r="C4217" t="str">
            <v>BPB-041-6202-D-C0</v>
          </cell>
          <cell r="F4217">
            <v>40827.349664351852</v>
          </cell>
          <cell r="H4217" t="str">
            <v>MID-002-6202-D</v>
          </cell>
          <cell r="J4217">
            <v>1</v>
          </cell>
        </row>
        <row r="4218">
          <cell r="C4218" t="str">
            <v>BPB-041-6202-D-C0</v>
          </cell>
          <cell r="F4218">
            <v>40827.349664351852</v>
          </cell>
          <cell r="H4218" t="str">
            <v>MID-003-15/64</v>
          </cell>
          <cell r="J4218">
            <v>8</v>
          </cell>
        </row>
        <row r="4219">
          <cell r="C4219" t="str">
            <v>BPB-041-6202-D-C0</v>
          </cell>
          <cell r="F4219">
            <v>40827.349664351852</v>
          </cell>
          <cell r="H4219" t="str">
            <v>MID-005-6202-RET/SET</v>
          </cell>
          <cell r="J4219">
            <v>1</v>
          </cell>
        </row>
        <row r="4220">
          <cell r="C4220" t="str">
            <v>BPB-041-6202-D-C3</v>
          </cell>
          <cell r="F4220">
            <v>40827.351597222223</v>
          </cell>
          <cell r="H4220" t="str">
            <v>MID-001-6202-D</v>
          </cell>
          <cell r="J4220">
            <v>1</v>
          </cell>
        </row>
        <row r="4221">
          <cell r="C4221" t="str">
            <v>BPB-041-6202-D-C3</v>
          </cell>
          <cell r="F4221">
            <v>40827.351597222223</v>
          </cell>
          <cell r="H4221" t="str">
            <v>MID-002-6202-D</v>
          </cell>
          <cell r="J4221">
            <v>1</v>
          </cell>
        </row>
        <row r="4222">
          <cell r="C4222" t="str">
            <v>BPB-041-6202-D-C3</v>
          </cell>
          <cell r="F4222">
            <v>40827.351597222223</v>
          </cell>
          <cell r="H4222" t="str">
            <v>MID-003-15/64</v>
          </cell>
          <cell r="J4222">
            <v>8</v>
          </cell>
        </row>
        <row r="4223">
          <cell r="C4223" t="str">
            <v>BPB-041-6202-D-C3</v>
          </cell>
          <cell r="F4223">
            <v>40827.351597222223</v>
          </cell>
          <cell r="H4223" t="str">
            <v>MID-005-6202-RET/SET</v>
          </cell>
          <cell r="J4223">
            <v>1</v>
          </cell>
        </row>
        <row r="4224">
          <cell r="C4224" t="str">
            <v>BPB-048-206-KRR6</v>
          </cell>
          <cell r="F4224">
            <v>40835.365185185183</v>
          </cell>
          <cell r="H4224" t="str">
            <v>RET-048-206-KRR6</v>
          </cell>
          <cell r="J4224">
            <v>1</v>
          </cell>
        </row>
        <row r="4225">
          <cell r="C4225" t="str">
            <v>BPB-048-BB203-KRR2FD</v>
          </cell>
          <cell r="F4225">
            <v>40865.313599537039</v>
          </cell>
          <cell r="H4225" t="str">
            <v>RET-048-BB203-KRR2FD</v>
          </cell>
          <cell r="J4225">
            <v>1</v>
          </cell>
        </row>
        <row r="4226">
          <cell r="C4226" t="str">
            <v>BPB-048-BB203-KRR2FD</v>
          </cell>
          <cell r="F4226">
            <v>40865.313599537039</v>
          </cell>
          <cell r="H4226" t="str">
            <v>BPB-004-SEA203KRR2FD</v>
          </cell>
          <cell r="J4226">
            <v>2</v>
          </cell>
        </row>
        <row r="4227">
          <cell r="C4227" t="str">
            <v>BPB-048-CF5202-2RST-</v>
          </cell>
          <cell r="F4227">
            <v>40865.314756944441</v>
          </cell>
          <cell r="H4227" t="str">
            <v>RET-048-CF5202-2RST-</v>
          </cell>
          <cell r="J4227">
            <v>1</v>
          </cell>
        </row>
        <row r="4228">
          <cell r="C4228" t="str">
            <v>BPB-048-CF5202-2RST-</v>
          </cell>
          <cell r="F4228">
            <v>40865.314756944441</v>
          </cell>
          <cell r="H4228" t="str">
            <v>BPB-004-SEACF5202RST</v>
          </cell>
          <cell r="J4228">
            <v>2</v>
          </cell>
        </row>
        <row r="4229">
          <cell r="C4229" t="str">
            <v>BPB-037-ME9-10</v>
          </cell>
          <cell r="F4229">
            <v>40967.593263888892</v>
          </cell>
          <cell r="H4229" t="str">
            <v>B&amp;P-037-T-H-M10X125</v>
          </cell>
          <cell r="J4229">
            <v>1</v>
          </cell>
        </row>
        <row r="4230">
          <cell r="C4230" t="str">
            <v>B&amp;P-037-EJE-100673-G</v>
          </cell>
          <cell r="F4230">
            <v>40977.310162037036</v>
          </cell>
          <cell r="H4230" t="str">
            <v>BPB-020-SAE4140Ø44.4</v>
          </cell>
          <cell r="J4230">
            <v>0.217</v>
          </cell>
        </row>
        <row r="4231">
          <cell r="C4231" t="str">
            <v>BPB-041-6203-D-C0</v>
          </cell>
          <cell r="F4231">
            <v>40984.455914351849</v>
          </cell>
          <cell r="H4231" t="str">
            <v>BPB-001-6203-D</v>
          </cell>
          <cell r="J4231">
            <v>1</v>
          </cell>
        </row>
        <row r="4232">
          <cell r="C4232" t="str">
            <v>BPB-041-6203-D-C0</v>
          </cell>
          <cell r="F4232">
            <v>40984.455914351849</v>
          </cell>
          <cell r="H4232" t="str">
            <v>BPB-002-6203-D</v>
          </cell>
          <cell r="J4232">
            <v>1</v>
          </cell>
        </row>
        <row r="4233">
          <cell r="C4233" t="str">
            <v>BPB-041-6203-D-C0</v>
          </cell>
          <cell r="F4233">
            <v>40984.455914351849</v>
          </cell>
          <cell r="H4233" t="str">
            <v>MID-003-17/64</v>
          </cell>
          <cell r="J4233">
            <v>8</v>
          </cell>
        </row>
        <row r="4234">
          <cell r="C4234" t="str">
            <v>BPB-041-6203-D-C0</v>
          </cell>
          <cell r="F4234">
            <v>40984.455914351849</v>
          </cell>
          <cell r="H4234" t="str">
            <v>000-005-6203-RET/SET</v>
          </cell>
          <cell r="J4234">
            <v>1</v>
          </cell>
        </row>
        <row r="4235">
          <cell r="C4235" t="str">
            <v>B&amp;P-037-X4-08-5701</v>
          </cell>
          <cell r="F4235">
            <v>41052.701817129629</v>
          </cell>
          <cell r="H4235" t="str">
            <v>B&amp;P-037-X4-08-5704</v>
          </cell>
          <cell r="J4235">
            <v>2</v>
          </cell>
        </row>
        <row r="4236">
          <cell r="C4236" t="str">
            <v>B&amp;P-037-X4-08-5701</v>
          </cell>
          <cell r="F4236">
            <v>41052.701817129629</v>
          </cell>
          <cell r="H4236" t="str">
            <v>BPB-034-GE-20-FW</v>
          </cell>
          <cell r="J4236">
            <v>1</v>
          </cell>
        </row>
        <row r="4237">
          <cell r="C4237" t="str">
            <v>B&amp;P-037-BP-12005</v>
          </cell>
          <cell r="F4237">
            <v>41053.622731481482</v>
          </cell>
          <cell r="H4237" t="str">
            <v>B&amp;P-001-BP-1200501</v>
          </cell>
          <cell r="J4237">
            <v>1</v>
          </cell>
        </row>
        <row r="4238">
          <cell r="C4238" t="str">
            <v>B&amp;P-037-BP-12005</v>
          </cell>
          <cell r="F4238">
            <v>41053.622731481482</v>
          </cell>
          <cell r="H4238" t="str">
            <v>B&amp;P-002-BP-1200502</v>
          </cell>
          <cell r="J4238">
            <v>1</v>
          </cell>
        </row>
        <row r="4239">
          <cell r="C4239" t="str">
            <v>B&amp;P-037-BP-12005</v>
          </cell>
          <cell r="F4239">
            <v>41053.622731481482</v>
          </cell>
          <cell r="H4239" t="str">
            <v>B&amp;P-003-BALL7/16C-5</v>
          </cell>
          <cell r="J4239">
            <v>9</v>
          </cell>
        </row>
        <row r="4240">
          <cell r="C4240" t="str">
            <v>B&amp;P-037-BP-12005</v>
          </cell>
          <cell r="F4240">
            <v>41053.622731481482</v>
          </cell>
          <cell r="H4240" t="str">
            <v>B&amp;P-005-CAGE207-PEEK</v>
          </cell>
          <cell r="J4240">
            <v>1</v>
          </cell>
        </row>
        <row r="4241">
          <cell r="C4241" t="str">
            <v>B&amp;P-037-BP-12005</v>
          </cell>
          <cell r="F4241">
            <v>41053.622731481482</v>
          </cell>
          <cell r="H4241" t="str">
            <v>B&amp;P-004-BP-12005-09</v>
          </cell>
          <cell r="J4241">
            <v>2</v>
          </cell>
        </row>
        <row r="4242">
          <cell r="C4242" t="str">
            <v>BPB-047-ACL205-16RG</v>
          </cell>
          <cell r="F4242">
            <v>41074.473171296297</v>
          </cell>
          <cell r="H4242" t="str">
            <v>RET-047-ACL205-16RG</v>
          </cell>
          <cell r="J4242">
            <v>1</v>
          </cell>
        </row>
        <row r="4243">
          <cell r="C4243" t="str">
            <v>BPB-047-ACL205-16RG</v>
          </cell>
          <cell r="F4243">
            <v>41074.473171296297</v>
          </cell>
          <cell r="H4243" t="str">
            <v>B&amp;P-004-205-RST-08</v>
          </cell>
          <cell r="J4243">
            <v>2</v>
          </cell>
        </row>
        <row r="4244">
          <cell r="C4244" t="str">
            <v>BPB-041-6005-2RST</v>
          </cell>
          <cell r="F4244">
            <v>41128.533564814818</v>
          </cell>
          <cell r="H4244" t="str">
            <v>MID-001-6005-D</v>
          </cell>
          <cell r="J4244">
            <v>1</v>
          </cell>
        </row>
        <row r="4245">
          <cell r="C4245" t="str">
            <v>BPB-HS--6203-D-C0</v>
          </cell>
          <cell r="F4245">
            <v>41172.659641203703</v>
          </cell>
          <cell r="H4245" t="str">
            <v>MID-001-6203-D</v>
          </cell>
          <cell r="J4245">
            <v>1</v>
          </cell>
        </row>
        <row r="4246">
          <cell r="C4246" t="str">
            <v>BPB-HS--6203-D-C0</v>
          </cell>
          <cell r="F4246">
            <v>41172.659641203703</v>
          </cell>
          <cell r="H4246" t="str">
            <v>MID-002-6203-D</v>
          </cell>
          <cell r="J4246">
            <v>1</v>
          </cell>
        </row>
        <row r="4247">
          <cell r="C4247" t="str">
            <v>BPB-HS--6203-D-C0</v>
          </cell>
          <cell r="F4247">
            <v>41172.659641203703</v>
          </cell>
          <cell r="H4247" t="str">
            <v>MID-003-17/64</v>
          </cell>
          <cell r="J4247">
            <v>8</v>
          </cell>
        </row>
        <row r="4248">
          <cell r="C4248" t="str">
            <v>BPB-HS--6203-D-C0</v>
          </cell>
          <cell r="F4248">
            <v>41172.659641203703</v>
          </cell>
          <cell r="H4248" t="str">
            <v>000-005-6203-RET/SET</v>
          </cell>
          <cell r="J4248">
            <v>1</v>
          </cell>
        </row>
        <row r="4249">
          <cell r="C4249" t="str">
            <v>BPB-041-6203-2RST</v>
          </cell>
          <cell r="F4249">
            <v>41184.604560185187</v>
          </cell>
          <cell r="H4249" t="str">
            <v>BPB-041-6203-D-C3</v>
          </cell>
          <cell r="J4249">
            <v>1</v>
          </cell>
        </row>
        <row r="4250">
          <cell r="C4250" t="str">
            <v>BPB-HS--6203-2RLD-C3</v>
          </cell>
          <cell r="F4250">
            <v>41191.369432870371</v>
          </cell>
          <cell r="H4250" t="str">
            <v>BPB-041-6203-D-C3</v>
          </cell>
          <cell r="J4250">
            <v>1</v>
          </cell>
        </row>
        <row r="4251">
          <cell r="C4251" t="str">
            <v>B&amp;P-ALU-IP65-1B30</v>
          </cell>
          <cell r="F4251">
            <v>41204.344826388886</v>
          </cell>
          <cell r="H4251" t="str">
            <v>B&amp;P-ALU-CD057-058</v>
          </cell>
          <cell r="J4251">
            <v>1</v>
          </cell>
        </row>
        <row r="4252">
          <cell r="C4252" t="str">
            <v>B&amp;P-ALU-IP65-1B30</v>
          </cell>
          <cell r="F4252">
            <v>41204.344826388886</v>
          </cell>
          <cell r="H4252" t="str">
            <v>B&amp;P-PCB-NG-P030LAD18</v>
          </cell>
          <cell r="J4252">
            <v>1</v>
          </cell>
        </row>
        <row r="4253">
          <cell r="C4253" t="str">
            <v>B&amp;P-ALU-IP65-1B30</v>
          </cell>
          <cell r="F4253">
            <v>41204.344826388886</v>
          </cell>
          <cell r="H4253" t="str">
            <v>B&amp;P-FAL-1750mA-18-22</v>
          </cell>
          <cell r="J4253">
            <v>1</v>
          </cell>
        </row>
        <row r="4254">
          <cell r="C4254" t="str">
            <v>B&amp;P-ALU-IP65-1G30</v>
          </cell>
          <cell r="F4254">
            <v>41204.346319444441</v>
          </cell>
          <cell r="H4254" t="str">
            <v>B&amp;P-ALU-CD057-058</v>
          </cell>
          <cell r="J4254">
            <v>1</v>
          </cell>
        </row>
        <row r="4255">
          <cell r="C4255" t="str">
            <v>B&amp;P-ALU-IP65-1G30</v>
          </cell>
          <cell r="F4255">
            <v>41204.346319444441</v>
          </cell>
          <cell r="H4255" t="str">
            <v>B&amp;P-PCB-NG-P030LAF25</v>
          </cell>
          <cell r="J4255">
            <v>1</v>
          </cell>
        </row>
        <row r="4256">
          <cell r="C4256" t="str">
            <v>B&amp;P-ALU-IP65-1G30</v>
          </cell>
          <cell r="F4256">
            <v>41204.346319444441</v>
          </cell>
          <cell r="H4256" t="str">
            <v>B&amp;P-FAL-1750mA-18-22</v>
          </cell>
          <cell r="J4256">
            <v>1</v>
          </cell>
        </row>
        <row r="4257">
          <cell r="C4257" t="str">
            <v>B&amp;P-054-DTR2552-3-A1</v>
          </cell>
          <cell r="F4257">
            <v>41211.613368055558</v>
          </cell>
          <cell r="H4257" t="str">
            <v>BPB-020-SAE4140-Ø54</v>
          </cell>
          <cell r="J4257">
            <v>47.6</v>
          </cell>
        </row>
        <row r="4258">
          <cell r="C4258" t="str">
            <v>B&amp;P-053-X-30206</v>
          </cell>
          <cell r="F4258">
            <v>41255.634525462963</v>
          </cell>
          <cell r="H4258" t="str">
            <v>B&amp;P-003-TCX206</v>
          </cell>
          <cell r="J4258">
            <v>17</v>
          </cell>
        </row>
        <row r="4259">
          <cell r="C4259" t="str">
            <v>B&amp;P-053-X-30206</v>
          </cell>
          <cell r="F4259">
            <v>41255.634525462963</v>
          </cell>
          <cell r="H4259" t="str">
            <v>B&amp;P-005-TCX206</v>
          </cell>
          <cell r="J4259">
            <v>1</v>
          </cell>
        </row>
        <row r="4260">
          <cell r="C4260" t="str">
            <v>B&amp;P-053-X-30206</v>
          </cell>
          <cell r="F4260">
            <v>41255.634525462963</v>
          </cell>
          <cell r="H4260" t="str">
            <v>B&amp;P-053-TCX206</v>
          </cell>
          <cell r="J4260">
            <v>1</v>
          </cell>
        </row>
        <row r="4261">
          <cell r="C4261" t="str">
            <v>B&amp;P-ALU-IP65-1NW50</v>
          </cell>
          <cell r="F4261">
            <v>41257.509421296294</v>
          </cell>
          <cell r="H4261" t="str">
            <v>B&amp;P-ALU-CD057-058</v>
          </cell>
          <cell r="J4261">
            <v>1</v>
          </cell>
        </row>
        <row r="4262">
          <cell r="C4262" t="str">
            <v>B&amp;P-ALU-IP65-1NW50</v>
          </cell>
          <cell r="F4262">
            <v>41257.509421296294</v>
          </cell>
          <cell r="H4262" t="str">
            <v>B&amp;P-PCB-NG-P050LAS29</v>
          </cell>
          <cell r="J4262">
            <v>1</v>
          </cell>
        </row>
        <row r="4263">
          <cell r="C4263" t="str">
            <v>B&amp;P-ALU-IP65-1NW50</v>
          </cell>
          <cell r="F4263">
            <v>41257.509421296294</v>
          </cell>
          <cell r="H4263" t="str">
            <v>B&amp;P-FAL-1750mA-18-36</v>
          </cell>
          <cell r="J4263">
            <v>1</v>
          </cell>
        </row>
        <row r="4264">
          <cell r="C4264" t="str">
            <v>B&amp;P-054-HM-518410</v>
          </cell>
          <cell r="F4264">
            <v>41292.315011574072</v>
          </cell>
          <cell r="H4264" t="str">
            <v>RET-054-HM-518410</v>
          </cell>
          <cell r="J4264">
            <v>1</v>
          </cell>
        </row>
        <row r="4265">
          <cell r="C4265" t="str">
            <v>B&amp;P-041-F490306</v>
          </cell>
          <cell r="F4265">
            <v>41309.352187500001</v>
          </cell>
          <cell r="H4265" t="str">
            <v>B&amp;P-001-F490306-A1</v>
          </cell>
          <cell r="J4265">
            <v>1</v>
          </cell>
        </row>
        <row r="4266">
          <cell r="C4266" t="str">
            <v>B&amp;P-041-F490306</v>
          </cell>
          <cell r="F4266">
            <v>41309.352187500001</v>
          </cell>
          <cell r="H4266" t="str">
            <v>B&amp;P-001-F490306-A2</v>
          </cell>
          <cell r="J4266">
            <v>1</v>
          </cell>
        </row>
        <row r="4267">
          <cell r="C4267" t="str">
            <v>B&amp;P-041-F490306</v>
          </cell>
          <cell r="F4267">
            <v>41309.352187500001</v>
          </cell>
          <cell r="H4267" t="str">
            <v>B&amp;P-003-9/16</v>
          </cell>
          <cell r="J4267">
            <v>7</v>
          </cell>
        </row>
        <row r="4268">
          <cell r="C4268" t="str">
            <v>B&amp;P-041-F490306</v>
          </cell>
          <cell r="F4268">
            <v>41309.352187500001</v>
          </cell>
          <cell r="H4268" t="str">
            <v>B&amp;P-005-CAGE490306</v>
          </cell>
          <cell r="J4268">
            <v>1</v>
          </cell>
        </row>
        <row r="4269">
          <cell r="C4269" t="str">
            <v>B&amp;P-049-3TX-12401</v>
          </cell>
          <cell r="F4269">
            <v>41323.466967592591</v>
          </cell>
          <cell r="H4269" t="str">
            <v>B&amp;P-003-3TX-12401</v>
          </cell>
          <cell r="J4269">
            <v>22</v>
          </cell>
        </row>
        <row r="4270">
          <cell r="C4270" t="str">
            <v>B&amp;P-049-3TX-12401</v>
          </cell>
          <cell r="F4270">
            <v>41323.466967592591</v>
          </cell>
          <cell r="H4270" t="str">
            <v>B&amp;P-005-3TX-12401</v>
          </cell>
          <cell r="J4270">
            <v>1</v>
          </cell>
        </row>
        <row r="4271">
          <cell r="C4271" t="str">
            <v>B&amp;P-049-3TX-12401</v>
          </cell>
          <cell r="F4271">
            <v>41323.466967592591</v>
          </cell>
          <cell r="H4271" t="str">
            <v>B&amp;P-053-3TX-12401</v>
          </cell>
          <cell r="J4271">
            <v>1</v>
          </cell>
        </row>
        <row r="4272">
          <cell r="C4272" t="str">
            <v>B&amp;P-049-3TX-12201</v>
          </cell>
          <cell r="F4272">
            <v>41323.471192129633</v>
          </cell>
          <cell r="H4272" t="str">
            <v>B&amp;P-003-3TX-12201</v>
          </cell>
          <cell r="J4272">
            <v>18</v>
          </cell>
        </row>
        <row r="4273">
          <cell r="C4273" t="str">
            <v>B&amp;P-049-3TX-12201</v>
          </cell>
          <cell r="F4273">
            <v>41323.471192129633</v>
          </cell>
          <cell r="H4273" t="str">
            <v>B&amp;P-005-3TX-12201</v>
          </cell>
          <cell r="J4273">
            <v>1</v>
          </cell>
        </row>
        <row r="4274">
          <cell r="C4274" t="str">
            <v>B&amp;P-049-3TX-12201</v>
          </cell>
          <cell r="F4274">
            <v>41323.471192129633</v>
          </cell>
          <cell r="H4274" t="str">
            <v>B&amp;P-053-3TX-12201</v>
          </cell>
          <cell r="J4274">
            <v>1</v>
          </cell>
        </row>
        <row r="4275">
          <cell r="C4275" t="str">
            <v>B&amp;P-049-3TX-12074</v>
          </cell>
          <cell r="F4275">
            <v>41324.370636574073</v>
          </cell>
          <cell r="H4275" t="str">
            <v>B&amp;P-003-3TX-12074</v>
          </cell>
          <cell r="J4275">
            <v>19</v>
          </cell>
        </row>
        <row r="4276">
          <cell r="C4276" t="str">
            <v>B&amp;P-049-3TX-12057</v>
          </cell>
          <cell r="F4276">
            <v>41326.61378472222</v>
          </cell>
          <cell r="H4276" t="str">
            <v>B&amp;P-003-3TX-12057</v>
          </cell>
          <cell r="J4276">
            <v>15</v>
          </cell>
        </row>
        <row r="4277">
          <cell r="C4277" t="str">
            <v>B&amp;P-049-3TX-12057</v>
          </cell>
          <cell r="F4277">
            <v>41326.61378472222</v>
          </cell>
          <cell r="H4277" t="str">
            <v>B&amp;P-005-3TX-12057</v>
          </cell>
          <cell r="J4277">
            <v>1</v>
          </cell>
        </row>
        <row r="4278">
          <cell r="C4278" t="str">
            <v>B&amp;P-049-3TX-12057</v>
          </cell>
          <cell r="F4278">
            <v>41326.61378472222</v>
          </cell>
          <cell r="H4278" t="str">
            <v>B&amp;P-053-3TX-12057</v>
          </cell>
          <cell r="J4278">
            <v>1</v>
          </cell>
        </row>
        <row r="4279">
          <cell r="C4279" t="str">
            <v>B&amp;P-049-3TX-12413</v>
          </cell>
          <cell r="F4279">
            <v>41326.618159722224</v>
          </cell>
          <cell r="H4279" t="str">
            <v>B&amp;P-003-3TX-12413</v>
          </cell>
          <cell r="J4279">
            <v>17</v>
          </cell>
        </row>
        <row r="4280">
          <cell r="C4280" t="str">
            <v>B&amp;P-049-3TX-12413</v>
          </cell>
          <cell r="F4280">
            <v>41326.618159722224</v>
          </cell>
          <cell r="H4280" t="str">
            <v>B&amp;P-005-3TX-12413</v>
          </cell>
          <cell r="J4280">
            <v>1</v>
          </cell>
        </row>
        <row r="4281">
          <cell r="C4281" t="str">
            <v>B&amp;P-049-3TX-12413</v>
          </cell>
          <cell r="F4281">
            <v>41326.618159722224</v>
          </cell>
          <cell r="H4281" t="str">
            <v>B&amp;P-053-3TX-12413</v>
          </cell>
          <cell r="J4281">
            <v>1</v>
          </cell>
        </row>
        <row r="4282">
          <cell r="C4282" t="str">
            <v>B&amp;P-049-3TX-12006</v>
          </cell>
          <cell r="F4282">
            <v>41331.660254629627</v>
          </cell>
          <cell r="H4282" t="str">
            <v>B&amp;P-003-3TX-12006</v>
          </cell>
          <cell r="J4282">
            <v>19</v>
          </cell>
        </row>
        <row r="4283">
          <cell r="C4283" t="str">
            <v>B&amp;P-049-3TX-12006</v>
          </cell>
          <cell r="F4283">
            <v>41331.660254629627</v>
          </cell>
          <cell r="H4283" t="str">
            <v>B&amp;P-005-3TX-12006</v>
          </cell>
          <cell r="J4283">
            <v>1</v>
          </cell>
        </row>
        <row r="4284">
          <cell r="C4284" t="str">
            <v>B&amp;P-049-3TX-12006</v>
          </cell>
          <cell r="F4284">
            <v>41331.660254629627</v>
          </cell>
          <cell r="H4284" t="str">
            <v>B&amp;P-053-3TX-12006</v>
          </cell>
          <cell r="J4284">
            <v>1</v>
          </cell>
        </row>
        <row r="4285">
          <cell r="C4285" t="str">
            <v>B&amp;P-049-3TX-12004</v>
          </cell>
          <cell r="F4285">
            <v>41334.366828703707</v>
          </cell>
          <cell r="H4285" t="str">
            <v>B&amp;P-003-3TX-12004</v>
          </cell>
          <cell r="J4285">
            <v>19</v>
          </cell>
        </row>
        <row r="4286">
          <cell r="C4286" t="str">
            <v>B&amp;P-049-3TX-12004</v>
          </cell>
          <cell r="F4286">
            <v>41334.366828703707</v>
          </cell>
          <cell r="H4286" t="str">
            <v>B&amp;P-005-3TX-12004</v>
          </cell>
          <cell r="J4286">
            <v>1</v>
          </cell>
        </row>
        <row r="4287">
          <cell r="C4287" t="str">
            <v>B&amp;P-049-3TX-12004</v>
          </cell>
          <cell r="F4287">
            <v>41334.366828703707</v>
          </cell>
          <cell r="H4287" t="str">
            <v>B&amp;P-053-3TX-12004</v>
          </cell>
          <cell r="J4287">
            <v>1</v>
          </cell>
        </row>
        <row r="4288">
          <cell r="C4288" t="str">
            <v>B&amp;P-049-3TX-12024</v>
          </cell>
          <cell r="F4288">
            <v>41345.63318287037</v>
          </cell>
          <cell r="H4288" t="str">
            <v>B&amp;P-003-3TX-12024</v>
          </cell>
          <cell r="J4288">
            <v>23</v>
          </cell>
        </row>
        <row r="4289">
          <cell r="C4289" t="str">
            <v>B&amp;P-049-3TX-12024</v>
          </cell>
          <cell r="F4289">
            <v>41345.63318287037</v>
          </cell>
          <cell r="H4289" t="str">
            <v>B&amp;P-005-3TX-12024</v>
          </cell>
          <cell r="J4289">
            <v>1</v>
          </cell>
        </row>
        <row r="4290">
          <cell r="C4290" t="str">
            <v>B&amp;P-049-3TX-12024</v>
          </cell>
          <cell r="F4290">
            <v>41345.63318287037</v>
          </cell>
          <cell r="H4290" t="str">
            <v>B&amp;P-053-3TX-12024</v>
          </cell>
          <cell r="J4290">
            <v>1</v>
          </cell>
        </row>
        <row r="4291">
          <cell r="C4291" t="str">
            <v>B&amp;P-049-3TX-12003</v>
          </cell>
          <cell r="F4291">
            <v>41347.429166666669</v>
          </cell>
          <cell r="H4291" t="str">
            <v>B&amp;P-003-3TX-12003</v>
          </cell>
          <cell r="J4291">
            <v>14</v>
          </cell>
        </row>
        <row r="4292">
          <cell r="C4292" t="str">
            <v>B&amp;P-049-3TX-12003</v>
          </cell>
          <cell r="F4292">
            <v>41347.429166666669</v>
          </cell>
          <cell r="H4292" t="str">
            <v>B&amp;P-005-3TX-12003</v>
          </cell>
          <cell r="J4292">
            <v>1</v>
          </cell>
        </row>
        <row r="4293">
          <cell r="C4293" t="str">
            <v>B&amp;P-049-3TX-12003</v>
          </cell>
          <cell r="F4293">
            <v>41347.429166666669</v>
          </cell>
          <cell r="H4293" t="str">
            <v>B&amp;P-053-3TX-12003</v>
          </cell>
          <cell r="J4293">
            <v>1</v>
          </cell>
        </row>
        <row r="4294">
          <cell r="C4294" t="str">
            <v>BPB-048-NTR2050-BJR</v>
          </cell>
          <cell r="F4294">
            <v>41347.45758101852</v>
          </cell>
          <cell r="H4294" t="str">
            <v>BPB-048-NTR2050-RDL1</v>
          </cell>
          <cell r="J4294">
            <v>1</v>
          </cell>
        </row>
        <row r="4295">
          <cell r="C4295" t="str">
            <v>BPB-048-NTR2050-BJR</v>
          </cell>
          <cell r="F4295">
            <v>41347.45758101852</v>
          </cell>
          <cell r="H4295" t="str">
            <v>B&amp;P-037-NTR2050-BJL2</v>
          </cell>
          <cell r="J4295">
            <v>1</v>
          </cell>
        </row>
        <row r="4296">
          <cell r="C4296" t="str">
            <v>BPB-048-NTR2050-BJR</v>
          </cell>
          <cell r="F4296">
            <v>41347.45758101852</v>
          </cell>
          <cell r="H4296" t="str">
            <v>BPB-048-NTR2050-BI</v>
          </cell>
          <cell r="J4296">
            <v>1</v>
          </cell>
        </row>
        <row r="4297">
          <cell r="C4297" t="str">
            <v>BPB-048-NTR2050-BJR</v>
          </cell>
          <cell r="F4297">
            <v>41347.45758101852</v>
          </cell>
          <cell r="H4297" t="str">
            <v>BPB-048-NTR2050-BRG</v>
          </cell>
          <cell r="J4297">
            <v>1</v>
          </cell>
        </row>
        <row r="4298">
          <cell r="C4298" t="str">
            <v>BPB-048-NTR2050-BJR</v>
          </cell>
          <cell r="F4298">
            <v>41347.45758101852</v>
          </cell>
          <cell r="H4298" t="str">
            <v>BPB-048-NTR2050-WHR</v>
          </cell>
          <cell r="J4298">
            <v>1</v>
          </cell>
        </row>
        <row r="4299">
          <cell r="C4299" t="str">
            <v>BPB-048-NTR2050-BJR</v>
          </cell>
          <cell r="F4299">
            <v>41347.45758101852</v>
          </cell>
          <cell r="H4299" t="str">
            <v>BPB-048-NTR2050-TR</v>
          </cell>
          <cell r="J4299">
            <v>1</v>
          </cell>
        </row>
        <row r="4300">
          <cell r="C4300" t="str">
            <v>BPB-041-6005-2RST</v>
          </cell>
          <cell r="F4300">
            <v>41128.533564814818</v>
          </cell>
          <cell r="H4300" t="str">
            <v>MID-002-6005-D</v>
          </cell>
          <cell r="J4300">
            <v>1</v>
          </cell>
        </row>
        <row r="4301">
          <cell r="C4301" t="str">
            <v>BPB-041-6005-2RST</v>
          </cell>
          <cell r="F4301">
            <v>41128.533564814818</v>
          </cell>
          <cell r="H4301" t="str">
            <v>MID-003-1/4</v>
          </cell>
          <cell r="J4301">
            <v>10</v>
          </cell>
        </row>
        <row r="4302">
          <cell r="C4302" t="str">
            <v>BPB-041-6005-2RST</v>
          </cell>
          <cell r="F4302">
            <v>41128.533564814818</v>
          </cell>
          <cell r="H4302" t="str">
            <v>MID-005-6005-RET/SET</v>
          </cell>
          <cell r="J4302">
            <v>1</v>
          </cell>
        </row>
        <row r="4303">
          <cell r="C4303" t="str">
            <v>BPB-041-6005-2RST</v>
          </cell>
          <cell r="F4303">
            <v>41128.533564814818</v>
          </cell>
          <cell r="H4303" t="str">
            <v>BPB-027-6005-RST</v>
          </cell>
          <cell r="J4303">
            <v>2</v>
          </cell>
        </row>
        <row r="4304">
          <cell r="C4304" t="str">
            <v>BPB-041-6005-2RST</v>
          </cell>
          <cell r="F4304">
            <v>41128.533564814818</v>
          </cell>
          <cell r="H4304" t="str">
            <v>000-006-POLYREX-EM</v>
          </cell>
          <cell r="J4304">
            <v>2.5</v>
          </cell>
        </row>
        <row r="4305">
          <cell r="C4305" t="str">
            <v>B&amp;P-049-3TX-12074</v>
          </cell>
          <cell r="F4305">
            <v>41324.370636574073</v>
          </cell>
          <cell r="H4305" t="str">
            <v>B&amp;P-005-3TX-12074</v>
          </cell>
          <cell r="J4305">
            <v>1</v>
          </cell>
        </row>
        <row r="4306">
          <cell r="C4306" t="str">
            <v>BPB-048-NTR2050-BJR</v>
          </cell>
          <cell r="F4306">
            <v>41347.45758101852</v>
          </cell>
          <cell r="H4306" t="str">
            <v>B&amp;P-004-RET-10555</v>
          </cell>
          <cell r="J4306">
            <v>1</v>
          </cell>
        </row>
        <row r="4307">
          <cell r="C4307" t="str">
            <v>BPB-048-NTR2050-BJR</v>
          </cell>
          <cell r="F4307">
            <v>41347.45758101852</v>
          </cell>
          <cell r="H4307" t="str">
            <v>B&amp;P-004-RET-10366</v>
          </cell>
          <cell r="J4307">
            <v>1</v>
          </cell>
        </row>
        <row r="4308">
          <cell r="C4308" t="str">
            <v>BPB-048-NTR2050-BJR</v>
          </cell>
          <cell r="F4308">
            <v>41347.45758101852</v>
          </cell>
          <cell r="H4308" t="str">
            <v>B&amp;P-037-PRIS-6X1X8</v>
          </cell>
          <cell r="J4308">
            <v>1</v>
          </cell>
        </row>
        <row r="4309">
          <cell r="C4309" t="str">
            <v>BPB-048-NTR2050-BJL</v>
          </cell>
          <cell r="F4309">
            <v>41347.460532407407</v>
          </cell>
          <cell r="H4309" t="str">
            <v>BPB-048-NTR2050-RDL1</v>
          </cell>
          <cell r="J4309">
            <v>1</v>
          </cell>
        </row>
        <row r="4310">
          <cell r="C4310" t="str">
            <v>BPB-048-NTR2050-BJL</v>
          </cell>
          <cell r="F4310">
            <v>41347.460532407407</v>
          </cell>
          <cell r="H4310" t="str">
            <v>B&amp;P-037-NTR2050-BJL2</v>
          </cell>
          <cell r="J4310">
            <v>1</v>
          </cell>
        </row>
        <row r="4311">
          <cell r="C4311" t="str">
            <v>BPB-048-NTR2050-BJL</v>
          </cell>
          <cell r="F4311">
            <v>41347.460532407407</v>
          </cell>
          <cell r="H4311" t="str">
            <v>BPB-048-NTR2050-BI</v>
          </cell>
          <cell r="J4311">
            <v>1</v>
          </cell>
        </row>
        <row r="4312">
          <cell r="C4312" t="str">
            <v>BPB-048-NTR2050-BJL</v>
          </cell>
          <cell r="F4312">
            <v>41347.460532407407</v>
          </cell>
          <cell r="H4312" t="str">
            <v>BPB-048-NTR2050-BRG</v>
          </cell>
          <cell r="J4312">
            <v>1</v>
          </cell>
        </row>
        <row r="4313">
          <cell r="C4313" t="str">
            <v>BPB-048-NTR2050-BJL</v>
          </cell>
          <cell r="F4313">
            <v>41347.460532407407</v>
          </cell>
          <cell r="H4313" t="str">
            <v>BPB-048-NTR2050-WHR</v>
          </cell>
          <cell r="J4313">
            <v>1</v>
          </cell>
        </row>
        <row r="4314">
          <cell r="C4314" t="str">
            <v>BPB-048-NTR2050-BJL</v>
          </cell>
          <cell r="F4314">
            <v>41347.460532407407</v>
          </cell>
          <cell r="H4314" t="str">
            <v>BPB-048-NTR2050-TR</v>
          </cell>
          <cell r="J4314">
            <v>1</v>
          </cell>
        </row>
        <row r="4315">
          <cell r="C4315" t="str">
            <v>BPB-048-NTR2050-BJL</v>
          </cell>
          <cell r="F4315">
            <v>41347.460532407407</v>
          </cell>
          <cell r="H4315" t="str">
            <v>B&amp;P-004-RET-10555</v>
          </cell>
          <cell r="J4315">
            <v>1</v>
          </cell>
        </row>
        <row r="4316">
          <cell r="C4316" t="str">
            <v>BPB-048-NTR2050-BJL</v>
          </cell>
          <cell r="F4316">
            <v>41347.460532407407</v>
          </cell>
          <cell r="H4316" t="str">
            <v>B&amp;P-004-RET-10366</v>
          </cell>
          <cell r="J4316">
            <v>1</v>
          </cell>
        </row>
        <row r="4317">
          <cell r="C4317" t="str">
            <v>BPB-048-NTR2050-BJL</v>
          </cell>
          <cell r="F4317">
            <v>41347.460532407407</v>
          </cell>
          <cell r="H4317" t="str">
            <v>B&amp;P-037-PRIS-6X1X8</v>
          </cell>
          <cell r="J4317">
            <v>1</v>
          </cell>
        </row>
        <row r="4318">
          <cell r="C4318" t="str">
            <v>B&amp;P-049-3TX-12070</v>
          </cell>
          <cell r="F4318">
            <v>41352.329004629632</v>
          </cell>
          <cell r="H4318" t="str">
            <v>B&amp;P-003-3TX-12070</v>
          </cell>
          <cell r="J4318">
            <v>21</v>
          </cell>
        </row>
        <row r="4319">
          <cell r="C4319" t="str">
            <v>B&amp;P-049-3TX-12070</v>
          </cell>
          <cell r="F4319">
            <v>41352.329004629632</v>
          </cell>
          <cell r="H4319" t="str">
            <v>B&amp;P-005-3TX-12070</v>
          </cell>
          <cell r="J4319">
            <v>1</v>
          </cell>
        </row>
        <row r="4320">
          <cell r="C4320" t="str">
            <v>B&amp;P-049-3TX-12070</v>
          </cell>
          <cell r="F4320">
            <v>41352.329004629632</v>
          </cell>
          <cell r="H4320" t="str">
            <v>B&amp;P-053-3TX-12070</v>
          </cell>
          <cell r="J4320">
            <v>1</v>
          </cell>
        </row>
        <row r="4321">
          <cell r="C4321" t="str">
            <v>B&amp;P-049-3TX-29013</v>
          </cell>
          <cell r="F4321">
            <v>41352.443148148152</v>
          </cell>
          <cell r="H4321" t="str">
            <v>B&amp;P-003-3TX-29013</v>
          </cell>
          <cell r="J4321">
            <v>21</v>
          </cell>
        </row>
        <row r="4322">
          <cell r="C4322" t="str">
            <v>B&amp;P-049-3TX-29013</v>
          </cell>
          <cell r="F4322">
            <v>41352.443148148152</v>
          </cell>
          <cell r="H4322" t="str">
            <v>B&amp;P-005-3TX-29013</v>
          </cell>
          <cell r="J4322">
            <v>1</v>
          </cell>
        </row>
        <row r="4323">
          <cell r="C4323" t="str">
            <v>B&amp;P-049-3TX-29013</v>
          </cell>
          <cell r="F4323">
            <v>41352.443148148152</v>
          </cell>
          <cell r="H4323" t="str">
            <v>B&amp;P-053-3TX-29013</v>
          </cell>
          <cell r="J4323">
            <v>1</v>
          </cell>
        </row>
        <row r="4324">
          <cell r="C4324" t="str">
            <v>BPB-048-AG59507</v>
          </cell>
          <cell r="F4324">
            <v>41390.342418981483</v>
          </cell>
          <cell r="H4324" t="str">
            <v>BPB-048-AG5950701</v>
          </cell>
          <cell r="J4324">
            <v>1</v>
          </cell>
        </row>
        <row r="4325">
          <cell r="C4325" t="str">
            <v>BPB-048-AG59507</v>
          </cell>
          <cell r="F4325">
            <v>41390.342418981483</v>
          </cell>
          <cell r="H4325" t="str">
            <v>BPB-048-AG5950702</v>
          </cell>
          <cell r="J4325">
            <v>1</v>
          </cell>
        </row>
        <row r="4326">
          <cell r="C4326" t="str">
            <v>BPB-048-AG59507</v>
          </cell>
          <cell r="F4326">
            <v>41390.342418981483</v>
          </cell>
          <cell r="H4326" t="str">
            <v>BPB-048-59190</v>
          </cell>
          <cell r="J4326">
            <v>1</v>
          </cell>
        </row>
        <row r="4327">
          <cell r="C4327" t="str">
            <v>BPB-048-AG59507</v>
          </cell>
          <cell r="F4327">
            <v>41390.342418981483</v>
          </cell>
          <cell r="H4327" t="str">
            <v>BPB-048-AG5950703</v>
          </cell>
          <cell r="J4327">
            <v>2</v>
          </cell>
        </row>
        <row r="4328">
          <cell r="C4328" t="str">
            <v>B&amp;P-049-3TX-12050</v>
          </cell>
          <cell r="F4328">
            <v>41390.346597222226</v>
          </cell>
          <cell r="H4328" t="str">
            <v>B&amp;P-003-3TX-12050</v>
          </cell>
          <cell r="J4328">
            <v>17</v>
          </cell>
        </row>
        <row r="4329">
          <cell r="C4329" t="str">
            <v>B&amp;P-049-3TX-12050</v>
          </cell>
          <cell r="F4329">
            <v>41390.346597222226</v>
          </cell>
          <cell r="H4329" t="str">
            <v>B&amp;P-005-3TX-12050</v>
          </cell>
          <cell r="J4329">
            <v>1</v>
          </cell>
        </row>
        <row r="4330">
          <cell r="C4330" t="str">
            <v>B&amp;P-049-3TX-12050</v>
          </cell>
          <cell r="F4330">
            <v>41390.346597222226</v>
          </cell>
          <cell r="H4330" t="str">
            <v>B&amp;P-053-3TX-12050</v>
          </cell>
          <cell r="J4330">
            <v>1</v>
          </cell>
        </row>
        <row r="4331">
          <cell r="C4331" t="str">
            <v>B&amp;P-049-3TX-12107</v>
          </cell>
          <cell r="F4331">
            <v>41390.349085648151</v>
          </cell>
          <cell r="H4331" t="str">
            <v>B&amp;P-003-3TX-12107</v>
          </cell>
          <cell r="J4331">
            <v>21</v>
          </cell>
        </row>
        <row r="4332">
          <cell r="C4332" t="str">
            <v>B&amp;P-049-3TX-12107</v>
          </cell>
          <cell r="F4332">
            <v>41390.349085648151</v>
          </cell>
          <cell r="H4332" t="str">
            <v>B&amp;P-005-3TX-12107</v>
          </cell>
          <cell r="J4332">
            <v>1</v>
          </cell>
        </row>
        <row r="4333">
          <cell r="C4333" t="str">
            <v>B&amp;P-049-3TX-12107</v>
          </cell>
          <cell r="F4333">
            <v>41390.349085648151</v>
          </cell>
          <cell r="H4333" t="str">
            <v>B&amp;P-053-3TX-12107</v>
          </cell>
          <cell r="J4333">
            <v>1</v>
          </cell>
        </row>
        <row r="4334">
          <cell r="C4334" t="str">
            <v>B&amp;P-049-3TX-12012</v>
          </cell>
          <cell r="F4334">
            <v>41401.347395833334</v>
          </cell>
          <cell r="H4334" t="str">
            <v>B&amp;P-003-3TX-12012</v>
          </cell>
          <cell r="J4334">
            <v>14</v>
          </cell>
        </row>
        <row r="4335">
          <cell r="C4335" t="str">
            <v>B&amp;P-049-3TX-12012</v>
          </cell>
          <cell r="F4335">
            <v>41401.347395833334</v>
          </cell>
          <cell r="H4335" t="str">
            <v>B&amp;P-005-3TX-12012</v>
          </cell>
          <cell r="J4335">
            <v>1</v>
          </cell>
        </row>
        <row r="4336">
          <cell r="C4336" t="str">
            <v>B&amp;P-049-3TX-12012</v>
          </cell>
          <cell r="F4336">
            <v>41401.347395833334</v>
          </cell>
          <cell r="H4336" t="str">
            <v>B&amp;P-053-3TX-12012</v>
          </cell>
          <cell r="J4336">
            <v>1</v>
          </cell>
        </row>
        <row r="4337">
          <cell r="C4337" t="str">
            <v>B&amp;P-049-3TX-74910</v>
          </cell>
          <cell r="F4337">
            <v>41409.317997685182</v>
          </cell>
          <cell r="H4337" t="str">
            <v>B&amp;P-003-3TX-74910</v>
          </cell>
          <cell r="J4337">
            <v>17</v>
          </cell>
        </row>
        <row r="4338">
          <cell r="C4338" t="str">
            <v>B&amp;P-049-3TX-74910</v>
          </cell>
          <cell r="F4338">
            <v>41409.317997685182</v>
          </cell>
          <cell r="H4338" t="str">
            <v>B&amp;P-005-3TX-74910</v>
          </cell>
          <cell r="J4338">
            <v>1</v>
          </cell>
        </row>
        <row r="4339">
          <cell r="C4339" t="str">
            <v>B&amp;P-049-3TX-74910</v>
          </cell>
          <cell r="F4339">
            <v>41409.317997685182</v>
          </cell>
          <cell r="H4339" t="str">
            <v>B&amp;P-053-3TX-74910</v>
          </cell>
          <cell r="J4339">
            <v>1</v>
          </cell>
        </row>
        <row r="4340">
          <cell r="C4340" t="str">
            <v>B&amp;P-053-X-30209</v>
          </cell>
          <cell r="F4340">
            <v>41409.322569444441</v>
          </cell>
          <cell r="H4340" t="str">
            <v>B&amp;P-003-TCX209</v>
          </cell>
          <cell r="J4340">
            <v>19</v>
          </cell>
        </row>
        <row r="4341">
          <cell r="C4341" t="str">
            <v>B&amp;P-053-X-30209</v>
          </cell>
          <cell r="F4341">
            <v>41409.322569444441</v>
          </cell>
          <cell r="H4341" t="str">
            <v>B&amp;P-005-TCX209</v>
          </cell>
          <cell r="J4341">
            <v>1</v>
          </cell>
        </row>
        <row r="4342">
          <cell r="C4342" t="str">
            <v>B&amp;P-053-X-30209</v>
          </cell>
          <cell r="F4342">
            <v>41409.322569444441</v>
          </cell>
          <cell r="H4342" t="str">
            <v>B&amp;P-053-TCX209</v>
          </cell>
          <cell r="J4342">
            <v>1</v>
          </cell>
        </row>
        <row r="4343">
          <cell r="C4343" t="str">
            <v>B&amp;P-049-3TX-12001</v>
          </cell>
          <cell r="F4343">
            <v>41415.667812500003</v>
          </cell>
          <cell r="H4343" t="str">
            <v>B&amp;P-003-3TX-12001</v>
          </cell>
          <cell r="J4343">
            <v>14</v>
          </cell>
        </row>
        <row r="4344">
          <cell r="C4344" t="str">
            <v>B&amp;P-049-3TX-12001</v>
          </cell>
          <cell r="F4344">
            <v>41415.667812500003</v>
          </cell>
          <cell r="H4344" t="str">
            <v>B&amp;P-005-3TX-12001</v>
          </cell>
          <cell r="J4344">
            <v>1</v>
          </cell>
        </row>
        <row r="4345">
          <cell r="C4345" t="str">
            <v>B&amp;P-049-3TX-12001</v>
          </cell>
          <cell r="F4345">
            <v>41415.667812500003</v>
          </cell>
          <cell r="H4345" t="str">
            <v>B&amp;P-053-3TX-12001</v>
          </cell>
          <cell r="J4345">
            <v>1</v>
          </cell>
        </row>
        <row r="4346">
          <cell r="C4346" t="str">
            <v>B&amp;P-053-X-30203</v>
          </cell>
          <cell r="F4346">
            <v>41421.340810185182</v>
          </cell>
          <cell r="H4346" t="str">
            <v>B&amp;P-003-TCX203</v>
          </cell>
          <cell r="J4346">
            <v>15</v>
          </cell>
        </row>
        <row r="4347">
          <cell r="C4347" t="str">
            <v>B&amp;P-053-X-30203</v>
          </cell>
          <cell r="F4347">
            <v>41421.340810185182</v>
          </cell>
          <cell r="H4347" t="str">
            <v>B&amp;P-005-TCX203</v>
          </cell>
          <cell r="J4347">
            <v>1</v>
          </cell>
        </row>
        <row r="4348">
          <cell r="C4348" t="str">
            <v>B&amp;P-053-X-30203</v>
          </cell>
          <cell r="F4348">
            <v>41421.340810185182</v>
          </cell>
          <cell r="H4348" t="str">
            <v>B&amp;P-053-TCX203</v>
          </cell>
          <cell r="J4348">
            <v>1</v>
          </cell>
        </row>
        <row r="4349">
          <cell r="C4349" t="str">
            <v>B&amp;P-ALU-IP65-140CW1</v>
          </cell>
          <cell r="F4349">
            <v>41435.716192129628</v>
          </cell>
          <cell r="H4349" t="str">
            <v>B&amp;P-ALU-LM531-680MM</v>
          </cell>
          <cell r="J4349">
            <v>1</v>
          </cell>
        </row>
        <row r="4350">
          <cell r="C4350" t="str">
            <v>B&amp;P-LED-PAR64-220V</v>
          </cell>
          <cell r="F4350">
            <v>41436.546087962961</v>
          </cell>
          <cell r="H4350" t="str">
            <v>B&amp;P-LED-DMX-PAR64</v>
          </cell>
          <cell r="J4350">
            <v>1</v>
          </cell>
        </row>
        <row r="4351">
          <cell r="C4351" t="str">
            <v>B&amp;P-LED-PAR64-220V</v>
          </cell>
          <cell r="F4351">
            <v>41436.546087962961</v>
          </cell>
          <cell r="H4351" t="str">
            <v>B&amp;P-FAL-TR12V50W</v>
          </cell>
          <cell r="J4351">
            <v>1</v>
          </cell>
        </row>
        <row r="4352">
          <cell r="C4352" t="str">
            <v>B&amp;P-053-X-30208</v>
          </cell>
          <cell r="F4352">
            <v>41443.646874999999</v>
          </cell>
          <cell r="H4352" t="str">
            <v>B&amp;P-003-TCX208</v>
          </cell>
          <cell r="J4352">
            <v>17</v>
          </cell>
        </row>
        <row r="4353">
          <cell r="C4353" t="str">
            <v>B&amp;P-053-X-30208</v>
          </cell>
          <cell r="F4353">
            <v>41443.646874999999</v>
          </cell>
          <cell r="H4353" t="str">
            <v>B&amp;P-005-TCX208</v>
          </cell>
          <cell r="J4353">
            <v>1</v>
          </cell>
        </row>
        <row r="4354">
          <cell r="C4354" t="str">
            <v>B&amp;P-053-X-30208</v>
          </cell>
          <cell r="F4354">
            <v>41443.646874999999</v>
          </cell>
          <cell r="H4354" t="str">
            <v>B&amp;P-053-TCX208</v>
          </cell>
          <cell r="J4354">
            <v>1</v>
          </cell>
        </row>
        <row r="4355">
          <cell r="C4355" t="str">
            <v>BPB-041-MS03-2RST</v>
          </cell>
          <cell r="F4355">
            <v>41542.336087962962</v>
          </cell>
          <cell r="H4355" t="str">
            <v>RET-041-MS03-2RST</v>
          </cell>
          <cell r="J4355">
            <v>1</v>
          </cell>
        </row>
        <row r="4356">
          <cell r="C4356" t="str">
            <v>B&amp;P-041-MS03-D</v>
          </cell>
          <cell r="F4356">
            <v>41542.33184027778</v>
          </cell>
          <cell r="H4356" t="str">
            <v>B&amp;P-001-MS03-D</v>
          </cell>
          <cell r="J4356">
            <v>1</v>
          </cell>
        </row>
        <row r="4357">
          <cell r="C4357" t="str">
            <v>B&amp;P-041-MS03-D</v>
          </cell>
          <cell r="F4357">
            <v>41542.33184027778</v>
          </cell>
          <cell r="H4357" t="str">
            <v>B&amp;P-002-MS03-D</v>
          </cell>
          <cell r="J4357">
            <v>1</v>
          </cell>
        </row>
        <row r="4358">
          <cell r="C4358" t="str">
            <v>B&amp;P-041-MS03-D</v>
          </cell>
          <cell r="F4358">
            <v>41542.33184027778</v>
          </cell>
          <cell r="H4358" t="str">
            <v>B&amp;P-005-RET/SET-MS03</v>
          </cell>
          <cell r="J4358">
            <v>1</v>
          </cell>
        </row>
        <row r="4359">
          <cell r="C4359" t="str">
            <v>B&amp;P-041-MS03-D</v>
          </cell>
          <cell r="F4359">
            <v>41542.33184027778</v>
          </cell>
          <cell r="H4359" t="str">
            <v>B&amp;P-003-17/64</v>
          </cell>
          <cell r="J4359">
            <v>8</v>
          </cell>
        </row>
        <row r="4360">
          <cell r="C4360" t="str">
            <v>B&amp;P-HS--MS03-2RLD-C3</v>
          </cell>
          <cell r="F4360">
            <v>41555.406805555554</v>
          </cell>
          <cell r="H4360" t="str">
            <v>B&amp;P-001-MS03-D</v>
          </cell>
          <cell r="J4360">
            <v>1</v>
          </cell>
        </row>
        <row r="4361">
          <cell r="C4361" t="str">
            <v>B&amp;P-HS--MS03-2RLD-C3</v>
          </cell>
          <cell r="F4361">
            <v>41555.406805555554</v>
          </cell>
          <cell r="H4361" t="str">
            <v>B&amp;P-002-MS03-D</v>
          </cell>
          <cell r="J4361">
            <v>1</v>
          </cell>
        </row>
        <row r="4362">
          <cell r="C4362" t="str">
            <v>B&amp;P-HS--MS03-2RLD-C3</v>
          </cell>
          <cell r="F4362">
            <v>41555.406805555554</v>
          </cell>
          <cell r="H4362" t="str">
            <v>B&amp;P-005-RET/SET-MS03</v>
          </cell>
          <cell r="J4362">
            <v>1</v>
          </cell>
        </row>
        <row r="4363">
          <cell r="C4363" t="str">
            <v>B&amp;P-HS--MS03-2RLD-C3</v>
          </cell>
          <cell r="F4363">
            <v>41555.406805555554</v>
          </cell>
          <cell r="H4363" t="str">
            <v>B&amp;P-003-17/64</v>
          </cell>
          <cell r="J4363">
            <v>8</v>
          </cell>
        </row>
        <row r="4364">
          <cell r="C4364" t="str">
            <v>B&amp;P-HS--MS03-2RLD-C3</v>
          </cell>
          <cell r="F4364">
            <v>41555.406805555554</v>
          </cell>
          <cell r="H4364" t="str">
            <v>000-006-POLYREX-EM</v>
          </cell>
          <cell r="J4364">
            <v>0.8</v>
          </cell>
        </row>
        <row r="4365">
          <cell r="C4365" t="str">
            <v>B&amp;P-HS--MS03-2RLD-C3</v>
          </cell>
          <cell r="F4365">
            <v>41555.406805555554</v>
          </cell>
          <cell r="H4365" t="str">
            <v>MID-004-RLD-6203-RED</v>
          </cell>
          <cell r="J4365">
            <v>2</v>
          </cell>
        </row>
        <row r="4366">
          <cell r="C4366" t="str">
            <v>B&amp;P-041-MS03-2RST</v>
          </cell>
          <cell r="F4366">
            <v>41569.674872685187</v>
          </cell>
          <cell r="H4366" t="str">
            <v>B&amp;P-001-MS03-D</v>
          </cell>
          <cell r="J4366">
            <v>1</v>
          </cell>
        </row>
        <row r="4367">
          <cell r="C4367" t="str">
            <v>B&amp;P-041-MS03-2RST</v>
          </cell>
          <cell r="F4367">
            <v>41569.674872685187</v>
          </cell>
          <cell r="H4367" t="str">
            <v>B&amp;P-002-MS03-D</v>
          </cell>
          <cell r="J4367">
            <v>1</v>
          </cell>
        </row>
        <row r="4368">
          <cell r="C4368" t="str">
            <v>B&amp;P-041-MS03-2RST</v>
          </cell>
          <cell r="F4368">
            <v>41569.674872685187</v>
          </cell>
          <cell r="H4368" t="str">
            <v>B&amp;P-005-RET/SET-MS03</v>
          </cell>
          <cell r="J4368">
            <v>1</v>
          </cell>
        </row>
        <row r="4369">
          <cell r="C4369" t="str">
            <v>B&amp;P-041-MS03-2RST</v>
          </cell>
          <cell r="F4369">
            <v>41569.674872685187</v>
          </cell>
          <cell r="H4369" t="str">
            <v>B&amp;P-004-MS03-2RST-08</v>
          </cell>
          <cell r="J4369">
            <v>2</v>
          </cell>
        </row>
        <row r="4370">
          <cell r="C4370" t="str">
            <v>B&amp;P-041-MS03-2RST</v>
          </cell>
          <cell r="F4370">
            <v>41569.674872685187</v>
          </cell>
          <cell r="H4370" t="str">
            <v>B&amp;P-003-17/64</v>
          </cell>
          <cell r="J4370">
            <v>8</v>
          </cell>
        </row>
        <row r="4371">
          <cell r="C4371" t="str">
            <v>B&amp;P-041-MS03-2RST</v>
          </cell>
          <cell r="F4371">
            <v>41569.674872685187</v>
          </cell>
          <cell r="H4371" t="str">
            <v>000-006-POLYREX-EM</v>
          </cell>
          <cell r="J4371">
            <v>2.1</v>
          </cell>
        </row>
        <row r="4372">
          <cell r="C4372" t="str">
            <v>B&amp;P-053-X-30207</v>
          </cell>
          <cell r="F4372">
            <v>41235.365601851852</v>
          </cell>
          <cell r="H4372" t="str">
            <v>B&amp;P-003-TCX207</v>
          </cell>
          <cell r="J4372">
            <v>17</v>
          </cell>
        </row>
        <row r="4373">
          <cell r="C4373" t="str">
            <v>B&amp;P-053-X-30207</v>
          </cell>
          <cell r="F4373">
            <v>41235.365601851852</v>
          </cell>
          <cell r="H4373" t="str">
            <v>B&amp;P-005-TCX207</v>
          </cell>
          <cell r="J4373">
            <v>1</v>
          </cell>
        </row>
        <row r="4374">
          <cell r="C4374" t="str">
            <v>B&amp;P-053-X-30207</v>
          </cell>
          <cell r="F4374">
            <v>41235.365601851852</v>
          </cell>
          <cell r="H4374" t="str">
            <v>B&amp;P-053-TCX207</v>
          </cell>
          <cell r="J4374">
            <v>1</v>
          </cell>
        </row>
        <row r="4375">
          <cell r="C4375" t="str">
            <v>B&amp;P-053-X-30205</v>
          </cell>
          <cell r="F4375">
            <v>41235.368321759262</v>
          </cell>
          <cell r="H4375" t="str">
            <v>B&amp;P-003-TCX205</v>
          </cell>
          <cell r="J4375">
            <v>17</v>
          </cell>
        </row>
        <row r="4376">
          <cell r="C4376" t="str">
            <v>B&amp;P-053-X-30205</v>
          </cell>
          <cell r="F4376">
            <v>41235.368321759262</v>
          </cell>
          <cell r="H4376" t="str">
            <v>B&amp;P-005-TCX205</v>
          </cell>
          <cell r="J4376">
            <v>1</v>
          </cell>
        </row>
        <row r="4377">
          <cell r="C4377" t="str">
            <v>B&amp;P-053-X-30205</v>
          </cell>
          <cell r="F4377">
            <v>41235.368321759262</v>
          </cell>
          <cell r="H4377" t="str">
            <v>B&amp;P-053-TCX205</v>
          </cell>
          <cell r="J4377">
            <v>1</v>
          </cell>
        </row>
        <row r="4378">
          <cell r="C4378" t="str">
            <v>BPB-041-6204-2RST</v>
          </cell>
          <cell r="F4378">
            <v>41261.356909722221</v>
          </cell>
          <cell r="H4378" t="str">
            <v>B&amp;P-HS--MS04-D-C3</v>
          </cell>
          <cell r="J4378">
            <v>1</v>
          </cell>
        </row>
        <row r="4379">
          <cell r="C4379" t="str">
            <v>BPB-041-6204-2RST</v>
          </cell>
          <cell r="F4379">
            <v>41261.356909722221</v>
          </cell>
          <cell r="H4379" t="str">
            <v>B&amp;P-004-MS04-2RST-08</v>
          </cell>
          <cell r="J4379">
            <v>2</v>
          </cell>
        </row>
        <row r="4380">
          <cell r="C4380" t="str">
            <v>BPB-041-6204-2RST</v>
          </cell>
          <cell r="F4380">
            <v>41261.356909722221</v>
          </cell>
          <cell r="H4380" t="str">
            <v>000-006-POLYREX-EM</v>
          </cell>
          <cell r="J4380">
            <v>3.6</v>
          </cell>
        </row>
        <row r="4381">
          <cell r="C4381" t="str">
            <v>B&amp;P-053-x-30204</v>
          </cell>
          <cell r="F4381">
            <v>41264.298009259262</v>
          </cell>
          <cell r="H4381" t="str">
            <v>B&amp;P-003-TCX204</v>
          </cell>
          <cell r="J4381">
            <v>15</v>
          </cell>
        </row>
        <row r="4382">
          <cell r="C4382" t="str">
            <v>B&amp;P-053-x-30204</v>
          </cell>
          <cell r="F4382">
            <v>41264.298009259262</v>
          </cell>
          <cell r="H4382" t="str">
            <v>B&amp;P-005-TCX204</v>
          </cell>
          <cell r="J4382">
            <v>1</v>
          </cell>
        </row>
        <row r="4383">
          <cell r="C4383" t="str">
            <v>B&amp;P-053-x-30204</v>
          </cell>
          <cell r="F4383">
            <v>41264.298009259262</v>
          </cell>
          <cell r="H4383" t="str">
            <v>B&amp;P-053-TCX204</v>
          </cell>
          <cell r="J4383">
            <v>1</v>
          </cell>
        </row>
        <row r="4384">
          <cell r="C4384" t="str">
            <v>B&amp;P-ALU-IP65-28CW1</v>
          </cell>
          <cell r="F4384">
            <v>41246.393611111111</v>
          </cell>
          <cell r="H4384" t="str">
            <v>B&amp;P-ALU-LED-120-180M</v>
          </cell>
          <cell r="J4384">
            <v>1</v>
          </cell>
        </row>
        <row r="4385">
          <cell r="C4385" t="str">
            <v>B&amp;P-ALU-IP65-28CW1</v>
          </cell>
          <cell r="F4385">
            <v>41246.393611111111</v>
          </cell>
          <cell r="H4385" t="str">
            <v>B&amp;P-FAL-1400mA-25</v>
          </cell>
          <cell r="J4385">
            <v>1</v>
          </cell>
        </row>
        <row r="4386">
          <cell r="C4386" t="str">
            <v>B&amp;P-ALU-IP65-28CW1</v>
          </cell>
          <cell r="F4386">
            <v>41246.393611111111</v>
          </cell>
          <cell r="H4386" t="str">
            <v>B&amp;P-PCB-PCB-14</v>
          </cell>
          <cell r="J4386">
            <v>2</v>
          </cell>
        </row>
        <row r="4387">
          <cell r="C4387" t="str">
            <v>B&amp;P-ALU-IP65-56CW1</v>
          </cell>
          <cell r="F4387">
            <v>41246.394976851851</v>
          </cell>
          <cell r="H4387" t="str">
            <v>B&amp;P-ALU-LED-120-290M</v>
          </cell>
          <cell r="J4387">
            <v>1</v>
          </cell>
        </row>
        <row r="4388">
          <cell r="C4388" t="str">
            <v>B&amp;P-ALU-IP65-56CW1</v>
          </cell>
          <cell r="F4388">
            <v>41246.394976851851</v>
          </cell>
          <cell r="H4388" t="str">
            <v>B&amp;P-FAL-2800mA-25</v>
          </cell>
          <cell r="J4388">
            <v>1</v>
          </cell>
        </row>
        <row r="4389">
          <cell r="C4389" t="str">
            <v>B&amp;P-ALU-IP65-56CW1</v>
          </cell>
          <cell r="F4389">
            <v>41246.394976851851</v>
          </cell>
          <cell r="H4389" t="str">
            <v>B&amp;P-PCB-PCB-14</v>
          </cell>
          <cell r="J4389">
            <v>4</v>
          </cell>
        </row>
        <row r="4390">
          <cell r="C4390" t="str">
            <v>B&amp;P-049-3TX-12074</v>
          </cell>
          <cell r="F4390">
            <v>41324.370636574073</v>
          </cell>
          <cell r="H4390" t="str">
            <v>B&amp;P-053-3TX-12074</v>
          </cell>
          <cell r="J4390">
            <v>1</v>
          </cell>
        </row>
        <row r="4391">
          <cell r="C4391" t="str">
            <v>B&amp;P-049-3TX-12008</v>
          </cell>
          <cell r="F4391">
            <v>41428.481608796297</v>
          </cell>
          <cell r="H4391" t="str">
            <v>B&amp;P-003-3TX-12008</v>
          </cell>
          <cell r="J4391">
            <v>21</v>
          </cell>
        </row>
        <row r="4392">
          <cell r="C4392" t="str">
            <v>B&amp;P-049-3TX-12008</v>
          </cell>
          <cell r="F4392">
            <v>41428.481608796297</v>
          </cell>
          <cell r="H4392" t="str">
            <v>B&amp;P-005-3TX-12008</v>
          </cell>
          <cell r="J4392">
            <v>1</v>
          </cell>
        </row>
        <row r="4393">
          <cell r="C4393" t="str">
            <v>B&amp;P-049-3TX-12008</v>
          </cell>
          <cell r="F4393">
            <v>41428.481608796297</v>
          </cell>
          <cell r="H4393" t="str">
            <v>B&amp;P-053-3TX-12008</v>
          </cell>
          <cell r="J4393">
            <v>1</v>
          </cell>
        </row>
        <row r="4394">
          <cell r="C4394" t="str">
            <v>B&amp;P-ALU-IP65-140CW1</v>
          </cell>
          <cell r="F4394">
            <v>41435.716192129628</v>
          </cell>
          <cell r="H4394" t="str">
            <v>B&amp;P-PCB-PCB-14</v>
          </cell>
          <cell r="J4394">
            <v>10</v>
          </cell>
        </row>
        <row r="4395">
          <cell r="C4395" t="str">
            <v>B&amp;P-ALU-IP65-140CW1</v>
          </cell>
          <cell r="F4395">
            <v>41435.716192129628</v>
          </cell>
          <cell r="H4395" t="str">
            <v>B&amp;P-FAL-2800mA-25</v>
          </cell>
          <cell r="J4395">
            <v>2</v>
          </cell>
        </row>
        <row r="4396">
          <cell r="C4396" t="str">
            <v>B&amp;P-041-MS04-2RST-C3</v>
          </cell>
          <cell r="F4396">
            <v>41458.757094907407</v>
          </cell>
          <cell r="H4396" t="str">
            <v>B&amp;P-001-MS04-D</v>
          </cell>
          <cell r="J4396">
            <v>1</v>
          </cell>
        </row>
        <row r="4397">
          <cell r="C4397" t="str">
            <v>B&amp;P-041-MS04-2RST-C3</v>
          </cell>
          <cell r="F4397">
            <v>41458.757094907407</v>
          </cell>
          <cell r="H4397" t="str">
            <v>B&amp;P-002-MS04-D</v>
          </cell>
          <cell r="J4397">
            <v>1</v>
          </cell>
        </row>
        <row r="4398">
          <cell r="C4398" t="str">
            <v>B&amp;P-041-MS04-2RST-C3</v>
          </cell>
          <cell r="F4398">
            <v>41458.757094907407</v>
          </cell>
          <cell r="H4398" t="str">
            <v>B&amp;P-005-RET/SET-MS04</v>
          </cell>
          <cell r="J4398">
            <v>1</v>
          </cell>
        </row>
        <row r="4399">
          <cell r="C4399" t="str">
            <v>B&amp;P-041-MS04-2RST-C3</v>
          </cell>
          <cell r="F4399">
            <v>41458.757094907407</v>
          </cell>
          <cell r="H4399" t="str">
            <v>B&amp;P-004-MS04-2RST-08</v>
          </cell>
          <cell r="J4399">
            <v>2</v>
          </cell>
        </row>
        <row r="4400">
          <cell r="C4400" t="str">
            <v>B&amp;P-041-MS04-2RST-C3</v>
          </cell>
          <cell r="F4400">
            <v>41458.757094907407</v>
          </cell>
          <cell r="H4400" t="str">
            <v>000-006-POLYREX-EM</v>
          </cell>
          <cell r="J4400">
            <v>3.6</v>
          </cell>
        </row>
        <row r="4401">
          <cell r="C4401" t="str">
            <v>B&amp;P-041-MS04-2RST-C3</v>
          </cell>
          <cell r="F4401">
            <v>41458.757094907407</v>
          </cell>
          <cell r="H4401" t="str">
            <v>000-003-5/16</v>
          </cell>
          <cell r="J4401">
            <v>8</v>
          </cell>
        </row>
        <row r="4402">
          <cell r="C4402" t="str">
            <v>B&amp;P-053-X-32216</v>
          </cell>
          <cell r="F4402">
            <v>41592.347175925926</v>
          </cell>
          <cell r="H4402" t="str">
            <v>B&amp;P-053-TDX216</v>
          </cell>
          <cell r="J4402">
            <v>1</v>
          </cell>
        </row>
        <row r="4403">
          <cell r="C4403" t="str">
            <v>B&amp;P-053-X-32216</v>
          </cell>
          <cell r="F4403">
            <v>41592.347175925926</v>
          </cell>
          <cell r="H4403" t="str">
            <v>B&amp;P-005-TDX216</v>
          </cell>
          <cell r="J4403">
            <v>1</v>
          </cell>
        </row>
        <row r="4404">
          <cell r="C4404" t="str">
            <v>B&amp;P-053-X-32216</v>
          </cell>
          <cell r="F4404">
            <v>41592.347175925926</v>
          </cell>
          <cell r="H4404" t="str">
            <v>B&amp;P-003-TDX216</v>
          </cell>
          <cell r="J4404">
            <v>22</v>
          </cell>
        </row>
        <row r="4405">
          <cell r="C4405" t="str">
            <v>B&amp;P-053-HM-518445</v>
          </cell>
          <cell r="F4405">
            <v>41593.319930555554</v>
          </cell>
          <cell r="H4405" t="str">
            <v>BPB-053-TX1845</v>
          </cell>
          <cell r="J4405">
            <v>1</v>
          </cell>
        </row>
        <row r="4406">
          <cell r="C4406" t="str">
            <v>B&amp;P-053-HM-518445</v>
          </cell>
          <cell r="F4406">
            <v>41593.319930555554</v>
          </cell>
          <cell r="H4406" t="str">
            <v>B&amp;P-005-TX1845</v>
          </cell>
          <cell r="J4406">
            <v>1</v>
          </cell>
        </row>
        <row r="4407">
          <cell r="C4407" t="str">
            <v>B&amp;P-053-HM-518445</v>
          </cell>
          <cell r="F4407">
            <v>41593.319930555554</v>
          </cell>
          <cell r="H4407" t="str">
            <v>B&amp;P-003-TX1845</v>
          </cell>
          <cell r="J4407">
            <v>21</v>
          </cell>
        </row>
        <row r="4408">
          <cell r="C4408" t="str">
            <v>B&amp;P-050-SET-10</v>
          </cell>
          <cell r="F4408">
            <v>41597.663032407407</v>
          </cell>
          <cell r="H4408" t="str">
            <v>B&amp;P-003-3TX-12010</v>
          </cell>
          <cell r="J4408">
            <v>17</v>
          </cell>
        </row>
        <row r="4409">
          <cell r="C4409" t="str">
            <v>B&amp;P-050-SET-10</v>
          </cell>
          <cell r="F4409">
            <v>41597.663032407407</v>
          </cell>
          <cell r="H4409" t="str">
            <v>B&amp;P-005-3TX-12010</v>
          </cell>
          <cell r="J4409">
            <v>1</v>
          </cell>
        </row>
        <row r="4410">
          <cell r="C4410" t="str">
            <v>B&amp;P-050-SET-10</v>
          </cell>
          <cell r="F4410">
            <v>41597.663032407407</v>
          </cell>
          <cell r="H4410" t="str">
            <v>B&amp;P-053-3TX-12010</v>
          </cell>
          <cell r="J4410">
            <v>1</v>
          </cell>
        </row>
        <row r="4411">
          <cell r="C4411" t="str">
            <v>B&amp;P-053-X-32210</v>
          </cell>
          <cell r="F4411">
            <v>41820.401250000003</v>
          </cell>
          <cell r="H4411" t="str">
            <v>B&amp;P-003-TDX210</v>
          </cell>
          <cell r="J4411">
            <v>18</v>
          </cell>
        </row>
        <row r="4412">
          <cell r="C4412" t="str">
            <v>B&amp;P-047-ECL205-25</v>
          </cell>
          <cell r="F4412">
            <v>41782.397916666669</v>
          </cell>
          <cell r="H4412" t="str">
            <v>B&amp;P-002-ECL205-25-02</v>
          </cell>
          <cell r="J4412">
            <v>1</v>
          </cell>
        </row>
        <row r="4413">
          <cell r="C4413" t="str">
            <v>B&amp;P-047-SAB205-25</v>
          </cell>
          <cell r="F4413">
            <v>41681.338101851848</v>
          </cell>
          <cell r="H4413" t="str">
            <v>B&amp;P-001-OR205-01</v>
          </cell>
          <cell r="J4413">
            <v>1</v>
          </cell>
        </row>
        <row r="4414">
          <cell r="C4414" t="str">
            <v>B&amp;P-047-SAB205-25</v>
          </cell>
          <cell r="F4414">
            <v>41681.338101851848</v>
          </cell>
          <cell r="H4414" t="str">
            <v>B&amp;P-002-SAB205-25-02</v>
          </cell>
          <cell r="J4414">
            <v>1</v>
          </cell>
        </row>
        <row r="4415">
          <cell r="C4415" t="str">
            <v>B&amp;P-047-SAB205-25</v>
          </cell>
          <cell r="F4415">
            <v>41681.338101851848</v>
          </cell>
          <cell r="H4415" t="str">
            <v>000-003-5/16</v>
          </cell>
          <cell r="J4415">
            <v>9</v>
          </cell>
        </row>
        <row r="4416">
          <cell r="C4416" t="str">
            <v>B&amp;P-047-SAB205-25</v>
          </cell>
          <cell r="F4416">
            <v>41681.338101851848</v>
          </cell>
          <cell r="H4416" t="str">
            <v>B&amp;P-005-CAGE205-17</v>
          </cell>
          <cell r="J4416">
            <v>1</v>
          </cell>
        </row>
        <row r="4417">
          <cell r="C4417" t="str">
            <v>B&amp;P-047-SAB205-25</v>
          </cell>
          <cell r="F4417">
            <v>41681.338101851848</v>
          </cell>
          <cell r="H4417" t="str">
            <v>000-006-POLYREX-EM</v>
          </cell>
          <cell r="J4417">
            <v>4</v>
          </cell>
        </row>
        <row r="4418">
          <cell r="C4418" t="str">
            <v>B&amp;P-047-SAB205-25</v>
          </cell>
          <cell r="F4418">
            <v>41681.338101851848</v>
          </cell>
          <cell r="H4418" t="str">
            <v>B&amp;P-004-SAB205-25-28</v>
          </cell>
          <cell r="J4418">
            <v>2</v>
          </cell>
        </row>
        <row r="4419">
          <cell r="C4419" t="str">
            <v>B&amp;P-047-SAB205-25</v>
          </cell>
          <cell r="F4419">
            <v>41681.338101851848</v>
          </cell>
          <cell r="H4419" t="str">
            <v>B&amp;P-037-PRIS-6X1X8</v>
          </cell>
          <cell r="J4419">
            <v>2</v>
          </cell>
        </row>
        <row r="4420">
          <cell r="C4420" t="str">
            <v>B&amp;P-053-X-32209</v>
          </cell>
          <cell r="F4420">
            <v>41689.530891203707</v>
          </cell>
          <cell r="H4420" t="str">
            <v>B&amp;P-003-TDX209</v>
          </cell>
          <cell r="J4420">
            <v>18</v>
          </cell>
        </row>
        <row r="4421">
          <cell r="C4421" t="str">
            <v>B&amp;P-053-X-32209</v>
          </cell>
          <cell r="F4421">
            <v>41689.530891203707</v>
          </cell>
          <cell r="H4421" t="str">
            <v>B&amp;P-005-TDX209</v>
          </cell>
          <cell r="J4421">
            <v>1</v>
          </cell>
        </row>
        <row r="4422">
          <cell r="C4422" t="str">
            <v>B&amp;P-053-X-32209</v>
          </cell>
          <cell r="F4422">
            <v>41689.530891203707</v>
          </cell>
          <cell r="H4422" t="str">
            <v>B&amp;P-053-TDX209</v>
          </cell>
          <cell r="J4422">
            <v>1</v>
          </cell>
        </row>
        <row r="4423">
          <cell r="C4423" t="str">
            <v>B&amp;P-053-X-32006</v>
          </cell>
          <cell r="F4423">
            <v>41689.532199074078</v>
          </cell>
          <cell r="H4423" t="str">
            <v>B&amp;P-003-TDX006</v>
          </cell>
          <cell r="J4423">
            <v>21</v>
          </cell>
        </row>
        <row r="4424">
          <cell r="C4424" t="str">
            <v>B&amp;P-053-X-32006</v>
          </cell>
          <cell r="F4424">
            <v>41689.532199074078</v>
          </cell>
          <cell r="H4424" t="str">
            <v>B&amp;P-005-TDX006</v>
          </cell>
          <cell r="J4424">
            <v>1</v>
          </cell>
        </row>
        <row r="4425">
          <cell r="C4425" t="str">
            <v>B&amp;P-053-X-32006</v>
          </cell>
          <cell r="F4425">
            <v>41689.532199074078</v>
          </cell>
          <cell r="H4425" t="str">
            <v>B&amp;P-053-TDX006</v>
          </cell>
          <cell r="J4425">
            <v>1</v>
          </cell>
        </row>
        <row r="4426">
          <cell r="C4426" t="str">
            <v>B&amp;P-053-X-30212</v>
          </cell>
          <cell r="F4426">
            <v>41689.631180555552</v>
          </cell>
          <cell r="H4426" t="str">
            <v>B&amp;P-003-TCX212</v>
          </cell>
          <cell r="J4426">
            <v>19</v>
          </cell>
        </row>
        <row r="4427">
          <cell r="C4427" t="str">
            <v>B&amp;P-053-X-30212</v>
          </cell>
          <cell r="F4427">
            <v>41689.631180555552</v>
          </cell>
          <cell r="H4427" t="str">
            <v>B&amp;P-005-TCX212</v>
          </cell>
          <cell r="J4427">
            <v>1</v>
          </cell>
        </row>
        <row r="4428">
          <cell r="C4428" t="str">
            <v>B&amp;P-053-X-30212</v>
          </cell>
          <cell r="F4428">
            <v>41689.631180555552</v>
          </cell>
          <cell r="H4428" t="str">
            <v>B&amp;P-053-TCX212</v>
          </cell>
          <cell r="J4428">
            <v>1</v>
          </cell>
        </row>
        <row r="4429">
          <cell r="C4429" t="str">
            <v>B&amp;P-053-X-30306</v>
          </cell>
          <cell r="F4429">
            <v>41691.4062962963</v>
          </cell>
          <cell r="H4429" t="str">
            <v>B&amp;P-003-TCX306</v>
          </cell>
          <cell r="J4429">
            <v>14</v>
          </cell>
        </row>
        <row r="4430">
          <cell r="C4430" t="str">
            <v>B&amp;P-053-X-30306</v>
          </cell>
          <cell r="F4430">
            <v>41691.4062962963</v>
          </cell>
          <cell r="H4430" t="str">
            <v>B&amp;P-005-TCX306</v>
          </cell>
          <cell r="J4430">
            <v>1</v>
          </cell>
        </row>
        <row r="4431">
          <cell r="C4431" t="str">
            <v>B&amp;P-053-X-30306</v>
          </cell>
          <cell r="F4431">
            <v>41691.4062962963</v>
          </cell>
          <cell r="H4431" t="str">
            <v>B&amp;P-053-TCX306</v>
          </cell>
          <cell r="J4431">
            <v>1</v>
          </cell>
        </row>
        <row r="4432">
          <cell r="C4432" t="str">
            <v>B&amp;P-053-X-30310</v>
          </cell>
          <cell r="F4432">
            <v>41710.660914351851</v>
          </cell>
          <cell r="H4432" t="str">
            <v>B&amp;P-003-TCX310</v>
          </cell>
          <cell r="J4432">
            <v>16</v>
          </cell>
        </row>
        <row r="4433">
          <cell r="C4433" t="str">
            <v>B&amp;P-053-X-30310</v>
          </cell>
          <cell r="F4433">
            <v>41710.660914351851</v>
          </cell>
          <cell r="H4433" t="str">
            <v>B&amp;P-005-TCX310</v>
          </cell>
          <cell r="J4433">
            <v>1</v>
          </cell>
        </row>
        <row r="4434">
          <cell r="C4434" t="str">
            <v>B&amp;P-053-X-30310</v>
          </cell>
          <cell r="F4434">
            <v>41710.660914351851</v>
          </cell>
          <cell r="H4434" t="str">
            <v>B&amp;P-053-TCX310</v>
          </cell>
          <cell r="J4434">
            <v>1</v>
          </cell>
        </row>
        <row r="4435">
          <cell r="C4435" t="str">
            <v>B&amp;P-047-ECL-207-35DG</v>
          </cell>
          <cell r="F4435">
            <v>41717.464317129627</v>
          </cell>
          <cell r="H4435" t="str">
            <v>B&amp;P-001-OR207-01</v>
          </cell>
          <cell r="J4435">
            <v>1</v>
          </cell>
        </row>
        <row r="4436">
          <cell r="C4436" t="str">
            <v>B&amp;P-047-ECL-207-35DG</v>
          </cell>
          <cell r="F4436">
            <v>41717.464317129627</v>
          </cell>
          <cell r="H4436" t="str">
            <v>B&amp;P-002-ECL207-35-02</v>
          </cell>
          <cell r="J4436">
            <v>1</v>
          </cell>
        </row>
        <row r="4437">
          <cell r="C4437" t="str">
            <v>B&amp;P-047-ECL-207-35DG</v>
          </cell>
          <cell r="F4437">
            <v>41717.464317129627</v>
          </cell>
          <cell r="H4437" t="str">
            <v>000-003-7/16</v>
          </cell>
          <cell r="J4437">
            <v>9</v>
          </cell>
        </row>
        <row r="4438">
          <cell r="C4438" t="str">
            <v>B&amp;P-047-ECL-207-35DG</v>
          </cell>
          <cell r="F4438">
            <v>41717.464317129627</v>
          </cell>
          <cell r="H4438" t="str">
            <v>B&amp;P-005-CAGE207-17</v>
          </cell>
          <cell r="J4438">
            <v>1</v>
          </cell>
        </row>
        <row r="4439">
          <cell r="C4439" t="str">
            <v>B&amp;P-047-ECL-207-35DG</v>
          </cell>
          <cell r="F4439">
            <v>41717.464317129627</v>
          </cell>
          <cell r="H4439" t="str">
            <v>B&amp;P-004-SAB207-35-28</v>
          </cell>
          <cell r="J4439">
            <v>2</v>
          </cell>
        </row>
        <row r="4440">
          <cell r="C4440" t="str">
            <v>B&amp;P-047-ECL-207-35DG</v>
          </cell>
          <cell r="F4440">
            <v>41717.464317129627</v>
          </cell>
          <cell r="H4440" t="str">
            <v>000-006-POLYREX-EM</v>
          </cell>
          <cell r="J4440">
            <v>8</v>
          </cell>
        </row>
        <row r="4441">
          <cell r="C4441" t="str">
            <v>B&amp;P-047-ECL-207-35DG</v>
          </cell>
          <cell r="F4441">
            <v>41717.464317129627</v>
          </cell>
          <cell r="H4441" t="str">
            <v>B&amp;P-010-LOC207-35</v>
          </cell>
          <cell r="J4441">
            <v>1</v>
          </cell>
        </row>
        <row r="4442">
          <cell r="C4442" t="str">
            <v>B&amp;P-047-SAB207-35DG</v>
          </cell>
          <cell r="F4442">
            <v>41733.326886574076</v>
          </cell>
          <cell r="H4442" t="str">
            <v>000-003-7/16</v>
          </cell>
          <cell r="J4442">
            <v>9</v>
          </cell>
        </row>
        <row r="4443">
          <cell r="C4443" t="str">
            <v>B&amp;P-047-SAB207-35DG</v>
          </cell>
          <cell r="F4443">
            <v>41733.326886574076</v>
          </cell>
          <cell r="H4443" t="str">
            <v>B&amp;P-005-CAGE207-17</v>
          </cell>
          <cell r="J4443">
            <v>1</v>
          </cell>
        </row>
        <row r="4444">
          <cell r="C4444" t="str">
            <v>B&amp;P-047-SAB207-35DG</v>
          </cell>
          <cell r="F4444">
            <v>41733.326886574076</v>
          </cell>
          <cell r="H4444" t="str">
            <v>B&amp;P-004-207-DBL-08</v>
          </cell>
          <cell r="J4444">
            <v>2</v>
          </cell>
        </row>
        <row r="4445">
          <cell r="C4445" t="str">
            <v>B&amp;P-047-SAB207-35DG</v>
          </cell>
          <cell r="F4445">
            <v>41733.326886574076</v>
          </cell>
          <cell r="H4445" t="str">
            <v>000-006-POLYREX-EM</v>
          </cell>
          <cell r="J4445">
            <v>8.6</v>
          </cell>
        </row>
        <row r="4446">
          <cell r="C4446" t="str">
            <v>B&amp;P-053-X-32210</v>
          </cell>
          <cell r="F4446">
            <v>41820.401250000003</v>
          </cell>
          <cell r="H4446" t="str">
            <v>B&amp;P-005-TDX210</v>
          </cell>
          <cell r="J4446">
            <v>1</v>
          </cell>
        </row>
        <row r="4447">
          <cell r="C4447" t="str">
            <v>B&amp;P-053-X-32210</v>
          </cell>
          <cell r="F4447">
            <v>41820.401250000003</v>
          </cell>
          <cell r="H4447" t="str">
            <v>B&amp;P-053-TDX210</v>
          </cell>
          <cell r="J4447">
            <v>1</v>
          </cell>
        </row>
        <row r="4448">
          <cell r="C4448" t="str">
            <v>B&amp;P-053-X-32211</v>
          </cell>
          <cell r="F4448">
            <v>41876.628275462965</v>
          </cell>
          <cell r="H4448" t="str">
            <v>B&amp;P-003-TDX211</v>
          </cell>
          <cell r="J4448">
            <v>19</v>
          </cell>
        </row>
        <row r="4449">
          <cell r="C4449" t="str">
            <v>B&amp;P-053-X-32211</v>
          </cell>
          <cell r="F4449">
            <v>41876.628275462965</v>
          </cell>
          <cell r="H4449" t="str">
            <v>B&amp;P-005-TDX211</v>
          </cell>
          <cell r="J4449">
            <v>1</v>
          </cell>
        </row>
        <row r="4450">
          <cell r="C4450" t="str">
            <v>B&amp;P-053-X-32211</v>
          </cell>
          <cell r="F4450">
            <v>41876.628275462965</v>
          </cell>
          <cell r="H4450" t="str">
            <v>B&amp;P-053-TDX211</v>
          </cell>
          <cell r="J4450">
            <v>1</v>
          </cell>
        </row>
        <row r="4451">
          <cell r="C4451" t="str">
            <v>B&amp;P-053-X-32008</v>
          </cell>
          <cell r="F4451">
            <v>41880.494641203702</v>
          </cell>
          <cell r="H4451" t="str">
            <v>B&amp;P-003-TDX008</v>
          </cell>
          <cell r="J4451">
            <v>23</v>
          </cell>
        </row>
        <row r="4452">
          <cell r="C4452" t="str">
            <v>B&amp;P-053-X-32008</v>
          </cell>
          <cell r="F4452">
            <v>41880.494641203702</v>
          </cell>
          <cell r="H4452" t="str">
            <v>B&amp;P-005-TDX008</v>
          </cell>
          <cell r="J4452">
            <v>1</v>
          </cell>
        </row>
        <row r="4453">
          <cell r="C4453" t="str">
            <v>BPB-041-LS06-2RST</v>
          </cell>
          <cell r="F4453">
            <v>41373.335347222222</v>
          </cell>
          <cell r="H4453" t="str">
            <v>BPB-001-LS06-D</v>
          </cell>
          <cell r="J4453">
            <v>1</v>
          </cell>
        </row>
        <row r="4454">
          <cell r="C4454" t="str">
            <v>BPB-041-LS06-2RST</v>
          </cell>
          <cell r="F4454">
            <v>41373.335347222222</v>
          </cell>
          <cell r="H4454" t="str">
            <v>BPB-002-LS06-D</v>
          </cell>
          <cell r="J4454">
            <v>1</v>
          </cell>
        </row>
        <row r="4455">
          <cell r="C4455" t="str">
            <v>BPB-041-LS06-2RST</v>
          </cell>
          <cell r="F4455">
            <v>41373.335347222222</v>
          </cell>
          <cell r="H4455" t="str">
            <v>MID-003-9/32</v>
          </cell>
          <cell r="J4455">
            <v>11</v>
          </cell>
        </row>
        <row r="4456">
          <cell r="C4456" t="str">
            <v>BPB-041-LS06-2RST</v>
          </cell>
          <cell r="F4456">
            <v>41373.335347222222</v>
          </cell>
          <cell r="H4456" t="str">
            <v>BPB-005-RET/SET-LS06</v>
          </cell>
          <cell r="J4456">
            <v>1</v>
          </cell>
        </row>
        <row r="4457">
          <cell r="C4457" t="str">
            <v>BPB-041-LS06-2RST</v>
          </cell>
          <cell r="F4457">
            <v>41373.335347222222</v>
          </cell>
          <cell r="H4457" t="str">
            <v>000-006-POLYREX-EM</v>
          </cell>
          <cell r="J4457">
            <v>3.6</v>
          </cell>
        </row>
        <row r="4458">
          <cell r="C4458" t="str">
            <v>BPB-041-LS06-2RST</v>
          </cell>
          <cell r="F4458">
            <v>41373.335347222222</v>
          </cell>
          <cell r="H4458" t="str">
            <v>BPB-027-LS06-2RST-08</v>
          </cell>
          <cell r="J4458">
            <v>2</v>
          </cell>
        </row>
        <row r="4459">
          <cell r="C4459" t="str">
            <v>B&amp;P-049-3TX-12080</v>
          </cell>
          <cell r="F4459">
            <v>41373.608946759261</v>
          </cell>
          <cell r="H4459" t="str">
            <v>B&amp;P-003-3TX-12080</v>
          </cell>
          <cell r="J4459">
            <v>17</v>
          </cell>
        </row>
        <row r="4460">
          <cell r="C4460" t="str">
            <v>B&amp;P-049-3TX-12080</v>
          </cell>
          <cell r="F4460">
            <v>41373.608946759261</v>
          </cell>
          <cell r="H4460" t="str">
            <v>B&amp;P-005-3TX-12080</v>
          </cell>
          <cell r="J4460">
            <v>1</v>
          </cell>
        </row>
        <row r="4461">
          <cell r="C4461" t="str">
            <v>B&amp;P-049-3TX-12080</v>
          </cell>
          <cell r="F4461">
            <v>41373.608946759261</v>
          </cell>
          <cell r="H4461" t="str">
            <v>B&amp;P-053-3TX-12080</v>
          </cell>
          <cell r="J4461">
            <v>1</v>
          </cell>
        </row>
        <row r="4462">
          <cell r="C4462" t="str">
            <v>B&amp;P-049-3TX-12047</v>
          </cell>
          <cell r="F4462">
            <v>41388.315081018518</v>
          </cell>
          <cell r="H4462" t="str">
            <v>B&amp;P-003-3TX-12047</v>
          </cell>
          <cell r="J4462">
            <v>23</v>
          </cell>
        </row>
        <row r="4463">
          <cell r="C4463" t="str">
            <v>B&amp;P-049-3TX-12047</v>
          </cell>
          <cell r="F4463">
            <v>41388.315081018518</v>
          </cell>
          <cell r="H4463" t="str">
            <v>B&amp;P-005-3TX-12047</v>
          </cell>
          <cell r="J4463">
            <v>1</v>
          </cell>
        </row>
        <row r="4464">
          <cell r="C4464" t="str">
            <v>B&amp;P-049-3TX-12047</v>
          </cell>
          <cell r="F4464">
            <v>41388.315081018518</v>
          </cell>
          <cell r="H4464" t="str">
            <v>B&amp;P-053-3TX-12047</v>
          </cell>
          <cell r="J4464">
            <v>1</v>
          </cell>
        </row>
        <row r="4465">
          <cell r="C4465" t="str">
            <v>B&amp;P-047-SAB207-35DG</v>
          </cell>
          <cell r="F4465">
            <v>41733.326886574076</v>
          </cell>
          <cell r="H4465" t="str">
            <v>B&amp;P-001-OR207-01</v>
          </cell>
          <cell r="J4465">
            <v>1</v>
          </cell>
        </row>
        <row r="4466">
          <cell r="C4466" t="str">
            <v>B&amp;P-002-ACL209-45-02</v>
          </cell>
          <cell r="F4466">
            <v>41815.539664351854</v>
          </cell>
          <cell r="H4466" t="str">
            <v>B&amp;P-002-ACL209-45-A2</v>
          </cell>
          <cell r="J4466">
            <v>1</v>
          </cell>
        </row>
        <row r="4467">
          <cell r="C4467" t="str">
            <v>B&amp;P-002-SAB209-45-02</v>
          </cell>
          <cell r="F4467">
            <v>41815.54451388889</v>
          </cell>
          <cell r="H4467" t="str">
            <v>B&amp;P-002-SAB209-45-A2</v>
          </cell>
          <cell r="J4467">
            <v>1</v>
          </cell>
        </row>
        <row r="4468">
          <cell r="C4468" t="str">
            <v>B&amp;P-053-X-32008</v>
          </cell>
          <cell r="F4468">
            <v>41880.494641203702</v>
          </cell>
          <cell r="H4468" t="str">
            <v>B&amp;P-053-TDX008</v>
          </cell>
          <cell r="J4468">
            <v>1</v>
          </cell>
        </row>
        <row r="4469">
          <cell r="C4469" t="str">
            <v>B&amp;P-053-X-32205</v>
          </cell>
          <cell r="F4469">
            <v>41894.603506944448</v>
          </cell>
          <cell r="H4469" t="str">
            <v>B&amp;P-003-TDX205</v>
          </cell>
          <cell r="J4469">
            <v>15</v>
          </cell>
        </row>
        <row r="4470">
          <cell r="C4470" t="str">
            <v>B&amp;P-041-6005-C3-DEV</v>
          </cell>
          <cell r="F4470">
            <v>41907.318252314813</v>
          </cell>
          <cell r="H4470" t="str">
            <v>B&amp;P-001-LS05-D</v>
          </cell>
          <cell r="J4470">
            <v>1</v>
          </cell>
        </row>
        <row r="4471">
          <cell r="C4471" t="str">
            <v>B&amp;P-041-6005-C3-DEV</v>
          </cell>
          <cell r="F4471">
            <v>41907.318252314813</v>
          </cell>
          <cell r="H4471" t="str">
            <v>B&amp;P-002-LS05-D</v>
          </cell>
          <cell r="J4471">
            <v>1</v>
          </cell>
        </row>
        <row r="4472">
          <cell r="C4472" t="str">
            <v>B&amp;P-041-6005-C3-DEV</v>
          </cell>
          <cell r="F4472">
            <v>41907.318252314813</v>
          </cell>
          <cell r="H4472" t="str">
            <v>000-003-1/4</v>
          </cell>
          <cell r="J4472">
            <v>10</v>
          </cell>
        </row>
        <row r="4473">
          <cell r="C4473" t="str">
            <v>B&amp;P-041-6005-C3-DEV</v>
          </cell>
          <cell r="F4473">
            <v>41907.318252314813</v>
          </cell>
          <cell r="H4473" t="str">
            <v>B&amp;P-005-RET/SET-LS05</v>
          </cell>
          <cell r="J4473">
            <v>1</v>
          </cell>
        </row>
        <row r="4474">
          <cell r="C4474" t="str">
            <v>B&amp;P-041-6005-C3-DEV</v>
          </cell>
          <cell r="F4474">
            <v>41907.318252314813</v>
          </cell>
          <cell r="H4474" t="str">
            <v>MID-004-6005-Z</v>
          </cell>
          <cell r="J4474">
            <v>2</v>
          </cell>
        </row>
        <row r="4475">
          <cell r="C4475" t="str">
            <v>B&amp;P-041-6005-C3-DEV</v>
          </cell>
          <cell r="F4475">
            <v>41907.318252314813</v>
          </cell>
          <cell r="H4475" t="str">
            <v>000-006-POLYREX-EM</v>
          </cell>
          <cell r="J4475">
            <v>1</v>
          </cell>
        </row>
        <row r="4476">
          <cell r="C4476" t="str">
            <v>B&amp;P-LED-60x60Louver</v>
          </cell>
          <cell r="F4476">
            <v>42037.418078703704</v>
          </cell>
          <cell r="H4476" t="str">
            <v>B&amp;P-PCB-12V7W50cmCW</v>
          </cell>
          <cell r="J4476">
            <v>6</v>
          </cell>
        </row>
        <row r="4477">
          <cell r="C4477" t="str">
            <v>B&amp;P-LED-60x60Louver</v>
          </cell>
          <cell r="F4477">
            <v>42037.418078703704</v>
          </cell>
          <cell r="H4477" t="str">
            <v>B&amp;P-FAL-BP-12V5A</v>
          </cell>
          <cell r="J4477">
            <v>1</v>
          </cell>
        </row>
        <row r="4478">
          <cell r="C4478" t="str">
            <v>B&amp;P-041-LS05-D</v>
          </cell>
          <cell r="F4478">
            <v>42102.334687499999</v>
          </cell>
          <cell r="H4478" t="str">
            <v>B&amp;P-001-LS05-D</v>
          </cell>
          <cell r="J4478">
            <v>1</v>
          </cell>
        </row>
        <row r="4479">
          <cell r="C4479" t="str">
            <v>B&amp;P-041-LS05-D</v>
          </cell>
          <cell r="F4479">
            <v>42102.334687499999</v>
          </cell>
          <cell r="H4479" t="str">
            <v>B&amp;P-002-LS05-D</v>
          </cell>
          <cell r="J4479">
            <v>1</v>
          </cell>
        </row>
        <row r="4480">
          <cell r="C4480" t="str">
            <v>B&amp;P-041-LS05-D</v>
          </cell>
          <cell r="F4480">
            <v>42102.334687499999</v>
          </cell>
          <cell r="H4480" t="str">
            <v>B&amp;P-005-RET/SET-LS05</v>
          </cell>
          <cell r="J4480">
            <v>1</v>
          </cell>
        </row>
        <row r="4481">
          <cell r="C4481" t="str">
            <v>B&amp;P-041-LS05-D</v>
          </cell>
          <cell r="F4481">
            <v>42102.334687499999</v>
          </cell>
          <cell r="H4481" t="str">
            <v>000-003-1/4</v>
          </cell>
          <cell r="J4481">
            <v>10</v>
          </cell>
        </row>
        <row r="4482">
          <cell r="C4482" t="str">
            <v>BPB-041-MS06-2RLD</v>
          </cell>
          <cell r="F4482">
            <v>42131.316446759258</v>
          </cell>
          <cell r="H4482" t="str">
            <v>B&amp;P-001-MS06-D</v>
          </cell>
          <cell r="J4482">
            <v>1</v>
          </cell>
        </row>
        <row r="4483">
          <cell r="C4483" t="str">
            <v>BPB-041-MS06-2RLD</v>
          </cell>
          <cell r="F4483">
            <v>42131.316446759258</v>
          </cell>
          <cell r="H4483" t="str">
            <v>B&amp;P-002-MS06-D</v>
          </cell>
          <cell r="J4483">
            <v>1</v>
          </cell>
        </row>
        <row r="4484">
          <cell r="C4484" t="str">
            <v>BPB-041-MS06-2RLD</v>
          </cell>
          <cell r="F4484">
            <v>42131.316446759258</v>
          </cell>
          <cell r="H4484" t="str">
            <v>B&amp;P-005-RET/SET-MS06</v>
          </cell>
          <cell r="J4484">
            <v>1</v>
          </cell>
        </row>
        <row r="4485">
          <cell r="C4485" t="str">
            <v>BPB-041-MS06-2RLD</v>
          </cell>
          <cell r="F4485">
            <v>42131.316446759258</v>
          </cell>
          <cell r="H4485" t="str">
            <v>B&amp;P-003-Ball-3/8</v>
          </cell>
          <cell r="J4485">
            <v>9</v>
          </cell>
        </row>
        <row r="4486">
          <cell r="C4486" t="str">
            <v>BPB-041-MS06-2RLD</v>
          </cell>
          <cell r="F4486">
            <v>42131.316446759258</v>
          </cell>
          <cell r="H4486" t="str">
            <v>B&amp;P-004-MS06RLD-BLUE</v>
          </cell>
          <cell r="J4486">
            <v>2</v>
          </cell>
        </row>
        <row r="4487">
          <cell r="C4487" t="str">
            <v>BPB-041-MS06-2RLD</v>
          </cell>
          <cell r="F4487">
            <v>42131.316446759258</v>
          </cell>
          <cell r="H4487" t="str">
            <v>000-006-POLYREX-EM</v>
          </cell>
          <cell r="J4487">
            <v>2.4</v>
          </cell>
        </row>
        <row r="4488">
          <cell r="C4488" t="str">
            <v>B&amp;P-041-MS06-D</v>
          </cell>
          <cell r="F4488">
            <v>42159.65253472222</v>
          </cell>
          <cell r="H4488" t="str">
            <v>B&amp;P-001-MS06-D</v>
          </cell>
          <cell r="J4488">
            <v>1</v>
          </cell>
        </row>
        <row r="4489">
          <cell r="C4489" t="str">
            <v>B&amp;P-041-MS06-D</v>
          </cell>
          <cell r="F4489">
            <v>42159.65253472222</v>
          </cell>
          <cell r="H4489" t="str">
            <v>B&amp;P-002-MS06-D</v>
          </cell>
          <cell r="J4489">
            <v>1</v>
          </cell>
        </row>
        <row r="4490">
          <cell r="C4490" t="str">
            <v>B&amp;P-041-MS06-D</v>
          </cell>
          <cell r="F4490">
            <v>42159.65253472222</v>
          </cell>
          <cell r="H4490" t="str">
            <v>B&amp;P-003-Ball-3/8</v>
          </cell>
          <cell r="J4490">
            <v>9</v>
          </cell>
        </row>
        <row r="4491">
          <cell r="C4491" t="str">
            <v>B&amp;P-041-MS06-D</v>
          </cell>
          <cell r="F4491">
            <v>42159.65253472222</v>
          </cell>
          <cell r="H4491" t="str">
            <v>B&amp;P-005-RET/SET-MS06</v>
          </cell>
          <cell r="J4491">
            <v>1</v>
          </cell>
        </row>
        <row r="4492">
          <cell r="C4492" t="str">
            <v>B&amp;P-ALU-Disi-120XPE</v>
          </cell>
          <cell r="F4492">
            <v>42163.437824074077</v>
          </cell>
          <cell r="H4492" t="str">
            <v>B&amp;P-ALU-DISI120XPEA1</v>
          </cell>
          <cell r="J4492">
            <v>1</v>
          </cell>
        </row>
        <row r="4493">
          <cell r="C4493" t="str">
            <v>B&amp;P-ALU-Soporte-120X</v>
          </cell>
          <cell r="F4493">
            <v>42163.438958333332</v>
          </cell>
          <cell r="H4493" t="str">
            <v>B&amp;P-ALU-Sop-120XA1</v>
          </cell>
          <cell r="J4493">
            <v>1</v>
          </cell>
        </row>
        <row r="4494">
          <cell r="C4494" t="str">
            <v>B&amp;P-ALU-IP65-140CW1</v>
          </cell>
          <cell r="F4494">
            <v>41435.716192129628</v>
          </cell>
          <cell r="H4494" t="str">
            <v>B&amp;P-FAL-1400mA-25</v>
          </cell>
          <cell r="J4494">
            <v>1</v>
          </cell>
        </row>
        <row r="4495">
          <cell r="C4495" t="str">
            <v>B&amp;P-047-SAB207-35DG</v>
          </cell>
          <cell r="F4495">
            <v>41733.326886574076</v>
          </cell>
          <cell r="H4495" t="str">
            <v>B&amp;P-002-SAB207-35-02</v>
          </cell>
          <cell r="J4495">
            <v>1</v>
          </cell>
        </row>
        <row r="4496">
          <cell r="C4496" t="str">
            <v>B&amp;P-047-ECL205-25</v>
          </cell>
          <cell r="F4496">
            <v>41782.397916666669</v>
          </cell>
          <cell r="H4496" t="str">
            <v>B&amp;P-001-OR205-01</v>
          </cell>
          <cell r="J4496">
            <v>1</v>
          </cell>
        </row>
        <row r="4497">
          <cell r="C4497" t="str">
            <v>B&amp;P-047-ECL205-25</v>
          </cell>
          <cell r="F4497">
            <v>41782.397916666669</v>
          </cell>
          <cell r="H4497" t="str">
            <v>000-003-5/16</v>
          </cell>
          <cell r="J4497">
            <v>9</v>
          </cell>
        </row>
        <row r="4498">
          <cell r="C4498" t="str">
            <v>B&amp;P-047-ECL205-25</v>
          </cell>
          <cell r="F4498">
            <v>41782.397916666669</v>
          </cell>
          <cell r="H4498" t="str">
            <v>B&amp;P-005-CAGE205-17</v>
          </cell>
          <cell r="J4498">
            <v>1</v>
          </cell>
        </row>
        <row r="4499">
          <cell r="C4499" t="str">
            <v>B&amp;P-047-ECL205-25</v>
          </cell>
          <cell r="F4499">
            <v>41782.397916666669</v>
          </cell>
          <cell r="H4499" t="str">
            <v>000-006-POLYREX-EM</v>
          </cell>
          <cell r="J4499">
            <v>4.2</v>
          </cell>
        </row>
        <row r="4500">
          <cell r="C4500" t="str">
            <v>B&amp;P-047-ECL205-25</v>
          </cell>
          <cell r="F4500">
            <v>41782.397916666669</v>
          </cell>
          <cell r="H4500" t="str">
            <v>B&amp;P-004-205-DBL-08</v>
          </cell>
          <cell r="J4500">
            <v>2</v>
          </cell>
        </row>
        <row r="4501">
          <cell r="C4501" t="str">
            <v>B&amp;P-047-ECL205-25</v>
          </cell>
          <cell r="F4501">
            <v>41782.397916666669</v>
          </cell>
          <cell r="H4501" t="str">
            <v>B&amp;P-010-LOC205-25</v>
          </cell>
          <cell r="J4501">
            <v>1</v>
          </cell>
        </row>
        <row r="4502">
          <cell r="C4502" t="str">
            <v>B&amp;P-001-OR209-01</v>
          </cell>
          <cell r="F4502">
            <v>41815.470578703702</v>
          </cell>
          <cell r="H4502" t="str">
            <v>B&amp;P-001-OR209-A1</v>
          </cell>
          <cell r="J4502">
            <v>1</v>
          </cell>
        </row>
        <row r="4503">
          <cell r="C4503" t="str">
            <v>B&amp;P-047-ACL-207-35DG</v>
          </cell>
          <cell r="F4503">
            <v>41824.343576388892</v>
          </cell>
          <cell r="H4503" t="str">
            <v>B&amp;P-001-OR207-01</v>
          </cell>
          <cell r="J4503">
            <v>1</v>
          </cell>
        </row>
        <row r="4504">
          <cell r="C4504" t="str">
            <v>B&amp;P-047-ACL-207-35DG</v>
          </cell>
          <cell r="F4504">
            <v>41824.343576388892</v>
          </cell>
          <cell r="H4504" t="str">
            <v>B&amp;P-002-ACL207-35-02</v>
          </cell>
          <cell r="J4504">
            <v>1</v>
          </cell>
        </row>
        <row r="4505">
          <cell r="C4505" t="str">
            <v>B&amp;P-047-ACL-207-35DG</v>
          </cell>
          <cell r="F4505">
            <v>41824.343576388892</v>
          </cell>
          <cell r="H4505" t="str">
            <v>000-003-7/16</v>
          </cell>
          <cell r="J4505">
            <v>9</v>
          </cell>
        </row>
        <row r="4506">
          <cell r="C4506" t="str">
            <v>B&amp;P-047-ACL-207-35DG</v>
          </cell>
          <cell r="F4506">
            <v>41824.343576388892</v>
          </cell>
          <cell r="H4506" t="str">
            <v>B&amp;P-005-CAGE207-17</v>
          </cell>
          <cell r="J4506">
            <v>1</v>
          </cell>
        </row>
        <row r="4507">
          <cell r="C4507" t="str">
            <v>B&amp;P-047-ACL-207-35DG</v>
          </cell>
          <cell r="F4507">
            <v>41824.343576388892</v>
          </cell>
          <cell r="H4507" t="str">
            <v>B&amp;P-004-207-RST-08</v>
          </cell>
          <cell r="J4507">
            <v>2</v>
          </cell>
        </row>
        <row r="4508">
          <cell r="C4508" t="str">
            <v>B&amp;P-047-ACL-207-35DG</v>
          </cell>
          <cell r="F4508">
            <v>41824.343576388892</v>
          </cell>
          <cell r="H4508" t="str">
            <v>000-006-POLYREX-EM</v>
          </cell>
          <cell r="J4508">
            <v>8.6</v>
          </cell>
        </row>
        <row r="4509">
          <cell r="C4509" t="str">
            <v>B&amp;P-047-ACL-207-35DG</v>
          </cell>
          <cell r="F4509">
            <v>41824.343576388892</v>
          </cell>
          <cell r="H4509" t="str">
            <v>B&amp;P-010-LOC207-35</v>
          </cell>
          <cell r="J4509">
            <v>1</v>
          </cell>
        </row>
        <row r="4510">
          <cell r="C4510" t="str">
            <v>B&amp;P-053-X-30305</v>
          </cell>
          <cell r="F4510">
            <v>41879.321956018517</v>
          </cell>
          <cell r="H4510" t="str">
            <v>B&amp;P-003-TCX305</v>
          </cell>
          <cell r="J4510">
            <v>13</v>
          </cell>
        </row>
        <row r="4511">
          <cell r="C4511" t="str">
            <v>B&amp;P-053-X-30305</v>
          </cell>
          <cell r="F4511">
            <v>41879.321956018517</v>
          </cell>
          <cell r="H4511" t="str">
            <v>B&amp;P-005-TCX305</v>
          </cell>
          <cell r="J4511">
            <v>1</v>
          </cell>
        </row>
        <row r="4512">
          <cell r="C4512" t="str">
            <v>B&amp;P-053-X-30305</v>
          </cell>
          <cell r="F4512">
            <v>41879.321956018517</v>
          </cell>
          <cell r="H4512" t="str">
            <v>B&amp;P-053-TCX305</v>
          </cell>
          <cell r="J4512">
            <v>1</v>
          </cell>
        </row>
        <row r="4513">
          <cell r="C4513" t="str">
            <v>B&amp;P-053-X-30308</v>
          </cell>
          <cell r="F4513">
            <v>41879.326539351852</v>
          </cell>
          <cell r="H4513" t="str">
            <v>B&amp;P-003-TCX308</v>
          </cell>
          <cell r="J4513">
            <v>16</v>
          </cell>
        </row>
        <row r="4514">
          <cell r="C4514" t="str">
            <v>B&amp;P-053-X-30308</v>
          </cell>
          <cell r="F4514">
            <v>41879.326539351852</v>
          </cell>
          <cell r="H4514" t="str">
            <v>B&amp;P-005-TCX308</v>
          </cell>
          <cell r="J4514">
            <v>1</v>
          </cell>
        </row>
        <row r="4515">
          <cell r="C4515" t="str">
            <v>B&amp;P-053-X-30308</v>
          </cell>
          <cell r="F4515">
            <v>41879.326539351852</v>
          </cell>
          <cell r="H4515" t="str">
            <v>B&amp;P-053-TCX308</v>
          </cell>
          <cell r="J4515">
            <v>1</v>
          </cell>
        </row>
        <row r="4516">
          <cell r="C4516" t="str">
            <v>B&amp;P-053-X-30214</v>
          </cell>
          <cell r="F4516">
            <v>41879.331875000003</v>
          </cell>
          <cell r="H4516" t="str">
            <v>B&amp;P-003-TCX214</v>
          </cell>
          <cell r="J4516">
            <v>20</v>
          </cell>
        </row>
        <row r="4517">
          <cell r="C4517" t="str">
            <v>B&amp;P-053-X-30214</v>
          </cell>
          <cell r="F4517">
            <v>41879.331875000003</v>
          </cell>
          <cell r="H4517" t="str">
            <v>B&amp;P-005-TCX214</v>
          </cell>
          <cell r="J4517">
            <v>1</v>
          </cell>
        </row>
        <row r="4518">
          <cell r="C4518" t="str">
            <v>B&amp;P-053-X-30214</v>
          </cell>
          <cell r="F4518">
            <v>41879.331875000003</v>
          </cell>
          <cell r="H4518" t="str">
            <v>B&amp;P-053-TCX214</v>
          </cell>
          <cell r="J4518">
            <v>1</v>
          </cell>
        </row>
        <row r="4519">
          <cell r="C4519" t="str">
            <v>B&amp;P-053-X-32206</v>
          </cell>
          <cell r="F4519">
            <v>41885.434155092589</v>
          </cell>
          <cell r="H4519" t="str">
            <v>B&amp;P-003-TDX206</v>
          </cell>
          <cell r="J4519">
            <v>17</v>
          </cell>
        </row>
        <row r="4520">
          <cell r="C4520" t="str">
            <v>B&amp;P-053-X-32206</v>
          </cell>
          <cell r="F4520">
            <v>41885.434155092589</v>
          </cell>
          <cell r="H4520" t="str">
            <v>B&amp;P-005-TDX206</v>
          </cell>
          <cell r="J4520">
            <v>1</v>
          </cell>
        </row>
        <row r="4521">
          <cell r="C4521" t="str">
            <v>B&amp;P-053-X-32206</v>
          </cell>
          <cell r="F4521">
            <v>41885.434155092589</v>
          </cell>
          <cell r="H4521" t="str">
            <v>B&amp;P-053-TDX206</v>
          </cell>
          <cell r="J4521">
            <v>1</v>
          </cell>
        </row>
        <row r="4522">
          <cell r="C4522" t="str">
            <v>B&amp;P-053-X-32205</v>
          </cell>
          <cell r="F4522">
            <v>41894.603506944448</v>
          </cell>
          <cell r="H4522" t="str">
            <v>B&amp;P-005-TDX205</v>
          </cell>
          <cell r="J4522">
            <v>1</v>
          </cell>
        </row>
        <row r="4523">
          <cell r="C4523" t="str">
            <v>B&amp;P-047-ACL-209-45DG</v>
          </cell>
          <cell r="F4523">
            <v>42048.455104166664</v>
          </cell>
          <cell r="H4523" t="str">
            <v>B&amp;P-001-OR209-01</v>
          </cell>
          <cell r="J4523">
            <v>1</v>
          </cell>
        </row>
        <row r="4524">
          <cell r="C4524" t="str">
            <v>B&amp;P-047-ACL-209-45DG</v>
          </cell>
          <cell r="F4524">
            <v>42048.455104166664</v>
          </cell>
          <cell r="H4524" t="str">
            <v>B&amp;P-002-ACL209-45-02</v>
          </cell>
          <cell r="J4524">
            <v>1</v>
          </cell>
        </row>
        <row r="4525">
          <cell r="C4525" t="str">
            <v>B&amp;P-047-ACL-209-45DG</v>
          </cell>
          <cell r="F4525">
            <v>42048.455104166664</v>
          </cell>
          <cell r="H4525" t="str">
            <v>B&amp;P-005-CAGE209-17</v>
          </cell>
          <cell r="J4525">
            <v>1</v>
          </cell>
        </row>
        <row r="4526">
          <cell r="C4526" t="str">
            <v>B&amp;P-047-ACL-209-45DG</v>
          </cell>
          <cell r="F4526">
            <v>42048.455104166664</v>
          </cell>
          <cell r="H4526" t="str">
            <v>B&amp;P-004-209-RST-08</v>
          </cell>
          <cell r="J4526">
            <v>2</v>
          </cell>
        </row>
        <row r="4527">
          <cell r="C4527" t="str">
            <v>B&amp;P-047-ACL-209-45DG</v>
          </cell>
          <cell r="F4527">
            <v>42048.455104166664</v>
          </cell>
          <cell r="H4527" t="str">
            <v>B&amp;P-003-Ball-1/2</v>
          </cell>
          <cell r="J4527">
            <v>9</v>
          </cell>
        </row>
        <row r="4528">
          <cell r="C4528" t="str">
            <v>B&amp;P-047-ACL-209-45DG</v>
          </cell>
          <cell r="F4528">
            <v>42048.455104166664</v>
          </cell>
          <cell r="H4528" t="str">
            <v>000-006-POLYREX-EM</v>
          </cell>
          <cell r="J4528">
            <v>8</v>
          </cell>
        </row>
        <row r="4529">
          <cell r="C4529" t="str">
            <v>B&amp;P-047-ACL-209-45DG</v>
          </cell>
          <cell r="F4529">
            <v>42048.455104166664</v>
          </cell>
          <cell r="H4529" t="str">
            <v>B&amp;P-010-LOC209-45</v>
          </cell>
          <cell r="J4529">
            <v>1</v>
          </cell>
        </row>
        <row r="4530">
          <cell r="C4530" t="str">
            <v>B&amp;P-LED-IP65-1CW10</v>
          </cell>
          <cell r="F4530">
            <v>42135.469351851854</v>
          </cell>
          <cell r="H4530" t="str">
            <v>B&amp;P-LED-36V-1CW10</v>
          </cell>
          <cell r="J4530">
            <v>1</v>
          </cell>
        </row>
        <row r="4531">
          <cell r="C4531" t="str">
            <v>B&amp;P-LED-IP65-1CW10</v>
          </cell>
          <cell r="F4531">
            <v>42135.469351851854</v>
          </cell>
          <cell r="H4531" t="str">
            <v>B&amp;P-FAL-BP-10R-40-C</v>
          </cell>
          <cell r="J4531">
            <v>1</v>
          </cell>
        </row>
        <row r="4532">
          <cell r="C4532" t="str">
            <v>B&amp;P-001-OR205-01</v>
          </cell>
          <cell r="F4532">
            <v>42270.296724537038</v>
          </cell>
          <cell r="H4532" t="str">
            <v>B&amp;P-001-OR205-A1</v>
          </cell>
          <cell r="J4532">
            <v>1</v>
          </cell>
        </row>
        <row r="4533">
          <cell r="C4533" t="str">
            <v>PEE-EMQ-6201-ZZ-C3</v>
          </cell>
          <cell r="F4533">
            <v>42298.476157407407</v>
          </cell>
          <cell r="H4533" t="str">
            <v>MID-001-6201-D</v>
          </cell>
          <cell r="J4533">
            <v>1</v>
          </cell>
        </row>
        <row r="4534">
          <cell r="C4534" t="str">
            <v>PEE-EMQ-6201-ZZ-C3</v>
          </cell>
          <cell r="F4534">
            <v>42298.476157407407</v>
          </cell>
          <cell r="H4534" t="str">
            <v>MID-002-6201-D</v>
          </cell>
          <cell r="J4534">
            <v>1</v>
          </cell>
        </row>
        <row r="4535">
          <cell r="C4535" t="str">
            <v>PEE-EMQ-6201-ZZ-C3</v>
          </cell>
          <cell r="F4535">
            <v>42298.476157407407</v>
          </cell>
          <cell r="H4535" t="str">
            <v>MID-005-6201-RET/SET</v>
          </cell>
          <cell r="J4535">
            <v>1</v>
          </cell>
        </row>
        <row r="4536">
          <cell r="C4536" t="str">
            <v>PEE-EMQ-6201-ZZ-C3</v>
          </cell>
          <cell r="F4536">
            <v>42298.476157407407</v>
          </cell>
          <cell r="H4536" t="str">
            <v>MID-003-15/64</v>
          </cell>
          <cell r="J4536">
            <v>7</v>
          </cell>
        </row>
        <row r="4537">
          <cell r="C4537" t="str">
            <v>PEE-EMQ-6201-ZZ-C3</v>
          </cell>
          <cell r="F4537">
            <v>42298.476157407407</v>
          </cell>
          <cell r="H4537" t="str">
            <v>000-006-POLYREX-EM</v>
          </cell>
          <cell r="J4537">
            <v>0.4</v>
          </cell>
        </row>
        <row r="4538">
          <cell r="C4538" t="str">
            <v>PEE-SS--6208-D-C3</v>
          </cell>
          <cell r="F4538">
            <v>42310.49795138889</v>
          </cell>
          <cell r="H4538" t="str">
            <v>000-002-6208-D</v>
          </cell>
          <cell r="J4538">
            <v>0</v>
          </cell>
        </row>
        <row r="4539">
          <cell r="C4539" t="str">
            <v>PEE-SS--6208-D-C3</v>
          </cell>
          <cell r="F4539">
            <v>42310.49795138889</v>
          </cell>
          <cell r="H4539" t="str">
            <v>000-005-6208-RET/SET</v>
          </cell>
          <cell r="J4539">
            <v>1</v>
          </cell>
        </row>
        <row r="4540">
          <cell r="C4540" t="str">
            <v>PEE-SS--6208-D-C3</v>
          </cell>
          <cell r="F4540">
            <v>42310.49795138889</v>
          </cell>
          <cell r="H4540" t="str">
            <v>000-003-1/2</v>
          </cell>
          <cell r="J4540">
            <v>9</v>
          </cell>
        </row>
        <row r="4541">
          <cell r="C4541" t="str">
            <v>B&amp;P-053-X-32205</v>
          </cell>
          <cell r="F4541">
            <v>41894.603506944448</v>
          </cell>
          <cell r="H4541" t="str">
            <v>B&amp;P-053-TDX205</v>
          </cell>
          <cell r="J4541">
            <v>1</v>
          </cell>
        </row>
        <row r="4542">
          <cell r="C4542" t="str">
            <v>BPB-041-MS06-2RST</v>
          </cell>
          <cell r="F4542">
            <v>41960.31422453704</v>
          </cell>
          <cell r="H4542" t="str">
            <v>B&amp;P-001-MS06-D</v>
          </cell>
          <cell r="J4542">
            <v>1</v>
          </cell>
        </row>
        <row r="4543">
          <cell r="C4543" t="str">
            <v>BPB-041-MS06-2RST</v>
          </cell>
          <cell r="F4543">
            <v>41960.31422453704</v>
          </cell>
          <cell r="H4543" t="str">
            <v>B&amp;P-002-MS06-D</v>
          </cell>
          <cell r="J4543">
            <v>1</v>
          </cell>
        </row>
        <row r="4544">
          <cell r="C4544" t="str">
            <v>BPB-041-MS06-2RST</v>
          </cell>
          <cell r="F4544">
            <v>41960.31422453704</v>
          </cell>
          <cell r="H4544" t="str">
            <v>B&amp;P-005-RET/SET-MS06</v>
          </cell>
          <cell r="J4544">
            <v>1</v>
          </cell>
        </row>
        <row r="4545">
          <cell r="C4545" t="str">
            <v>BPB-041-MS06-2RST</v>
          </cell>
          <cell r="F4545">
            <v>41960.31422453704</v>
          </cell>
          <cell r="H4545" t="str">
            <v>000-003-3/8</v>
          </cell>
          <cell r="J4545">
            <v>9</v>
          </cell>
        </row>
        <row r="4546">
          <cell r="C4546" t="str">
            <v>BPB-041-MS06-2RST</v>
          </cell>
          <cell r="F4546">
            <v>41960.31422453704</v>
          </cell>
          <cell r="H4546" t="str">
            <v>000-006-POLYREX-EM</v>
          </cell>
          <cell r="J4546">
            <v>6</v>
          </cell>
        </row>
        <row r="4547">
          <cell r="C4547" t="str">
            <v>BPB-041-MS06-2RST</v>
          </cell>
          <cell r="F4547">
            <v>41960.31422453704</v>
          </cell>
          <cell r="H4547" t="str">
            <v>B&amp;P-004-MS06-2RST-08</v>
          </cell>
          <cell r="J4547">
            <v>2</v>
          </cell>
        </row>
        <row r="4548">
          <cell r="C4548" t="str">
            <v>B&amp;P-041-LS05-ZZ</v>
          </cell>
          <cell r="F4548">
            <v>41976.627002314817</v>
          </cell>
          <cell r="H4548" t="str">
            <v>B&amp;P-001-LS05-D</v>
          </cell>
          <cell r="J4548">
            <v>1</v>
          </cell>
        </row>
        <row r="4549">
          <cell r="C4549" t="str">
            <v>B&amp;P-041-LS05-ZZ</v>
          </cell>
          <cell r="F4549">
            <v>41976.627002314817</v>
          </cell>
          <cell r="H4549" t="str">
            <v>B&amp;P-002-LS05-D</v>
          </cell>
          <cell r="J4549">
            <v>1</v>
          </cell>
        </row>
        <row r="4550">
          <cell r="C4550" t="str">
            <v>B&amp;P-041-LS05-ZZ</v>
          </cell>
          <cell r="F4550">
            <v>41976.627002314817</v>
          </cell>
          <cell r="H4550" t="str">
            <v>000-003-1/4</v>
          </cell>
          <cell r="J4550">
            <v>10</v>
          </cell>
        </row>
        <row r="4551">
          <cell r="C4551" t="str">
            <v>B&amp;P-041-LS05-ZZ</v>
          </cell>
          <cell r="F4551">
            <v>41976.627002314817</v>
          </cell>
          <cell r="H4551" t="str">
            <v>B&amp;P-005-RET/SET-LS05</v>
          </cell>
          <cell r="J4551">
            <v>1</v>
          </cell>
        </row>
        <row r="4552">
          <cell r="C4552" t="str">
            <v>B&amp;P-041-LS05-ZZ</v>
          </cell>
          <cell r="F4552">
            <v>41976.627002314817</v>
          </cell>
          <cell r="H4552" t="str">
            <v>000-006-POLYREX-EM</v>
          </cell>
          <cell r="J4552">
            <v>2.5</v>
          </cell>
        </row>
        <row r="4553">
          <cell r="C4553" t="str">
            <v>B&amp;P-041-LS05-ZZ</v>
          </cell>
          <cell r="F4553">
            <v>41976.627002314817</v>
          </cell>
          <cell r="H4553" t="str">
            <v>000-004-6005-Z</v>
          </cell>
          <cell r="J4553">
            <v>2</v>
          </cell>
        </row>
        <row r="4554">
          <cell r="C4554" t="str">
            <v>B&amp;P-ALU-MW-300XPE</v>
          </cell>
          <cell r="F4554">
            <v>42212.510115740741</v>
          </cell>
          <cell r="H4554" t="str">
            <v>B&amp;P-ALU-Disi-300XPE</v>
          </cell>
          <cell r="J4554">
            <v>1</v>
          </cell>
        </row>
        <row r="4555">
          <cell r="C4555" t="str">
            <v>B&amp;P-ALU-MW-300XPE</v>
          </cell>
          <cell r="F4555">
            <v>42212.510115740741</v>
          </cell>
          <cell r="H4555" t="str">
            <v>B&amp;P-LED-SOP-300XPE</v>
          </cell>
          <cell r="J4555">
            <v>1</v>
          </cell>
        </row>
        <row r="4556">
          <cell r="C4556" t="str">
            <v>B&amp;P-ALU-MW-300XPE</v>
          </cell>
          <cell r="F4556">
            <v>42212.510115740741</v>
          </cell>
          <cell r="H4556" t="str">
            <v>B&amp;P-LED-SOP-XPE-01</v>
          </cell>
          <cell r="J4556">
            <v>2</v>
          </cell>
        </row>
        <row r="4557">
          <cell r="C4557" t="str">
            <v>B&amp;P-ALU-MW-300XPE</v>
          </cell>
          <cell r="F4557">
            <v>42212.510115740741</v>
          </cell>
          <cell r="H4557" t="str">
            <v>B&amp;P-PCB-XTE28-CW</v>
          </cell>
          <cell r="J4557">
            <v>4</v>
          </cell>
        </row>
        <row r="4558">
          <cell r="C4558" t="str">
            <v>B&amp;P-ALU-MW-300XPE</v>
          </cell>
          <cell r="F4558">
            <v>42212.510115740741</v>
          </cell>
          <cell r="H4558" t="str">
            <v>B&amp;P-PCB-XTE28-60x120</v>
          </cell>
          <cell r="J4558">
            <v>4</v>
          </cell>
        </row>
        <row r="4559">
          <cell r="C4559" t="str">
            <v>B&amp;P-ALU-MW-300XPE</v>
          </cell>
          <cell r="F4559">
            <v>42212.510115740741</v>
          </cell>
          <cell r="H4559" t="str">
            <v>B&amp;P-FAL-BP-120R-50</v>
          </cell>
          <cell r="J4559">
            <v>2</v>
          </cell>
        </row>
        <row r="4560">
          <cell r="C4560" t="str">
            <v>B&amp;P-LED-4CW50</v>
          </cell>
          <cell r="F4560">
            <v>42278.58871527778</v>
          </cell>
          <cell r="H4560" t="str">
            <v>B&amp;P-LED-ZR-81</v>
          </cell>
          <cell r="J4560">
            <v>4</v>
          </cell>
        </row>
        <row r="4561">
          <cell r="C4561" t="str">
            <v>B&amp;P-LED-4CW50</v>
          </cell>
          <cell r="F4561">
            <v>42278.58871527778</v>
          </cell>
          <cell r="H4561" t="str">
            <v>B&amp;P-LED-2082-HBL</v>
          </cell>
          <cell r="J4561">
            <v>4</v>
          </cell>
        </row>
        <row r="4562">
          <cell r="C4562" t="str">
            <v>B&amp;P-LED-4CW50</v>
          </cell>
          <cell r="F4562">
            <v>42278.58871527778</v>
          </cell>
          <cell r="H4562" t="str">
            <v>B&amp;P-LED-TDS-P030LAU2</v>
          </cell>
          <cell r="J4562">
            <v>4</v>
          </cell>
        </row>
        <row r="4563">
          <cell r="C4563" t="str">
            <v>B&amp;P-LED-4CW50</v>
          </cell>
          <cell r="F4563">
            <v>42278.58871527778</v>
          </cell>
          <cell r="H4563" t="str">
            <v>B&amp;P-FAL-BP-50R-36</v>
          </cell>
          <cell r="J4563">
            <v>4</v>
          </cell>
        </row>
        <row r="4564">
          <cell r="C4564" t="str">
            <v>PEE-SS--6208-D-C3</v>
          </cell>
          <cell r="F4564">
            <v>42310.49795138889</v>
          </cell>
          <cell r="H4564" t="str">
            <v>000-001-6208-D</v>
          </cell>
          <cell r="J4564">
            <v>1</v>
          </cell>
        </row>
        <row r="4565">
          <cell r="C4565" t="str">
            <v>B&amp;P-HS--LS05-D</v>
          </cell>
          <cell r="F4565">
            <v>42325.391041666669</v>
          </cell>
          <cell r="H4565" t="str">
            <v>B&amp;P-001-LS05-D</v>
          </cell>
          <cell r="J4565">
            <v>1</v>
          </cell>
        </row>
        <row r="4566">
          <cell r="C4566" t="str">
            <v>B&amp;P-HS--LS05-D</v>
          </cell>
          <cell r="F4566">
            <v>42325.391041666669</v>
          </cell>
          <cell r="H4566" t="str">
            <v>B&amp;P-002-LS05-D</v>
          </cell>
          <cell r="J4566">
            <v>1</v>
          </cell>
        </row>
        <row r="4567">
          <cell r="C4567" t="str">
            <v>B&amp;P-HS--LS05-D</v>
          </cell>
          <cell r="F4567">
            <v>42325.391041666669</v>
          </cell>
          <cell r="H4567" t="str">
            <v>B&amp;P-005-RET/SET-LS05</v>
          </cell>
          <cell r="J4567">
            <v>1</v>
          </cell>
        </row>
        <row r="4568">
          <cell r="C4568" t="str">
            <v>B&amp;P-HS--LS05-D</v>
          </cell>
          <cell r="F4568">
            <v>42325.391041666669</v>
          </cell>
          <cell r="H4568" t="str">
            <v>B&amp;P-003-BALLS-1/4</v>
          </cell>
          <cell r="J4568">
            <v>10</v>
          </cell>
        </row>
        <row r="4569">
          <cell r="C4569" t="str">
            <v>B&amp;P-HS--LS05-2Z</v>
          </cell>
          <cell r="F4569">
            <v>42325.444143518522</v>
          </cell>
          <cell r="H4569" t="str">
            <v>B&amp;P-001-LS05-D</v>
          </cell>
          <cell r="J4569">
            <v>1</v>
          </cell>
        </row>
        <row r="4570">
          <cell r="C4570" t="str">
            <v>B&amp;P-HS--LS05-2Z</v>
          </cell>
          <cell r="F4570">
            <v>42325.444143518522</v>
          </cell>
          <cell r="H4570" t="str">
            <v>B&amp;P-002-LS05-D</v>
          </cell>
          <cell r="J4570">
            <v>1</v>
          </cell>
        </row>
        <row r="4571">
          <cell r="C4571" t="str">
            <v>B&amp;P-HS--LS05-2Z</v>
          </cell>
          <cell r="F4571">
            <v>42325.444143518522</v>
          </cell>
          <cell r="H4571" t="str">
            <v>B&amp;P-005-RET/SET-LS05</v>
          </cell>
          <cell r="J4571">
            <v>1</v>
          </cell>
        </row>
        <row r="4572">
          <cell r="C4572" t="str">
            <v>B&amp;P-HS--LS05-2Z</v>
          </cell>
          <cell r="F4572">
            <v>42325.444143518522</v>
          </cell>
          <cell r="H4572" t="str">
            <v>B&amp;P-003-BALLS-1/4</v>
          </cell>
          <cell r="J4572">
            <v>10</v>
          </cell>
        </row>
        <row r="4573">
          <cell r="C4573" t="str">
            <v>B&amp;P-HS--LS05-2Z</v>
          </cell>
          <cell r="F4573">
            <v>42325.444143518522</v>
          </cell>
          <cell r="H4573" t="str">
            <v>000-006-POLYREX-EM</v>
          </cell>
          <cell r="J4573">
            <v>1</v>
          </cell>
        </row>
        <row r="4574">
          <cell r="C4574" t="str">
            <v>B&amp;P-HS--LS05-2Z</v>
          </cell>
          <cell r="F4574">
            <v>42325.444143518522</v>
          </cell>
          <cell r="H4574" t="str">
            <v>000-004-6005-Z</v>
          </cell>
          <cell r="J4574">
            <v>2</v>
          </cell>
        </row>
        <row r="4575">
          <cell r="C4575" t="str">
            <v>B&amp;P-041-LS05-2RST</v>
          </cell>
          <cell r="F4575">
            <v>42325.456689814811</v>
          </cell>
          <cell r="H4575" t="str">
            <v>B&amp;P-001-LS05-D</v>
          </cell>
          <cell r="J4575">
            <v>1</v>
          </cell>
        </row>
        <row r="4576">
          <cell r="C4576" t="str">
            <v>B&amp;P-041-LS05-2RST</v>
          </cell>
          <cell r="F4576">
            <v>42325.456689814811</v>
          </cell>
          <cell r="H4576" t="str">
            <v>B&amp;P-002-LS05-D</v>
          </cell>
          <cell r="J4576">
            <v>1</v>
          </cell>
        </row>
        <row r="4577">
          <cell r="C4577" t="str">
            <v>B&amp;P-041-LS05-2RST</v>
          </cell>
          <cell r="F4577">
            <v>42325.456689814811</v>
          </cell>
          <cell r="H4577" t="str">
            <v>B&amp;P-005-RET/SET-LS05</v>
          </cell>
          <cell r="J4577">
            <v>1</v>
          </cell>
        </row>
        <row r="4578">
          <cell r="C4578" t="str">
            <v>B&amp;P-041-LS05-2RST</v>
          </cell>
          <cell r="F4578">
            <v>42325.456689814811</v>
          </cell>
          <cell r="H4578" t="str">
            <v>B&amp;P-003-BALLS-1/4</v>
          </cell>
          <cell r="J4578">
            <v>10</v>
          </cell>
        </row>
        <row r="4579">
          <cell r="C4579" t="str">
            <v>B&amp;P-041-LS05-2RST</v>
          </cell>
          <cell r="F4579">
            <v>42325.456689814811</v>
          </cell>
          <cell r="H4579" t="str">
            <v>000-006-POLYREX-EM</v>
          </cell>
          <cell r="J4579">
            <v>2.5</v>
          </cell>
        </row>
        <row r="4580">
          <cell r="C4580" t="str">
            <v>B&amp;P-041-LS05-2RST</v>
          </cell>
          <cell r="F4580">
            <v>42325.456689814811</v>
          </cell>
          <cell r="H4580" t="str">
            <v>B&amp;P-004-LS05-2RST-08</v>
          </cell>
          <cell r="J4580">
            <v>2</v>
          </cell>
        </row>
        <row r="4581">
          <cell r="C4581" t="str">
            <v>B&amp;P-041-LS05-2RLD</v>
          </cell>
          <cell r="F4581">
            <v>42325.640208333331</v>
          </cell>
          <cell r="H4581" t="str">
            <v>B&amp;P-001-LS05-D</v>
          </cell>
          <cell r="J4581">
            <v>1</v>
          </cell>
        </row>
        <row r="4582">
          <cell r="C4582" t="str">
            <v>B&amp;P-041-LS05-2RLD</v>
          </cell>
          <cell r="F4582">
            <v>42325.640208333331</v>
          </cell>
          <cell r="H4582" t="str">
            <v>B&amp;P-002-LS05-D</v>
          </cell>
          <cell r="J4582">
            <v>1</v>
          </cell>
        </row>
        <row r="4583">
          <cell r="C4583" t="str">
            <v>B&amp;P-041-LS05-2RLD</v>
          </cell>
          <cell r="F4583">
            <v>42325.640208333331</v>
          </cell>
          <cell r="H4583" t="str">
            <v>B&amp;P-005-RET/SET-LS05</v>
          </cell>
          <cell r="J4583">
            <v>1</v>
          </cell>
        </row>
        <row r="4584">
          <cell r="C4584" t="str">
            <v>B&amp;P-041-LS05-2RLD</v>
          </cell>
          <cell r="F4584">
            <v>42325.640208333331</v>
          </cell>
          <cell r="H4584" t="str">
            <v>B&amp;P-003-BALLS-1/4</v>
          </cell>
          <cell r="J4584">
            <v>10</v>
          </cell>
        </row>
        <row r="4585">
          <cell r="C4585" t="str">
            <v>B&amp;P-041-LS05-2RLD</v>
          </cell>
          <cell r="F4585">
            <v>42325.640208333331</v>
          </cell>
          <cell r="H4585" t="str">
            <v>000-006-POLYREX-EM</v>
          </cell>
          <cell r="J4585">
            <v>1</v>
          </cell>
        </row>
        <row r="4586">
          <cell r="C4586" t="str">
            <v>B&amp;P-041-LS05-2RLD</v>
          </cell>
          <cell r="F4586">
            <v>42325.640208333331</v>
          </cell>
          <cell r="H4586" t="str">
            <v>B&amp;P-004-LS05RLD-BLUE</v>
          </cell>
          <cell r="J4586">
            <v>2</v>
          </cell>
        </row>
        <row r="4587">
          <cell r="C4587" t="str">
            <v>B&amp;P-ALU-MW-500XPE-T</v>
          </cell>
          <cell r="F4587">
            <v>42468.484849537039</v>
          </cell>
          <cell r="H4587" t="str">
            <v>B&amp;P-PCB-XTE28-CW</v>
          </cell>
          <cell r="J4587">
            <v>4</v>
          </cell>
        </row>
        <row r="4588">
          <cell r="C4588" t="str">
            <v>B&amp;P-ALU-MW-500XPE-T</v>
          </cell>
          <cell r="F4588">
            <v>42468.484849537039</v>
          </cell>
          <cell r="H4588" t="str">
            <v>B&amp;P-PCB-XTE28-Gasket</v>
          </cell>
          <cell r="J4588">
            <v>4</v>
          </cell>
        </row>
        <row r="4589">
          <cell r="C4589" t="str">
            <v>B&amp;P-ALU-MW-500XPE-T</v>
          </cell>
          <cell r="F4589">
            <v>42468.484849537039</v>
          </cell>
          <cell r="H4589" t="str">
            <v>B&amp;P-FAL-HLG-185H-54A</v>
          </cell>
          <cell r="J4589">
            <v>2</v>
          </cell>
        </row>
        <row r="4590">
          <cell r="C4590" t="str">
            <v>B&amp;P-ALU-MW-500XPE-T</v>
          </cell>
          <cell r="F4590">
            <v>42468.484849537039</v>
          </cell>
          <cell r="H4590" t="str">
            <v>B&amp;P-ALU-DISI-500XPE</v>
          </cell>
          <cell r="J4590">
            <v>1</v>
          </cell>
        </row>
        <row r="4591">
          <cell r="C4591" t="str">
            <v>B&amp;P-LED-PANEL100W-NW</v>
          </cell>
          <cell r="F4591">
            <v>42531.460439814815</v>
          </cell>
          <cell r="H4591" t="str">
            <v>B&amp;P-LED-36-PNL100-NW</v>
          </cell>
          <cell r="J4591">
            <v>1</v>
          </cell>
        </row>
        <row r="4592">
          <cell r="C4592" t="str">
            <v>B&amp;P-LED-PANEL100W-NW</v>
          </cell>
          <cell r="F4592">
            <v>42531.460439814815</v>
          </cell>
          <cell r="H4592" t="str">
            <v>B&amp;P-FAL-BP-35R-36-A</v>
          </cell>
          <cell r="J4592">
            <v>2</v>
          </cell>
        </row>
        <row r="4593">
          <cell r="C4593" t="str">
            <v>B&amp;P-LED-FAL-200R</v>
          </cell>
          <cell r="F4593">
            <v>42828.652349537035</v>
          </cell>
          <cell r="H4593" t="str">
            <v>B&amp;P-FAL-BP-200H-54B</v>
          </cell>
          <cell r="J4593">
            <v>1</v>
          </cell>
        </row>
        <row r="4594">
          <cell r="C4594" t="str">
            <v>B&amp;P-LED-FAL-200R</v>
          </cell>
          <cell r="F4594">
            <v>42828.652349537035</v>
          </cell>
          <cell r="H4594" t="str">
            <v>B&amp;P-LED-RPM220-10/T</v>
          </cell>
          <cell r="J4594">
            <v>1</v>
          </cell>
        </row>
        <row r="4595">
          <cell r="C4595" t="str">
            <v>B&amp;P-LED-OV-54200-5</v>
          </cell>
          <cell r="F4595">
            <v>43080.598553240743</v>
          </cell>
          <cell r="H4595" t="str">
            <v>B&amp;P-LED-HB-3005000K</v>
          </cell>
          <cell r="J4595">
            <v>1</v>
          </cell>
        </row>
        <row r="4596">
          <cell r="C4596" t="str">
            <v>B&amp;P-LED-OV-54200-5</v>
          </cell>
          <cell r="F4596">
            <v>43080.598553240743</v>
          </cell>
          <cell r="H4596" t="str">
            <v>B&amp;P-FAL-BP-200H-54B</v>
          </cell>
          <cell r="J4596">
            <v>1</v>
          </cell>
        </row>
        <row r="4597">
          <cell r="C4597" t="str">
            <v>B&amp;P-ALU-EX50/NSPD</v>
          </cell>
          <cell r="F4597">
            <v>44895.604259259257</v>
          </cell>
          <cell r="H4597" t="str">
            <v>B&amp;P-ALU-EX50-LENS</v>
          </cell>
          <cell r="J4597">
            <v>1</v>
          </cell>
        </row>
        <row r="4598">
          <cell r="C4598" t="str">
            <v>B&amp;P-001-MS06-D-22</v>
          </cell>
          <cell r="F4598">
            <v>42312.6253125</v>
          </cell>
          <cell r="H4598" t="str">
            <v>MID-001-6206-D</v>
          </cell>
          <cell r="J4598">
            <v>1</v>
          </cell>
        </row>
        <row r="4599">
          <cell r="C4599" t="str">
            <v>BPB-041-6202-2RLD-C3</v>
          </cell>
          <cell r="F4599">
            <v>42381.451215277775</v>
          </cell>
          <cell r="H4599" t="str">
            <v>000-001-6202-D</v>
          </cell>
          <cell r="J4599">
            <v>1</v>
          </cell>
        </row>
        <row r="4600">
          <cell r="C4600" t="str">
            <v>BPB-041-6202-2RLD-C3</v>
          </cell>
          <cell r="F4600">
            <v>42381.451215277775</v>
          </cell>
          <cell r="H4600" t="str">
            <v>000-002-6202-D</v>
          </cell>
          <cell r="J4600">
            <v>1</v>
          </cell>
        </row>
        <row r="4601">
          <cell r="C4601" t="str">
            <v>BPB-041-6202-2RLD-C3</v>
          </cell>
          <cell r="F4601">
            <v>42381.451215277775</v>
          </cell>
          <cell r="H4601" t="str">
            <v>000-005-6202-RET/SET</v>
          </cell>
          <cell r="J4601">
            <v>1</v>
          </cell>
        </row>
        <row r="4602">
          <cell r="C4602" t="str">
            <v>BPB-041-6202-2RLD-C3</v>
          </cell>
          <cell r="F4602">
            <v>42381.451215277775</v>
          </cell>
          <cell r="H4602" t="str">
            <v>BPB-004-RLD6202BLUE</v>
          </cell>
          <cell r="J4602">
            <v>2</v>
          </cell>
        </row>
        <row r="4603">
          <cell r="C4603" t="str">
            <v>BPB-041-6202-2RLD-C3</v>
          </cell>
          <cell r="F4603">
            <v>42381.451215277775</v>
          </cell>
          <cell r="H4603" t="str">
            <v>000-006-POLYREX-EM</v>
          </cell>
          <cell r="J4603">
            <v>0.7</v>
          </cell>
        </row>
        <row r="4604">
          <cell r="C4604" t="str">
            <v>BPB-041-6202-2RLD-C3</v>
          </cell>
          <cell r="F4604">
            <v>42381.451215277775</v>
          </cell>
          <cell r="H4604" t="str">
            <v>MID-003-15/64</v>
          </cell>
          <cell r="J4604">
            <v>8</v>
          </cell>
        </row>
        <row r="4605">
          <cell r="C4605" t="str">
            <v>BPB-047-SAB209-45DG</v>
          </cell>
          <cell r="F4605">
            <v>42404.428680555553</v>
          </cell>
          <cell r="H4605" t="str">
            <v>B&amp;P-001-OR209-01</v>
          </cell>
          <cell r="J4605">
            <v>1</v>
          </cell>
        </row>
        <row r="4606">
          <cell r="C4606" t="str">
            <v>BPB-047-SAB209-45DG</v>
          </cell>
          <cell r="F4606">
            <v>42404.428680555553</v>
          </cell>
          <cell r="H4606" t="str">
            <v>B&amp;P-002-SAB209-45-02</v>
          </cell>
          <cell r="J4606">
            <v>1</v>
          </cell>
        </row>
        <row r="4607">
          <cell r="C4607" t="str">
            <v>BPB-047-SAB209-45DG</v>
          </cell>
          <cell r="F4607">
            <v>42404.428680555553</v>
          </cell>
          <cell r="H4607" t="str">
            <v>B&amp;P-003-Ball-1/2</v>
          </cell>
          <cell r="J4607">
            <v>9</v>
          </cell>
        </row>
        <row r="4608">
          <cell r="C4608" t="str">
            <v>BPB-047-SAB209-45DG</v>
          </cell>
          <cell r="F4608">
            <v>42404.428680555553</v>
          </cell>
          <cell r="H4608" t="str">
            <v>B&amp;P-005-CAGE209-17</v>
          </cell>
          <cell r="J4608">
            <v>1</v>
          </cell>
        </row>
        <row r="4609">
          <cell r="C4609" t="str">
            <v>BPB-047-SAB209-45DG</v>
          </cell>
          <cell r="F4609">
            <v>42404.428680555553</v>
          </cell>
          <cell r="H4609" t="str">
            <v>000-006-POLYREX-EM</v>
          </cell>
          <cell r="J4609">
            <v>12</v>
          </cell>
        </row>
        <row r="4610">
          <cell r="C4610" t="str">
            <v>BPB-047-SAB209-45DG</v>
          </cell>
          <cell r="F4610">
            <v>42404.428680555553</v>
          </cell>
          <cell r="H4610" t="str">
            <v>B&amp;P-004-209-DBL-08</v>
          </cell>
          <cell r="J4610">
            <v>2</v>
          </cell>
        </row>
        <row r="4611">
          <cell r="C4611" t="str">
            <v>B&amp;P-LED-OV300-5</v>
          </cell>
          <cell r="F4611">
            <v>42836.432997685188</v>
          </cell>
          <cell r="H4611" t="str">
            <v>B&amp;P-FAL-HLG-320H-48B</v>
          </cell>
          <cell r="J4611">
            <v>1</v>
          </cell>
        </row>
        <row r="4612">
          <cell r="C4612" t="str">
            <v>B&amp;P-ALU-DISI-100XTE</v>
          </cell>
          <cell r="F4612">
            <v>42528.463553240741</v>
          </cell>
          <cell r="H4612" t="str">
            <v>B&amp;P-ALU-DISI100XTEA1</v>
          </cell>
          <cell r="J4612">
            <v>1</v>
          </cell>
        </row>
        <row r="4613">
          <cell r="C4613" t="str">
            <v>BPB-999-SAB209-45DG</v>
          </cell>
          <cell r="F4613">
            <v>42726.503310185188</v>
          </cell>
          <cell r="H4613" t="str">
            <v>B&amp;P-001-OR209-01</v>
          </cell>
          <cell r="J4613">
            <v>1</v>
          </cell>
        </row>
        <row r="4614">
          <cell r="C4614" t="str">
            <v>BPB-999-SAB209-45DG</v>
          </cell>
          <cell r="F4614">
            <v>42726.503310185188</v>
          </cell>
          <cell r="H4614" t="str">
            <v>B&amp;P-002-SAB209-45-02</v>
          </cell>
          <cell r="J4614">
            <v>1</v>
          </cell>
        </row>
        <row r="4615">
          <cell r="C4615" t="str">
            <v>BPB-999-SAB209-45DG</v>
          </cell>
          <cell r="F4615">
            <v>42726.503310185188</v>
          </cell>
          <cell r="H4615" t="str">
            <v>B&amp;P-004-SAB209-45-28</v>
          </cell>
          <cell r="J4615">
            <v>2</v>
          </cell>
        </row>
        <row r="4616">
          <cell r="C4616" t="str">
            <v>BPB-999-SAB209-45DG</v>
          </cell>
          <cell r="F4616">
            <v>42726.503310185188</v>
          </cell>
          <cell r="H4616" t="str">
            <v>B&amp;P-005-CAGE209-17</v>
          </cell>
          <cell r="J4616">
            <v>1</v>
          </cell>
        </row>
        <row r="4617">
          <cell r="C4617" t="str">
            <v>BPB-999-SAB209-45DG</v>
          </cell>
          <cell r="F4617">
            <v>42726.503310185188</v>
          </cell>
          <cell r="H4617" t="str">
            <v>B&amp;P-003-Ball-1/2</v>
          </cell>
          <cell r="J4617">
            <v>9</v>
          </cell>
        </row>
        <row r="4618">
          <cell r="C4618" t="str">
            <v>BPB-999-SAB209-45DG</v>
          </cell>
          <cell r="F4618">
            <v>42726.503310185188</v>
          </cell>
          <cell r="H4618" t="str">
            <v>B&amp;P-037-PRI-8X1X</v>
          </cell>
          <cell r="J4618">
            <v>2</v>
          </cell>
        </row>
        <row r="4619">
          <cell r="C4619" t="str">
            <v>BPB-999-SAB209-45DG</v>
          </cell>
          <cell r="F4619">
            <v>42726.503310185188</v>
          </cell>
          <cell r="H4619" t="str">
            <v>000-006-POLYREX-EM</v>
          </cell>
          <cell r="J4619">
            <v>11</v>
          </cell>
        </row>
        <row r="4620">
          <cell r="C4620" t="str">
            <v>B&amp;P-LED-FAL-120</v>
          </cell>
          <cell r="F4620">
            <v>42805.422650462962</v>
          </cell>
          <cell r="H4620" t="str">
            <v>B&amp;P-FAL-BP-120H-54B</v>
          </cell>
          <cell r="J4620">
            <v>1</v>
          </cell>
        </row>
        <row r="4621">
          <cell r="C4621" t="str">
            <v>B&amp;P-LED-FAL-120</v>
          </cell>
          <cell r="F4621">
            <v>42805.422650462962</v>
          </cell>
          <cell r="H4621" t="str">
            <v>B&amp;P-LED-SP1</v>
          </cell>
          <cell r="J4621">
            <v>1</v>
          </cell>
        </row>
        <row r="4622">
          <cell r="C4622" t="str">
            <v>B&amp;P-LED-FAL-180</v>
          </cell>
          <cell r="F4622">
            <v>42805.426192129627</v>
          </cell>
          <cell r="H4622" t="str">
            <v>B&amp;P-FAL-BP-200H-54B</v>
          </cell>
          <cell r="J4622">
            <v>1</v>
          </cell>
        </row>
        <row r="4623">
          <cell r="C4623" t="str">
            <v>B&amp;P-LED-FAL-180</v>
          </cell>
          <cell r="F4623">
            <v>42805.426192129627</v>
          </cell>
          <cell r="H4623" t="str">
            <v>B&amp;P-LED-SP1</v>
          </cell>
          <cell r="J4623">
            <v>1</v>
          </cell>
        </row>
        <row r="4624">
          <cell r="C4624" t="str">
            <v>B&amp;P-ALU-FAL-120R</v>
          </cell>
          <cell r="F4624">
            <v>42822.489768518521</v>
          </cell>
          <cell r="H4624" t="str">
            <v>B&amp;P-FAL-BP-120R-50</v>
          </cell>
          <cell r="J4624">
            <v>1</v>
          </cell>
        </row>
        <row r="4625">
          <cell r="C4625" t="str">
            <v>B&amp;P-ALU-FAL-120R</v>
          </cell>
          <cell r="F4625">
            <v>42822.489768518521</v>
          </cell>
          <cell r="H4625" t="str">
            <v>B&amp;P-FAL-SPD-20KV</v>
          </cell>
          <cell r="J4625">
            <v>1</v>
          </cell>
        </row>
        <row r="4626">
          <cell r="C4626" t="str">
            <v>B&amp;P-LED-OV300-5</v>
          </cell>
          <cell r="F4626">
            <v>42836.432997685188</v>
          </cell>
          <cell r="H4626" t="str">
            <v>B&amp;P-LED-OV300-5-01</v>
          </cell>
          <cell r="J4626">
            <v>1</v>
          </cell>
        </row>
        <row r="4627">
          <cell r="C4627" t="str">
            <v>B&amp;P-LED-OV300-5</v>
          </cell>
          <cell r="F4627">
            <v>42836.432997685188</v>
          </cell>
          <cell r="H4627" t="str">
            <v>B&amp;P-LED-HB-3005000K</v>
          </cell>
          <cell r="J4627">
            <v>1</v>
          </cell>
        </row>
        <row r="4628">
          <cell r="C4628" t="str">
            <v>B&amp;P-ALU-CA100WCW</v>
          </cell>
          <cell r="F4628">
            <v>42948.715694444443</v>
          </cell>
          <cell r="H4628" t="str">
            <v>B&amp;P-LED-CXA3050CW</v>
          </cell>
          <cell r="J4628">
            <v>1</v>
          </cell>
        </row>
        <row r="4629">
          <cell r="C4629" t="str">
            <v>B&amp;P-ALU-CA100WCW</v>
          </cell>
          <cell r="F4629">
            <v>42948.715694444443</v>
          </cell>
          <cell r="H4629" t="str">
            <v>B&amp;P-FAL-HLG-80H-36A</v>
          </cell>
          <cell r="J4629">
            <v>1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1">
          <cell r="A1" t="str">
            <v>produc</v>
          </cell>
          <cell r="G1" t="str">
            <v>compro_codi</v>
          </cell>
          <cell r="L1" t="str">
            <v>fecha</v>
          </cell>
          <cell r="M1" t="str">
            <v>Cotiza</v>
          </cell>
          <cell r="P1" t="str">
            <v>costo U$s</v>
          </cell>
        </row>
        <row r="2">
          <cell r="A2" t="str">
            <v>000-000-2</v>
          </cell>
          <cell r="G2" t="str">
            <v>IDESP</v>
          </cell>
          <cell r="L2">
            <v>45777</v>
          </cell>
          <cell r="M2">
            <v>1180</v>
          </cell>
          <cell r="P2">
            <v>4535.76</v>
          </cell>
        </row>
        <row r="3">
          <cell r="A3" t="str">
            <v>000-001-AL030AR009</v>
          </cell>
          <cell r="G3" t="str">
            <v>IDESP</v>
          </cell>
          <cell r="L3">
            <v>45553</v>
          </cell>
          <cell r="M3">
            <v>982</v>
          </cell>
          <cell r="P3">
            <v>18.21</v>
          </cell>
        </row>
        <row r="4">
          <cell r="A4" t="str">
            <v>000-001-AM033AR209</v>
          </cell>
          <cell r="G4" t="str">
            <v>IDESP</v>
          </cell>
          <cell r="L4">
            <v>45553</v>
          </cell>
          <cell r="M4">
            <v>982</v>
          </cell>
          <cell r="P4">
            <v>8.31</v>
          </cell>
        </row>
        <row r="5">
          <cell r="A5" t="str">
            <v>000-001-ANROTPIN-1.5</v>
          </cell>
          <cell r="G5" t="str">
            <v>INCOU</v>
          </cell>
          <cell r="L5">
            <v>45617</v>
          </cell>
          <cell r="M5">
            <v>1023</v>
          </cell>
          <cell r="P5">
            <v>3.8</v>
          </cell>
        </row>
        <row r="6">
          <cell r="A6" t="str">
            <v>000-001-ANROTPIN-1.8</v>
          </cell>
          <cell r="G6" t="str">
            <v>INCOU</v>
          </cell>
          <cell r="L6">
            <v>45617</v>
          </cell>
          <cell r="M6">
            <v>1023</v>
          </cell>
          <cell r="P6">
            <v>6.64</v>
          </cell>
        </row>
        <row r="7">
          <cell r="A7" t="str">
            <v>000-001-ANROTPIN-1.9</v>
          </cell>
          <cell r="G7" t="str">
            <v>INCOU</v>
          </cell>
          <cell r="L7">
            <v>45617</v>
          </cell>
          <cell r="M7">
            <v>1023</v>
          </cell>
          <cell r="P7">
            <v>6.64</v>
          </cell>
        </row>
        <row r="8">
          <cell r="A8" t="str">
            <v>000-001-CV030A0</v>
          </cell>
          <cell r="G8" t="str">
            <v>IDESP</v>
          </cell>
          <cell r="L8">
            <v>45722</v>
          </cell>
          <cell r="M8">
            <v>1084.5</v>
          </cell>
          <cell r="P8">
            <v>1239.77</v>
          </cell>
        </row>
        <row r="9">
          <cell r="A9" t="str">
            <v>000-001-LL028AR</v>
          </cell>
          <cell r="G9" t="str">
            <v>IDESP</v>
          </cell>
          <cell r="L9">
            <v>45722</v>
          </cell>
          <cell r="M9">
            <v>1084.5</v>
          </cell>
          <cell r="P9">
            <v>182.53</v>
          </cell>
        </row>
        <row r="10">
          <cell r="A10" t="str">
            <v>000-003-TCX-1845</v>
          </cell>
          <cell r="G10" t="str">
            <v>IDESP</v>
          </cell>
          <cell r="L10">
            <v>45488</v>
          </cell>
          <cell r="M10">
            <v>940</v>
          </cell>
          <cell r="P10">
            <v>0.08</v>
          </cell>
        </row>
        <row r="11">
          <cell r="A11" t="str">
            <v>000-003-TCX204</v>
          </cell>
          <cell r="G11" t="str">
            <v>IDESP</v>
          </cell>
          <cell r="L11">
            <v>42804</v>
          </cell>
          <cell r="M11">
            <v>15.91</v>
          </cell>
          <cell r="P11">
            <v>0.01</v>
          </cell>
        </row>
        <row r="12">
          <cell r="A12" t="str">
            <v>000-003-TCX205</v>
          </cell>
          <cell r="G12" t="str">
            <v>IDESP</v>
          </cell>
          <cell r="L12">
            <v>42804</v>
          </cell>
          <cell r="M12">
            <v>15.91</v>
          </cell>
          <cell r="P12">
            <v>8.9999999999999993E-3</v>
          </cell>
        </row>
        <row r="13">
          <cell r="A13" t="str">
            <v>000-003-TCX206</v>
          </cell>
          <cell r="G13" t="str">
            <v>IDESP</v>
          </cell>
          <cell r="L13">
            <v>42804</v>
          </cell>
          <cell r="M13">
            <v>15.91</v>
          </cell>
          <cell r="P13">
            <v>0.01</v>
          </cell>
        </row>
        <row r="14">
          <cell r="A14" t="str">
            <v>000-003-TCX207</v>
          </cell>
          <cell r="G14" t="str">
            <v>IDESP</v>
          </cell>
          <cell r="L14">
            <v>45488</v>
          </cell>
          <cell r="M14">
            <v>940</v>
          </cell>
          <cell r="P14">
            <v>1.0999999999999999E-2</v>
          </cell>
        </row>
        <row r="15">
          <cell r="A15" t="str">
            <v>000-003-TCX210</v>
          </cell>
          <cell r="G15" t="str">
            <v>IDESP</v>
          </cell>
          <cell r="L15">
            <v>42654</v>
          </cell>
          <cell r="M15">
            <v>15.49</v>
          </cell>
          <cell r="P15">
            <v>1.4999999999999999E-2</v>
          </cell>
        </row>
        <row r="16">
          <cell r="A16" t="str">
            <v>000-003-TCX211</v>
          </cell>
          <cell r="G16" t="str">
            <v>IDESP</v>
          </cell>
          <cell r="L16">
            <v>42654</v>
          </cell>
          <cell r="M16">
            <v>15.49</v>
          </cell>
          <cell r="P16">
            <v>2.5000000000000001E-2</v>
          </cell>
        </row>
        <row r="17">
          <cell r="A17" t="str">
            <v>000-003-TCX212</v>
          </cell>
          <cell r="G17" t="str">
            <v>IDESP</v>
          </cell>
          <cell r="L17">
            <v>42654</v>
          </cell>
          <cell r="M17">
            <v>15.49</v>
          </cell>
          <cell r="P17">
            <v>2.5000000000000001E-2</v>
          </cell>
        </row>
        <row r="18">
          <cell r="A18" t="str">
            <v>000-003-TCX307</v>
          </cell>
          <cell r="G18" t="str">
            <v>IDESP</v>
          </cell>
          <cell r="L18">
            <v>42682</v>
          </cell>
          <cell r="M18">
            <v>15.26</v>
          </cell>
          <cell r="P18">
            <v>2.3E-2</v>
          </cell>
        </row>
        <row r="19">
          <cell r="A19" t="str">
            <v>000-003-TCX309</v>
          </cell>
          <cell r="G19" t="str">
            <v>IDESP</v>
          </cell>
          <cell r="L19">
            <v>42682</v>
          </cell>
          <cell r="M19">
            <v>15.26</v>
          </cell>
          <cell r="P19">
            <v>3.3000000000000002E-2</v>
          </cell>
        </row>
        <row r="20">
          <cell r="A20" t="str">
            <v>000-003-TCX310</v>
          </cell>
          <cell r="G20" t="str">
            <v>IDESP</v>
          </cell>
          <cell r="L20">
            <v>42804</v>
          </cell>
          <cell r="M20">
            <v>15.91</v>
          </cell>
          <cell r="P20">
            <v>4.3999999999999997E-2</v>
          </cell>
        </row>
        <row r="21">
          <cell r="A21" t="str">
            <v>000-003-TDX207</v>
          </cell>
          <cell r="G21" t="str">
            <v>IDESP</v>
          </cell>
          <cell r="L21">
            <v>42804</v>
          </cell>
          <cell r="M21">
            <v>15.91</v>
          </cell>
          <cell r="P21">
            <v>1.9E-2</v>
          </cell>
        </row>
        <row r="22">
          <cell r="A22" t="str">
            <v>000-003-TDX217</v>
          </cell>
          <cell r="G22" t="str">
            <v>IDESP</v>
          </cell>
          <cell r="L22">
            <v>42804</v>
          </cell>
          <cell r="M22">
            <v>15.91</v>
          </cell>
          <cell r="P22">
            <v>6.5000000000000002E-2</v>
          </cell>
        </row>
        <row r="23">
          <cell r="A23" t="str">
            <v>000-005-TCX-1845</v>
          </cell>
          <cell r="G23" t="str">
            <v>IDESP</v>
          </cell>
          <cell r="L23">
            <v>45488</v>
          </cell>
          <cell r="M23">
            <v>940</v>
          </cell>
          <cell r="P23">
            <v>0.41</v>
          </cell>
        </row>
        <row r="24">
          <cell r="A24" t="str">
            <v>000-005-TCX204</v>
          </cell>
          <cell r="G24" t="str">
            <v>IDESP</v>
          </cell>
          <cell r="L24">
            <v>42804</v>
          </cell>
          <cell r="M24">
            <v>15.91</v>
          </cell>
          <cell r="P24">
            <v>0.14899999999999999</v>
          </cell>
        </row>
        <row r="25">
          <cell r="A25" t="str">
            <v>000-005-TCX205</v>
          </cell>
          <cell r="G25" t="str">
            <v>IDESP</v>
          </cell>
          <cell r="L25">
            <v>42804</v>
          </cell>
          <cell r="M25">
            <v>15.91</v>
          </cell>
          <cell r="P25">
            <v>0.14899999999999999</v>
          </cell>
        </row>
        <row r="26">
          <cell r="A26" t="str">
            <v>000-005-TCX206</v>
          </cell>
          <cell r="G26" t="str">
            <v>IDESP</v>
          </cell>
          <cell r="L26">
            <v>42804</v>
          </cell>
          <cell r="M26">
            <v>15.91</v>
          </cell>
          <cell r="P26">
            <v>0.161</v>
          </cell>
        </row>
        <row r="27">
          <cell r="A27" t="str">
            <v>000-005-TCX207</v>
          </cell>
          <cell r="G27" t="str">
            <v>IDESP</v>
          </cell>
          <cell r="L27">
            <v>45488</v>
          </cell>
          <cell r="M27">
            <v>940</v>
          </cell>
          <cell r="P27">
            <v>0.10299999999999999</v>
          </cell>
        </row>
        <row r="28">
          <cell r="A28" t="str">
            <v>000-005-TCX210</v>
          </cell>
          <cell r="G28" t="str">
            <v>IDESP</v>
          </cell>
          <cell r="L28">
            <v>42654</v>
          </cell>
          <cell r="M28">
            <v>15.49</v>
          </cell>
          <cell r="P28">
            <v>0.30399999999999999</v>
          </cell>
        </row>
        <row r="29">
          <cell r="A29" t="str">
            <v>000-005-TCX211</v>
          </cell>
          <cell r="G29" t="str">
            <v>IDESP</v>
          </cell>
          <cell r="L29">
            <v>42654</v>
          </cell>
          <cell r="M29">
            <v>15.49</v>
          </cell>
          <cell r="P29">
            <v>0.47299999999999998</v>
          </cell>
        </row>
        <row r="30">
          <cell r="A30" t="str">
            <v>000-005-TCX212</v>
          </cell>
          <cell r="G30" t="str">
            <v>IDESP</v>
          </cell>
          <cell r="L30">
            <v>42654</v>
          </cell>
          <cell r="M30">
            <v>15.49</v>
          </cell>
          <cell r="P30">
            <v>0.47299999999999998</v>
          </cell>
        </row>
        <row r="31">
          <cell r="A31" t="str">
            <v>000-005-TCX307</v>
          </cell>
          <cell r="G31" t="str">
            <v>IDESP</v>
          </cell>
          <cell r="L31">
            <v>42682</v>
          </cell>
          <cell r="M31">
            <v>15.26</v>
          </cell>
          <cell r="P31">
            <v>0.315</v>
          </cell>
        </row>
        <row r="32">
          <cell r="A32" t="str">
            <v>000-005-TCX309</v>
          </cell>
          <cell r="G32" t="str">
            <v>IDESP</v>
          </cell>
          <cell r="L32">
            <v>42682</v>
          </cell>
          <cell r="M32">
            <v>15.26</v>
          </cell>
          <cell r="P32">
            <v>0.51800000000000002</v>
          </cell>
        </row>
        <row r="33">
          <cell r="A33" t="str">
            <v>000-005-TCX310</v>
          </cell>
          <cell r="G33" t="str">
            <v>IDESP</v>
          </cell>
          <cell r="L33">
            <v>42804</v>
          </cell>
          <cell r="M33">
            <v>15.91</v>
          </cell>
          <cell r="P33">
            <v>0.69199999999999995</v>
          </cell>
        </row>
        <row r="34">
          <cell r="A34" t="str">
            <v>000-005-TDX207</v>
          </cell>
          <cell r="G34" t="str">
            <v>IDESP</v>
          </cell>
          <cell r="L34">
            <v>42804</v>
          </cell>
          <cell r="M34">
            <v>15.91</v>
          </cell>
          <cell r="P34">
            <v>0.309</v>
          </cell>
        </row>
        <row r="35">
          <cell r="A35" t="str">
            <v>000-005-TDX217</v>
          </cell>
          <cell r="G35" t="str">
            <v>IDESP</v>
          </cell>
          <cell r="L35">
            <v>42804</v>
          </cell>
          <cell r="M35">
            <v>15.91</v>
          </cell>
          <cell r="P35">
            <v>1.288</v>
          </cell>
        </row>
        <row r="36">
          <cell r="A36" t="str">
            <v>000-041-25TM41</v>
          </cell>
          <cell r="G36" t="str">
            <v>INCOU</v>
          </cell>
          <cell r="L36">
            <v>45392</v>
          </cell>
          <cell r="M36">
            <v>883.5</v>
          </cell>
          <cell r="P36">
            <v>20.6</v>
          </cell>
        </row>
        <row r="37">
          <cell r="A37" t="str">
            <v>000-041-6209-1RS</v>
          </cell>
          <cell r="G37" t="str">
            <v>VPRet</v>
          </cell>
          <cell r="L37">
            <v>42761</v>
          </cell>
          <cell r="M37">
            <v>16.329999999999998</v>
          </cell>
          <cell r="P37">
            <v>4.0661359461114523</v>
          </cell>
        </row>
        <row r="38">
          <cell r="A38" t="str">
            <v>000-041-6210-1RS</v>
          </cell>
          <cell r="G38" t="str">
            <v>VPRet</v>
          </cell>
          <cell r="L38">
            <v>42761</v>
          </cell>
          <cell r="M38">
            <v>16.329999999999998</v>
          </cell>
          <cell r="P38">
            <v>5.1439069197795471</v>
          </cell>
        </row>
        <row r="39">
          <cell r="A39" t="str">
            <v>000-047-F-213</v>
          </cell>
          <cell r="G39" t="str">
            <v>IPFAP</v>
          </cell>
          <cell r="L39">
            <v>42954</v>
          </cell>
          <cell r="M39">
            <v>17.920000000000002</v>
          </cell>
          <cell r="P39">
            <v>6.1104910714285712</v>
          </cell>
        </row>
        <row r="40">
          <cell r="A40" t="str">
            <v>000-047-SAB-213-65DG</v>
          </cell>
          <cell r="G40" t="str">
            <v xml:space="preserve">INAC </v>
          </cell>
          <cell r="L40">
            <v>43258</v>
          </cell>
          <cell r="M40">
            <v>25.4</v>
          </cell>
          <cell r="P40">
            <v>10.540677165354332</v>
          </cell>
        </row>
        <row r="41">
          <cell r="A41" t="str">
            <v>000-047-UCF-213-65MM</v>
          </cell>
          <cell r="G41" t="str">
            <v xml:space="preserve">INAC </v>
          </cell>
          <cell r="L41">
            <v>43313</v>
          </cell>
          <cell r="M41">
            <v>27.9</v>
          </cell>
          <cell r="P41">
            <v>23.12551612903226</v>
          </cell>
        </row>
        <row r="42">
          <cell r="A42" t="str">
            <v>000-048-5203-KYY5</v>
          </cell>
          <cell r="G42" t="str">
            <v>VPRet</v>
          </cell>
          <cell r="L42">
            <v>42698</v>
          </cell>
          <cell r="M42">
            <v>15.68</v>
          </cell>
          <cell r="P42">
            <v>9.1033163265306136</v>
          </cell>
        </row>
        <row r="43">
          <cell r="A43" t="str">
            <v>000-053-104949</v>
          </cell>
          <cell r="G43" t="str">
            <v>IDESP</v>
          </cell>
          <cell r="L43">
            <v>44053</v>
          </cell>
          <cell r="M43">
            <v>76.75</v>
          </cell>
          <cell r="P43">
            <v>1.26</v>
          </cell>
        </row>
        <row r="44">
          <cell r="A44" t="str">
            <v>000-053-3984</v>
          </cell>
          <cell r="G44" t="str">
            <v>IDESP</v>
          </cell>
          <cell r="L44">
            <v>45488</v>
          </cell>
          <cell r="M44">
            <v>940</v>
          </cell>
          <cell r="P44">
            <v>2.23</v>
          </cell>
        </row>
        <row r="45">
          <cell r="A45" t="str">
            <v>000-053-68149</v>
          </cell>
          <cell r="G45" t="str">
            <v>IDESP</v>
          </cell>
          <cell r="L45">
            <v>44053</v>
          </cell>
          <cell r="M45">
            <v>76.75</v>
          </cell>
          <cell r="P45">
            <v>0.71799999999999997</v>
          </cell>
        </row>
        <row r="46">
          <cell r="A46" t="str">
            <v>000-053-HM-518445</v>
          </cell>
          <cell r="G46" t="str">
            <v>IDESP</v>
          </cell>
          <cell r="L46">
            <v>45992</v>
          </cell>
          <cell r="M46">
            <v>1475</v>
          </cell>
          <cell r="P46">
            <v>4.2839999999999998</v>
          </cell>
        </row>
        <row r="47">
          <cell r="A47" t="str">
            <v>000-053-TCX-1845</v>
          </cell>
          <cell r="G47" t="str">
            <v>IDESP</v>
          </cell>
          <cell r="L47">
            <v>45488</v>
          </cell>
          <cell r="M47">
            <v>940</v>
          </cell>
          <cell r="P47">
            <v>1.9339999999999999</v>
          </cell>
        </row>
        <row r="48">
          <cell r="A48" t="str">
            <v>000-053-TCX204</v>
          </cell>
          <cell r="G48" t="str">
            <v>IDESP</v>
          </cell>
          <cell r="L48">
            <v>42804</v>
          </cell>
          <cell r="M48">
            <v>15.91</v>
          </cell>
          <cell r="P48">
            <v>0.21199999999999999</v>
          </cell>
        </row>
        <row r="49">
          <cell r="A49" t="str">
            <v>000-053-TCX205</v>
          </cell>
          <cell r="G49" t="str">
            <v>IDESP</v>
          </cell>
          <cell r="L49">
            <v>42804</v>
          </cell>
          <cell r="M49">
            <v>15.91</v>
          </cell>
          <cell r="P49">
            <v>0.223</v>
          </cell>
        </row>
        <row r="50">
          <cell r="A50" t="str">
            <v>000-053-TCX206</v>
          </cell>
          <cell r="G50" t="str">
            <v>IDESP</v>
          </cell>
          <cell r="L50">
            <v>42804</v>
          </cell>
          <cell r="M50">
            <v>15.91</v>
          </cell>
          <cell r="P50">
            <v>0.23799999999999999</v>
          </cell>
        </row>
        <row r="51">
          <cell r="A51" t="str">
            <v>000-053-TCX207</v>
          </cell>
          <cell r="G51" t="str">
            <v>IDESP</v>
          </cell>
          <cell r="L51">
            <v>45488</v>
          </cell>
          <cell r="M51">
            <v>940</v>
          </cell>
          <cell r="P51">
            <v>0.36199999999999999</v>
          </cell>
        </row>
        <row r="52">
          <cell r="A52" t="str">
            <v>000-053-TCX210</v>
          </cell>
          <cell r="G52" t="str">
            <v>IDESP</v>
          </cell>
          <cell r="L52">
            <v>42654</v>
          </cell>
          <cell r="M52">
            <v>15.49</v>
          </cell>
          <cell r="P52">
            <v>0.46200000000000002</v>
          </cell>
        </row>
        <row r="53">
          <cell r="A53" t="str">
            <v>000-053-TCX211</v>
          </cell>
          <cell r="G53" t="str">
            <v>IDESP</v>
          </cell>
          <cell r="L53">
            <v>42654</v>
          </cell>
          <cell r="M53">
            <v>15.49</v>
          </cell>
          <cell r="P53">
            <v>0.70899999999999996</v>
          </cell>
        </row>
        <row r="54">
          <cell r="A54" t="str">
            <v>000-053-TCX212</v>
          </cell>
          <cell r="G54" t="str">
            <v>IDESP</v>
          </cell>
          <cell r="L54">
            <v>42654</v>
          </cell>
          <cell r="M54">
            <v>15.49</v>
          </cell>
          <cell r="P54">
            <v>0.69799999999999995</v>
          </cell>
        </row>
        <row r="55">
          <cell r="A55" t="str">
            <v>000-053-TCX307</v>
          </cell>
          <cell r="G55" t="str">
            <v>IDESP</v>
          </cell>
          <cell r="L55">
            <v>42682</v>
          </cell>
          <cell r="M55">
            <v>15.26</v>
          </cell>
          <cell r="P55">
            <v>0.46200000000000002</v>
          </cell>
        </row>
        <row r="56">
          <cell r="A56" t="str">
            <v>000-053-TCX309</v>
          </cell>
          <cell r="G56" t="str">
            <v>IDESP</v>
          </cell>
          <cell r="L56">
            <v>42682</v>
          </cell>
          <cell r="M56">
            <v>15.26</v>
          </cell>
          <cell r="P56">
            <v>0.76500000000000001</v>
          </cell>
        </row>
        <row r="57">
          <cell r="A57" t="str">
            <v>000-053-TCX310</v>
          </cell>
          <cell r="G57" t="str">
            <v>IDESP</v>
          </cell>
          <cell r="L57">
            <v>42804</v>
          </cell>
          <cell r="M57">
            <v>15.91</v>
          </cell>
          <cell r="P57">
            <v>1.038</v>
          </cell>
        </row>
        <row r="58">
          <cell r="A58" t="str">
            <v>000-053-TDX207</v>
          </cell>
          <cell r="G58" t="str">
            <v>IDESP</v>
          </cell>
          <cell r="L58">
            <v>42804</v>
          </cell>
          <cell r="M58">
            <v>15.91</v>
          </cell>
          <cell r="P58">
            <v>0.47</v>
          </cell>
        </row>
        <row r="59">
          <cell r="A59" t="str">
            <v>000-053-TDX217</v>
          </cell>
          <cell r="G59" t="str">
            <v>IDESP</v>
          </cell>
          <cell r="L59">
            <v>42804</v>
          </cell>
          <cell r="M59">
            <v>15.91</v>
          </cell>
          <cell r="P59">
            <v>1.931</v>
          </cell>
        </row>
        <row r="60">
          <cell r="A60" t="str">
            <v>000-053-X-30203</v>
          </cell>
          <cell r="G60" t="str">
            <v>IDESP</v>
          </cell>
          <cell r="L60">
            <v>44873</v>
          </cell>
          <cell r="M60">
            <v>165.5</v>
          </cell>
          <cell r="P60">
            <v>0.41299999999999998</v>
          </cell>
        </row>
        <row r="61">
          <cell r="A61" t="str">
            <v>000-053-X-30204</v>
          </cell>
          <cell r="G61" t="str">
            <v>IDESP</v>
          </cell>
          <cell r="L61">
            <v>45992</v>
          </cell>
          <cell r="M61">
            <v>1475</v>
          </cell>
          <cell r="P61">
            <v>0.33600000000000002</v>
          </cell>
        </row>
        <row r="62">
          <cell r="A62" t="str">
            <v>000-053-X-30205</v>
          </cell>
          <cell r="G62" t="str">
            <v>IDESP</v>
          </cell>
          <cell r="L62">
            <v>45992</v>
          </cell>
          <cell r="M62">
            <v>1475</v>
          </cell>
          <cell r="P62">
            <v>0.378</v>
          </cell>
        </row>
        <row r="63">
          <cell r="A63" t="str">
            <v>000-053-X-30206</v>
          </cell>
          <cell r="G63" t="str">
            <v>IDESP</v>
          </cell>
          <cell r="L63">
            <v>45992</v>
          </cell>
          <cell r="M63">
            <v>1475</v>
          </cell>
          <cell r="P63">
            <v>0.497</v>
          </cell>
        </row>
        <row r="64">
          <cell r="A64" t="str">
            <v>000-053-X-30206-MX</v>
          </cell>
          <cell r="G64" t="str">
            <v>IPFAP</v>
          </cell>
          <cell r="L64">
            <v>42696</v>
          </cell>
          <cell r="M64">
            <v>15.62</v>
          </cell>
          <cell r="P64">
            <v>0.49423815620998718</v>
          </cell>
        </row>
        <row r="65">
          <cell r="A65" t="str">
            <v>000-053-X-30207</v>
          </cell>
          <cell r="G65" t="str">
            <v>IDESP</v>
          </cell>
          <cell r="L65">
            <v>45007</v>
          </cell>
          <cell r="M65">
            <v>211.75</v>
          </cell>
          <cell r="P65">
            <v>0.89600000000000002</v>
          </cell>
        </row>
        <row r="66">
          <cell r="A66" t="str">
            <v>000-053-X-30208</v>
          </cell>
          <cell r="G66" t="str">
            <v>IDESP</v>
          </cell>
          <cell r="L66">
            <v>45951</v>
          </cell>
          <cell r="M66">
            <v>1495</v>
          </cell>
          <cell r="P66">
            <v>0.85399999999999998</v>
          </cell>
        </row>
        <row r="67">
          <cell r="A67" t="str">
            <v>000-053-X-30209</v>
          </cell>
          <cell r="G67" t="str">
            <v>IDESP</v>
          </cell>
          <cell r="L67">
            <v>45230</v>
          </cell>
          <cell r="M67">
            <v>365.5</v>
          </cell>
          <cell r="P67">
            <v>1.302</v>
          </cell>
        </row>
        <row r="68">
          <cell r="A68" t="str">
            <v>000-053-X-30210</v>
          </cell>
          <cell r="G68" t="str">
            <v>IDESP</v>
          </cell>
          <cell r="L68">
            <v>45992</v>
          </cell>
          <cell r="M68">
            <v>1475</v>
          </cell>
          <cell r="P68">
            <v>1.0149999999999999</v>
          </cell>
        </row>
        <row r="69">
          <cell r="A69" t="str">
            <v>000-053-X-30211</v>
          </cell>
          <cell r="G69" t="str">
            <v>IDESP</v>
          </cell>
          <cell r="L69">
            <v>45992</v>
          </cell>
          <cell r="M69">
            <v>1475</v>
          </cell>
          <cell r="P69">
            <v>1.323</v>
          </cell>
        </row>
        <row r="70">
          <cell r="A70" t="str">
            <v>000-053-X-30212</v>
          </cell>
          <cell r="G70" t="str">
            <v>IDESP</v>
          </cell>
          <cell r="L70">
            <v>45882</v>
          </cell>
          <cell r="M70">
            <v>1330</v>
          </cell>
          <cell r="P70">
            <v>1.47</v>
          </cell>
        </row>
        <row r="71">
          <cell r="A71" t="str">
            <v>000-053-X-30213</v>
          </cell>
          <cell r="G71" t="str">
            <v>IDESP</v>
          </cell>
          <cell r="L71">
            <v>45007</v>
          </cell>
          <cell r="M71">
            <v>211.75</v>
          </cell>
          <cell r="P71">
            <v>2.4849999999999999</v>
          </cell>
        </row>
        <row r="72">
          <cell r="A72" t="str">
            <v>000-053-X-30220</v>
          </cell>
          <cell r="G72" t="str">
            <v>IDESP</v>
          </cell>
          <cell r="L72">
            <v>44208</v>
          </cell>
          <cell r="M72">
            <v>90.25</v>
          </cell>
          <cell r="P72">
            <v>5.67</v>
          </cell>
        </row>
        <row r="73">
          <cell r="A73" t="str">
            <v>000-053-X-30305</v>
          </cell>
          <cell r="G73" t="str">
            <v>IDESP</v>
          </cell>
          <cell r="L73">
            <v>45992</v>
          </cell>
          <cell r="M73">
            <v>1475</v>
          </cell>
          <cell r="P73">
            <v>0.52500000000000002</v>
          </cell>
        </row>
        <row r="74">
          <cell r="A74" t="str">
            <v>000-053-X-30307</v>
          </cell>
          <cell r="G74" t="str">
            <v>IDESP</v>
          </cell>
          <cell r="L74">
            <v>45992</v>
          </cell>
          <cell r="M74">
            <v>1475</v>
          </cell>
          <cell r="P74">
            <v>1.0009999999999999</v>
          </cell>
        </row>
        <row r="75">
          <cell r="A75" t="str">
            <v>000-053-X-30308</v>
          </cell>
          <cell r="G75" t="str">
            <v>IDESP</v>
          </cell>
          <cell r="L75">
            <v>45992</v>
          </cell>
          <cell r="M75">
            <v>1475</v>
          </cell>
          <cell r="P75">
            <v>1.2250000000000001</v>
          </cell>
        </row>
        <row r="76">
          <cell r="A76" t="str">
            <v>000-053-X-30309</v>
          </cell>
          <cell r="G76" t="str">
            <v>IDESP</v>
          </cell>
          <cell r="L76">
            <v>45992</v>
          </cell>
          <cell r="M76">
            <v>1475</v>
          </cell>
          <cell r="P76">
            <v>1.337</v>
          </cell>
        </row>
        <row r="77">
          <cell r="A77" t="str">
            <v>000-053-X-30310</v>
          </cell>
          <cell r="G77" t="str">
            <v>IDESP</v>
          </cell>
          <cell r="L77">
            <v>45593</v>
          </cell>
          <cell r="M77">
            <v>1007.5</v>
          </cell>
          <cell r="P77">
            <v>1.988</v>
          </cell>
        </row>
        <row r="78">
          <cell r="A78" t="str">
            <v>000-053-X-30311</v>
          </cell>
          <cell r="G78" t="str">
            <v>IDESP</v>
          </cell>
          <cell r="L78">
            <v>45488</v>
          </cell>
          <cell r="M78">
            <v>940</v>
          </cell>
          <cell r="P78">
            <v>2.52</v>
          </cell>
        </row>
        <row r="79">
          <cell r="A79" t="str">
            <v>000-053-X-32005</v>
          </cell>
          <cell r="G79" t="str">
            <v>IDESP</v>
          </cell>
          <cell r="L79">
            <v>45007</v>
          </cell>
          <cell r="M79">
            <v>211.75</v>
          </cell>
          <cell r="P79">
            <v>0.51100000000000001</v>
          </cell>
        </row>
        <row r="80">
          <cell r="A80" t="str">
            <v>000-053-X-32006</v>
          </cell>
          <cell r="G80" t="str">
            <v>IDESP</v>
          </cell>
          <cell r="L80">
            <v>45686</v>
          </cell>
          <cell r="M80">
            <v>1070.5</v>
          </cell>
          <cell r="P80">
            <v>0.47599999999999998</v>
          </cell>
        </row>
        <row r="81">
          <cell r="A81" t="str">
            <v>000-053-X-32007</v>
          </cell>
          <cell r="G81" t="str">
            <v>IDESP</v>
          </cell>
          <cell r="L81">
            <v>45992</v>
          </cell>
          <cell r="M81">
            <v>1475</v>
          </cell>
          <cell r="P81">
            <v>0.53200000000000003</v>
          </cell>
        </row>
        <row r="82">
          <cell r="A82" t="str">
            <v>000-053-X-32008</v>
          </cell>
          <cell r="G82" t="str">
            <v>IDESP</v>
          </cell>
          <cell r="L82">
            <v>45007</v>
          </cell>
          <cell r="M82">
            <v>211.75</v>
          </cell>
          <cell r="P82">
            <v>0.88900000000000001</v>
          </cell>
        </row>
        <row r="83">
          <cell r="A83" t="str">
            <v>000-053-X-32009</v>
          </cell>
          <cell r="G83" t="str">
            <v>IDESP</v>
          </cell>
          <cell r="L83">
            <v>45992</v>
          </cell>
          <cell r="M83">
            <v>1475</v>
          </cell>
          <cell r="P83">
            <v>0.68600000000000005</v>
          </cell>
        </row>
        <row r="84">
          <cell r="A84" t="str">
            <v>000-053-X-32010</v>
          </cell>
          <cell r="G84" t="str">
            <v>IDESP</v>
          </cell>
          <cell r="L84">
            <v>45951</v>
          </cell>
          <cell r="M84">
            <v>1495</v>
          </cell>
          <cell r="P84">
            <v>0.81200000000000006</v>
          </cell>
        </row>
        <row r="85">
          <cell r="A85" t="str">
            <v>000-053-X-32014</v>
          </cell>
          <cell r="G85" t="str">
            <v>IDESP</v>
          </cell>
          <cell r="L85">
            <v>45330</v>
          </cell>
          <cell r="M85">
            <v>849</v>
          </cell>
          <cell r="P85">
            <v>1.9390000000000001</v>
          </cell>
        </row>
        <row r="86">
          <cell r="A86" t="str">
            <v>000-053-X-32016</v>
          </cell>
          <cell r="G86" t="str">
            <v>IDESP</v>
          </cell>
          <cell r="L86">
            <v>45722</v>
          </cell>
          <cell r="M86">
            <v>1084.5</v>
          </cell>
          <cell r="P86">
            <v>2.2959999999999998</v>
          </cell>
        </row>
        <row r="87">
          <cell r="A87" t="str">
            <v>000-053-X-32205</v>
          </cell>
          <cell r="G87" t="str">
            <v>IDESP</v>
          </cell>
          <cell r="L87">
            <v>45992</v>
          </cell>
          <cell r="M87">
            <v>1475</v>
          </cell>
          <cell r="P87">
            <v>0.67200000000000004</v>
          </cell>
        </row>
        <row r="88">
          <cell r="A88" t="str">
            <v>000-053-X-32206</v>
          </cell>
          <cell r="G88" t="str">
            <v>IDESP</v>
          </cell>
          <cell r="L88">
            <v>45488</v>
          </cell>
          <cell r="M88">
            <v>940</v>
          </cell>
          <cell r="P88">
            <v>0.72</v>
          </cell>
        </row>
        <row r="89">
          <cell r="A89" t="str">
            <v>000-053-X-32207</v>
          </cell>
          <cell r="G89" t="str">
            <v>IDESP</v>
          </cell>
          <cell r="L89">
            <v>45007</v>
          </cell>
          <cell r="M89">
            <v>211.75</v>
          </cell>
          <cell r="P89">
            <v>1.1830000000000001</v>
          </cell>
        </row>
        <row r="90">
          <cell r="A90" t="str">
            <v>000-053-X-32208</v>
          </cell>
          <cell r="G90" t="str">
            <v>IDESP</v>
          </cell>
          <cell r="L90">
            <v>45012</v>
          </cell>
          <cell r="M90">
            <v>212.5</v>
          </cell>
          <cell r="P90">
            <v>1.2809999999999999</v>
          </cell>
        </row>
        <row r="91">
          <cell r="A91" t="str">
            <v>000-053-X-32209</v>
          </cell>
          <cell r="G91" t="str">
            <v>IDESP</v>
          </cell>
          <cell r="L91">
            <v>45903</v>
          </cell>
          <cell r="M91">
            <v>1375</v>
          </cell>
          <cell r="P91">
            <v>0.91</v>
          </cell>
        </row>
        <row r="92">
          <cell r="A92" t="str">
            <v>000-053-X-32210</v>
          </cell>
          <cell r="G92" t="str">
            <v>IDESP</v>
          </cell>
          <cell r="L92">
            <v>45992</v>
          </cell>
          <cell r="M92">
            <v>1475</v>
          </cell>
          <cell r="P92">
            <v>1.0780000000000001</v>
          </cell>
        </row>
        <row r="93">
          <cell r="A93" t="str">
            <v>000-053-X-32211</v>
          </cell>
          <cell r="G93" t="str">
            <v>IDESP</v>
          </cell>
          <cell r="L93">
            <v>45903</v>
          </cell>
          <cell r="M93">
            <v>1375</v>
          </cell>
          <cell r="P93">
            <v>1.323</v>
          </cell>
        </row>
        <row r="94">
          <cell r="A94" t="str">
            <v>000-053-X-32212</v>
          </cell>
          <cell r="G94" t="str">
            <v>IDESP</v>
          </cell>
          <cell r="L94">
            <v>45975</v>
          </cell>
          <cell r="M94">
            <v>1430</v>
          </cell>
          <cell r="P94">
            <v>1.6659999999999999</v>
          </cell>
        </row>
        <row r="95">
          <cell r="A95" t="str">
            <v>000-053-X-32213</v>
          </cell>
          <cell r="G95" t="str">
            <v>IDESP</v>
          </cell>
          <cell r="L95">
            <v>45951</v>
          </cell>
          <cell r="M95">
            <v>1495</v>
          </cell>
          <cell r="P95">
            <v>2.3730000000000002</v>
          </cell>
        </row>
        <row r="96">
          <cell r="A96" t="str">
            <v>000-053-X-32214</v>
          </cell>
          <cell r="G96" t="str">
            <v>IDESP</v>
          </cell>
          <cell r="L96">
            <v>45992</v>
          </cell>
          <cell r="M96">
            <v>1475</v>
          </cell>
          <cell r="P96">
            <v>2.4849999999999999</v>
          </cell>
        </row>
        <row r="97">
          <cell r="A97" t="str">
            <v>000-053-X-32216</v>
          </cell>
          <cell r="G97" t="str">
            <v>IDESP</v>
          </cell>
          <cell r="L97">
            <v>45230</v>
          </cell>
          <cell r="M97">
            <v>365.5</v>
          </cell>
          <cell r="P97">
            <v>4.1230000000000002</v>
          </cell>
        </row>
        <row r="98">
          <cell r="A98" t="str">
            <v>000-053-X-32217</v>
          </cell>
          <cell r="G98" t="str">
            <v>IDESP</v>
          </cell>
          <cell r="L98">
            <v>45230</v>
          </cell>
          <cell r="M98">
            <v>365.5</v>
          </cell>
          <cell r="P98">
            <v>4.9210000000000003</v>
          </cell>
        </row>
        <row r="99">
          <cell r="A99" t="str">
            <v>000-053-X-32218</v>
          </cell>
          <cell r="G99" t="str">
            <v>IDESP</v>
          </cell>
          <cell r="L99">
            <v>45230</v>
          </cell>
          <cell r="M99">
            <v>365.5</v>
          </cell>
          <cell r="P99">
            <v>6.2930000000000001</v>
          </cell>
        </row>
        <row r="100">
          <cell r="A100" t="str">
            <v>000-053-X-32219</v>
          </cell>
          <cell r="G100" t="str">
            <v>IDESP</v>
          </cell>
          <cell r="L100">
            <v>45722</v>
          </cell>
          <cell r="M100">
            <v>1084.5</v>
          </cell>
          <cell r="P100">
            <v>6.181</v>
          </cell>
        </row>
        <row r="101">
          <cell r="A101" t="str">
            <v>000-053-X-32220</v>
          </cell>
          <cell r="G101" t="str">
            <v>IDESP</v>
          </cell>
          <cell r="L101">
            <v>44816</v>
          </cell>
          <cell r="M101">
            <v>147.5</v>
          </cell>
          <cell r="P101">
            <v>9.1280000000000001</v>
          </cell>
        </row>
        <row r="102">
          <cell r="A102" t="str">
            <v>000-053-X-32307</v>
          </cell>
          <cell r="G102" t="str">
            <v>IDESP</v>
          </cell>
          <cell r="L102">
            <v>45330</v>
          </cell>
          <cell r="M102">
            <v>849</v>
          </cell>
          <cell r="P102">
            <v>1.7290000000000001</v>
          </cell>
        </row>
        <row r="103">
          <cell r="A103" t="str">
            <v>000-053-X-32311</v>
          </cell>
          <cell r="G103" t="str">
            <v>IDESP</v>
          </cell>
          <cell r="L103">
            <v>45330</v>
          </cell>
          <cell r="M103">
            <v>849</v>
          </cell>
          <cell r="P103">
            <v>4.0949999999999998</v>
          </cell>
        </row>
        <row r="104">
          <cell r="A104" t="str">
            <v>000-053-X-33010</v>
          </cell>
          <cell r="G104" t="str">
            <v>IDESP</v>
          </cell>
          <cell r="L104">
            <v>45488</v>
          </cell>
          <cell r="M104">
            <v>940</v>
          </cell>
          <cell r="P104">
            <v>1.23</v>
          </cell>
        </row>
        <row r="105">
          <cell r="A105" t="str">
            <v>000-053-X-33013</v>
          </cell>
          <cell r="G105" t="str">
            <v>IDESP</v>
          </cell>
          <cell r="L105">
            <v>45686</v>
          </cell>
          <cell r="M105">
            <v>1070.5</v>
          </cell>
          <cell r="P105">
            <v>1.54</v>
          </cell>
        </row>
        <row r="106">
          <cell r="A106" t="str">
            <v>000-053-X-33117</v>
          </cell>
          <cell r="G106" t="str">
            <v>IDESP</v>
          </cell>
          <cell r="L106">
            <v>45007</v>
          </cell>
          <cell r="M106">
            <v>211.75</v>
          </cell>
          <cell r="P106">
            <v>5.2149999999999999</v>
          </cell>
        </row>
        <row r="107">
          <cell r="A107" t="str">
            <v>000-053-X-33209</v>
          </cell>
          <cell r="G107" t="str">
            <v>IDESP</v>
          </cell>
          <cell r="L107">
            <v>45722</v>
          </cell>
          <cell r="M107">
            <v>1084.5</v>
          </cell>
          <cell r="P107">
            <v>1.708</v>
          </cell>
        </row>
        <row r="108">
          <cell r="A108" t="str">
            <v>000-053-X-33210</v>
          </cell>
          <cell r="G108" t="str">
            <v>IDESP</v>
          </cell>
          <cell r="L108">
            <v>45722</v>
          </cell>
          <cell r="M108">
            <v>1084.5</v>
          </cell>
          <cell r="P108">
            <v>1.8620000000000001</v>
          </cell>
        </row>
        <row r="109">
          <cell r="A109" t="str">
            <v>000-054-104911</v>
          </cell>
          <cell r="G109" t="str">
            <v>IDESP</v>
          </cell>
          <cell r="L109">
            <v>44053</v>
          </cell>
          <cell r="M109">
            <v>76.75</v>
          </cell>
          <cell r="P109">
            <v>0.54</v>
          </cell>
        </row>
        <row r="110">
          <cell r="A110" t="str">
            <v>000-054-3920</v>
          </cell>
          <cell r="G110" t="str">
            <v>IDESP</v>
          </cell>
          <cell r="L110">
            <v>45488</v>
          </cell>
          <cell r="M110">
            <v>940</v>
          </cell>
          <cell r="P110">
            <v>0.95</v>
          </cell>
        </row>
        <row r="111">
          <cell r="A111" t="str">
            <v>000-054-68110</v>
          </cell>
          <cell r="G111" t="str">
            <v>IDESP</v>
          </cell>
          <cell r="L111">
            <v>44053</v>
          </cell>
          <cell r="M111">
            <v>76.75</v>
          </cell>
          <cell r="P111">
            <v>0.308</v>
          </cell>
        </row>
        <row r="112">
          <cell r="A112" t="str">
            <v>000-054-TCY-8410</v>
          </cell>
          <cell r="G112" t="str">
            <v>IDESP</v>
          </cell>
          <cell r="L112">
            <v>45992</v>
          </cell>
          <cell r="M112">
            <v>1475</v>
          </cell>
          <cell r="P112">
            <v>1.8360000000000001</v>
          </cell>
        </row>
        <row r="113">
          <cell r="A113" t="str">
            <v>000-054-TCY203</v>
          </cell>
          <cell r="G113" t="str">
            <v>IDESP</v>
          </cell>
          <cell r="L113">
            <v>44873</v>
          </cell>
          <cell r="M113">
            <v>165.5</v>
          </cell>
          <cell r="P113">
            <v>0.17699999999999999</v>
          </cell>
        </row>
        <row r="114">
          <cell r="A114" t="str">
            <v>000-054-TCY204</v>
          </cell>
          <cell r="G114" t="str">
            <v>IDESP</v>
          </cell>
          <cell r="L114">
            <v>45992</v>
          </cell>
          <cell r="M114">
            <v>1475</v>
          </cell>
          <cell r="P114">
            <v>0.14399999999999999</v>
          </cell>
        </row>
        <row r="115">
          <cell r="A115" t="str">
            <v>000-054-TCY205</v>
          </cell>
          <cell r="G115" t="str">
            <v>IDESP</v>
          </cell>
          <cell r="L115">
            <v>45992</v>
          </cell>
          <cell r="M115">
            <v>1475</v>
          </cell>
          <cell r="P115">
            <v>0.16200000000000001</v>
          </cell>
        </row>
        <row r="116">
          <cell r="A116" t="str">
            <v>000-054-TCY206</v>
          </cell>
          <cell r="G116" t="str">
            <v>IDESP</v>
          </cell>
          <cell r="L116">
            <v>45992</v>
          </cell>
          <cell r="M116">
            <v>1475</v>
          </cell>
          <cell r="P116">
            <v>0.21299999999999999</v>
          </cell>
        </row>
        <row r="117">
          <cell r="A117" t="str">
            <v>000-054-TCY207</v>
          </cell>
          <cell r="G117" t="str">
            <v>IDESP</v>
          </cell>
          <cell r="L117">
            <v>45488</v>
          </cell>
          <cell r="M117">
            <v>940</v>
          </cell>
          <cell r="P117">
            <v>0.36199999999999999</v>
          </cell>
        </row>
        <row r="118">
          <cell r="A118" t="str">
            <v>000-054-TCY208</v>
          </cell>
          <cell r="G118" t="str">
            <v>IDESP</v>
          </cell>
          <cell r="L118">
            <v>45951</v>
          </cell>
          <cell r="M118">
            <v>1495</v>
          </cell>
          <cell r="P118">
            <v>0.36599999999999999</v>
          </cell>
        </row>
        <row r="119">
          <cell r="A119" t="str">
            <v>000-054-TCY209</v>
          </cell>
          <cell r="G119" t="str">
            <v>IDESP</v>
          </cell>
          <cell r="L119">
            <v>45230</v>
          </cell>
          <cell r="M119">
            <v>365.5</v>
          </cell>
          <cell r="P119">
            <v>0.55800000000000005</v>
          </cell>
        </row>
        <row r="120">
          <cell r="A120" t="str">
            <v>000-054-TCY210</v>
          </cell>
          <cell r="G120" t="str">
            <v>IDESP</v>
          </cell>
          <cell r="L120">
            <v>45992</v>
          </cell>
          <cell r="M120">
            <v>1475</v>
          </cell>
          <cell r="P120">
            <v>0.435</v>
          </cell>
        </row>
        <row r="121">
          <cell r="A121" t="str">
            <v>000-054-TCY211</v>
          </cell>
          <cell r="G121" t="str">
            <v>IDESP</v>
          </cell>
          <cell r="L121">
            <v>45992</v>
          </cell>
          <cell r="M121">
            <v>1475</v>
          </cell>
          <cell r="P121">
            <v>0.56699999999999995</v>
          </cell>
        </row>
        <row r="122">
          <cell r="A122" t="str">
            <v>000-054-TCY212</v>
          </cell>
          <cell r="G122" t="str">
            <v>IDESP</v>
          </cell>
          <cell r="L122">
            <v>45882</v>
          </cell>
          <cell r="M122">
            <v>1330</v>
          </cell>
          <cell r="P122">
            <v>0.63</v>
          </cell>
        </row>
        <row r="123">
          <cell r="A123" t="str">
            <v>000-054-TCY213</v>
          </cell>
          <cell r="G123" t="str">
            <v>IDESP</v>
          </cell>
          <cell r="L123">
            <v>45007</v>
          </cell>
          <cell r="M123">
            <v>211.75</v>
          </cell>
          <cell r="P123">
            <v>1.0649999999999999</v>
          </cell>
        </row>
        <row r="124">
          <cell r="A124" t="str">
            <v>000-054-TCY220</v>
          </cell>
          <cell r="G124" t="str">
            <v>IDESP</v>
          </cell>
          <cell r="L124">
            <v>44208</v>
          </cell>
          <cell r="M124">
            <v>90.25</v>
          </cell>
          <cell r="P124">
            <v>2.4300000000000002</v>
          </cell>
        </row>
        <row r="125">
          <cell r="A125" t="str">
            <v>000-054-TCY305</v>
          </cell>
          <cell r="G125" t="str">
            <v>IDESP</v>
          </cell>
          <cell r="L125">
            <v>45992</v>
          </cell>
          <cell r="M125">
            <v>1475</v>
          </cell>
          <cell r="P125">
            <v>0.22500000000000001</v>
          </cell>
        </row>
        <row r="126">
          <cell r="A126" t="str">
            <v>000-054-TCY307</v>
          </cell>
          <cell r="G126" t="str">
            <v>IDESP</v>
          </cell>
          <cell r="L126">
            <v>45992</v>
          </cell>
          <cell r="M126">
            <v>1475</v>
          </cell>
          <cell r="P126">
            <v>0.42899999999999999</v>
          </cell>
        </row>
        <row r="127">
          <cell r="A127" t="str">
            <v>000-054-TCY308</v>
          </cell>
          <cell r="G127" t="str">
            <v>IDESP</v>
          </cell>
          <cell r="L127">
            <v>45992</v>
          </cell>
          <cell r="M127">
            <v>1475</v>
          </cell>
          <cell r="P127">
            <v>0.52500000000000002</v>
          </cell>
        </row>
        <row r="128">
          <cell r="A128" t="str">
            <v>000-054-TCY309</v>
          </cell>
          <cell r="G128" t="str">
            <v>IDESP</v>
          </cell>
          <cell r="L128">
            <v>45992</v>
          </cell>
          <cell r="M128">
            <v>1475</v>
          </cell>
          <cell r="P128">
            <v>0.57299999999999995</v>
          </cell>
        </row>
        <row r="129">
          <cell r="A129" t="str">
            <v>000-054-TCY310</v>
          </cell>
          <cell r="G129" t="str">
            <v>IDESP</v>
          </cell>
          <cell r="L129">
            <v>45593</v>
          </cell>
          <cell r="M129">
            <v>1007.5</v>
          </cell>
          <cell r="P129">
            <v>0.85199999999999998</v>
          </cell>
        </row>
        <row r="130">
          <cell r="A130" t="str">
            <v>000-054-TCY311</v>
          </cell>
          <cell r="G130" t="str">
            <v>IDESP</v>
          </cell>
          <cell r="L130">
            <v>45488</v>
          </cell>
          <cell r="M130">
            <v>940</v>
          </cell>
          <cell r="P130">
            <v>1.08</v>
          </cell>
        </row>
        <row r="131">
          <cell r="A131" t="str">
            <v>000-054-TDY005</v>
          </cell>
          <cell r="G131" t="str">
            <v>IDESP</v>
          </cell>
          <cell r="L131">
            <v>45007</v>
          </cell>
          <cell r="M131">
            <v>211.75</v>
          </cell>
          <cell r="P131">
            <v>0.219</v>
          </cell>
        </row>
        <row r="132">
          <cell r="A132" t="str">
            <v>000-054-TDY006</v>
          </cell>
          <cell r="G132" t="str">
            <v>IDESP</v>
          </cell>
          <cell r="L132">
            <v>45686</v>
          </cell>
          <cell r="M132">
            <v>1070.5</v>
          </cell>
          <cell r="P132">
            <v>0.20399999999999999</v>
          </cell>
        </row>
        <row r="133">
          <cell r="A133" t="str">
            <v>000-054-TDY007</v>
          </cell>
          <cell r="G133" t="str">
            <v>IDESP</v>
          </cell>
          <cell r="L133">
            <v>45992</v>
          </cell>
          <cell r="M133">
            <v>1475</v>
          </cell>
          <cell r="P133">
            <v>0.22800000000000001</v>
          </cell>
        </row>
        <row r="134">
          <cell r="A134" t="str">
            <v>000-054-TDY008</v>
          </cell>
          <cell r="G134" t="str">
            <v>IDESP</v>
          </cell>
          <cell r="L134">
            <v>45007</v>
          </cell>
          <cell r="M134">
            <v>211.75</v>
          </cell>
          <cell r="P134">
            <v>0.38100000000000001</v>
          </cell>
        </row>
        <row r="135">
          <cell r="A135" t="str">
            <v>000-054-TDY009</v>
          </cell>
          <cell r="G135" t="str">
            <v>IDESP</v>
          </cell>
          <cell r="L135">
            <v>45992</v>
          </cell>
          <cell r="M135">
            <v>1475</v>
          </cell>
          <cell r="P135">
            <v>0.29399999999999998</v>
          </cell>
        </row>
        <row r="136">
          <cell r="A136" t="str">
            <v>000-054-TDY010</v>
          </cell>
          <cell r="G136" t="str">
            <v>IDESP</v>
          </cell>
          <cell r="L136">
            <v>45951</v>
          </cell>
          <cell r="M136">
            <v>1495</v>
          </cell>
          <cell r="P136">
            <v>0.34799999999999998</v>
          </cell>
        </row>
        <row r="137">
          <cell r="A137" t="str">
            <v>000-054-TDY014</v>
          </cell>
          <cell r="G137" t="str">
            <v>IDESP</v>
          </cell>
          <cell r="L137">
            <v>45330</v>
          </cell>
          <cell r="M137">
            <v>849</v>
          </cell>
          <cell r="P137">
            <v>0.83099999999999996</v>
          </cell>
        </row>
        <row r="138">
          <cell r="A138" t="str">
            <v>000-054-TDY016</v>
          </cell>
          <cell r="G138" t="str">
            <v>IDESP</v>
          </cell>
          <cell r="L138">
            <v>45722</v>
          </cell>
          <cell r="M138">
            <v>1084.5</v>
          </cell>
          <cell r="P138">
            <v>0.98399999999999999</v>
          </cell>
        </row>
        <row r="139">
          <cell r="A139" t="str">
            <v>000-054-TDY205</v>
          </cell>
          <cell r="G139" t="str">
            <v>IDESP</v>
          </cell>
          <cell r="L139">
            <v>45992</v>
          </cell>
          <cell r="M139">
            <v>1475</v>
          </cell>
          <cell r="P139">
            <v>0.28799999999999998</v>
          </cell>
        </row>
        <row r="140">
          <cell r="A140" t="str">
            <v>000-054-TDY206</v>
          </cell>
          <cell r="G140" t="str">
            <v>IDESP</v>
          </cell>
          <cell r="L140">
            <v>45488</v>
          </cell>
          <cell r="M140">
            <v>940</v>
          </cell>
          <cell r="P140">
            <v>0.3</v>
          </cell>
        </row>
        <row r="141">
          <cell r="A141" t="str">
            <v>000-054-TDY207</v>
          </cell>
          <cell r="G141" t="str">
            <v>IDESP</v>
          </cell>
          <cell r="L141">
            <v>45007</v>
          </cell>
          <cell r="M141">
            <v>211.75</v>
          </cell>
          <cell r="P141">
            <v>0.50700000000000001</v>
          </cell>
        </row>
        <row r="142">
          <cell r="A142" t="str">
            <v>000-054-TDY208</v>
          </cell>
          <cell r="G142" t="str">
            <v>IDESP</v>
          </cell>
          <cell r="L142">
            <v>45012</v>
          </cell>
          <cell r="M142">
            <v>212.5</v>
          </cell>
          <cell r="P142">
            <v>0.54900000000000004</v>
          </cell>
        </row>
        <row r="143">
          <cell r="A143" t="str">
            <v>000-054-TDY209</v>
          </cell>
          <cell r="G143" t="str">
            <v>IDESP</v>
          </cell>
          <cell r="L143">
            <v>45903</v>
          </cell>
          <cell r="M143">
            <v>1375</v>
          </cell>
          <cell r="P143">
            <v>0.39</v>
          </cell>
        </row>
        <row r="144">
          <cell r="A144" t="str">
            <v>000-054-TDY210</v>
          </cell>
          <cell r="G144" t="str">
            <v>IDESP</v>
          </cell>
          <cell r="L144">
            <v>45992</v>
          </cell>
          <cell r="M144">
            <v>1475</v>
          </cell>
          <cell r="P144">
            <v>0.46200000000000002</v>
          </cell>
        </row>
        <row r="145">
          <cell r="A145" t="str">
            <v>000-054-TDY211</v>
          </cell>
          <cell r="G145" t="str">
            <v>IDESP</v>
          </cell>
          <cell r="L145">
            <v>45903</v>
          </cell>
          <cell r="M145">
            <v>1375</v>
          </cell>
          <cell r="P145">
            <v>0.56699999999999995</v>
          </cell>
        </row>
        <row r="146">
          <cell r="A146" t="str">
            <v>000-054-TDY212</v>
          </cell>
          <cell r="G146" t="str">
            <v>IDESP</v>
          </cell>
          <cell r="L146">
            <v>45975</v>
          </cell>
          <cell r="M146">
            <v>1430</v>
          </cell>
          <cell r="P146">
            <v>0.71399999999999997</v>
          </cell>
        </row>
        <row r="147">
          <cell r="A147" t="str">
            <v>000-054-TDY213</v>
          </cell>
          <cell r="G147" t="str">
            <v>IDESP</v>
          </cell>
          <cell r="L147">
            <v>45951</v>
          </cell>
          <cell r="M147">
            <v>1495</v>
          </cell>
          <cell r="P147">
            <v>1.0169999999999999</v>
          </cell>
        </row>
        <row r="148">
          <cell r="A148" t="str">
            <v>000-054-TDY214</v>
          </cell>
          <cell r="G148" t="str">
            <v>IDESP</v>
          </cell>
          <cell r="L148">
            <v>45992</v>
          </cell>
          <cell r="M148">
            <v>1475</v>
          </cell>
          <cell r="P148">
            <v>1.0649999999999999</v>
          </cell>
        </row>
        <row r="149">
          <cell r="A149" t="str">
            <v>000-054-TDY216</v>
          </cell>
          <cell r="G149" t="str">
            <v>IDESP</v>
          </cell>
          <cell r="L149">
            <v>45230</v>
          </cell>
          <cell r="M149">
            <v>365.5</v>
          </cell>
          <cell r="P149">
            <v>1.7669999999999999</v>
          </cell>
        </row>
        <row r="150">
          <cell r="A150" t="str">
            <v>000-054-TDY217</v>
          </cell>
          <cell r="G150" t="str">
            <v>IDESP</v>
          </cell>
          <cell r="L150">
            <v>45230</v>
          </cell>
          <cell r="M150">
            <v>365.5</v>
          </cell>
          <cell r="P150">
            <v>2.109</v>
          </cell>
        </row>
        <row r="151">
          <cell r="A151" t="str">
            <v>000-054-TDY218</v>
          </cell>
          <cell r="G151" t="str">
            <v>IDESP</v>
          </cell>
          <cell r="L151">
            <v>45230</v>
          </cell>
          <cell r="M151">
            <v>365.5</v>
          </cell>
          <cell r="P151">
            <v>2.6970000000000001</v>
          </cell>
        </row>
        <row r="152">
          <cell r="A152" t="str">
            <v>000-054-TDY219</v>
          </cell>
          <cell r="G152" t="str">
            <v>IDESP</v>
          </cell>
          <cell r="L152">
            <v>45722</v>
          </cell>
          <cell r="M152">
            <v>1084.5</v>
          </cell>
          <cell r="P152">
            <v>2.649</v>
          </cell>
        </row>
        <row r="153">
          <cell r="A153" t="str">
            <v>000-054-TDY220</v>
          </cell>
          <cell r="G153" t="str">
            <v>IDESP</v>
          </cell>
          <cell r="L153">
            <v>44816</v>
          </cell>
          <cell r="M153">
            <v>147.5</v>
          </cell>
          <cell r="P153">
            <v>3.9119999999999999</v>
          </cell>
        </row>
        <row r="154">
          <cell r="A154" t="str">
            <v>000-054-TDY307</v>
          </cell>
          <cell r="G154" t="str">
            <v>IDESP</v>
          </cell>
          <cell r="L154">
            <v>45330</v>
          </cell>
          <cell r="M154">
            <v>849</v>
          </cell>
          <cell r="P154">
            <v>0.74099999999999999</v>
          </cell>
        </row>
        <row r="155">
          <cell r="A155" t="str">
            <v>000-054-TDY311</v>
          </cell>
          <cell r="G155" t="str">
            <v>IDESP</v>
          </cell>
          <cell r="L155">
            <v>45330</v>
          </cell>
          <cell r="M155">
            <v>849</v>
          </cell>
          <cell r="P155">
            <v>1.7549999999999999</v>
          </cell>
        </row>
        <row r="156">
          <cell r="A156" t="str">
            <v>000-054-TTY010</v>
          </cell>
          <cell r="G156" t="str">
            <v>IDESP</v>
          </cell>
          <cell r="L156">
            <v>45488</v>
          </cell>
          <cell r="M156">
            <v>940</v>
          </cell>
          <cell r="P156">
            <v>0.52</v>
          </cell>
        </row>
        <row r="157">
          <cell r="A157" t="str">
            <v>000-054-TTY013</v>
          </cell>
          <cell r="G157" t="str">
            <v>IDESP</v>
          </cell>
          <cell r="L157">
            <v>45686</v>
          </cell>
          <cell r="M157">
            <v>1070.5</v>
          </cell>
          <cell r="P157">
            <v>0.66</v>
          </cell>
        </row>
        <row r="158">
          <cell r="A158" t="str">
            <v>000-054-TTY117</v>
          </cell>
          <cell r="G158" t="str">
            <v>IDESP</v>
          </cell>
          <cell r="L158">
            <v>45007</v>
          </cell>
          <cell r="M158">
            <v>211.75</v>
          </cell>
          <cell r="P158">
            <v>2.2349999999999999</v>
          </cell>
        </row>
        <row r="159">
          <cell r="A159" t="str">
            <v>000-054-TTY209</v>
          </cell>
          <cell r="G159" t="str">
            <v>IDESP</v>
          </cell>
          <cell r="L159">
            <v>45722</v>
          </cell>
          <cell r="M159">
            <v>1084.5</v>
          </cell>
          <cell r="P159">
            <v>0.73199999999999998</v>
          </cell>
        </row>
        <row r="160">
          <cell r="A160" t="str">
            <v>000-054-TTY210</v>
          </cell>
          <cell r="G160" t="str">
            <v>IDESP</v>
          </cell>
          <cell r="L160">
            <v>45722</v>
          </cell>
          <cell r="M160">
            <v>1084.5</v>
          </cell>
          <cell r="P160">
            <v>0.79800000000000004</v>
          </cell>
        </row>
        <row r="161">
          <cell r="A161" t="str">
            <v>000-058-30204-MX</v>
          </cell>
          <cell r="G161" t="str">
            <v>VPRet</v>
          </cell>
          <cell r="L161">
            <v>42947</v>
          </cell>
          <cell r="M161">
            <v>18.100000000000001</v>
          </cell>
          <cell r="P161">
            <v>0.71491712707182309</v>
          </cell>
        </row>
        <row r="162">
          <cell r="A162" t="str">
            <v>000-058-30205-MX</v>
          </cell>
          <cell r="G162" t="str">
            <v>VPRet</v>
          </cell>
          <cell r="L162">
            <v>43644</v>
          </cell>
          <cell r="M162">
            <v>43.7</v>
          </cell>
          <cell r="P162">
            <v>0.76500000000000001</v>
          </cell>
        </row>
        <row r="163">
          <cell r="A163" t="str">
            <v>000-058-30206-MX</v>
          </cell>
          <cell r="G163" t="str">
            <v xml:space="preserve">INAC </v>
          </cell>
          <cell r="L163">
            <v>44165</v>
          </cell>
          <cell r="M163">
            <v>86.25</v>
          </cell>
          <cell r="P163">
            <v>2.1913043478260867</v>
          </cell>
        </row>
        <row r="164">
          <cell r="A164" t="str">
            <v>000-058-30207-MX</v>
          </cell>
          <cell r="G164" t="str">
            <v>VPRet</v>
          </cell>
          <cell r="L164">
            <v>43243</v>
          </cell>
          <cell r="M164">
            <v>24.8</v>
          </cell>
          <cell r="P164">
            <v>1.2190000000000001</v>
          </cell>
        </row>
        <row r="165">
          <cell r="A165" t="str">
            <v>000-058-30210-MX</v>
          </cell>
          <cell r="G165" t="str">
            <v xml:space="preserve">CR   </v>
          </cell>
          <cell r="L165">
            <v>43126.69902777778</v>
          </cell>
          <cell r="M165">
            <v>19.86</v>
          </cell>
          <cell r="P165">
            <v>1.1757301107754281</v>
          </cell>
        </row>
        <row r="166">
          <cell r="A166" t="str">
            <v>000-058-30211-MX</v>
          </cell>
          <cell r="G166" t="str">
            <v>VPRet</v>
          </cell>
          <cell r="L166">
            <v>42664</v>
          </cell>
          <cell r="M166">
            <v>15.43</v>
          </cell>
          <cell r="P166">
            <v>2.2570000000000001</v>
          </cell>
        </row>
        <row r="167">
          <cell r="A167" t="str">
            <v>000-058-30212-MX</v>
          </cell>
          <cell r="G167" t="str">
            <v xml:space="preserve">INAC </v>
          </cell>
          <cell r="L167">
            <v>43572</v>
          </cell>
          <cell r="M167">
            <v>43.4</v>
          </cell>
          <cell r="P167">
            <v>5.3812258064516127</v>
          </cell>
        </row>
        <row r="168">
          <cell r="A168" t="str">
            <v>000-058-32207-MX</v>
          </cell>
          <cell r="G168" t="str">
            <v>VPRet</v>
          </cell>
          <cell r="L168">
            <v>42844</v>
          </cell>
          <cell r="M168">
            <v>15.6</v>
          </cell>
          <cell r="P168">
            <v>1.5720000000000001</v>
          </cell>
        </row>
        <row r="169">
          <cell r="A169" t="str">
            <v>000-999-205-KYY5</v>
          </cell>
          <cell r="G169" t="str">
            <v xml:space="preserve">INAC </v>
          </cell>
          <cell r="L169">
            <v>45572</v>
          </cell>
          <cell r="M169">
            <v>994</v>
          </cell>
          <cell r="P169">
            <v>4.619718309859155</v>
          </cell>
        </row>
        <row r="170">
          <cell r="A170" t="str">
            <v>000-999-205-KYYB5</v>
          </cell>
          <cell r="G170" t="str">
            <v xml:space="preserve">CR   </v>
          </cell>
          <cell r="L170">
            <v>43126.69902777778</v>
          </cell>
          <cell r="M170">
            <v>19.86</v>
          </cell>
          <cell r="P170">
            <v>1.3187311178247736</v>
          </cell>
        </row>
        <row r="171">
          <cell r="A171" t="str">
            <v>000-999-SAB209-45MM</v>
          </cell>
          <cell r="G171" t="str">
            <v>IPFAP</v>
          </cell>
          <cell r="L171">
            <v>43056</v>
          </cell>
          <cell r="M171">
            <v>17.809999999999999</v>
          </cell>
          <cell r="P171">
            <v>5.9403986524424486</v>
          </cell>
        </row>
        <row r="172">
          <cell r="A172" t="str">
            <v>000-999-SLEEPING-BAG</v>
          </cell>
          <cell r="G172" t="str">
            <v>IDESP</v>
          </cell>
          <cell r="L172">
            <v>45722</v>
          </cell>
          <cell r="M172">
            <v>1084.5</v>
          </cell>
          <cell r="P172">
            <v>11.7216</v>
          </cell>
        </row>
        <row r="173">
          <cell r="A173" t="str">
            <v>000-999-UCF-213-65MM</v>
          </cell>
          <cell r="G173" t="str">
            <v>IPFAP</v>
          </cell>
          <cell r="L173">
            <v>44267</v>
          </cell>
          <cell r="M173">
            <v>95.75</v>
          </cell>
          <cell r="P173">
            <v>6.7384010443864231</v>
          </cell>
        </row>
        <row r="174">
          <cell r="A174" t="str">
            <v>000-CAÑ-1040-114X6</v>
          </cell>
          <cell r="G174" t="str">
            <v xml:space="preserve">INAC </v>
          </cell>
          <cell r="L174">
            <v>43069</v>
          </cell>
          <cell r="M174">
            <v>17.77</v>
          </cell>
          <cell r="P174">
            <v>35.03601575689364</v>
          </cell>
        </row>
        <row r="175">
          <cell r="A175" t="str">
            <v>000-CAÑ-25.4X1.2</v>
          </cell>
          <cell r="G175" t="str">
            <v xml:space="preserve">INAC </v>
          </cell>
          <cell r="L175">
            <v>42641</v>
          </cell>
          <cell r="M175">
            <v>15.55</v>
          </cell>
          <cell r="P175">
            <v>6.0199356913183273</v>
          </cell>
        </row>
        <row r="176">
          <cell r="A176" t="str">
            <v>000-CAÑ-48X1.6</v>
          </cell>
          <cell r="G176" t="str">
            <v>INPEE</v>
          </cell>
          <cell r="L176">
            <v>45567</v>
          </cell>
          <cell r="M176">
            <v>990.5</v>
          </cell>
          <cell r="P176">
            <v>16.25</v>
          </cell>
        </row>
        <row r="177">
          <cell r="A177" t="str">
            <v>000-CAÑ-63.5x3.2</v>
          </cell>
          <cell r="G177" t="str">
            <v xml:space="preserve">INAC </v>
          </cell>
          <cell r="L177">
            <v>45412</v>
          </cell>
          <cell r="M177">
            <v>895.5</v>
          </cell>
          <cell r="P177">
            <v>13.40033500837521</v>
          </cell>
        </row>
        <row r="178">
          <cell r="A178" t="str">
            <v>ACE-030-EJE-2-"145</v>
          </cell>
          <cell r="G178" t="str">
            <v xml:space="preserve">CR   </v>
          </cell>
          <cell r="L178">
            <v>37981</v>
          </cell>
          <cell r="M178">
            <v>2.96</v>
          </cell>
          <cell r="P178">
            <v>62.06</v>
          </cell>
        </row>
        <row r="179">
          <cell r="A179" t="str">
            <v>ACE-030-PUN-2-1/2</v>
          </cell>
          <cell r="G179" t="str">
            <v xml:space="preserve">CR   </v>
          </cell>
          <cell r="L179">
            <v>38624</v>
          </cell>
          <cell r="M179">
            <v>2.915</v>
          </cell>
          <cell r="P179">
            <v>29.942</v>
          </cell>
        </row>
        <row r="180">
          <cell r="A180" t="str">
            <v>ACE-031-10Q-630-32</v>
          </cell>
          <cell r="G180" t="str">
            <v xml:space="preserve">CR   </v>
          </cell>
          <cell r="L180">
            <v>38624</v>
          </cell>
          <cell r="M180">
            <v>2.915</v>
          </cell>
          <cell r="P180">
            <v>7.5460000000000003</v>
          </cell>
        </row>
        <row r="181">
          <cell r="A181" t="str">
            <v>ACE-031-311142-61</v>
          </cell>
          <cell r="G181" t="str">
            <v xml:space="preserve">CR   </v>
          </cell>
          <cell r="L181">
            <v>38811</v>
          </cell>
          <cell r="M181">
            <v>3.085</v>
          </cell>
          <cell r="P181">
            <v>0.62539999999999996</v>
          </cell>
        </row>
        <row r="182">
          <cell r="A182" t="str">
            <v>ACE-031-361964</v>
          </cell>
          <cell r="G182" t="str">
            <v xml:space="preserve">CR   </v>
          </cell>
          <cell r="L182">
            <v>38624</v>
          </cell>
          <cell r="M182">
            <v>2.915</v>
          </cell>
          <cell r="P182">
            <v>6.556</v>
          </cell>
        </row>
        <row r="183">
          <cell r="A183" t="str">
            <v>ACE-031-440190</v>
          </cell>
          <cell r="G183" t="str">
            <v xml:space="preserve">INSI </v>
          </cell>
          <cell r="L183">
            <v>39518</v>
          </cell>
          <cell r="M183">
            <v>3.1579999999999999</v>
          </cell>
          <cell r="P183">
            <v>2.5912999999999999</v>
          </cell>
        </row>
        <row r="184">
          <cell r="A184" t="str">
            <v>ACE-031-573272-71</v>
          </cell>
          <cell r="G184" t="str">
            <v>INDEV</v>
          </cell>
          <cell r="L184">
            <v>41288</v>
          </cell>
          <cell r="M184">
            <v>4.95</v>
          </cell>
          <cell r="P184">
            <v>1.253979797979798</v>
          </cell>
        </row>
        <row r="185">
          <cell r="A185" t="str">
            <v>ACE-031-613968-M</v>
          </cell>
          <cell r="G185" t="str">
            <v xml:space="preserve">CR   </v>
          </cell>
          <cell r="L185">
            <v>38811</v>
          </cell>
          <cell r="M185">
            <v>3.085</v>
          </cell>
          <cell r="P185">
            <v>36.4968</v>
          </cell>
        </row>
        <row r="186">
          <cell r="A186" t="str">
            <v>ACE-031-614086-C3</v>
          </cell>
          <cell r="G186" t="str">
            <v xml:space="preserve">CR   </v>
          </cell>
          <cell r="L186">
            <v>38811</v>
          </cell>
          <cell r="M186">
            <v>3.085</v>
          </cell>
          <cell r="P186">
            <v>32.485900000000001</v>
          </cell>
        </row>
        <row r="187">
          <cell r="A187" t="str">
            <v>ACE-031-614450</v>
          </cell>
          <cell r="G187" t="str">
            <v xml:space="preserve">CR   </v>
          </cell>
          <cell r="L187">
            <v>38624</v>
          </cell>
          <cell r="M187">
            <v>2.915</v>
          </cell>
          <cell r="P187">
            <v>6.6550000000000002</v>
          </cell>
        </row>
        <row r="188">
          <cell r="A188" t="str">
            <v>ACE-031-617340-MC3</v>
          </cell>
          <cell r="G188" t="str">
            <v xml:space="preserve">CR   </v>
          </cell>
          <cell r="L188">
            <v>38811</v>
          </cell>
          <cell r="M188">
            <v>3.085</v>
          </cell>
          <cell r="P188">
            <v>27.283799999999999</v>
          </cell>
        </row>
        <row r="189">
          <cell r="A189" t="str">
            <v>ACE-031-62-22</v>
          </cell>
          <cell r="G189" t="str">
            <v xml:space="preserve">CR   </v>
          </cell>
          <cell r="L189">
            <v>38624</v>
          </cell>
          <cell r="M189">
            <v>2.915</v>
          </cell>
          <cell r="P189">
            <v>3.8610000000000002</v>
          </cell>
        </row>
        <row r="190">
          <cell r="A190" t="str">
            <v>ACE-031-630352-M</v>
          </cell>
          <cell r="G190" t="str">
            <v xml:space="preserve">CR   </v>
          </cell>
          <cell r="L190">
            <v>38811</v>
          </cell>
          <cell r="M190">
            <v>3.085</v>
          </cell>
          <cell r="P190">
            <v>50.736699999999999</v>
          </cell>
        </row>
        <row r="191">
          <cell r="A191" t="str">
            <v>ACE-031-639044</v>
          </cell>
          <cell r="G191" t="str">
            <v>INDEV</v>
          </cell>
          <cell r="L191">
            <v>41288</v>
          </cell>
          <cell r="M191">
            <v>4.95</v>
          </cell>
          <cell r="P191">
            <v>27.1010101010101</v>
          </cell>
        </row>
        <row r="192">
          <cell r="A192" t="str">
            <v>ACE-031-639174</v>
          </cell>
          <cell r="G192" t="str">
            <v xml:space="preserve">CR   </v>
          </cell>
          <cell r="L192">
            <v>38624</v>
          </cell>
          <cell r="M192">
            <v>2.915</v>
          </cell>
          <cell r="P192">
            <v>3.718</v>
          </cell>
        </row>
        <row r="193">
          <cell r="A193" t="str">
            <v>ACE-031-639199</v>
          </cell>
          <cell r="G193" t="str">
            <v xml:space="preserve">CR   </v>
          </cell>
          <cell r="L193">
            <v>38624</v>
          </cell>
          <cell r="M193">
            <v>2.915</v>
          </cell>
          <cell r="P193">
            <v>43.505000000000003</v>
          </cell>
        </row>
        <row r="194">
          <cell r="A194" t="str">
            <v>ACE-031-639291</v>
          </cell>
          <cell r="G194" t="str">
            <v xml:space="preserve">CR   </v>
          </cell>
          <cell r="L194">
            <v>38624</v>
          </cell>
          <cell r="M194">
            <v>2.915</v>
          </cell>
          <cell r="P194">
            <v>58.915999999999997</v>
          </cell>
        </row>
        <row r="195">
          <cell r="A195" t="str">
            <v>ACE-031-731123-102</v>
          </cell>
          <cell r="G195" t="str">
            <v xml:space="preserve">CR   </v>
          </cell>
          <cell r="L195">
            <v>38624</v>
          </cell>
          <cell r="M195">
            <v>2.915</v>
          </cell>
          <cell r="P195">
            <v>2.4420000000000002</v>
          </cell>
        </row>
        <row r="196">
          <cell r="A196" t="str">
            <v>ACE-031-731124-102</v>
          </cell>
          <cell r="G196" t="str">
            <v xml:space="preserve">CR   </v>
          </cell>
          <cell r="L196">
            <v>38624</v>
          </cell>
          <cell r="M196">
            <v>2.915</v>
          </cell>
          <cell r="P196">
            <v>2.4750000000000001</v>
          </cell>
        </row>
        <row r="197">
          <cell r="A197" t="str">
            <v>ACE-031-885802-MG</v>
          </cell>
          <cell r="G197" t="str">
            <v>INDEV</v>
          </cell>
          <cell r="L197">
            <v>41288</v>
          </cell>
          <cell r="M197">
            <v>4.95</v>
          </cell>
          <cell r="P197">
            <v>1.2383838383838384</v>
          </cell>
        </row>
        <row r="198">
          <cell r="A198" t="str">
            <v>ACE-031-BTH-1011-AB</v>
          </cell>
          <cell r="G198" t="str">
            <v>INDEV</v>
          </cell>
          <cell r="L198">
            <v>41288</v>
          </cell>
          <cell r="M198">
            <v>4.95</v>
          </cell>
          <cell r="P198">
            <v>11.161616161616161</v>
          </cell>
        </row>
        <row r="199">
          <cell r="A199" t="str">
            <v>ACE-031-C-1207-TS</v>
          </cell>
          <cell r="G199" t="str">
            <v xml:space="preserve">CR   </v>
          </cell>
          <cell r="L199">
            <v>38811</v>
          </cell>
          <cell r="M199">
            <v>3.085</v>
          </cell>
          <cell r="P199">
            <v>2.5085999999999999</v>
          </cell>
        </row>
        <row r="200">
          <cell r="A200" t="str">
            <v>ACE-031-DAC-3464-W22</v>
          </cell>
          <cell r="G200" t="str">
            <v xml:space="preserve">CR   </v>
          </cell>
          <cell r="L200">
            <v>38624</v>
          </cell>
          <cell r="M200">
            <v>2.915</v>
          </cell>
          <cell r="P200">
            <v>13.430999999999999</v>
          </cell>
        </row>
        <row r="201">
          <cell r="A201" t="str">
            <v>ACE-031-GB-12163</v>
          </cell>
          <cell r="G201" t="str">
            <v xml:space="preserve">CR   </v>
          </cell>
          <cell r="L201">
            <v>38811</v>
          </cell>
          <cell r="M201">
            <v>3.085</v>
          </cell>
          <cell r="P201">
            <v>2.6981999999999999</v>
          </cell>
        </row>
        <row r="202">
          <cell r="A202" t="str">
            <v>ACE-031-GB-12807-SO1</v>
          </cell>
          <cell r="G202" t="str">
            <v xml:space="preserve">INSI </v>
          </cell>
          <cell r="L202">
            <v>39513</v>
          </cell>
          <cell r="M202">
            <v>3.1520000000000001</v>
          </cell>
          <cell r="P202">
            <v>4.7300000000000004</v>
          </cell>
        </row>
        <row r="203">
          <cell r="A203" t="str">
            <v>ACE-031-KT-113</v>
          </cell>
          <cell r="G203" t="str">
            <v xml:space="preserve">CR   </v>
          </cell>
          <cell r="L203">
            <v>38624</v>
          </cell>
          <cell r="M203">
            <v>2.915</v>
          </cell>
          <cell r="P203">
            <v>2.5960000000000001</v>
          </cell>
        </row>
        <row r="204">
          <cell r="A204" t="str">
            <v>ACE-031-KT-126</v>
          </cell>
          <cell r="G204" t="str">
            <v xml:space="preserve">CR   </v>
          </cell>
          <cell r="L204">
            <v>38624</v>
          </cell>
          <cell r="M204">
            <v>2.915</v>
          </cell>
          <cell r="P204">
            <v>2.5409999999999999</v>
          </cell>
        </row>
        <row r="205">
          <cell r="A205" t="str">
            <v>ACE-031-MAZ-633313-F</v>
          </cell>
          <cell r="G205" t="str">
            <v xml:space="preserve">CR   </v>
          </cell>
          <cell r="L205">
            <v>38624</v>
          </cell>
          <cell r="M205">
            <v>2.915</v>
          </cell>
          <cell r="P205">
            <v>9.3610000000000007</v>
          </cell>
        </row>
        <row r="206">
          <cell r="A206" t="str">
            <v>ACE-031-MN-10787</v>
          </cell>
          <cell r="G206" t="str">
            <v xml:space="preserve">CR   </v>
          </cell>
          <cell r="L206">
            <v>38811</v>
          </cell>
          <cell r="M206">
            <v>3.085</v>
          </cell>
          <cell r="P206">
            <v>2.2753000000000001</v>
          </cell>
        </row>
        <row r="207">
          <cell r="A207" t="str">
            <v>ACE-031-N-1008</v>
          </cell>
          <cell r="G207" t="str">
            <v xml:space="preserve">CR   </v>
          </cell>
          <cell r="L207">
            <v>38624</v>
          </cell>
          <cell r="M207">
            <v>2.915</v>
          </cell>
          <cell r="P207">
            <v>7.9089999999999998</v>
          </cell>
        </row>
        <row r="208">
          <cell r="A208" t="str">
            <v>ACE-031-R-1563-TAV</v>
          </cell>
          <cell r="G208" t="str">
            <v xml:space="preserve">CR   </v>
          </cell>
          <cell r="L208">
            <v>38811</v>
          </cell>
          <cell r="M208">
            <v>3.085</v>
          </cell>
          <cell r="P208">
            <v>2.2995999999999999</v>
          </cell>
        </row>
        <row r="209">
          <cell r="A209" t="str">
            <v>ACE-031-RW-507-R</v>
          </cell>
          <cell r="G209" t="str">
            <v xml:space="preserve">CR   </v>
          </cell>
          <cell r="L209">
            <v>38624</v>
          </cell>
          <cell r="M209">
            <v>2.915</v>
          </cell>
          <cell r="P209">
            <v>4.4329999999999998</v>
          </cell>
        </row>
        <row r="210">
          <cell r="A210" t="str">
            <v>ACE-031-TGB-12095-S2</v>
          </cell>
          <cell r="G210" t="str">
            <v>INDEV</v>
          </cell>
          <cell r="L210">
            <v>38909</v>
          </cell>
          <cell r="M210">
            <v>3.0859999999999999</v>
          </cell>
          <cell r="P210">
            <v>10.208651976668827</v>
          </cell>
        </row>
        <row r="211">
          <cell r="A211" t="str">
            <v>ACE-031-U-298-261L</v>
          </cell>
          <cell r="G211" t="str">
            <v xml:space="preserve">CR   </v>
          </cell>
          <cell r="L211">
            <v>38624</v>
          </cell>
          <cell r="M211">
            <v>2.915</v>
          </cell>
          <cell r="P211">
            <v>10.054</v>
          </cell>
        </row>
        <row r="212">
          <cell r="A212" t="str">
            <v>ACE-031-U-399-360L</v>
          </cell>
          <cell r="G212" t="str">
            <v xml:space="preserve">CR   </v>
          </cell>
          <cell r="L212">
            <v>38811</v>
          </cell>
          <cell r="M212">
            <v>3.085</v>
          </cell>
          <cell r="P212">
            <v>4.8999999999999998E-3</v>
          </cell>
        </row>
        <row r="213">
          <cell r="A213" t="str">
            <v>ACE-034-GE-45-ES</v>
          </cell>
          <cell r="G213" t="str">
            <v xml:space="preserve">INSI </v>
          </cell>
          <cell r="L213">
            <v>41361</v>
          </cell>
          <cell r="M213">
            <v>5.13</v>
          </cell>
          <cell r="P213">
            <v>1.3953</v>
          </cell>
        </row>
        <row r="214">
          <cell r="A214" t="str">
            <v>ACE-034-TE-3/8-DER</v>
          </cell>
          <cell r="G214" t="str">
            <v>INDEV</v>
          </cell>
          <cell r="L214">
            <v>37806</v>
          </cell>
          <cell r="M214">
            <v>2.7949999999999999</v>
          </cell>
          <cell r="P214">
            <v>2.9338103756708405</v>
          </cell>
        </row>
        <row r="215">
          <cell r="A215" t="str">
            <v>ACE-034-TI-10-DER</v>
          </cell>
          <cell r="G215" t="str">
            <v xml:space="preserve">CR   </v>
          </cell>
          <cell r="L215">
            <v>38811</v>
          </cell>
          <cell r="M215">
            <v>3.085</v>
          </cell>
          <cell r="P215">
            <v>1.0386</v>
          </cell>
        </row>
        <row r="216">
          <cell r="A216" t="str">
            <v>ACE-034-TI-10-IZQ</v>
          </cell>
          <cell r="G216" t="str">
            <v>INDEV</v>
          </cell>
          <cell r="L216">
            <v>41288</v>
          </cell>
          <cell r="M216">
            <v>4.95</v>
          </cell>
          <cell r="P216">
            <v>0.80359595959595953</v>
          </cell>
        </row>
        <row r="217">
          <cell r="A217" t="str">
            <v>ACE-034-TI-16-DER</v>
          </cell>
          <cell r="G217" t="str">
            <v xml:space="preserve">CR   </v>
          </cell>
          <cell r="L217">
            <v>38811</v>
          </cell>
          <cell r="M217">
            <v>3.085</v>
          </cell>
          <cell r="P217">
            <v>2.11</v>
          </cell>
        </row>
        <row r="218">
          <cell r="A218" t="str">
            <v>ACE-034-TI-16-IZQ</v>
          </cell>
          <cell r="G218" t="str">
            <v>INDEV</v>
          </cell>
          <cell r="L218">
            <v>41288</v>
          </cell>
          <cell r="M218">
            <v>4.95</v>
          </cell>
          <cell r="P218">
            <v>2.4020202020202022</v>
          </cell>
        </row>
        <row r="219">
          <cell r="A219" t="str">
            <v>ACE-034-TI-25-DER</v>
          </cell>
          <cell r="G219" t="str">
            <v xml:space="preserve">CR   </v>
          </cell>
          <cell r="L219">
            <v>38624</v>
          </cell>
          <cell r="M219">
            <v>2.915</v>
          </cell>
          <cell r="P219">
            <v>8.7119999999999997</v>
          </cell>
        </row>
        <row r="220">
          <cell r="A220" t="str">
            <v>ACE-034-TI-25-IZQ</v>
          </cell>
          <cell r="G220" t="str">
            <v xml:space="preserve">CR   </v>
          </cell>
          <cell r="L220">
            <v>38624</v>
          </cell>
          <cell r="M220">
            <v>2.915</v>
          </cell>
          <cell r="P220">
            <v>8.7119999999999997</v>
          </cell>
        </row>
        <row r="221">
          <cell r="A221" t="str">
            <v>ACE-034-TI-3/8-DER</v>
          </cell>
          <cell r="G221" t="str">
            <v>INDEV</v>
          </cell>
          <cell r="L221">
            <v>37806</v>
          </cell>
          <cell r="M221">
            <v>2.7949999999999999</v>
          </cell>
          <cell r="P221">
            <v>2.4686940966010735</v>
          </cell>
        </row>
        <row r="222">
          <cell r="A222" t="str">
            <v>ACE-034-TI-8-DER</v>
          </cell>
          <cell r="G222" t="str">
            <v>INDEV</v>
          </cell>
          <cell r="L222">
            <v>41288</v>
          </cell>
          <cell r="M222">
            <v>4.95</v>
          </cell>
          <cell r="P222">
            <v>2.3010101010101009</v>
          </cell>
        </row>
        <row r="223">
          <cell r="A223" t="str">
            <v>ACE-034-TI-8-IZQ</v>
          </cell>
          <cell r="G223" t="str">
            <v>INDEV</v>
          </cell>
          <cell r="L223">
            <v>41288</v>
          </cell>
          <cell r="M223">
            <v>4.95</v>
          </cell>
          <cell r="P223">
            <v>0.68933333333333324</v>
          </cell>
        </row>
        <row r="224">
          <cell r="A224" t="str">
            <v>ACE-035-BA-3216-ZOH</v>
          </cell>
          <cell r="G224" t="str">
            <v xml:space="preserve">CR   </v>
          </cell>
          <cell r="L224">
            <v>38811</v>
          </cell>
          <cell r="M224">
            <v>3.085</v>
          </cell>
          <cell r="P224">
            <v>0.69040000000000001</v>
          </cell>
        </row>
        <row r="225">
          <cell r="A225" t="str">
            <v>ACE-035-BHA-1612-ZOH</v>
          </cell>
          <cell r="G225" t="str">
            <v>INDEV</v>
          </cell>
          <cell r="L225">
            <v>41288</v>
          </cell>
          <cell r="M225">
            <v>4.95</v>
          </cell>
          <cell r="P225">
            <v>0.86464646464646466</v>
          </cell>
        </row>
        <row r="226">
          <cell r="A226" t="str">
            <v>ACE-035-BHA-2020-ZOH</v>
          </cell>
          <cell r="G226" t="str">
            <v xml:space="preserve">CR   </v>
          </cell>
          <cell r="L226">
            <v>38811</v>
          </cell>
          <cell r="M226">
            <v>3.085</v>
          </cell>
          <cell r="P226">
            <v>0.32090000000000002</v>
          </cell>
        </row>
        <row r="227">
          <cell r="A227" t="str">
            <v>ACE-035-HK-2020</v>
          </cell>
          <cell r="G227" t="str">
            <v xml:space="preserve">CR   </v>
          </cell>
          <cell r="L227">
            <v>38811</v>
          </cell>
          <cell r="M227">
            <v>3.085</v>
          </cell>
          <cell r="P227">
            <v>0.16039999999999999</v>
          </cell>
        </row>
        <row r="228">
          <cell r="A228" t="str">
            <v>ACE-035-HK-2526</v>
          </cell>
          <cell r="G228" t="str">
            <v xml:space="preserve">CR   </v>
          </cell>
          <cell r="L228">
            <v>38811</v>
          </cell>
          <cell r="M228">
            <v>3.085</v>
          </cell>
          <cell r="P228">
            <v>0.16719999999999999</v>
          </cell>
        </row>
        <row r="229">
          <cell r="A229" t="str">
            <v>ACE-035-NK-25-20</v>
          </cell>
          <cell r="G229" t="str">
            <v xml:space="preserve">CR   </v>
          </cell>
          <cell r="L229">
            <v>38624</v>
          </cell>
          <cell r="M229">
            <v>2.915</v>
          </cell>
          <cell r="P229">
            <v>2.1230000000000002</v>
          </cell>
        </row>
        <row r="230">
          <cell r="A230" t="str">
            <v>ACE-035-RN-2307</v>
          </cell>
          <cell r="G230" t="str">
            <v xml:space="preserve">CR   </v>
          </cell>
          <cell r="L230">
            <v>38811</v>
          </cell>
          <cell r="M230">
            <v>3.085</v>
          </cell>
          <cell r="P230">
            <v>3.8163999999999998</v>
          </cell>
        </row>
        <row r="231">
          <cell r="A231" t="str">
            <v>ACE-036-4-104</v>
          </cell>
          <cell r="G231" t="str">
            <v xml:space="preserve">CR   </v>
          </cell>
          <cell r="L231">
            <v>38624</v>
          </cell>
          <cell r="M231">
            <v>2.915</v>
          </cell>
          <cell r="P231">
            <v>1.804</v>
          </cell>
        </row>
        <row r="232">
          <cell r="A232" t="str">
            <v>ACE-036-4-118</v>
          </cell>
          <cell r="G232" t="str">
            <v xml:space="preserve">CR   </v>
          </cell>
          <cell r="L232">
            <v>38624</v>
          </cell>
          <cell r="M232">
            <v>2.915</v>
          </cell>
          <cell r="P232">
            <v>1.804</v>
          </cell>
        </row>
        <row r="233">
          <cell r="A233" t="str">
            <v>ACE-036-4-132</v>
          </cell>
          <cell r="G233" t="str">
            <v xml:space="preserve">CR   </v>
          </cell>
          <cell r="L233">
            <v>38624</v>
          </cell>
          <cell r="M233">
            <v>2.915</v>
          </cell>
          <cell r="P233">
            <v>3.52</v>
          </cell>
        </row>
        <row r="234">
          <cell r="A234" t="str">
            <v>ACE-036-4-133</v>
          </cell>
          <cell r="G234" t="str">
            <v xml:space="preserve">CR   </v>
          </cell>
          <cell r="L234">
            <v>38624</v>
          </cell>
          <cell r="M234">
            <v>2.915</v>
          </cell>
          <cell r="P234">
            <v>1.804</v>
          </cell>
        </row>
        <row r="235">
          <cell r="A235" t="str">
            <v>ACE-036-4-134</v>
          </cell>
          <cell r="G235" t="str">
            <v xml:space="preserve">CR   </v>
          </cell>
          <cell r="L235">
            <v>38624</v>
          </cell>
          <cell r="M235">
            <v>2.915</v>
          </cell>
          <cell r="P235">
            <v>1.804</v>
          </cell>
        </row>
        <row r="236">
          <cell r="A236" t="str">
            <v>ACE-036-4-137</v>
          </cell>
          <cell r="G236" t="str">
            <v xml:space="preserve">CR   </v>
          </cell>
          <cell r="L236">
            <v>38624</v>
          </cell>
          <cell r="M236">
            <v>2.915</v>
          </cell>
          <cell r="P236">
            <v>3.52</v>
          </cell>
        </row>
        <row r="237">
          <cell r="A237" t="str">
            <v>ACE-036-4-138</v>
          </cell>
          <cell r="G237" t="str">
            <v xml:space="preserve">CR   </v>
          </cell>
          <cell r="L237">
            <v>38624</v>
          </cell>
          <cell r="M237">
            <v>2.915</v>
          </cell>
          <cell r="P237">
            <v>3.52</v>
          </cell>
        </row>
        <row r="238">
          <cell r="A238" t="str">
            <v>ACE-036-4-139</v>
          </cell>
          <cell r="G238" t="str">
            <v xml:space="preserve">CR   </v>
          </cell>
          <cell r="L238">
            <v>38624</v>
          </cell>
          <cell r="M238">
            <v>2.915</v>
          </cell>
          <cell r="P238">
            <v>1.375</v>
          </cell>
        </row>
        <row r="239">
          <cell r="A239" t="str">
            <v>ACE-036-4-151</v>
          </cell>
          <cell r="G239" t="str">
            <v xml:space="preserve">CR   </v>
          </cell>
          <cell r="L239">
            <v>38624</v>
          </cell>
          <cell r="M239">
            <v>2.915</v>
          </cell>
          <cell r="P239">
            <v>1.925</v>
          </cell>
        </row>
        <row r="240">
          <cell r="A240" t="str">
            <v>ACE-036-4-153M</v>
          </cell>
          <cell r="G240" t="str">
            <v xml:space="preserve">CR   </v>
          </cell>
          <cell r="L240">
            <v>38624</v>
          </cell>
          <cell r="M240">
            <v>2.915</v>
          </cell>
          <cell r="P240">
            <v>2.464</v>
          </cell>
        </row>
        <row r="241">
          <cell r="A241" t="str">
            <v>ACE-036-4-156</v>
          </cell>
          <cell r="G241" t="str">
            <v xml:space="preserve">CR   </v>
          </cell>
          <cell r="L241">
            <v>38624</v>
          </cell>
          <cell r="M241">
            <v>2.915</v>
          </cell>
          <cell r="P241">
            <v>3.52</v>
          </cell>
        </row>
        <row r="242">
          <cell r="A242" t="str">
            <v>ACE-040-1307</v>
          </cell>
          <cell r="G242" t="str">
            <v>INDEV</v>
          </cell>
          <cell r="L242">
            <v>38243</v>
          </cell>
          <cell r="M242">
            <v>3.0110000000000001</v>
          </cell>
          <cell r="P242">
            <v>2.0707406177349719</v>
          </cell>
        </row>
        <row r="243">
          <cell r="A243" t="str">
            <v>ACE-040-30203</v>
          </cell>
          <cell r="G243" t="str">
            <v xml:space="preserve">CR   </v>
          </cell>
          <cell r="L243">
            <v>38624</v>
          </cell>
          <cell r="M243">
            <v>2.915</v>
          </cell>
          <cell r="P243">
            <v>1.089</v>
          </cell>
        </row>
        <row r="244">
          <cell r="A244" t="str">
            <v>ACE-040-30210</v>
          </cell>
          <cell r="G244" t="str">
            <v xml:space="preserve">CR   </v>
          </cell>
          <cell r="L244">
            <v>38624</v>
          </cell>
          <cell r="M244">
            <v>2.915</v>
          </cell>
          <cell r="P244">
            <v>1.8480000000000001</v>
          </cell>
        </row>
        <row r="245">
          <cell r="A245" t="str">
            <v>ACE-040-30211</v>
          </cell>
          <cell r="G245" t="str">
            <v xml:space="preserve">CR   </v>
          </cell>
          <cell r="L245">
            <v>38624</v>
          </cell>
          <cell r="M245">
            <v>2.915</v>
          </cell>
          <cell r="P245">
            <v>1.0999999999999999E-2</v>
          </cell>
        </row>
        <row r="246">
          <cell r="A246" t="str">
            <v>ACE-040-30306</v>
          </cell>
          <cell r="G246" t="str">
            <v xml:space="preserve">CR   </v>
          </cell>
          <cell r="L246">
            <v>37981</v>
          </cell>
          <cell r="M246">
            <v>2.96</v>
          </cell>
          <cell r="P246">
            <v>1.53</v>
          </cell>
        </row>
        <row r="247">
          <cell r="A247" t="str">
            <v>ACE-040-30311</v>
          </cell>
          <cell r="G247" t="str">
            <v xml:space="preserve">CR   </v>
          </cell>
          <cell r="L247">
            <v>38811</v>
          </cell>
          <cell r="M247">
            <v>3.085</v>
          </cell>
          <cell r="P247">
            <v>1.8086</v>
          </cell>
        </row>
        <row r="248">
          <cell r="A248" t="str">
            <v>ACE-040-31303</v>
          </cell>
          <cell r="G248" t="str">
            <v xml:space="preserve">CR   </v>
          </cell>
          <cell r="L248">
            <v>38811</v>
          </cell>
          <cell r="M248">
            <v>3.085</v>
          </cell>
          <cell r="P248">
            <v>1.0452999999999999</v>
          </cell>
        </row>
        <row r="249">
          <cell r="A249" t="str">
            <v>ACE-040-32007</v>
          </cell>
          <cell r="G249" t="str">
            <v xml:space="preserve">CR   </v>
          </cell>
          <cell r="L249">
            <v>38811</v>
          </cell>
          <cell r="M249">
            <v>3.085</v>
          </cell>
          <cell r="P249">
            <v>1.004</v>
          </cell>
        </row>
        <row r="250">
          <cell r="A250" t="str">
            <v>ACE-040-32009</v>
          </cell>
          <cell r="G250" t="str">
            <v xml:space="preserve">CR   </v>
          </cell>
          <cell r="L250">
            <v>38811</v>
          </cell>
          <cell r="M250">
            <v>3.085</v>
          </cell>
          <cell r="P250">
            <v>0.76329999999999998</v>
          </cell>
        </row>
        <row r="251">
          <cell r="A251" t="str">
            <v>ACE-040-32011</v>
          </cell>
          <cell r="G251" t="str">
            <v>IPFAB</v>
          </cell>
          <cell r="L251">
            <v>40512</v>
          </cell>
          <cell r="M251">
            <v>4</v>
          </cell>
          <cell r="P251">
            <v>1.6398999999999999</v>
          </cell>
        </row>
        <row r="252">
          <cell r="A252" t="str">
            <v>ACE-040-3202-2RS</v>
          </cell>
          <cell r="G252" t="str">
            <v xml:space="preserve">INAC </v>
          </cell>
          <cell r="L252">
            <v>43390</v>
          </cell>
          <cell r="M252">
            <v>36.9</v>
          </cell>
          <cell r="P252">
            <v>6.639566395663957</v>
          </cell>
        </row>
        <row r="253">
          <cell r="A253" t="str">
            <v>ACE-040-3306-2RS</v>
          </cell>
          <cell r="G253" t="str">
            <v xml:space="preserve">CR   </v>
          </cell>
          <cell r="L253">
            <v>38811</v>
          </cell>
          <cell r="M253">
            <v>3.085</v>
          </cell>
          <cell r="P253">
            <v>2.2339000000000002</v>
          </cell>
        </row>
        <row r="254">
          <cell r="A254" t="str">
            <v>ACE-040-51109</v>
          </cell>
          <cell r="G254" t="str">
            <v xml:space="preserve">CR   </v>
          </cell>
          <cell r="L254">
            <v>38811</v>
          </cell>
          <cell r="M254">
            <v>3.085</v>
          </cell>
          <cell r="P254">
            <v>0.5202</v>
          </cell>
        </row>
        <row r="255">
          <cell r="A255" t="str">
            <v>ACE-040-51110</v>
          </cell>
          <cell r="G255" t="str">
            <v xml:space="preserve">INAC </v>
          </cell>
          <cell r="L255">
            <v>42796</v>
          </cell>
          <cell r="M255">
            <v>15.84</v>
          </cell>
          <cell r="P255">
            <v>2.6767676767676769</v>
          </cell>
        </row>
        <row r="256">
          <cell r="A256" t="str">
            <v>ACE-040-51126</v>
          </cell>
          <cell r="G256" t="str">
            <v>INDEV</v>
          </cell>
          <cell r="L256">
            <v>41288</v>
          </cell>
          <cell r="M256">
            <v>4.95</v>
          </cell>
          <cell r="P256">
            <v>11.22020202020202</v>
          </cell>
        </row>
        <row r="257">
          <cell r="A257" t="str">
            <v>ACE-040-51208</v>
          </cell>
          <cell r="G257" t="str">
            <v>INDEV</v>
          </cell>
          <cell r="L257">
            <v>41288</v>
          </cell>
          <cell r="M257">
            <v>4.95</v>
          </cell>
          <cell r="P257">
            <v>3.4545454545454546</v>
          </cell>
        </row>
        <row r="258">
          <cell r="A258" t="str">
            <v>ACE-040-51211</v>
          </cell>
          <cell r="G258" t="str">
            <v>INDEV</v>
          </cell>
          <cell r="L258">
            <v>41288</v>
          </cell>
          <cell r="M258">
            <v>4.95</v>
          </cell>
          <cell r="P258">
            <v>0.81616161616161609</v>
          </cell>
        </row>
        <row r="259">
          <cell r="A259" t="str">
            <v>ACE-040-51313</v>
          </cell>
          <cell r="G259" t="str">
            <v>INDEV</v>
          </cell>
          <cell r="L259">
            <v>41288</v>
          </cell>
          <cell r="M259">
            <v>4.95</v>
          </cell>
          <cell r="P259">
            <v>2.5050505050505052</v>
          </cell>
        </row>
        <row r="260">
          <cell r="A260" t="str">
            <v>ACE-040-6012</v>
          </cell>
          <cell r="G260" t="str">
            <v xml:space="preserve">CR   </v>
          </cell>
          <cell r="L260">
            <v>37981</v>
          </cell>
          <cell r="M260">
            <v>2.96</v>
          </cell>
          <cell r="P260">
            <v>1.95</v>
          </cell>
        </row>
        <row r="261">
          <cell r="A261" t="str">
            <v>ACE-040-6016-2RS</v>
          </cell>
          <cell r="G261" t="str">
            <v xml:space="preserve">CR   </v>
          </cell>
          <cell r="L261">
            <v>37981</v>
          </cell>
          <cell r="M261">
            <v>2.96</v>
          </cell>
          <cell r="P261">
            <v>5.76</v>
          </cell>
        </row>
        <row r="262">
          <cell r="A262" t="str">
            <v>ACE-040-6017-2RS</v>
          </cell>
          <cell r="G262" t="str">
            <v>INDEV</v>
          </cell>
          <cell r="L262">
            <v>38225</v>
          </cell>
          <cell r="M262">
            <v>2.9910000000000001</v>
          </cell>
          <cell r="P262">
            <v>8.2296221999331323</v>
          </cell>
        </row>
        <row r="263">
          <cell r="A263" t="str">
            <v>ACE-040-6018-2RS</v>
          </cell>
          <cell r="G263" t="str">
            <v xml:space="preserve">CR   </v>
          </cell>
          <cell r="L263">
            <v>38624</v>
          </cell>
          <cell r="M263">
            <v>2.915</v>
          </cell>
          <cell r="P263">
            <v>7.843</v>
          </cell>
        </row>
        <row r="264">
          <cell r="A264" t="str">
            <v>ACE-040-608-2ZAB</v>
          </cell>
          <cell r="G264" t="str">
            <v xml:space="preserve">CR   </v>
          </cell>
          <cell r="L264">
            <v>38624</v>
          </cell>
          <cell r="M264">
            <v>2.915</v>
          </cell>
          <cell r="P264">
            <v>0.19800000000000001</v>
          </cell>
        </row>
        <row r="265">
          <cell r="A265" t="str">
            <v>ACE-040-6200-2Z</v>
          </cell>
          <cell r="G265" t="str">
            <v xml:space="preserve">CR   </v>
          </cell>
          <cell r="L265">
            <v>37981</v>
          </cell>
          <cell r="M265">
            <v>2.96</v>
          </cell>
          <cell r="P265">
            <v>0.41</v>
          </cell>
        </row>
        <row r="266">
          <cell r="A266" t="str">
            <v>ACE-040-6201-2Z</v>
          </cell>
          <cell r="G266" t="str">
            <v xml:space="preserve">INAC </v>
          </cell>
          <cell r="L266">
            <v>42298</v>
          </cell>
          <cell r="M266">
            <v>9.5500000000000007</v>
          </cell>
          <cell r="P266">
            <v>0.54450261780104714</v>
          </cell>
        </row>
        <row r="267">
          <cell r="A267" t="str">
            <v>ACE-040-6202</v>
          </cell>
          <cell r="G267" t="str">
            <v xml:space="preserve">CR   </v>
          </cell>
          <cell r="L267">
            <v>38624</v>
          </cell>
          <cell r="M267">
            <v>2.915</v>
          </cell>
          <cell r="P267">
            <v>0.22</v>
          </cell>
        </row>
        <row r="268">
          <cell r="A268" t="str">
            <v>ACE-040-6203</v>
          </cell>
          <cell r="G268" t="str">
            <v>IPFAB</v>
          </cell>
          <cell r="L268">
            <v>39142</v>
          </cell>
          <cell r="M268">
            <v>3.1</v>
          </cell>
          <cell r="P268">
            <v>0.45</v>
          </cell>
        </row>
        <row r="269">
          <cell r="A269" t="str">
            <v>ACE-040-6204-2RS</v>
          </cell>
          <cell r="G269" t="str">
            <v xml:space="preserve">CR   </v>
          </cell>
          <cell r="L269">
            <v>38624</v>
          </cell>
          <cell r="M269">
            <v>2.915</v>
          </cell>
          <cell r="P269">
            <v>0.39600000000000002</v>
          </cell>
        </row>
        <row r="270">
          <cell r="A270" t="str">
            <v>ACE-040-6205</v>
          </cell>
          <cell r="G270" t="str">
            <v xml:space="preserve">CR   </v>
          </cell>
          <cell r="L270">
            <v>38811</v>
          </cell>
          <cell r="M270">
            <v>3.085</v>
          </cell>
          <cell r="P270">
            <v>0.39350000000000002</v>
          </cell>
        </row>
        <row r="271">
          <cell r="A271" t="str">
            <v>ACE-040-6206</v>
          </cell>
          <cell r="G271" t="str">
            <v xml:space="preserve">CR   </v>
          </cell>
          <cell r="L271">
            <v>38811</v>
          </cell>
          <cell r="M271">
            <v>3.085</v>
          </cell>
          <cell r="P271">
            <v>0.31859999999999999</v>
          </cell>
        </row>
        <row r="272">
          <cell r="A272" t="str">
            <v>ACE-040-6208-2RS</v>
          </cell>
          <cell r="G272" t="str">
            <v xml:space="preserve">INAC </v>
          </cell>
          <cell r="L272">
            <v>42965</v>
          </cell>
          <cell r="M272">
            <v>17.64</v>
          </cell>
          <cell r="P272">
            <v>3.849126984126984</v>
          </cell>
        </row>
        <row r="273">
          <cell r="A273" t="str">
            <v>ACE-040-6208-ZN</v>
          </cell>
          <cell r="G273" t="str">
            <v xml:space="preserve">CR   </v>
          </cell>
          <cell r="L273">
            <v>38811</v>
          </cell>
          <cell r="M273">
            <v>3.085</v>
          </cell>
          <cell r="P273">
            <v>0.77900000000000003</v>
          </cell>
        </row>
        <row r="274">
          <cell r="A274" t="str">
            <v>ACE-040-6210-2RS</v>
          </cell>
          <cell r="G274" t="str">
            <v xml:space="preserve">INAC </v>
          </cell>
          <cell r="L274">
            <v>42744</v>
          </cell>
          <cell r="M274">
            <v>16.329999999999998</v>
          </cell>
          <cell r="P274">
            <v>5.1439069197795471</v>
          </cell>
        </row>
        <row r="275">
          <cell r="A275" t="str">
            <v>ACE-040-6211</v>
          </cell>
          <cell r="G275" t="str">
            <v xml:space="preserve">INAC </v>
          </cell>
          <cell r="L275">
            <v>42744</v>
          </cell>
          <cell r="M275">
            <v>16.329999999999998</v>
          </cell>
          <cell r="P275">
            <v>5.8175137783221071</v>
          </cell>
        </row>
        <row r="276">
          <cell r="A276" t="str">
            <v>ACE-040-62208-2RS</v>
          </cell>
          <cell r="G276" t="str">
            <v xml:space="preserve">CR   </v>
          </cell>
          <cell r="L276">
            <v>38811</v>
          </cell>
          <cell r="M276">
            <v>3.085</v>
          </cell>
          <cell r="P276">
            <v>1.264</v>
          </cell>
        </row>
        <row r="277">
          <cell r="A277" t="str">
            <v>ACE-040-62304-2RS</v>
          </cell>
          <cell r="G277" t="str">
            <v xml:space="preserve">CR   </v>
          </cell>
          <cell r="L277">
            <v>38624</v>
          </cell>
          <cell r="M277">
            <v>2.915</v>
          </cell>
          <cell r="P277">
            <v>4.8179999999999996</v>
          </cell>
        </row>
        <row r="278">
          <cell r="A278" t="str">
            <v>ACE-040-6304-2RS</v>
          </cell>
          <cell r="G278" t="str">
            <v xml:space="preserve">CR   </v>
          </cell>
          <cell r="L278">
            <v>38811</v>
          </cell>
          <cell r="M278">
            <v>3.085</v>
          </cell>
          <cell r="P278">
            <v>0.52610000000000001</v>
          </cell>
        </row>
        <row r="279">
          <cell r="A279" t="str">
            <v>ACE-040-6307-2RS</v>
          </cell>
          <cell r="G279" t="str">
            <v>IPFAP</v>
          </cell>
          <cell r="L279">
            <v>42916</v>
          </cell>
          <cell r="M279">
            <v>16.760000000000002</v>
          </cell>
          <cell r="P279">
            <v>1.7930011933174221</v>
          </cell>
        </row>
        <row r="280">
          <cell r="A280" t="str">
            <v>ACE-040-6310-2RS</v>
          </cell>
          <cell r="G280" t="str">
            <v xml:space="preserve">CR   </v>
          </cell>
          <cell r="L280">
            <v>37981</v>
          </cell>
          <cell r="M280">
            <v>2.96</v>
          </cell>
          <cell r="P280">
            <v>3.44</v>
          </cell>
        </row>
        <row r="281">
          <cell r="A281" t="str">
            <v>ACE-040-6311</v>
          </cell>
          <cell r="G281" t="str">
            <v xml:space="preserve">CR   </v>
          </cell>
          <cell r="L281">
            <v>38811</v>
          </cell>
          <cell r="M281">
            <v>3.085</v>
          </cell>
          <cell r="P281">
            <v>1.619</v>
          </cell>
        </row>
        <row r="282">
          <cell r="A282" t="str">
            <v>ACE-040-6311-2RS</v>
          </cell>
          <cell r="G282" t="str">
            <v xml:space="preserve">CR   </v>
          </cell>
          <cell r="L282">
            <v>38811</v>
          </cell>
          <cell r="M282">
            <v>3.085</v>
          </cell>
          <cell r="P282">
            <v>1.8936999999999999</v>
          </cell>
        </row>
        <row r="283">
          <cell r="A283" t="str">
            <v>ACE-040-6403</v>
          </cell>
          <cell r="G283" t="str">
            <v xml:space="preserve">CR   </v>
          </cell>
          <cell r="L283">
            <v>38811</v>
          </cell>
          <cell r="M283">
            <v>3.085</v>
          </cell>
          <cell r="P283">
            <v>0.95289999999999997</v>
          </cell>
        </row>
        <row r="284">
          <cell r="A284" t="str">
            <v>ACE-040-7304-AE1</v>
          </cell>
          <cell r="G284" t="str">
            <v xml:space="preserve">CR   </v>
          </cell>
          <cell r="L284">
            <v>38624</v>
          </cell>
          <cell r="M284">
            <v>2.915</v>
          </cell>
          <cell r="P284">
            <v>1.0999999999999999E-2</v>
          </cell>
        </row>
        <row r="285">
          <cell r="A285" t="str">
            <v>ACE-040-7313-B</v>
          </cell>
          <cell r="G285" t="str">
            <v xml:space="preserve">CR   </v>
          </cell>
          <cell r="L285">
            <v>38624</v>
          </cell>
          <cell r="M285">
            <v>2.915</v>
          </cell>
          <cell r="P285">
            <v>13.563000000000001</v>
          </cell>
        </row>
        <row r="286">
          <cell r="A286" t="str">
            <v>ACE-040-FA-31717</v>
          </cell>
          <cell r="G286" t="str">
            <v xml:space="preserve">CR   </v>
          </cell>
          <cell r="L286">
            <v>38624</v>
          </cell>
          <cell r="M286">
            <v>2.915</v>
          </cell>
          <cell r="P286">
            <v>5.7640000000000002</v>
          </cell>
        </row>
        <row r="287">
          <cell r="A287" t="str">
            <v>ACE-040-FC-31716</v>
          </cell>
          <cell r="G287" t="str">
            <v xml:space="preserve">CR   </v>
          </cell>
          <cell r="L287">
            <v>38624</v>
          </cell>
          <cell r="M287">
            <v>2.915</v>
          </cell>
          <cell r="P287">
            <v>5.7640000000000002</v>
          </cell>
        </row>
        <row r="288">
          <cell r="A288" t="str">
            <v>ACE-040-RCO-25</v>
          </cell>
          <cell r="G288" t="str">
            <v xml:space="preserve">CR   </v>
          </cell>
          <cell r="L288">
            <v>38624</v>
          </cell>
          <cell r="M288">
            <v>2.915</v>
          </cell>
          <cell r="P288">
            <v>14.311</v>
          </cell>
        </row>
        <row r="289">
          <cell r="A289" t="str">
            <v>ACE-041-1726205-2RS</v>
          </cell>
          <cell r="G289" t="str">
            <v>IPFAB</v>
          </cell>
          <cell r="L289">
            <v>38665</v>
          </cell>
          <cell r="M289">
            <v>2.9630000000000001</v>
          </cell>
          <cell r="P289">
            <v>1.6739999999999999</v>
          </cell>
        </row>
        <row r="290">
          <cell r="A290" t="str">
            <v>ACE-041-6006-2RS</v>
          </cell>
          <cell r="G290" t="str">
            <v xml:space="preserve">INAC </v>
          </cell>
          <cell r="L290">
            <v>42821</v>
          </cell>
          <cell r="M290">
            <v>15.93</v>
          </cell>
          <cell r="P290">
            <v>1.9020715630885123</v>
          </cell>
        </row>
        <row r="291">
          <cell r="A291" t="str">
            <v>ACE-041-608-ZZ</v>
          </cell>
          <cell r="G291" t="str">
            <v xml:space="preserve">CR   </v>
          </cell>
          <cell r="L291">
            <v>38811</v>
          </cell>
          <cell r="M291">
            <v>3.085</v>
          </cell>
          <cell r="P291">
            <v>0.1225</v>
          </cell>
        </row>
        <row r="292">
          <cell r="A292" t="str">
            <v>ACE-041-6203-2RS</v>
          </cell>
          <cell r="G292" t="str">
            <v>INPE$</v>
          </cell>
          <cell r="L292">
            <v>40644</v>
          </cell>
          <cell r="M292">
            <v>4.08</v>
          </cell>
          <cell r="P292">
            <v>0.88897058823529407</v>
          </cell>
        </row>
        <row r="293">
          <cell r="A293" t="str">
            <v>ACE-041-6206.2RS</v>
          </cell>
          <cell r="G293" t="str">
            <v xml:space="preserve">CR   </v>
          </cell>
          <cell r="L293">
            <v>38811</v>
          </cell>
          <cell r="M293">
            <v>3.085</v>
          </cell>
          <cell r="P293">
            <v>0.3422</v>
          </cell>
        </row>
        <row r="294">
          <cell r="A294" t="str">
            <v>ACE-041-6207</v>
          </cell>
          <cell r="G294" t="str">
            <v xml:space="preserve">CR   </v>
          </cell>
          <cell r="L294">
            <v>38811</v>
          </cell>
          <cell r="M294">
            <v>3.085</v>
          </cell>
          <cell r="P294">
            <v>0.68610000000000004</v>
          </cell>
        </row>
        <row r="295">
          <cell r="A295" t="str">
            <v>ACE-041-6210-2RSK</v>
          </cell>
          <cell r="G295" t="str">
            <v xml:space="preserve">CR   </v>
          </cell>
          <cell r="L295">
            <v>38811</v>
          </cell>
          <cell r="M295">
            <v>3.085</v>
          </cell>
          <cell r="P295">
            <v>1.5411999999999999</v>
          </cell>
        </row>
        <row r="296">
          <cell r="A296" t="str">
            <v>ACE-041-62207-2RS</v>
          </cell>
          <cell r="G296" t="str">
            <v>IPFAB</v>
          </cell>
          <cell r="L296">
            <v>39749</v>
          </cell>
          <cell r="M296">
            <v>3.3</v>
          </cell>
          <cell r="P296">
            <v>1.25</v>
          </cell>
        </row>
        <row r="297">
          <cell r="A297" t="str">
            <v>ACE-041-6905-2RS</v>
          </cell>
          <cell r="G297" t="str">
            <v xml:space="preserve">CR   </v>
          </cell>
          <cell r="L297">
            <v>38811</v>
          </cell>
          <cell r="M297">
            <v>3.085</v>
          </cell>
          <cell r="P297">
            <v>1.8764000000000001</v>
          </cell>
        </row>
        <row r="298">
          <cell r="A298" t="str">
            <v>ACE-041-88508</v>
          </cell>
          <cell r="G298" t="str">
            <v>IPFAB</v>
          </cell>
          <cell r="L298">
            <v>39070</v>
          </cell>
          <cell r="M298">
            <v>3.0569999999999999</v>
          </cell>
          <cell r="P298">
            <v>1.4</v>
          </cell>
        </row>
        <row r="299">
          <cell r="A299" t="str">
            <v>ACE-043-6205-2RS</v>
          </cell>
          <cell r="G299" t="str">
            <v xml:space="preserve">CR   </v>
          </cell>
          <cell r="L299">
            <v>38811</v>
          </cell>
          <cell r="M299">
            <v>3.085</v>
          </cell>
          <cell r="P299">
            <v>0.83620000000000005</v>
          </cell>
        </row>
        <row r="300">
          <cell r="A300" t="str">
            <v>ACE-047-5203-KYY3</v>
          </cell>
          <cell r="G300" t="str">
            <v xml:space="preserve">CR   </v>
          </cell>
          <cell r="L300">
            <v>38624</v>
          </cell>
          <cell r="M300">
            <v>2.915</v>
          </cell>
          <cell r="P300">
            <v>3.0249999999999999</v>
          </cell>
        </row>
        <row r="301">
          <cell r="A301" t="str">
            <v>ACE-047-FT-205</v>
          </cell>
          <cell r="G301" t="str">
            <v xml:space="preserve">INAC </v>
          </cell>
          <cell r="L301">
            <v>43930</v>
          </cell>
          <cell r="M301">
            <v>66.5</v>
          </cell>
          <cell r="P301">
            <v>2.2481203007518795</v>
          </cell>
        </row>
        <row r="302">
          <cell r="A302" t="str">
            <v>ACE-048-205-KRSR</v>
          </cell>
          <cell r="G302" t="str">
            <v>IPFAB</v>
          </cell>
          <cell r="L302">
            <v>37704</v>
          </cell>
          <cell r="M302">
            <v>2.99</v>
          </cell>
          <cell r="P302">
            <v>10.199999999999999</v>
          </cell>
        </row>
        <row r="303">
          <cell r="A303" t="str">
            <v>ACE-050-104948-10</v>
          </cell>
          <cell r="G303" t="str">
            <v xml:space="preserve">INAC </v>
          </cell>
          <cell r="L303">
            <v>38411</v>
          </cell>
          <cell r="M303">
            <v>2.9380000000000002</v>
          </cell>
          <cell r="P303">
            <v>2.8716814159292032</v>
          </cell>
        </row>
        <row r="304">
          <cell r="A304" t="str">
            <v>ACE-050-32006</v>
          </cell>
          <cell r="G304" t="str">
            <v>IPFAB</v>
          </cell>
          <cell r="L304">
            <v>39715</v>
          </cell>
          <cell r="M304">
            <v>3.0990000000000002</v>
          </cell>
          <cell r="P304">
            <v>1.2474000000000001</v>
          </cell>
        </row>
        <row r="305">
          <cell r="A305" t="str">
            <v>ACE-050-32210</v>
          </cell>
          <cell r="G305" t="str">
            <v xml:space="preserve">INAC </v>
          </cell>
          <cell r="L305">
            <v>39276</v>
          </cell>
          <cell r="M305">
            <v>3.1</v>
          </cell>
          <cell r="P305">
            <v>2.5865806451612903</v>
          </cell>
        </row>
        <row r="306">
          <cell r="A306" t="str">
            <v>ACE-050-32211</v>
          </cell>
          <cell r="G306" t="str">
            <v xml:space="preserve">INAC </v>
          </cell>
          <cell r="L306">
            <v>39276</v>
          </cell>
          <cell r="M306">
            <v>3.1</v>
          </cell>
          <cell r="P306">
            <v>2.9197096774193549</v>
          </cell>
        </row>
        <row r="307">
          <cell r="A307" t="str">
            <v>ACE-050-6581-35X</v>
          </cell>
          <cell r="G307" t="str">
            <v>INDEV</v>
          </cell>
          <cell r="L307">
            <v>38957</v>
          </cell>
          <cell r="M307">
            <v>3.0920000000000001</v>
          </cell>
          <cell r="P307">
            <v>22.481500646830529</v>
          </cell>
        </row>
        <row r="308">
          <cell r="A308" t="str">
            <v>ACE-050-LM-11949-910</v>
          </cell>
          <cell r="G308" t="str">
            <v>INDEV</v>
          </cell>
          <cell r="L308">
            <v>41288</v>
          </cell>
          <cell r="M308">
            <v>4.95</v>
          </cell>
          <cell r="P308">
            <v>1.9393939393939392</v>
          </cell>
        </row>
        <row r="309">
          <cell r="A309" t="str">
            <v>ACE-050-LM-749-742</v>
          </cell>
          <cell r="G309" t="str">
            <v xml:space="preserve">CR   </v>
          </cell>
          <cell r="L309">
            <v>38624</v>
          </cell>
          <cell r="M309">
            <v>2.915</v>
          </cell>
          <cell r="P309">
            <v>9.9109999999999996</v>
          </cell>
        </row>
        <row r="310">
          <cell r="A310" t="str">
            <v>ACE-050-O-9067-9195</v>
          </cell>
          <cell r="G310" t="str">
            <v xml:space="preserve">CR   </v>
          </cell>
          <cell r="L310">
            <v>38811</v>
          </cell>
          <cell r="M310">
            <v>3.085</v>
          </cell>
          <cell r="P310">
            <v>0.91400000000000003</v>
          </cell>
        </row>
        <row r="311">
          <cell r="A311" t="str">
            <v>ACE-051-H-208-32MM</v>
          </cell>
          <cell r="G311" t="str">
            <v xml:space="preserve">INAC </v>
          </cell>
          <cell r="L311">
            <v>39056</v>
          </cell>
          <cell r="M311">
            <v>3.06</v>
          </cell>
          <cell r="P311">
            <v>1.4186274509803922</v>
          </cell>
        </row>
        <row r="312">
          <cell r="A312" t="str">
            <v>ACE-051-H-2310</v>
          </cell>
          <cell r="G312" t="str">
            <v xml:space="preserve">CR   </v>
          </cell>
          <cell r="L312">
            <v>38624</v>
          </cell>
          <cell r="M312">
            <v>2.915</v>
          </cell>
          <cell r="P312">
            <v>2.9590000000000001</v>
          </cell>
        </row>
        <row r="313">
          <cell r="A313" t="str">
            <v>ACE-051-H-2312</v>
          </cell>
          <cell r="G313" t="str">
            <v xml:space="preserve">INAC </v>
          </cell>
          <cell r="L313">
            <v>39169</v>
          </cell>
          <cell r="M313">
            <v>3.1059999999999999</v>
          </cell>
          <cell r="P313">
            <v>2.9941403734707017</v>
          </cell>
        </row>
        <row r="314">
          <cell r="A314" t="str">
            <v>ACE-051-H-2313</v>
          </cell>
          <cell r="G314" t="str">
            <v xml:space="preserve">CR   </v>
          </cell>
          <cell r="L314">
            <v>38624</v>
          </cell>
          <cell r="M314">
            <v>2.915</v>
          </cell>
          <cell r="P314">
            <v>4.2130000000000001</v>
          </cell>
        </row>
        <row r="315">
          <cell r="A315" t="str">
            <v>ACE-051-H-305</v>
          </cell>
          <cell r="G315" t="str">
            <v xml:space="preserve">INAC </v>
          </cell>
          <cell r="L315">
            <v>38484</v>
          </cell>
          <cell r="M315">
            <v>2.8959999999999999</v>
          </cell>
          <cell r="P315">
            <v>1.0953038674033151</v>
          </cell>
        </row>
        <row r="316">
          <cell r="A316" t="str">
            <v>ACE-051-H-306</v>
          </cell>
          <cell r="G316" t="str">
            <v xml:space="preserve">CR   </v>
          </cell>
          <cell r="L316">
            <v>38811</v>
          </cell>
          <cell r="M316">
            <v>3.085</v>
          </cell>
          <cell r="P316">
            <v>0.58809999999999996</v>
          </cell>
        </row>
        <row r="317">
          <cell r="A317" t="str">
            <v>ACE-051-H-307</v>
          </cell>
          <cell r="G317" t="str">
            <v xml:space="preserve">CR   </v>
          </cell>
          <cell r="L317">
            <v>38811</v>
          </cell>
          <cell r="M317">
            <v>3.085</v>
          </cell>
          <cell r="P317">
            <v>0.67210000000000003</v>
          </cell>
        </row>
        <row r="318">
          <cell r="A318" t="str">
            <v>ACE-051-H-309</v>
          </cell>
          <cell r="G318" t="str">
            <v xml:space="preserve">CR   </v>
          </cell>
          <cell r="L318">
            <v>38811</v>
          </cell>
          <cell r="M318">
            <v>3.085</v>
          </cell>
          <cell r="P318">
            <v>0.8054</v>
          </cell>
        </row>
        <row r="319">
          <cell r="A319" t="str">
            <v>ACE-051-H-310</v>
          </cell>
          <cell r="G319" t="str">
            <v xml:space="preserve">INAC </v>
          </cell>
          <cell r="L319">
            <v>38484</v>
          </cell>
          <cell r="M319">
            <v>2.8959999999999999</v>
          </cell>
          <cell r="P319">
            <v>1.7786602209944751</v>
          </cell>
        </row>
        <row r="320">
          <cell r="A320" t="str">
            <v>ACE-051-H-311</v>
          </cell>
          <cell r="G320" t="str">
            <v xml:space="preserve">CR   </v>
          </cell>
          <cell r="L320">
            <v>38811</v>
          </cell>
          <cell r="M320">
            <v>3.085</v>
          </cell>
          <cell r="P320">
            <v>1.1140000000000001</v>
          </cell>
        </row>
        <row r="321">
          <cell r="A321" t="str">
            <v>ACE-051-H-312</v>
          </cell>
          <cell r="G321" t="str">
            <v xml:space="preserve">INAC </v>
          </cell>
          <cell r="L321">
            <v>39157</v>
          </cell>
          <cell r="M321">
            <v>3.0979999999999999</v>
          </cell>
          <cell r="P321">
            <v>1.8721755971594578</v>
          </cell>
        </row>
        <row r="322">
          <cell r="A322" t="str">
            <v>ACE-051-H-314</v>
          </cell>
          <cell r="G322" t="str">
            <v xml:space="preserve">CR   </v>
          </cell>
          <cell r="L322">
            <v>38811</v>
          </cell>
          <cell r="M322">
            <v>3.085</v>
          </cell>
          <cell r="P322">
            <v>2.0754000000000001</v>
          </cell>
        </row>
        <row r="323">
          <cell r="A323" t="str">
            <v>ACE-051-H-316</v>
          </cell>
          <cell r="G323" t="str">
            <v xml:space="preserve">INAC </v>
          </cell>
          <cell r="L323">
            <v>38378</v>
          </cell>
          <cell r="M323">
            <v>2.9220000000000002</v>
          </cell>
          <cell r="P323">
            <v>6.6834360027378503</v>
          </cell>
        </row>
        <row r="324">
          <cell r="A324" t="str">
            <v>ACE-051-H-317</v>
          </cell>
          <cell r="G324" t="str">
            <v xml:space="preserve">CR   </v>
          </cell>
          <cell r="L324">
            <v>38624</v>
          </cell>
          <cell r="M324">
            <v>2.915</v>
          </cell>
          <cell r="P324">
            <v>11.561</v>
          </cell>
        </row>
        <row r="325">
          <cell r="A325" t="str">
            <v>ACE-051-H-318</v>
          </cell>
          <cell r="G325" t="str">
            <v xml:space="preserve">CR   </v>
          </cell>
          <cell r="L325">
            <v>38624</v>
          </cell>
          <cell r="M325">
            <v>2.915</v>
          </cell>
          <cell r="P325">
            <v>8.0410000000000004</v>
          </cell>
        </row>
        <row r="326">
          <cell r="A326" t="str">
            <v>ACE-051-H-320</v>
          </cell>
          <cell r="G326" t="str">
            <v xml:space="preserve">CR   </v>
          </cell>
          <cell r="L326">
            <v>38624</v>
          </cell>
          <cell r="M326">
            <v>2.915</v>
          </cell>
          <cell r="P326">
            <v>10.34</v>
          </cell>
        </row>
        <row r="327">
          <cell r="A327" t="str">
            <v>ACE-051-H-328</v>
          </cell>
          <cell r="G327" t="str">
            <v xml:space="preserve">CR   </v>
          </cell>
          <cell r="L327">
            <v>38624</v>
          </cell>
          <cell r="M327">
            <v>2.915</v>
          </cell>
          <cell r="P327">
            <v>42.944000000000003</v>
          </cell>
        </row>
        <row r="328">
          <cell r="A328" t="str">
            <v>ACE-051-SN-506</v>
          </cell>
          <cell r="G328" t="str">
            <v xml:space="preserve">INAC </v>
          </cell>
          <cell r="L328">
            <v>39303</v>
          </cell>
          <cell r="M328">
            <v>3.133</v>
          </cell>
          <cell r="P328">
            <v>3.0258538142355569</v>
          </cell>
        </row>
        <row r="329">
          <cell r="A329" t="str">
            <v>ACE-051-SN-507</v>
          </cell>
          <cell r="G329" t="str">
            <v xml:space="preserve">CR   </v>
          </cell>
          <cell r="L329">
            <v>38624</v>
          </cell>
          <cell r="M329">
            <v>2.915</v>
          </cell>
          <cell r="P329">
            <v>6.0060000000000002</v>
          </cell>
        </row>
        <row r="330">
          <cell r="A330" t="str">
            <v>ACE-051-SN-508</v>
          </cell>
          <cell r="G330" t="str">
            <v xml:space="preserve">CR   </v>
          </cell>
          <cell r="L330">
            <v>38624</v>
          </cell>
          <cell r="M330">
            <v>2.915</v>
          </cell>
          <cell r="P330">
            <v>4.95</v>
          </cell>
        </row>
        <row r="331">
          <cell r="A331" t="str">
            <v>ACE-051-SN-509</v>
          </cell>
          <cell r="G331" t="str">
            <v xml:space="preserve">INAC </v>
          </cell>
          <cell r="L331">
            <v>40372</v>
          </cell>
          <cell r="M331">
            <v>3.95</v>
          </cell>
          <cell r="P331">
            <v>12.967088607594937</v>
          </cell>
        </row>
        <row r="332">
          <cell r="A332" t="str">
            <v>ACE-051-SN-510</v>
          </cell>
          <cell r="G332" t="str">
            <v xml:space="preserve">CR   </v>
          </cell>
          <cell r="L332">
            <v>38624</v>
          </cell>
          <cell r="M332">
            <v>2.915</v>
          </cell>
          <cell r="P332">
            <v>6.0609999999999999</v>
          </cell>
        </row>
        <row r="333">
          <cell r="A333" t="str">
            <v>ACE-051-SN-511</v>
          </cell>
          <cell r="G333" t="str">
            <v xml:space="preserve">CR   </v>
          </cell>
          <cell r="L333">
            <v>38624</v>
          </cell>
          <cell r="M333">
            <v>2.915</v>
          </cell>
          <cell r="P333">
            <v>7.0069999999999997</v>
          </cell>
        </row>
        <row r="334">
          <cell r="A334" t="str">
            <v>ACE-051-SN-513</v>
          </cell>
          <cell r="G334" t="str">
            <v xml:space="preserve">INAC </v>
          </cell>
          <cell r="L334">
            <v>40372</v>
          </cell>
          <cell r="M334">
            <v>3.95</v>
          </cell>
          <cell r="P334">
            <v>27.848101265822784</v>
          </cell>
        </row>
        <row r="335">
          <cell r="A335" t="str">
            <v>ACE-051-SN-515</v>
          </cell>
          <cell r="G335" t="str">
            <v xml:space="preserve">INAC </v>
          </cell>
          <cell r="L335">
            <v>38883</v>
          </cell>
          <cell r="M335">
            <v>3.0790000000000002</v>
          </cell>
          <cell r="P335">
            <v>14.095485547255601</v>
          </cell>
        </row>
        <row r="336">
          <cell r="A336" t="str">
            <v>ACE-051-SN-516</v>
          </cell>
          <cell r="G336" t="str">
            <v xml:space="preserve">INAC </v>
          </cell>
          <cell r="L336">
            <v>38947</v>
          </cell>
          <cell r="M336">
            <v>3.08</v>
          </cell>
          <cell r="P336">
            <v>15</v>
          </cell>
        </row>
        <row r="337">
          <cell r="A337" t="str">
            <v>ACE-051-SN-517</v>
          </cell>
          <cell r="G337" t="str">
            <v xml:space="preserve">CR   </v>
          </cell>
          <cell r="L337">
            <v>38624</v>
          </cell>
          <cell r="M337">
            <v>2.915</v>
          </cell>
          <cell r="P337">
            <v>15.323</v>
          </cell>
        </row>
        <row r="338">
          <cell r="A338" t="str">
            <v>ACE-051-SN-518</v>
          </cell>
          <cell r="G338" t="str">
            <v xml:space="preserve">CR   </v>
          </cell>
          <cell r="L338">
            <v>38811</v>
          </cell>
          <cell r="M338">
            <v>3.085</v>
          </cell>
          <cell r="P338">
            <v>10.4915</v>
          </cell>
        </row>
        <row r="339">
          <cell r="A339" t="str">
            <v>ACE-051-SN-520</v>
          </cell>
          <cell r="G339" t="str">
            <v xml:space="preserve">CR   </v>
          </cell>
          <cell r="L339">
            <v>38811</v>
          </cell>
          <cell r="M339">
            <v>3.085</v>
          </cell>
          <cell r="P339">
            <v>17.652799999999999</v>
          </cell>
        </row>
        <row r="340">
          <cell r="A340" t="str">
            <v>ACE-051-SN-522</v>
          </cell>
          <cell r="G340" t="str">
            <v xml:space="preserve">CR   </v>
          </cell>
          <cell r="L340">
            <v>38811</v>
          </cell>
          <cell r="M340">
            <v>3.085</v>
          </cell>
          <cell r="P340">
            <v>18.5425</v>
          </cell>
        </row>
        <row r="341">
          <cell r="A341" t="str">
            <v>ACE-051-SN-528</v>
          </cell>
          <cell r="G341" t="str">
            <v>INDEV</v>
          </cell>
          <cell r="L341">
            <v>41288</v>
          </cell>
          <cell r="M341">
            <v>4.95</v>
          </cell>
          <cell r="P341">
            <v>18.789858585858585</v>
          </cell>
        </row>
        <row r="342">
          <cell r="A342" t="str">
            <v>ACE-053-X-104949</v>
          </cell>
          <cell r="G342" t="str">
            <v>IPFAB</v>
          </cell>
          <cell r="L342">
            <v>39176</v>
          </cell>
          <cell r="M342">
            <v>3.101</v>
          </cell>
          <cell r="P342">
            <v>1</v>
          </cell>
        </row>
        <row r="343">
          <cell r="A343" t="str">
            <v>ACE-053-X-32006-RM</v>
          </cell>
          <cell r="G343" t="str">
            <v>IPFAB</v>
          </cell>
          <cell r="L343">
            <v>38715</v>
          </cell>
          <cell r="M343">
            <v>3.04</v>
          </cell>
          <cell r="P343">
            <v>0.88870000000000005</v>
          </cell>
        </row>
        <row r="344">
          <cell r="A344" t="str">
            <v>ACE-053-X-32009-MX</v>
          </cell>
          <cell r="G344" t="str">
            <v xml:space="preserve">INSI </v>
          </cell>
          <cell r="L344">
            <v>40708</v>
          </cell>
          <cell r="M344">
            <v>4.13</v>
          </cell>
          <cell r="P344">
            <v>0.76329999999999998</v>
          </cell>
        </row>
        <row r="345">
          <cell r="A345" t="str">
            <v>ACE-053-X-32218</v>
          </cell>
          <cell r="G345" t="str">
            <v>INDEV</v>
          </cell>
          <cell r="L345">
            <v>38979</v>
          </cell>
          <cell r="M345">
            <v>3.0979999999999999</v>
          </cell>
          <cell r="P345">
            <v>6.657230471271788</v>
          </cell>
        </row>
        <row r="346">
          <cell r="A346" t="str">
            <v>ACE-054-Y-104911</v>
          </cell>
          <cell r="G346" t="str">
            <v>IPFAB</v>
          </cell>
          <cell r="L346">
            <v>39176</v>
          </cell>
          <cell r="M346">
            <v>3.101</v>
          </cell>
          <cell r="P346">
            <v>1</v>
          </cell>
        </row>
        <row r="347">
          <cell r="A347" t="str">
            <v>ACE-054-Y-32006-RM</v>
          </cell>
          <cell r="G347" t="str">
            <v>IPFAB</v>
          </cell>
          <cell r="L347">
            <v>38715</v>
          </cell>
          <cell r="M347">
            <v>3.04</v>
          </cell>
          <cell r="P347">
            <v>0.35870000000000002</v>
          </cell>
        </row>
        <row r="348">
          <cell r="A348" t="str">
            <v>ACE-054-Y-32218</v>
          </cell>
          <cell r="G348" t="str">
            <v>INDEV</v>
          </cell>
          <cell r="L348">
            <v>38979</v>
          </cell>
          <cell r="M348">
            <v>3.0979999999999999</v>
          </cell>
          <cell r="P348">
            <v>2.7005164622336992</v>
          </cell>
        </row>
        <row r="349">
          <cell r="A349" t="str">
            <v>AET-048-AG-2318-A</v>
          </cell>
          <cell r="G349" t="str">
            <v xml:space="preserve">CR   </v>
          </cell>
          <cell r="L349">
            <v>38624</v>
          </cell>
          <cell r="M349">
            <v>2.915</v>
          </cell>
          <cell r="P349">
            <v>4.4109999999999996</v>
          </cell>
        </row>
        <row r="350">
          <cell r="A350" t="str">
            <v>ARB-031-509043-A</v>
          </cell>
          <cell r="G350" t="str">
            <v xml:space="preserve">CR   </v>
          </cell>
          <cell r="L350">
            <v>38624</v>
          </cell>
          <cell r="M350">
            <v>2.915</v>
          </cell>
          <cell r="P350">
            <v>2.431</v>
          </cell>
        </row>
        <row r="351">
          <cell r="A351" t="str">
            <v>ARB-035-NJ-2213</v>
          </cell>
          <cell r="G351" t="str">
            <v xml:space="preserve">CR   </v>
          </cell>
          <cell r="L351">
            <v>38624</v>
          </cell>
          <cell r="M351">
            <v>2.915</v>
          </cell>
          <cell r="P351">
            <v>8.8219999999999992</v>
          </cell>
        </row>
        <row r="352">
          <cell r="A352" t="str">
            <v>ARB-040-32004</v>
          </cell>
          <cell r="G352" t="str">
            <v xml:space="preserve">INAC </v>
          </cell>
          <cell r="L352">
            <v>41415</v>
          </cell>
          <cell r="M352">
            <v>5.24</v>
          </cell>
          <cell r="P352">
            <v>5.8842175572519082</v>
          </cell>
        </row>
        <row r="353">
          <cell r="A353" t="str">
            <v>ARB-040-32208</v>
          </cell>
          <cell r="G353" t="str">
            <v xml:space="preserve">CR   </v>
          </cell>
          <cell r="L353">
            <v>38811</v>
          </cell>
          <cell r="M353">
            <v>3.085</v>
          </cell>
          <cell r="P353">
            <v>1.2416</v>
          </cell>
        </row>
        <row r="354">
          <cell r="A354" t="str">
            <v>ARB-040-32210</v>
          </cell>
          <cell r="G354" t="str">
            <v xml:space="preserve">CR   </v>
          </cell>
          <cell r="L354">
            <v>38624</v>
          </cell>
          <cell r="M354">
            <v>2.915</v>
          </cell>
          <cell r="P354">
            <v>1.87</v>
          </cell>
        </row>
        <row r="355">
          <cell r="A355" t="str">
            <v>ARB-040-32211</v>
          </cell>
          <cell r="G355" t="str">
            <v xml:space="preserve">CR   </v>
          </cell>
          <cell r="L355">
            <v>38624</v>
          </cell>
          <cell r="M355">
            <v>2.915</v>
          </cell>
          <cell r="P355">
            <v>2.0350000000000001</v>
          </cell>
        </row>
        <row r="356">
          <cell r="A356" t="str">
            <v>ARB-040-33109</v>
          </cell>
          <cell r="G356" t="str">
            <v xml:space="preserve">CR   </v>
          </cell>
          <cell r="L356">
            <v>38624</v>
          </cell>
          <cell r="M356">
            <v>2.915</v>
          </cell>
          <cell r="P356">
            <v>8.8109999999999999</v>
          </cell>
        </row>
        <row r="357">
          <cell r="A357" t="str">
            <v>ARB-040-33205</v>
          </cell>
          <cell r="G357" t="str">
            <v xml:space="preserve">CR   </v>
          </cell>
          <cell r="L357">
            <v>38624</v>
          </cell>
          <cell r="M357">
            <v>2.915</v>
          </cell>
          <cell r="P357">
            <v>1.804</v>
          </cell>
        </row>
        <row r="358">
          <cell r="A358" t="str">
            <v>ARB-050-32215</v>
          </cell>
          <cell r="G358" t="str">
            <v>IPFAB</v>
          </cell>
          <cell r="L358">
            <v>40757</v>
          </cell>
          <cell r="M358">
            <v>4.17</v>
          </cell>
          <cell r="P358">
            <v>0.23980000000000001</v>
          </cell>
        </row>
        <row r="359">
          <cell r="A359" t="str">
            <v>ARB-050-33112</v>
          </cell>
          <cell r="G359" t="str">
            <v xml:space="preserve">INAC </v>
          </cell>
          <cell r="L359">
            <v>39276</v>
          </cell>
          <cell r="M359">
            <v>3.1</v>
          </cell>
          <cell r="P359">
            <v>10</v>
          </cell>
        </row>
        <row r="360">
          <cell r="A360" t="str">
            <v>ARB-050-48548-510</v>
          </cell>
          <cell r="G360" t="str">
            <v xml:space="preserve">CR   </v>
          </cell>
          <cell r="L360">
            <v>38624</v>
          </cell>
          <cell r="M360">
            <v>2.915</v>
          </cell>
          <cell r="P360">
            <v>1.452</v>
          </cell>
        </row>
        <row r="361">
          <cell r="A361" t="str">
            <v>ARB-050-HM-88048-010</v>
          </cell>
          <cell r="G361" t="str">
            <v xml:space="preserve">CR   </v>
          </cell>
          <cell r="L361">
            <v>38624</v>
          </cell>
          <cell r="M361">
            <v>2.915</v>
          </cell>
          <cell r="P361">
            <v>2.2000000000000002</v>
          </cell>
        </row>
        <row r="362">
          <cell r="A362" t="str">
            <v>B&amp;P-000-HELI</v>
          </cell>
          <cell r="G362" t="str">
            <v xml:space="preserve">INSI </v>
          </cell>
          <cell r="L362">
            <v>42075</v>
          </cell>
          <cell r="M362">
            <v>8.81</v>
          </cell>
          <cell r="P362">
            <v>1.2999999999999999E-3</v>
          </cell>
        </row>
        <row r="363">
          <cell r="A363" t="str">
            <v>B&amp;P-001-204-JY3</v>
          </cell>
          <cell r="G363" t="str">
            <v>IDESP</v>
          </cell>
          <cell r="L363">
            <v>45509</v>
          </cell>
          <cell r="M363">
            <v>953.5</v>
          </cell>
          <cell r="P363">
            <v>0.71020000000000005</v>
          </cell>
        </row>
        <row r="364">
          <cell r="A364" t="str">
            <v>B&amp;P-001-204-JZ6-01</v>
          </cell>
          <cell r="G364" t="str">
            <v>IPFAP</v>
          </cell>
          <cell r="L364">
            <v>42955</v>
          </cell>
          <cell r="M364">
            <v>17.98</v>
          </cell>
          <cell r="P364">
            <v>5.5617352614015569E-2</v>
          </cell>
        </row>
        <row r="365">
          <cell r="A365" t="str">
            <v>B&amp;P-001-204-KYY7</v>
          </cell>
          <cell r="G365" t="str">
            <v>IDESP</v>
          </cell>
          <cell r="L365">
            <v>45112</v>
          </cell>
          <cell r="M365">
            <v>270.5</v>
          </cell>
          <cell r="P365">
            <v>0.49</v>
          </cell>
        </row>
        <row r="366">
          <cell r="A366" t="str">
            <v>B&amp;P-001-205-GP</v>
          </cell>
          <cell r="G366" t="str">
            <v>IDESP</v>
          </cell>
          <cell r="L366">
            <v>45112</v>
          </cell>
          <cell r="M366">
            <v>270.5</v>
          </cell>
          <cell r="P366">
            <v>0.53</v>
          </cell>
        </row>
        <row r="367">
          <cell r="A367" t="str">
            <v>B&amp;P-001-205-KPPB9-01</v>
          </cell>
          <cell r="G367" t="str">
            <v>IDESP</v>
          </cell>
          <cell r="L367">
            <v>41946</v>
          </cell>
          <cell r="M367">
            <v>8.5</v>
          </cell>
          <cell r="P367">
            <v>0.81</v>
          </cell>
        </row>
        <row r="368">
          <cell r="A368" t="str">
            <v>B&amp;P-001-205-KYYB5-01</v>
          </cell>
          <cell r="G368" t="str">
            <v>IDESP</v>
          </cell>
          <cell r="L368">
            <v>42979</v>
          </cell>
          <cell r="M368">
            <v>17.66</v>
          </cell>
          <cell r="P368">
            <v>0.53</v>
          </cell>
        </row>
        <row r="369">
          <cell r="A369" t="str">
            <v>B&amp;P-001-207-KYYB2</v>
          </cell>
          <cell r="G369" t="str">
            <v>IDESP</v>
          </cell>
          <cell r="L369">
            <v>42230</v>
          </cell>
          <cell r="M369">
            <v>9.2799999999999994</v>
          </cell>
          <cell r="P369">
            <v>1.23</v>
          </cell>
        </row>
        <row r="370">
          <cell r="A370" t="str">
            <v>B&amp;P-001-210PP4-01</v>
          </cell>
          <cell r="G370" t="str">
            <v>IDESP</v>
          </cell>
          <cell r="L370">
            <v>45112</v>
          </cell>
          <cell r="M370">
            <v>270.5</v>
          </cell>
          <cell r="P370">
            <v>1.9</v>
          </cell>
        </row>
        <row r="371">
          <cell r="A371" t="str">
            <v>B&amp;P-001-211PP3-01</v>
          </cell>
          <cell r="G371" t="str">
            <v>IDESP</v>
          </cell>
          <cell r="L371">
            <v>45112</v>
          </cell>
          <cell r="M371">
            <v>270.5</v>
          </cell>
          <cell r="P371">
            <v>2.7</v>
          </cell>
        </row>
        <row r="372">
          <cell r="A372" t="str">
            <v>B&amp;P-001-211PPB3-01</v>
          </cell>
          <cell r="G372" t="str">
            <v>IDESP</v>
          </cell>
          <cell r="L372">
            <v>45112</v>
          </cell>
          <cell r="M372">
            <v>270.5</v>
          </cell>
          <cell r="P372">
            <v>2.15</v>
          </cell>
        </row>
        <row r="373">
          <cell r="A373" t="str">
            <v>B&amp;P-001-5203-KYY2</v>
          </cell>
          <cell r="G373" t="str">
            <v>IDESP</v>
          </cell>
          <cell r="L373">
            <v>44974</v>
          </cell>
          <cell r="M373">
            <v>198.5</v>
          </cell>
          <cell r="P373">
            <v>0.7</v>
          </cell>
        </row>
        <row r="374">
          <cell r="A374" t="str">
            <v>B&amp;P-001-5203-KYY9</v>
          </cell>
          <cell r="G374" t="str">
            <v>IDESP</v>
          </cell>
          <cell r="L374">
            <v>41725</v>
          </cell>
          <cell r="M374">
            <v>8.0299999999999994</v>
          </cell>
          <cell r="P374">
            <v>0.75</v>
          </cell>
        </row>
        <row r="375">
          <cell r="A375" t="str">
            <v>B&amp;P-001-6802-D</v>
          </cell>
          <cell r="G375" t="str">
            <v>IDESP</v>
          </cell>
          <cell r="L375">
            <v>45554</v>
          </cell>
          <cell r="M375">
            <v>982</v>
          </cell>
          <cell r="P375">
            <v>9.4600000000000004E-2</v>
          </cell>
        </row>
        <row r="376">
          <cell r="A376" t="str">
            <v>B&amp;P-001-ACL205-16-01</v>
          </cell>
          <cell r="G376" t="str">
            <v>IDESP</v>
          </cell>
          <cell r="L376">
            <v>42657</v>
          </cell>
          <cell r="M376">
            <v>15.39</v>
          </cell>
          <cell r="P376">
            <v>0.66</v>
          </cell>
        </row>
        <row r="377">
          <cell r="A377" t="str">
            <v>B&amp;P-001-ACLR208-4001</v>
          </cell>
          <cell r="G377" t="str">
            <v>IDESP</v>
          </cell>
          <cell r="L377">
            <v>45930</v>
          </cell>
          <cell r="M377">
            <v>1380</v>
          </cell>
          <cell r="P377">
            <v>1.7534000000000001</v>
          </cell>
        </row>
        <row r="378">
          <cell r="A378" t="str">
            <v>B&amp;P-001-AG-1235-PPZ9</v>
          </cell>
          <cell r="G378" t="str">
            <v>IDESP</v>
          </cell>
          <cell r="L378">
            <v>45112</v>
          </cell>
          <cell r="M378">
            <v>270.5</v>
          </cell>
          <cell r="P378">
            <v>0.54</v>
          </cell>
        </row>
        <row r="379">
          <cell r="A379" t="str">
            <v>B&amp;P-001-BB203-KRR2</v>
          </cell>
          <cell r="G379" t="str">
            <v>IDESP</v>
          </cell>
          <cell r="L379">
            <v>45112</v>
          </cell>
          <cell r="M379">
            <v>270.5</v>
          </cell>
          <cell r="P379">
            <v>0.3</v>
          </cell>
        </row>
        <row r="380">
          <cell r="A380" t="str">
            <v>B&amp;P-001-BP-13008-01</v>
          </cell>
          <cell r="G380" t="str">
            <v>InRet</v>
          </cell>
          <cell r="L380">
            <v>43699</v>
          </cell>
          <cell r="M380">
            <v>57</v>
          </cell>
          <cell r="P380">
            <v>3.6815631578947365</v>
          </cell>
        </row>
        <row r="381">
          <cell r="A381" t="str">
            <v>B&amp;P-001-BP-13009-01</v>
          </cell>
          <cell r="G381" t="str">
            <v>VPRet</v>
          </cell>
          <cell r="L381">
            <v>42282</v>
          </cell>
          <cell r="M381">
            <v>9.5</v>
          </cell>
          <cell r="P381">
            <v>26.16</v>
          </cell>
        </row>
        <row r="382">
          <cell r="A382" t="str">
            <v>B&amp;P-001-BP-14001-01</v>
          </cell>
          <cell r="G382" t="str">
            <v>InRet</v>
          </cell>
          <cell r="L382">
            <v>41767</v>
          </cell>
          <cell r="M382">
            <v>8.0500000000000007</v>
          </cell>
          <cell r="P382">
            <v>2.0853167701863353</v>
          </cell>
        </row>
        <row r="383">
          <cell r="A383" t="str">
            <v>B&amp;P-001-BP-14001-A1</v>
          </cell>
          <cell r="G383" t="str">
            <v>IPFAP</v>
          </cell>
          <cell r="L383">
            <v>41744</v>
          </cell>
          <cell r="M383">
            <v>8.0500000000000007</v>
          </cell>
          <cell r="P383">
            <v>0.6095403726708073</v>
          </cell>
        </row>
        <row r="384">
          <cell r="A384" t="str">
            <v>B&amp;P-001-BP-22002-01</v>
          </cell>
          <cell r="G384" t="str">
            <v>vpret</v>
          </cell>
          <cell r="L384">
            <v>45422</v>
          </cell>
          <cell r="M384">
            <v>901</v>
          </cell>
          <cell r="P384">
            <v>6.2946337402885684</v>
          </cell>
        </row>
        <row r="385">
          <cell r="A385" t="str">
            <v>B&amp;P-001-BP-22002-03</v>
          </cell>
          <cell r="G385" t="str">
            <v>vpret</v>
          </cell>
          <cell r="L385">
            <v>45422</v>
          </cell>
          <cell r="M385">
            <v>901</v>
          </cell>
          <cell r="P385">
            <v>6.2946337402885684</v>
          </cell>
        </row>
        <row r="386">
          <cell r="A386" t="str">
            <v>B&amp;P-001-BP-22002-A1</v>
          </cell>
          <cell r="G386" t="str">
            <v>vpret</v>
          </cell>
          <cell r="L386">
            <v>45407</v>
          </cell>
          <cell r="M386">
            <v>892.5</v>
          </cell>
          <cell r="P386">
            <v>6.1671764705882355</v>
          </cell>
        </row>
        <row r="387">
          <cell r="A387" t="str">
            <v>B&amp;P-001-BP-22002-A3</v>
          </cell>
          <cell r="G387" t="str">
            <v>vpret</v>
          </cell>
          <cell r="L387">
            <v>45407</v>
          </cell>
          <cell r="M387">
            <v>892.5</v>
          </cell>
          <cell r="P387">
            <v>6.1671764705882355</v>
          </cell>
        </row>
        <row r="388">
          <cell r="A388" t="str">
            <v>B&amp;P-001-BP-22002-B1</v>
          </cell>
          <cell r="G388" t="str">
            <v>InRet</v>
          </cell>
          <cell r="L388">
            <v>45414</v>
          </cell>
          <cell r="M388">
            <v>896</v>
          </cell>
          <cell r="P388">
            <v>6.3297595982142862</v>
          </cell>
        </row>
        <row r="389">
          <cell r="A389" t="str">
            <v>B&amp;P-001-BP-22002-B3</v>
          </cell>
          <cell r="G389" t="str">
            <v>InRet</v>
          </cell>
          <cell r="L389">
            <v>45414</v>
          </cell>
          <cell r="M389">
            <v>896</v>
          </cell>
          <cell r="P389">
            <v>6.3297595982142862</v>
          </cell>
        </row>
        <row r="390">
          <cell r="A390" t="str">
            <v>B&amp;P-001-BP12011-01-1</v>
          </cell>
          <cell r="G390" t="str">
            <v>IPFAP</v>
          </cell>
          <cell r="L390">
            <v>43493</v>
          </cell>
          <cell r="M390">
            <v>38</v>
          </cell>
          <cell r="P390">
            <v>1.4784736842105264</v>
          </cell>
        </row>
        <row r="391">
          <cell r="A391" t="str">
            <v>B&amp;P-001-CF5202-2RST</v>
          </cell>
          <cell r="G391" t="str">
            <v>IDESP</v>
          </cell>
          <cell r="L391">
            <v>42422</v>
          </cell>
          <cell r="M391">
            <v>15.27</v>
          </cell>
          <cell r="P391">
            <v>1.0780000000000001</v>
          </cell>
        </row>
        <row r="392">
          <cell r="A392" t="str">
            <v>B&amp;P-001-F490306-01</v>
          </cell>
          <cell r="G392" t="str">
            <v>VPRet</v>
          </cell>
          <cell r="L392">
            <v>42093</v>
          </cell>
          <cell r="M392">
            <v>8.8699999999999992</v>
          </cell>
          <cell r="P392">
            <v>0.6100000000000001</v>
          </cell>
        </row>
        <row r="393">
          <cell r="A393" t="str">
            <v>B&amp;P-001-F490306-A1</v>
          </cell>
          <cell r="G393" t="str">
            <v>IDESP</v>
          </cell>
          <cell r="L393">
            <v>41864</v>
          </cell>
          <cell r="M393">
            <v>8.27</v>
          </cell>
          <cell r="P393">
            <v>0.61</v>
          </cell>
        </row>
        <row r="394">
          <cell r="A394" t="str">
            <v>B&amp;P-001-F490306-A2</v>
          </cell>
          <cell r="G394" t="str">
            <v>IDESP</v>
          </cell>
          <cell r="L394">
            <v>41864</v>
          </cell>
          <cell r="M394">
            <v>8.27</v>
          </cell>
          <cell r="P394">
            <v>0.51</v>
          </cell>
        </row>
        <row r="395">
          <cell r="A395" t="str">
            <v>B&amp;P-001-HD01-D</v>
          </cell>
          <cell r="G395" t="str">
            <v>IDESP</v>
          </cell>
          <cell r="L395">
            <v>45876</v>
          </cell>
          <cell r="M395">
            <v>1345</v>
          </cell>
          <cell r="P395">
            <v>0.151</v>
          </cell>
        </row>
        <row r="396">
          <cell r="A396" t="str">
            <v>B&amp;P-001-HD03-D</v>
          </cell>
          <cell r="G396" t="str">
            <v>IDESP</v>
          </cell>
          <cell r="L396">
            <v>45112</v>
          </cell>
          <cell r="M396">
            <v>270.5</v>
          </cell>
          <cell r="P396">
            <v>0.14799999999999999</v>
          </cell>
        </row>
        <row r="397">
          <cell r="A397" t="str">
            <v>B&amp;P-001-HD04-D</v>
          </cell>
          <cell r="G397" t="str">
            <v>IDESP</v>
          </cell>
          <cell r="L397">
            <v>45628</v>
          </cell>
          <cell r="M397">
            <v>1031</v>
          </cell>
          <cell r="P397">
            <v>0.29499999999999998</v>
          </cell>
        </row>
        <row r="398">
          <cell r="A398" t="str">
            <v>B&amp;P-001-HD05-D</v>
          </cell>
          <cell r="G398" t="str">
            <v>IDESP</v>
          </cell>
          <cell r="L398">
            <v>45628</v>
          </cell>
          <cell r="M398">
            <v>1031</v>
          </cell>
          <cell r="P398">
            <v>0.42409999999999998</v>
          </cell>
        </row>
        <row r="399">
          <cell r="A399" t="str">
            <v>B&amp;P-001-HD06-D</v>
          </cell>
          <cell r="G399" t="str">
            <v>IDESP</v>
          </cell>
          <cell r="L399">
            <v>45628</v>
          </cell>
          <cell r="M399">
            <v>1031</v>
          </cell>
          <cell r="P399">
            <v>0.5968</v>
          </cell>
        </row>
        <row r="400">
          <cell r="A400" t="str">
            <v>B&amp;P-001-HD07-D</v>
          </cell>
          <cell r="G400" t="str">
            <v>IDESP</v>
          </cell>
          <cell r="L400">
            <v>45554</v>
          </cell>
          <cell r="M400">
            <v>982</v>
          </cell>
          <cell r="P400">
            <v>0.81120000000000003</v>
          </cell>
        </row>
        <row r="401">
          <cell r="A401" t="str">
            <v>B&amp;P-001-HD09-D</v>
          </cell>
          <cell r="G401" t="str">
            <v>IDESP</v>
          </cell>
          <cell r="L401">
            <v>45554</v>
          </cell>
          <cell r="M401">
            <v>982</v>
          </cell>
          <cell r="P401">
            <v>2.7930000000000001</v>
          </cell>
        </row>
        <row r="402">
          <cell r="A402" t="str">
            <v>B&amp;P-001-LS00-D</v>
          </cell>
          <cell r="G402" t="str">
            <v>IDESP</v>
          </cell>
          <cell r="L402">
            <v>45807</v>
          </cell>
          <cell r="M402">
            <v>1195</v>
          </cell>
          <cell r="P402">
            <v>9.4600000000000004E-2</v>
          </cell>
        </row>
        <row r="403">
          <cell r="A403" t="str">
            <v>B&amp;P-001-LS01-D</v>
          </cell>
          <cell r="G403" t="str">
            <v>IDESP</v>
          </cell>
          <cell r="L403">
            <v>45979</v>
          </cell>
          <cell r="M403">
            <v>1415</v>
          </cell>
          <cell r="P403">
            <v>0.1038</v>
          </cell>
        </row>
        <row r="404">
          <cell r="A404" t="str">
            <v>B&amp;P-001-LS02-D</v>
          </cell>
          <cell r="G404" t="str">
            <v>IDESP</v>
          </cell>
          <cell r="L404">
            <v>45979</v>
          </cell>
          <cell r="M404">
            <v>1415</v>
          </cell>
          <cell r="P404">
            <v>0.11219999999999999</v>
          </cell>
        </row>
        <row r="405">
          <cell r="A405" t="str">
            <v>B&amp;P-001-LS03-D</v>
          </cell>
          <cell r="G405" t="str">
            <v>IDESP</v>
          </cell>
          <cell r="L405">
            <v>45979</v>
          </cell>
          <cell r="M405">
            <v>1415</v>
          </cell>
          <cell r="P405">
            <v>0.13070000000000001</v>
          </cell>
        </row>
        <row r="406">
          <cell r="A406" t="str">
            <v>B&amp;P-001-LS04-D</v>
          </cell>
          <cell r="G406" t="str">
            <v>IDESP</v>
          </cell>
          <cell r="L406">
            <v>45979</v>
          </cell>
          <cell r="M406">
            <v>1415</v>
          </cell>
          <cell r="P406">
            <v>0.1691</v>
          </cell>
        </row>
        <row r="407">
          <cell r="A407" t="str">
            <v>B&amp;P-001-LS05-D</v>
          </cell>
          <cell r="G407" t="str">
            <v xml:space="preserve">INAC </v>
          </cell>
          <cell r="L407">
            <v>45664</v>
          </cell>
          <cell r="M407">
            <v>1055</v>
          </cell>
          <cell r="P407">
            <v>0.21000000000000002</v>
          </cell>
        </row>
        <row r="408">
          <cell r="A408" t="str">
            <v>B&amp;P-001-LS06-D</v>
          </cell>
          <cell r="G408" t="str">
            <v>IDESP</v>
          </cell>
          <cell r="L408">
            <v>45554</v>
          </cell>
          <cell r="M408">
            <v>982</v>
          </cell>
          <cell r="P408">
            <v>0.25619999999999998</v>
          </cell>
        </row>
        <row r="409">
          <cell r="A409" t="str">
            <v>B&amp;P-001-LS10-D</v>
          </cell>
          <cell r="G409" t="str">
            <v>IDESP</v>
          </cell>
          <cell r="L409">
            <v>45007</v>
          </cell>
          <cell r="M409">
            <v>211.75</v>
          </cell>
          <cell r="P409">
            <v>0.42</v>
          </cell>
        </row>
        <row r="410">
          <cell r="A410" t="str">
            <v>B&amp;P-001-LS11-D</v>
          </cell>
          <cell r="G410" t="str">
            <v>IDESP</v>
          </cell>
          <cell r="L410">
            <v>45509</v>
          </cell>
          <cell r="M410">
            <v>953.5</v>
          </cell>
          <cell r="P410">
            <v>0.70879999999999999</v>
          </cell>
        </row>
        <row r="411">
          <cell r="A411" t="str">
            <v>B&amp;P-001-LS12-D</v>
          </cell>
          <cell r="G411" t="str">
            <v>IDESP</v>
          </cell>
          <cell r="L411">
            <v>45163</v>
          </cell>
          <cell r="M411">
            <v>365.5</v>
          </cell>
          <cell r="P411">
            <v>0.77</v>
          </cell>
        </row>
        <row r="412">
          <cell r="A412" t="str">
            <v>B&amp;P-001-LS13-D</v>
          </cell>
          <cell r="G412" t="str">
            <v>IDESP</v>
          </cell>
          <cell r="L412">
            <v>45112</v>
          </cell>
          <cell r="M412">
            <v>270.5</v>
          </cell>
          <cell r="P412">
            <v>0.65</v>
          </cell>
        </row>
        <row r="413">
          <cell r="A413" t="str">
            <v>B&amp;P-001-LS26-D</v>
          </cell>
          <cell r="G413" t="str">
            <v>IDESP</v>
          </cell>
          <cell r="L413">
            <v>45554</v>
          </cell>
          <cell r="M413">
            <v>982</v>
          </cell>
          <cell r="P413">
            <v>6.6875999999999998</v>
          </cell>
        </row>
        <row r="414">
          <cell r="A414" t="str">
            <v>B&amp;P-001-LS28-D</v>
          </cell>
          <cell r="G414" t="str">
            <v>IDESP</v>
          </cell>
          <cell r="L414">
            <v>45554</v>
          </cell>
          <cell r="M414">
            <v>982</v>
          </cell>
          <cell r="P414">
            <v>7.5772000000000004</v>
          </cell>
        </row>
        <row r="415">
          <cell r="A415" t="str">
            <v>B&amp;P-001-MG206-01</v>
          </cell>
          <cell r="G415" t="str">
            <v>vpret</v>
          </cell>
          <cell r="L415">
            <v>44314</v>
          </cell>
          <cell r="M415">
            <v>98.5</v>
          </cell>
          <cell r="P415">
            <v>1.397</v>
          </cell>
        </row>
        <row r="416">
          <cell r="A416" t="str">
            <v>B&amp;P-001-MG206-A1</v>
          </cell>
          <cell r="G416" t="str">
            <v>IDESP</v>
          </cell>
          <cell r="L416">
            <v>42863</v>
          </cell>
          <cell r="M416">
            <v>15.67</v>
          </cell>
          <cell r="P416">
            <v>1.397</v>
          </cell>
        </row>
        <row r="417">
          <cell r="A417" t="str">
            <v>B&amp;P-001-MG5306RR3-A1</v>
          </cell>
          <cell r="G417" t="str">
            <v>IDESP</v>
          </cell>
          <cell r="L417">
            <v>43340</v>
          </cell>
          <cell r="M417">
            <v>31.4</v>
          </cell>
          <cell r="P417">
            <v>1.57</v>
          </cell>
        </row>
        <row r="418">
          <cell r="A418" t="str">
            <v>B&amp;P-001-MS00-D</v>
          </cell>
          <cell r="G418" t="str">
            <v>IDESP</v>
          </cell>
          <cell r="L418">
            <v>45979</v>
          </cell>
          <cell r="M418">
            <v>1415</v>
          </cell>
          <cell r="P418">
            <v>0.1082</v>
          </cell>
        </row>
        <row r="419">
          <cell r="A419" t="str">
            <v>B&amp;P-001-MS01-D</v>
          </cell>
          <cell r="G419" t="str">
            <v>IDESP</v>
          </cell>
          <cell r="L419">
            <v>45876</v>
          </cell>
          <cell r="M419">
            <v>1345</v>
          </cell>
          <cell r="P419">
            <v>9.8299999999999998E-2</v>
          </cell>
        </row>
        <row r="420">
          <cell r="A420" t="str">
            <v>B&amp;P-001-MS02-D</v>
          </cell>
          <cell r="G420" t="str">
            <v>IDESP</v>
          </cell>
          <cell r="L420">
            <v>45979</v>
          </cell>
          <cell r="M420">
            <v>1415</v>
          </cell>
          <cell r="P420">
            <v>0.1164</v>
          </cell>
        </row>
        <row r="421">
          <cell r="A421" t="str">
            <v>B&amp;P-001-MS03-D</v>
          </cell>
          <cell r="G421" t="str">
            <v>IDESP</v>
          </cell>
          <cell r="L421">
            <v>45979</v>
          </cell>
          <cell r="M421">
            <v>1415</v>
          </cell>
          <cell r="P421">
            <v>0.14360000000000001</v>
          </cell>
        </row>
        <row r="422">
          <cell r="A422" t="str">
            <v>B&amp;P-001-MS04-D</v>
          </cell>
          <cell r="G422" t="str">
            <v>IDESP</v>
          </cell>
          <cell r="L422">
            <v>45979</v>
          </cell>
          <cell r="M422">
            <v>1415</v>
          </cell>
          <cell r="P422">
            <v>0.19719999999999999</v>
          </cell>
        </row>
        <row r="423">
          <cell r="A423" t="str">
            <v>B&amp;P-001-MS05-D</v>
          </cell>
          <cell r="G423" t="str">
            <v>IDESP</v>
          </cell>
          <cell r="L423">
            <v>45951</v>
          </cell>
          <cell r="M423">
            <v>1495</v>
          </cell>
          <cell r="P423">
            <v>0.23369999999999999</v>
          </cell>
        </row>
        <row r="424">
          <cell r="A424" t="str">
            <v>B&amp;P-001-MS06-D</v>
          </cell>
          <cell r="G424" t="str">
            <v>IDESP</v>
          </cell>
          <cell r="L424">
            <v>45876</v>
          </cell>
          <cell r="M424">
            <v>1345</v>
          </cell>
          <cell r="P424">
            <v>0.34260000000000002</v>
          </cell>
        </row>
        <row r="425">
          <cell r="A425" t="str">
            <v>B&amp;P-001-MS07-D</v>
          </cell>
          <cell r="G425" t="str">
            <v>IDESP</v>
          </cell>
          <cell r="L425">
            <v>45628</v>
          </cell>
          <cell r="M425">
            <v>1031</v>
          </cell>
          <cell r="P425">
            <v>0.45190000000000002</v>
          </cell>
        </row>
        <row r="426">
          <cell r="A426" t="str">
            <v>B&amp;P-001-MS08-D</v>
          </cell>
          <cell r="G426" t="str">
            <v>IDESP</v>
          </cell>
          <cell r="L426">
            <v>45958</v>
          </cell>
          <cell r="M426">
            <v>1460</v>
          </cell>
          <cell r="P426">
            <v>0.64639999999999997</v>
          </cell>
        </row>
        <row r="427">
          <cell r="A427" t="str">
            <v>B&amp;P-001-MS09-D</v>
          </cell>
          <cell r="G427" t="str">
            <v>IDESP</v>
          </cell>
          <cell r="L427">
            <v>45628</v>
          </cell>
          <cell r="M427">
            <v>1031</v>
          </cell>
          <cell r="P427">
            <v>0.73299999999999998</v>
          </cell>
        </row>
        <row r="428">
          <cell r="A428" t="str">
            <v>B&amp;P-001-MS10-D</v>
          </cell>
          <cell r="G428" t="str">
            <v>IDESP</v>
          </cell>
          <cell r="L428">
            <v>45628</v>
          </cell>
          <cell r="M428">
            <v>1031</v>
          </cell>
          <cell r="P428">
            <v>0.90759999999999996</v>
          </cell>
        </row>
        <row r="429">
          <cell r="A429" t="str">
            <v>B&amp;P-001-MS11-D</v>
          </cell>
          <cell r="G429" t="str">
            <v>IDESP</v>
          </cell>
          <cell r="L429">
            <v>45112</v>
          </cell>
          <cell r="M429">
            <v>270.5</v>
          </cell>
          <cell r="P429">
            <v>0.88200000000000001</v>
          </cell>
        </row>
        <row r="430">
          <cell r="A430" t="str">
            <v>B&amp;P-001-MS12-D</v>
          </cell>
          <cell r="G430" t="str">
            <v>IDESP</v>
          </cell>
          <cell r="L430">
            <v>45112</v>
          </cell>
          <cell r="M430">
            <v>270.5</v>
          </cell>
          <cell r="P430">
            <v>0.94</v>
          </cell>
        </row>
        <row r="431">
          <cell r="A431" t="str">
            <v>B&amp;P-001-MS16-D</v>
          </cell>
          <cell r="G431" t="str">
            <v>IDESP</v>
          </cell>
          <cell r="L431">
            <v>45509</v>
          </cell>
          <cell r="M431">
            <v>953.5</v>
          </cell>
          <cell r="P431">
            <v>2.8079999999999998</v>
          </cell>
        </row>
        <row r="432">
          <cell r="A432" t="str">
            <v>B&amp;P-001-NTBS-1613-01</v>
          </cell>
          <cell r="G432" t="str">
            <v>InRet</v>
          </cell>
          <cell r="L432">
            <v>45525</v>
          </cell>
          <cell r="M432">
            <v>963</v>
          </cell>
          <cell r="P432">
            <v>4.7625742471443413</v>
          </cell>
        </row>
        <row r="433">
          <cell r="A433" t="str">
            <v>B&amp;P-001-OR-5207-01</v>
          </cell>
          <cell r="G433" t="str">
            <v>IDESP</v>
          </cell>
          <cell r="L433">
            <v>42801</v>
          </cell>
          <cell r="M433">
            <v>15.83</v>
          </cell>
          <cell r="P433">
            <v>1.88</v>
          </cell>
        </row>
        <row r="434">
          <cell r="A434" t="str">
            <v>B&amp;P-001-OR-5209-01</v>
          </cell>
          <cell r="G434" t="str">
            <v>IDESP</v>
          </cell>
          <cell r="L434">
            <v>42979</v>
          </cell>
          <cell r="M434">
            <v>17.66</v>
          </cell>
          <cell r="P434">
            <v>2.19</v>
          </cell>
        </row>
        <row r="435">
          <cell r="A435" t="str">
            <v>B&amp;P-001-OR204-01</v>
          </cell>
          <cell r="G435" t="str">
            <v>IDESP</v>
          </cell>
          <cell r="L435">
            <v>42348</v>
          </cell>
          <cell r="M435">
            <v>9.82</v>
          </cell>
          <cell r="P435">
            <v>0.62</v>
          </cell>
        </row>
        <row r="436">
          <cell r="A436" t="str">
            <v>B&amp;P-001-OR204-14</v>
          </cell>
          <cell r="G436" t="str">
            <v>IDESP</v>
          </cell>
          <cell r="L436">
            <v>44134</v>
          </cell>
          <cell r="M436">
            <v>83.5</v>
          </cell>
          <cell r="P436">
            <v>0.61939999999999995</v>
          </cell>
        </row>
        <row r="437">
          <cell r="A437" t="str">
            <v>B&amp;P-001-OR204-G</v>
          </cell>
          <cell r="G437" t="str">
            <v>IDESP</v>
          </cell>
          <cell r="L437">
            <v>45587</v>
          </cell>
          <cell r="M437">
            <v>1004.5</v>
          </cell>
          <cell r="P437">
            <v>0.78049999999999997</v>
          </cell>
        </row>
        <row r="438">
          <cell r="A438" t="str">
            <v>B&amp;P-001-OR204-R14</v>
          </cell>
          <cell r="G438" t="str">
            <v>IDESP</v>
          </cell>
          <cell r="L438">
            <v>44708</v>
          </cell>
          <cell r="M438">
            <v>124.25</v>
          </cell>
          <cell r="P438">
            <v>0.45</v>
          </cell>
        </row>
        <row r="439">
          <cell r="A439" t="str">
            <v>B&amp;P-001-OR205</v>
          </cell>
          <cell r="G439" t="str">
            <v>IDESP</v>
          </cell>
          <cell r="L439">
            <v>45124</v>
          </cell>
          <cell r="M439">
            <v>277</v>
          </cell>
          <cell r="P439">
            <v>0.5</v>
          </cell>
        </row>
        <row r="440">
          <cell r="A440" t="str">
            <v>B&amp;P-001-OR205-01</v>
          </cell>
          <cell r="G440" t="str">
            <v>IDESP</v>
          </cell>
          <cell r="L440">
            <v>45930</v>
          </cell>
          <cell r="M440">
            <v>1380</v>
          </cell>
          <cell r="P440">
            <v>0.7147</v>
          </cell>
        </row>
        <row r="441">
          <cell r="A441" t="str">
            <v>B&amp;P-001-OR205-A1</v>
          </cell>
          <cell r="G441" t="str">
            <v>IDESP</v>
          </cell>
          <cell r="L441">
            <v>42450</v>
          </cell>
          <cell r="M441">
            <v>15.19</v>
          </cell>
          <cell r="P441">
            <v>0.439</v>
          </cell>
        </row>
        <row r="442">
          <cell r="A442" t="str">
            <v>B&amp;P-001-OR205-G</v>
          </cell>
          <cell r="G442" t="str">
            <v>IDESP</v>
          </cell>
          <cell r="L442">
            <v>45996</v>
          </cell>
          <cell r="M442">
            <v>1470</v>
          </cell>
          <cell r="P442">
            <v>0.79069999999999996</v>
          </cell>
        </row>
        <row r="443">
          <cell r="A443" t="str">
            <v>B&amp;P-001-OR205-R</v>
          </cell>
          <cell r="G443" t="str">
            <v>IDESP</v>
          </cell>
          <cell r="L443">
            <v>45509</v>
          </cell>
          <cell r="M443">
            <v>953.5</v>
          </cell>
          <cell r="P443">
            <v>0.79069999999999996</v>
          </cell>
        </row>
        <row r="444">
          <cell r="A444" t="str">
            <v>B&amp;P-001-OR206-01</v>
          </cell>
          <cell r="G444" t="str">
            <v>IDESP</v>
          </cell>
          <cell r="L444">
            <v>42522</v>
          </cell>
          <cell r="M444">
            <v>14.35</v>
          </cell>
          <cell r="P444">
            <v>0.80410000000000004</v>
          </cell>
        </row>
        <row r="445">
          <cell r="A445" t="str">
            <v>B&amp;P-001-OR206-16</v>
          </cell>
          <cell r="G445" t="str">
            <v>IDESP</v>
          </cell>
          <cell r="L445">
            <v>43523</v>
          </cell>
          <cell r="M445">
            <v>39.799999999999997</v>
          </cell>
          <cell r="P445">
            <v>0.73</v>
          </cell>
        </row>
        <row r="446">
          <cell r="A446" t="str">
            <v>B&amp;P-001-OR206-18</v>
          </cell>
          <cell r="G446" t="str">
            <v>IDESP</v>
          </cell>
          <cell r="L446">
            <v>45509</v>
          </cell>
          <cell r="M446">
            <v>953.5</v>
          </cell>
          <cell r="P446">
            <v>0.98540000000000005</v>
          </cell>
        </row>
        <row r="447">
          <cell r="A447" t="str">
            <v>B&amp;P-001-OR206-G18</v>
          </cell>
          <cell r="G447" t="str">
            <v>IDESP</v>
          </cell>
          <cell r="L447">
            <v>45996</v>
          </cell>
          <cell r="M447">
            <v>1470</v>
          </cell>
          <cell r="P447">
            <v>1.05</v>
          </cell>
        </row>
        <row r="448">
          <cell r="A448" t="str">
            <v>B&amp;P-001-OR206-R16</v>
          </cell>
          <cell r="G448" t="str">
            <v>IDESP</v>
          </cell>
          <cell r="L448">
            <v>45112</v>
          </cell>
          <cell r="M448">
            <v>270.5</v>
          </cell>
          <cell r="P448">
            <v>0.69</v>
          </cell>
        </row>
        <row r="449">
          <cell r="A449" t="str">
            <v>B&amp;P-001-OR206-R18</v>
          </cell>
          <cell r="G449" t="str">
            <v>IDESP</v>
          </cell>
          <cell r="L449">
            <v>45124</v>
          </cell>
          <cell r="M449">
            <v>277</v>
          </cell>
          <cell r="P449">
            <v>0.86450000000000005</v>
          </cell>
        </row>
        <row r="450">
          <cell r="A450" t="str">
            <v>B&amp;P-001-OR207</v>
          </cell>
          <cell r="G450" t="str">
            <v>IDESP</v>
          </cell>
          <cell r="L450">
            <v>45996</v>
          </cell>
          <cell r="M450">
            <v>1470</v>
          </cell>
          <cell r="P450">
            <v>1.1687000000000001</v>
          </cell>
        </row>
        <row r="451">
          <cell r="A451" t="str">
            <v>B&amp;P-001-OR207-01</v>
          </cell>
          <cell r="G451" t="str">
            <v>IDESP</v>
          </cell>
          <cell r="L451">
            <v>45996</v>
          </cell>
          <cell r="M451">
            <v>1470</v>
          </cell>
          <cell r="P451">
            <v>1.1687000000000001</v>
          </cell>
        </row>
        <row r="452">
          <cell r="A452" t="str">
            <v>B&amp;P-001-OR207-17</v>
          </cell>
          <cell r="G452" t="str">
            <v>IDESP</v>
          </cell>
          <cell r="L452">
            <v>45112</v>
          </cell>
          <cell r="M452">
            <v>270.5</v>
          </cell>
          <cell r="P452">
            <v>1.0740000000000001</v>
          </cell>
        </row>
        <row r="453">
          <cell r="A453" t="str">
            <v>B&amp;P-001-OR207-A1</v>
          </cell>
          <cell r="G453" t="str">
            <v>IDESP</v>
          </cell>
          <cell r="L453">
            <v>44257</v>
          </cell>
          <cell r="M453">
            <v>94.75</v>
          </cell>
          <cell r="P453">
            <v>0.86799999999999999</v>
          </cell>
        </row>
        <row r="454">
          <cell r="A454" t="str">
            <v>B&amp;P-001-OR207-G</v>
          </cell>
          <cell r="G454" t="str">
            <v>IDESP</v>
          </cell>
          <cell r="L454">
            <v>45930</v>
          </cell>
          <cell r="M454">
            <v>1380</v>
          </cell>
          <cell r="P454">
            <v>1.407</v>
          </cell>
        </row>
        <row r="455">
          <cell r="A455" t="str">
            <v>B&amp;P-001-OR207-R</v>
          </cell>
          <cell r="G455" t="str">
            <v>IDESP</v>
          </cell>
          <cell r="L455">
            <v>42949</v>
          </cell>
          <cell r="M455">
            <v>17.91</v>
          </cell>
          <cell r="P455">
            <v>0.83599999999999997</v>
          </cell>
        </row>
        <row r="456">
          <cell r="A456" t="str">
            <v>B&amp;P-001-OR208</v>
          </cell>
          <cell r="G456" t="str">
            <v>IDESP</v>
          </cell>
          <cell r="L456">
            <v>44449</v>
          </cell>
          <cell r="M456">
            <v>103.25</v>
          </cell>
          <cell r="P456">
            <v>1.5130999999999999</v>
          </cell>
        </row>
        <row r="457">
          <cell r="A457" t="str">
            <v>B&amp;P-001-OR208-18</v>
          </cell>
          <cell r="G457" t="str">
            <v>IDESP</v>
          </cell>
          <cell r="L457">
            <v>45124</v>
          </cell>
          <cell r="M457">
            <v>277</v>
          </cell>
          <cell r="P457">
            <v>1.327</v>
          </cell>
        </row>
        <row r="458">
          <cell r="A458" t="str">
            <v>B&amp;P-001-OR208-21</v>
          </cell>
          <cell r="G458" t="str">
            <v>IDESP</v>
          </cell>
          <cell r="L458">
            <v>44708</v>
          </cell>
          <cell r="M458">
            <v>124.25</v>
          </cell>
          <cell r="P458">
            <v>1.27</v>
          </cell>
        </row>
        <row r="459">
          <cell r="A459" t="str">
            <v>B&amp;P-001-OR208-G</v>
          </cell>
          <cell r="G459" t="str">
            <v>IDESP</v>
          </cell>
          <cell r="L459">
            <v>45930</v>
          </cell>
          <cell r="M459">
            <v>1380</v>
          </cell>
          <cell r="P459">
            <v>1.6274</v>
          </cell>
        </row>
        <row r="460">
          <cell r="A460" t="str">
            <v>B&amp;P-001-OR208-G21</v>
          </cell>
          <cell r="G460" t="str">
            <v>IDESP</v>
          </cell>
          <cell r="L460">
            <v>44614</v>
          </cell>
          <cell r="M460">
            <v>112.25</v>
          </cell>
          <cell r="P460">
            <v>1.919</v>
          </cell>
        </row>
        <row r="461">
          <cell r="A461" t="str">
            <v>B&amp;P-001-OR208-R18</v>
          </cell>
          <cell r="G461" t="str">
            <v>IDESP</v>
          </cell>
          <cell r="L461">
            <v>45112</v>
          </cell>
          <cell r="M461">
            <v>270.5</v>
          </cell>
          <cell r="P461">
            <v>1.4</v>
          </cell>
        </row>
        <row r="462">
          <cell r="A462" t="str">
            <v>B&amp;P-001-OR209-01</v>
          </cell>
          <cell r="G462" t="str">
            <v>IDESP</v>
          </cell>
          <cell r="L462">
            <v>45124</v>
          </cell>
          <cell r="M462">
            <v>277</v>
          </cell>
          <cell r="P462">
            <v>1.6685000000000001</v>
          </cell>
        </row>
        <row r="463">
          <cell r="A463" t="str">
            <v>B&amp;P-001-OR209-19</v>
          </cell>
          <cell r="G463" t="str">
            <v>IDESP</v>
          </cell>
          <cell r="L463">
            <v>44516</v>
          </cell>
          <cell r="M463">
            <v>105.5</v>
          </cell>
          <cell r="P463">
            <v>1.4</v>
          </cell>
        </row>
        <row r="464">
          <cell r="A464" t="str">
            <v>B&amp;P-001-OR209-A1</v>
          </cell>
          <cell r="G464" t="str">
            <v>IPFAP</v>
          </cell>
          <cell r="L464">
            <v>42405</v>
          </cell>
          <cell r="M464">
            <v>14.5</v>
          </cell>
          <cell r="P464">
            <v>1.2793241379310345</v>
          </cell>
        </row>
        <row r="465">
          <cell r="A465" t="str">
            <v>B&amp;P-001-OR209-G</v>
          </cell>
          <cell r="G465" t="str">
            <v>IDESP</v>
          </cell>
          <cell r="L465">
            <v>45996</v>
          </cell>
          <cell r="M465">
            <v>1470</v>
          </cell>
          <cell r="P465">
            <v>2.1238000000000001</v>
          </cell>
        </row>
        <row r="466">
          <cell r="A466" t="str">
            <v>B&amp;P-001-OR209-G19</v>
          </cell>
          <cell r="G466" t="str">
            <v>IDESP</v>
          </cell>
          <cell r="L466">
            <v>44134</v>
          </cell>
          <cell r="M466">
            <v>83.5</v>
          </cell>
          <cell r="P466">
            <v>1.8848</v>
          </cell>
        </row>
        <row r="467">
          <cell r="A467" t="str">
            <v>B&amp;P-001-OR210</v>
          </cell>
          <cell r="G467" t="str">
            <v>IDESP</v>
          </cell>
          <cell r="L467">
            <v>44641</v>
          </cell>
          <cell r="M467">
            <v>114.75</v>
          </cell>
          <cell r="P467">
            <v>1.91</v>
          </cell>
        </row>
        <row r="468">
          <cell r="A468" t="str">
            <v>B&amp;P-001-OR210-01</v>
          </cell>
          <cell r="G468" t="str">
            <v>IDESP</v>
          </cell>
          <cell r="L468">
            <v>42362</v>
          </cell>
          <cell r="M468">
            <v>13.42</v>
          </cell>
          <cell r="P468">
            <v>1.556</v>
          </cell>
        </row>
        <row r="469">
          <cell r="A469" t="str">
            <v>B&amp;P-001-OR210-G</v>
          </cell>
          <cell r="G469" t="str">
            <v>IDESP</v>
          </cell>
          <cell r="L469">
            <v>45996</v>
          </cell>
          <cell r="M469">
            <v>1470</v>
          </cell>
          <cell r="P469">
            <v>2.2572000000000001</v>
          </cell>
        </row>
        <row r="470">
          <cell r="A470" t="str">
            <v>B&amp;P-001-OR210-R</v>
          </cell>
          <cell r="G470" t="str">
            <v>IDESP</v>
          </cell>
          <cell r="L470">
            <v>44641</v>
          </cell>
          <cell r="M470">
            <v>114.75</v>
          </cell>
          <cell r="P470">
            <v>1.82</v>
          </cell>
        </row>
        <row r="471">
          <cell r="A471" t="str">
            <v>B&amp;P-001-OR211-G</v>
          </cell>
          <cell r="G471" t="str">
            <v>IDESP</v>
          </cell>
          <cell r="L471">
            <v>44676</v>
          </cell>
          <cell r="M471">
            <v>119.5</v>
          </cell>
          <cell r="P471">
            <v>2.7</v>
          </cell>
        </row>
        <row r="472">
          <cell r="A472" t="str">
            <v>B&amp;P-001-OR211-R33G</v>
          </cell>
          <cell r="G472" t="str">
            <v>IDESP</v>
          </cell>
          <cell r="L472">
            <v>45112</v>
          </cell>
          <cell r="M472">
            <v>270.5</v>
          </cell>
          <cell r="P472">
            <v>2.4</v>
          </cell>
        </row>
        <row r="473">
          <cell r="A473" t="str">
            <v>B&amp;P-001-OR212-G</v>
          </cell>
          <cell r="G473" t="str">
            <v>IDESP</v>
          </cell>
          <cell r="L473">
            <v>45124</v>
          </cell>
          <cell r="M473">
            <v>277</v>
          </cell>
          <cell r="P473">
            <v>2.9148000000000001</v>
          </cell>
        </row>
        <row r="474">
          <cell r="A474" t="str">
            <v>B&amp;P-001-OR308-G</v>
          </cell>
          <cell r="G474" t="str">
            <v>IDESP</v>
          </cell>
          <cell r="L474">
            <v>45587</v>
          </cell>
          <cell r="M474">
            <v>1004.5</v>
          </cell>
          <cell r="P474">
            <v>3.1573000000000002</v>
          </cell>
        </row>
        <row r="475">
          <cell r="A475" t="str">
            <v>B&amp;P-001-SAB205-25-01</v>
          </cell>
          <cell r="G475" t="str">
            <v>IDESP</v>
          </cell>
          <cell r="L475">
            <v>42657</v>
          </cell>
          <cell r="M475">
            <v>15.39</v>
          </cell>
          <cell r="P475">
            <v>0.66</v>
          </cell>
        </row>
        <row r="476">
          <cell r="A476" t="str">
            <v>B&amp;P-001-TS04-D</v>
          </cell>
          <cell r="G476" t="str">
            <v>IDESP</v>
          </cell>
          <cell r="L476">
            <v>45554</v>
          </cell>
          <cell r="M476">
            <v>982</v>
          </cell>
          <cell r="P476">
            <v>0.15559999999999999</v>
          </cell>
        </row>
        <row r="477">
          <cell r="A477" t="str">
            <v>B&amp;P-001-TS05-D</v>
          </cell>
          <cell r="G477" t="str">
            <v>IDESP</v>
          </cell>
          <cell r="L477">
            <v>44663</v>
          </cell>
          <cell r="M477">
            <v>117.75</v>
          </cell>
          <cell r="P477">
            <v>0.14000000000000001</v>
          </cell>
        </row>
        <row r="478">
          <cell r="A478" t="str">
            <v>B&amp;P-001-TS06-D</v>
          </cell>
          <cell r="G478" t="str">
            <v>IDESP</v>
          </cell>
          <cell r="L478">
            <v>45554</v>
          </cell>
          <cell r="M478">
            <v>982</v>
          </cell>
          <cell r="P478">
            <v>0.20499999999999999</v>
          </cell>
        </row>
        <row r="479">
          <cell r="A479" t="str">
            <v>B&amp;P-001-W-208-YYB22</v>
          </cell>
          <cell r="G479" t="str">
            <v>IDESP</v>
          </cell>
          <cell r="L479">
            <v>42863</v>
          </cell>
          <cell r="M479">
            <v>15.67</v>
          </cell>
          <cell r="P479">
            <v>1.9470000000000001</v>
          </cell>
        </row>
        <row r="480">
          <cell r="A480" t="str">
            <v>B&amp;P-002-203KRR2-02</v>
          </cell>
          <cell r="G480" t="str">
            <v>IDESP</v>
          </cell>
          <cell r="L480">
            <v>44585</v>
          </cell>
          <cell r="M480">
            <v>109.25</v>
          </cell>
          <cell r="P480">
            <v>0.37</v>
          </cell>
        </row>
        <row r="481">
          <cell r="A481" t="str">
            <v>B&amp;P-002-204-JY3</v>
          </cell>
          <cell r="G481" t="str">
            <v>IDESP</v>
          </cell>
          <cell r="L481">
            <v>45124</v>
          </cell>
          <cell r="M481">
            <v>277</v>
          </cell>
          <cell r="P481">
            <v>0.74</v>
          </cell>
        </row>
        <row r="482">
          <cell r="A482" t="str">
            <v>B&amp;P-002-204-JZ6-02</v>
          </cell>
          <cell r="G482" t="str">
            <v>IPFAP</v>
          </cell>
          <cell r="L482">
            <v>42955</v>
          </cell>
          <cell r="M482">
            <v>17.98</v>
          </cell>
          <cell r="P482">
            <v>5.5617352614015569E-2</v>
          </cell>
        </row>
        <row r="483">
          <cell r="A483" t="str">
            <v>B&amp;P-002-204-K2</v>
          </cell>
          <cell r="G483" t="str">
            <v>IDESP</v>
          </cell>
          <cell r="L483">
            <v>44708</v>
          </cell>
          <cell r="M483">
            <v>124.25</v>
          </cell>
          <cell r="P483">
            <v>0.76</v>
          </cell>
        </row>
        <row r="484">
          <cell r="A484" t="str">
            <v>B&amp;P-002-204-KYY7</v>
          </cell>
          <cell r="G484" t="str">
            <v>IDESP</v>
          </cell>
          <cell r="L484">
            <v>45112</v>
          </cell>
          <cell r="M484">
            <v>270.5</v>
          </cell>
          <cell r="P484">
            <v>0.9</v>
          </cell>
        </row>
        <row r="485">
          <cell r="A485" t="str">
            <v>B&amp;P-002-204-RP7-02</v>
          </cell>
          <cell r="G485" t="str">
            <v>IDESP</v>
          </cell>
          <cell r="L485">
            <v>45509</v>
          </cell>
          <cell r="M485">
            <v>953.5</v>
          </cell>
          <cell r="P485">
            <v>0.60899999999999999</v>
          </cell>
        </row>
        <row r="486">
          <cell r="A486" t="str">
            <v>B&amp;P-002-205-7</v>
          </cell>
          <cell r="G486" t="str">
            <v>IDESP</v>
          </cell>
          <cell r="L486">
            <v>44974</v>
          </cell>
          <cell r="M486">
            <v>198.5</v>
          </cell>
          <cell r="P486">
            <v>0.93</v>
          </cell>
        </row>
        <row r="487">
          <cell r="A487" t="str">
            <v>B&amp;P-002-205-K2</v>
          </cell>
          <cell r="G487" t="str">
            <v>IDESP</v>
          </cell>
          <cell r="L487">
            <v>45124</v>
          </cell>
          <cell r="M487">
            <v>277</v>
          </cell>
          <cell r="P487">
            <v>0.9</v>
          </cell>
        </row>
        <row r="488">
          <cell r="A488" t="str">
            <v>B&amp;P-002-205-KPPB9-02</v>
          </cell>
          <cell r="G488" t="str">
            <v>IDESP</v>
          </cell>
          <cell r="L488">
            <v>41946</v>
          </cell>
          <cell r="M488">
            <v>8.5</v>
          </cell>
          <cell r="P488">
            <v>1.92</v>
          </cell>
        </row>
        <row r="489">
          <cell r="A489" t="str">
            <v>B&amp;P-002-205-KYYB5-02</v>
          </cell>
          <cell r="G489" t="str">
            <v>IDESP</v>
          </cell>
          <cell r="L489">
            <v>42979</v>
          </cell>
          <cell r="M489">
            <v>17.66</v>
          </cell>
          <cell r="P489">
            <v>1.085</v>
          </cell>
        </row>
        <row r="490">
          <cell r="A490" t="str">
            <v>B&amp;P-002-206-K016</v>
          </cell>
          <cell r="G490" t="str">
            <v>IDESP</v>
          </cell>
          <cell r="L490">
            <v>45112</v>
          </cell>
          <cell r="M490">
            <v>270.5</v>
          </cell>
          <cell r="P490">
            <v>1.1879999999999999</v>
          </cell>
        </row>
        <row r="491">
          <cell r="A491" t="str">
            <v>B&amp;P-002-206-K14</v>
          </cell>
          <cell r="G491" t="str">
            <v>IDESP</v>
          </cell>
          <cell r="L491">
            <v>45112</v>
          </cell>
          <cell r="M491">
            <v>270.5</v>
          </cell>
          <cell r="P491">
            <v>1.26</v>
          </cell>
        </row>
        <row r="492">
          <cell r="A492" t="str">
            <v>B&amp;P-002-206-K6</v>
          </cell>
          <cell r="G492" t="str">
            <v>IDESP</v>
          </cell>
          <cell r="L492">
            <v>44174</v>
          </cell>
          <cell r="M492">
            <v>86.75</v>
          </cell>
          <cell r="P492">
            <v>1.4027000000000001</v>
          </cell>
        </row>
        <row r="493">
          <cell r="A493" t="str">
            <v>B&amp;P-002-207-K12</v>
          </cell>
          <cell r="G493" t="str">
            <v>IDESP</v>
          </cell>
          <cell r="L493">
            <v>45112</v>
          </cell>
          <cell r="M493">
            <v>270.5</v>
          </cell>
          <cell r="P493">
            <v>1.681</v>
          </cell>
        </row>
        <row r="494">
          <cell r="A494" t="str">
            <v>B&amp;P-002-207-K17</v>
          </cell>
          <cell r="G494" t="str">
            <v>IDESP</v>
          </cell>
          <cell r="L494">
            <v>44676</v>
          </cell>
          <cell r="M494">
            <v>119.5</v>
          </cell>
          <cell r="P494">
            <v>1.63</v>
          </cell>
        </row>
        <row r="495">
          <cell r="A495" t="str">
            <v>B&amp;P-002-207-K19</v>
          </cell>
          <cell r="G495" t="str">
            <v>IDESP</v>
          </cell>
          <cell r="L495">
            <v>44559</v>
          </cell>
          <cell r="M495">
            <v>107.75</v>
          </cell>
          <cell r="P495">
            <v>1.83</v>
          </cell>
        </row>
        <row r="496">
          <cell r="A496" t="str">
            <v>B&amp;P-002-207-K9</v>
          </cell>
          <cell r="G496" t="str">
            <v>IDESP</v>
          </cell>
          <cell r="L496">
            <v>45124</v>
          </cell>
          <cell r="M496">
            <v>277</v>
          </cell>
          <cell r="P496">
            <v>1.69</v>
          </cell>
        </row>
        <row r="497">
          <cell r="A497" t="str">
            <v>B&amp;P-002-207-KYYB2</v>
          </cell>
          <cell r="G497" t="str">
            <v>IDESP</v>
          </cell>
          <cell r="L497">
            <v>42230</v>
          </cell>
          <cell r="M497">
            <v>9.2799999999999994</v>
          </cell>
          <cell r="P497">
            <v>2.38</v>
          </cell>
        </row>
        <row r="498">
          <cell r="A498" t="str">
            <v>B&amp;P-002-208-12</v>
          </cell>
          <cell r="G498" t="str">
            <v>IDESP</v>
          </cell>
          <cell r="L498">
            <v>45051</v>
          </cell>
          <cell r="M498">
            <v>233</v>
          </cell>
          <cell r="P498">
            <v>1.8149999999999999</v>
          </cell>
        </row>
        <row r="499">
          <cell r="A499" t="str">
            <v>B&amp;P-002-208-16</v>
          </cell>
          <cell r="G499" t="str">
            <v>IDESP</v>
          </cell>
          <cell r="L499">
            <v>44708</v>
          </cell>
          <cell r="M499">
            <v>124.25</v>
          </cell>
          <cell r="P499">
            <v>2.17</v>
          </cell>
        </row>
        <row r="500">
          <cell r="A500" t="str">
            <v>B&amp;P-002-208-5</v>
          </cell>
          <cell r="G500" t="str">
            <v>IDESP</v>
          </cell>
          <cell r="L500">
            <v>45051</v>
          </cell>
          <cell r="M500">
            <v>233</v>
          </cell>
          <cell r="P500">
            <v>1.6698</v>
          </cell>
        </row>
        <row r="501">
          <cell r="A501" t="str">
            <v>B&amp;P-002-208-6</v>
          </cell>
          <cell r="G501" t="str">
            <v>IDESP</v>
          </cell>
          <cell r="L501">
            <v>45112</v>
          </cell>
          <cell r="M501">
            <v>270.5</v>
          </cell>
          <cell r="P501">
            <v>2.4049999999999998</v>
          </cell>
        </row>
        <row r="502">
          <cell r="A502" t="str">
            <v>B&amp;P-002-208-K4</v>
          </cell>
          <cell r="G502" t="str">
            <v>IDESP</v>
          </cell>
          <cell r="L502">
            <v>44134</v>
          </cell>
          <cell r="M502">
            <v>83.5</v>
          </cell>
          <cell r="P502">
            <v>1.1584000000000001</v>
          </cell>
        </row>
        <row r="503">
          <cell r="A503" t="str">
            <v>B&amp;P-002-208-K52</v>
          </cell>
          <cell r="G503" t="str">
            <v>IDESP</v>
          </cell>
          <cell r="L503">
            <v>45124</v>
          </cell>
          <cell r="M503">
            <v>277</v>
          </cell>
          <cell r="P503">
            <v>2.17</v>
          </cell>
        </row>
        <row r="504">
          <cell r="A504" t="str">
            <v>B&amp;P-002-208-K6</v>
          </cell>
          <cell r="G504" t="str">
            <v>IPFAP</v>
          </cell>
          <cell r="L504">
            <v>42867</v>
          </cell>
          <cell r="M504">
            <v>15.78</v>
          </cell>
          <cell r="P504">
            <v>2.1260012674271227</v>
          </cell>
        </row>
        <row r="505">
          <cell r="A505" t="str">
            <v>B&amp;P-002-209-K2</v>
          </cell>
          <cell r="G505" t="str">
            <v>IDESP</v>
          </cell>
          <cell r="L505">
            <v>44516</v>
          </cell>
          <cell r="M505">
            <v>105.5</v>
          </cell>
          <cell r="P505">
            <v>2.41</v>
          </cell>
        </row>
        <row r="506">
          <cell r="A506" t="str">
            <v>B&amp;P-002-209-KYYB2-02</v>
          </cell>
          <cell r="G506" t="str">
            <v>IDESP</v>
          </cell>
          <cell r="L506">
            <v>42030</v>
          </cell>
          <cell r="M506">
            <v>8.65</v>
          </cell>
          <cell r="P506">
            <v>2.77</v>
          </cell>
        </row>
        <row r="507">
          <cell r="A507" t="str">
            <v>B&amp;P-002-210-20</v>
          </cell>
          <cell r="G507" t="str">
            <v>IDESP</v>
          </cell>
          <cell r="L507">
            <v>44641</v>
          </cell>
          <cell r="M507">
            <v>114.75</v>
          </cell>
          <cell r="P507">
            <v>3.2</v>
          </cell>
        </row>
        <row r="508">
          <cell r="A508" t="str">
            <v>B&amp;P-002-210-4</v>
          </cell>
          <cell r="G508" t="str">
            <v>IDESP</v>
          </cell>
          <cell r="L508">
            <v>45112</v>
          </cell>
          <cell r="M508">
            <v>270.5</v>
          </cell>
          <cell r="P508">
            <v>3.26</v>
          </cell>
        </row>
        <row r="509">
          <cell r="A509" t="str">
            <v>B&amp;P-002-210-K2</v>
          </cell>
          <cell r="G509" t="str">
            <v>IDESP</v>
          </cell>
          <cell r="L509">
            <v>44676</v>
          </cell>
          <cell r="M509">
            <v>119.5</v>
          </cell>
          <cell r="P509">
            <v>3.11</v>
          </cell>
        </row>
        <row r="510">
          <cell r="A510" t="str">
            <v>B&amp;P-002-211-17</v>
          </cell>
          <cell r="G510" t="str">
            <v>IDESP</v>
          </cell>
          <cell r="L510">
            <v>45112</v>
          </cell>
          <cell r="M510">
            <v>270.5</v>
          </cell>
          <cell r="P510">
            <v>4.0940000000000003</v>
          </cell>
        </row>
        <row r="511">
          <cell r="A511" t="str">
            <v>B&amp;P-002-211-25</v>
          </cell>
          <cell r="G511" t="str">
            <v>IDESP</v>
          </cell>
          <cell r="L511">
            <v>45051</v>
          </cell>
          <cell r="M511">
            <v>233</v>
          </cell>
          <cell r="P511">
            <v>3.1073</v>
          </cell>
        </row>
        <row r="512">
          <cell r="A512" t="str">
            <v>B&amp;P-002-211-27</v>
          </cell>
          <cell r="G512" t="str">
            <v>IDESP</v>
          </cell>
          <cell r="L512">
            <v>45112</v>
          </cell>
          <cell r="M512">
            <v>270.5</v>
          </cell>
          <cell r="P512">
            <v>4.0540000000000003</v>
          </cell>
        </row>
        <row r="513">
          <cell r="A513" t="str">
            <v>B&amp;P-002-211PP3-02</v>
          </cell>
          <cell r="G513" t="str">
            <v>IDESP</v>
          </cell>
          <cell r="L513">
            <v>45112</v>
          </cell>
          <cell r="M513">
            <v>270.5</v>
          </cell>
          <cell r="P513">
            <v>3.718</v>
          </cell>
        </row>
        <row r="514">
          <cell r="A514" t="str">
            <v>B&amp;P-002-5203-KYY2</v>
          </cell>
          <cell r="G514" t="str">
            <v>IDESP</v>
          </cell>
          <cell r="L514">
            <v>44974</v>
          </cell>
          <cell r="M514">
            <v>198.5</v>
          </cell>
          <cell r="P514">
            <v>1.2</v>
          </cell>
        </row>
        <row r="515">
          <cell r="A515" t="str">
            <v>B&amp;P-002-5203-KYY9</v>
          </cell>
          <cell r="G515" t="str">
            <v>IDESP</v>
          </cell>
          <cell r="L515">
            <v>41725</v>
          </cell>
          <cell r="M515">
            <v>8.0299999999999994</v>
          </cell>
          <cell r="P515">
            <v>0.66</v>
          </cell>
        </row>
        <row r="516">
          <cell r="A516" t="str">
            <v>B&amp;P-002-5207KRRB1902</v>
          </cell>
          <cell r="G516" t="str">
            <v>IDESP</v>
          </cell>
          <cell r="L516">
            <v>42801</v>
          </cell>
          <cell r="M516">
            <v>15.83</v>
          </cell>
          <cell r="P516">
            <v>2.1</v>
          </cell>
        </row>
        <row r="517">
          <cell r="A517" t="str">
            <v>B&amp;P-002-5209KRRB2-02</v>
          </cell>
          <cell r="G517" t="str">
            <v>IDESP</v>
          </cell>
          <cell r="L517">
            <v>42979</v>
          </cell>
          <cell r="M517">
            <v>17.66</v>
          </cell>
          <cell r="P517">
            <v>2.4900000000000002</v>
          </cell>
        </row>
        <row r="518">
          <cell r="A518" t="str">
            <v>B&amp;P-002-6802-D</v>
          </cell>
          <cell r="G518" t="str">
            <v>IDESP</v>
          </cell>
          <cell r="L518">
            <v>45554</v>
          </cell>
          <cell r="M518">
            <v>982</v>
          </cell>
          <cell r="P518">
            <v>8.2500000000000004E-2</v>
          </cell>
        </row>
        <row r="519">
          <cell r="A519" t="str">
            <v>B&amp;P-002-ACL204-20-02</v>
          </cell>
          <cell r="G519" t="str">
            <v>IDESP</v>
          </cell>
          <cell r="L519">
            <v>45587</v>
          </cell>
          <cell r="M519">
            <v>1004.5</v>
          </cell>
          <cell r="P519">
            <v>0.66900000000000004</v>
          </cell>
        </row>
        <row r="520">
          <cell r="A520" t="str">
            <v>B&amp;P-002-ACL205-14-02</v>
          </cell>
          <cell r="G520" t="str">
            <v>IDESP</v>
          </cell>
          <cell r="L520">
            <v>45554</v>
          </cell>
          <cell r="M520">
            <v>982</v>
          </cell>
          <cell r="P520">
            <v>0.66300000000000003</v>
          </cell>
        </row>
        <row r="521">
          <cell r="A521" t="str">
            <v>B&amp;P-002-ACL205-16-02</v>
          </cell>
          <cell r="G521" t="str">
            <v>IDESP</v>
          </cell>
          <cell r="L521">
            <v>45839</v>
          </cell>
          <cell r="M521">
            <v>1215</v>
          </cell>
          <cell r="P521">
            <v>0.6774</v>
          </cell>
        </row>
        <row r="522">
          <cell r="A522" t="str">
            <v>B&amp;P-002-ACL205-25-02</v>
          </cell>
          <cell r="G522" t="str">
            <v>IDESP</v>
          </cell>
          <cell r="L522">
            <v>45554</v>
          </cell>
          <cell r="M522">
            <v>982</v>
          </cell>
          <cell r="P522">
            <v>0.70199999999999996</v>
          </cell>
        </row>
        <row r="523">
          <cell r="A523" t="str">
            <v>B&amp;P-002-ACL205-25-A2</v>
          </cell>
          <cell r="G523" t="str">
            <v>IDESP</v>
          </cell>
          <cell r="L523">
            <v>42657</v>
          </cell>
          <cell r="M523">
            <v>15.39</v>
          </cell>
          <cell r="P523">
            <v>0.4</v>
          </cell>
        </row>
        <row r="524">
          <cell r="A524" t="str">
            <v>B&amp;P-002-ACL206-18-02</v>
          </cell>
          <cell r="G524" t="str">
            <v>IDESP</v>
          </cell>
          <cell r="L524">
            <v>45930</v>
          </cell>
          <cell r="M524">
            <v>1380</v>
          </cell>
          <cell r="P524">
            <v>1.161</v>
          </cell>
        </row>
        <row r="525">
          <cell r="A525" t="str">
            <v>B&amp;P-002-ACL206-19-02</v>
          </cell>
          <cell r="G525" t="str">
            <v>IDESP</v>
          </cell>
          <cell r="L525">
            <v>44641</v>
          </cell>
          <cell r="M525">
            <v>114.75</v>
          </cell>
          <cell r="P525">
            <v>1.1499999999999999</v>
          </cell>
        </row>
        <row r="526">
          <cell r="A526" t="str">
            <v>B&amp;P-002-ACL206-20-02</v>
          </cell>
          <cell r="G526" t="str">
            <v>IDESP</v>
          </cell>
          <cell r="L526">
            <v>45996</v>
          </cell>
          <cell r="M526">
            <v>1470</v>
          </cell>
          <cell r="P526">
            <v>0.9</v>
          </cell>
        </row>
        <row r="527">
          <cell r="A527" t="str">
            <v>B&amp;P-002-ACL206-30-02</v>
          </cell>
          <cell r="G527" t="str">
            <v>IDESP</v>
          </cell>
          <cell r="L527">
            <v>45509</v>
          </cell>
          <cell r="M527">
            <v>953.5</v>
          </cell>
          <cell r="P527">
            <v>0.90600000000000003</v>
          </cell>
        </row>
        <row r="528">
          <cell r="A528" t="str">
            <v>B&amp;P-002-ACL207-22-02</v>
          </cell>
          <cell r="G528" t="str">
            <v>IDESP</v>
          </cell>
          <cell r="L528">
            <v>42348</v>
          </cell>
          <cell r="M528">
            <v>9.82</v>
          </cell>
          <cell r="P528">
            <v>0.82599999999999996</v>
          </cell>
        </row>
        <row r="529">
          <cell r="A529" t="str">
            <v>B&amp;P-002-ACL207-23-02</v>
          </cell>
          <cell r="G529" t="str">
            <v>IDESP</v>
          </cell>
          <cell r="L529">
            <v>45930</v>
          </cell>
          <cell r="M529">
            <v>1380</v>
          </cell>
          <cell r="P529">
            <v>1.206</v>
          </cell>
        </row>
        <row r="530">
          <cell r="A530" t="str">
            <v>B&amp;P-002-ACL207-35-02</v>
          </cell>
          <cell r="G530" t="str">
            <v>IDESP</v>
          </cell>
          <cell r="L530">
            <v>45124</v>
          </cell>
          <cell r="M530">
            <v>277</v>
          </cell>
          <cell r="P530">
            <v>1.1835</v>
          </cell>
        </row>
        <row r="531">
          <cell r="A531" t="str">
            <v>B&amp;P-002-ACL207-35-A2</v>
          </cell>
          <cell r="G531" t="str">
            <v>IDESP</v>
          </cell>
          <cell r="L531">
            <v>42620</v>
          </cell>
          <cell r="M531">
            <v>15.24</v>
          </cell>
          <cell r="P531">
            <v>0.76600000000000001</v>
          </cell>
        </row>
        <row r="532">
          <cell r="A532" t="str">
            <v>B&amp;P-002-ACL208-24-02</v>
          </cell>
          <cell r="G532" t="str">
            <v>IPFAB</v>
          </cell>
          <cell r="L532">
            <v>45005</v>
          </cell>
          <cell r="M532">
            <v>210</v>
          </cell>
          <cell r="P532">
            <v>1.57</v>
          </cell>
        </row>
        <row r="533">
          <cell r="A533" t="str">
            <v>B&amp;P-002-ACL208-40-02</v>
          </cell>
          <cell r="G533" t="str">
            <v>IDESP</v>
          </cell>
          <cell r="L533">
            <v>45930</v>
          </cell>
          <cell r="M533">
            <v>1380</v>
          </cell>
          <cell r="P533">
            <v>1.395</v>
          </cell>
        </row>
        <row r="534">
          <cell r="A534" t="str">
            <v>B&amp;P-002-ACL209-28-02</v>
          </cell>
          <cell r="G534" t="str">
            <v>IDESP</v>
          </cell>
          <cell r="L534">
            <v>45587</v>
          </cell>
          <cell r="M534">
            <v>1004.5</v>
          </cell>
          <cell r="P534">
            <v>1.839</v>
          </cell>
        </row>
        <row r="535">
          <cell r="A535" t="str">
            <v>B&amp;P-002-ACL209-45-A2</v>
          </cell>
          <cell r="G535" t="str">
            <v>IDESP</v>
          </cell>
          <cell r="L535">
            <v>41017</v>
          </cell>
          <cell r="M535">
            <v>4.41</v>
          </cell>
          <cell r="P535">
            <v>1.0409999999999999</v>
          </cell>
        </row>
        <row r="536">
          <cell r="A536" t="str">
            <v>B&amp;P-002-ACL210-50-02</v>
          </cell>
          <cell r="G536" t="str">
            <v>IDESP</v>
          </cell>
          <cell r="L536">
            <v>42362</v>
          </cell>
          <cell r="M536">
            <v>13.42</v>
          </cell>
          <cell r="P536">
            <v>1.3340000000000001</v>
          </cell>
        </row>
        <row r="537">
          <cell r="A537" t="str">
            <v>B&amp;P-002-ACLR208-2402</v>
          </cell>
          <cell r="G537" t="str">
            <v>IDESP</v>
          </cell>
          <cell r="L537">
            <v>45930</v>
          </cell>
          <cell r="M537">
            <v>1380</v>
          </cell>
          <cell r="P537">
            <v>1.5029999999999999</v>
          </cell>
        </row>
        <row r="538">
          <cell r="A538" t="str">
            <v>B&amp;P-002-ACLR208-4002</v>
          </cell>
          <cell r="G538" t="str">
            <v>IDESP</v>
          </cell>
          <cell r="L538">
            <v>45839</v>
          </cell>
          <cell r="M538">
            <v>1215</v>
          </cell>
          <cell r="P538">
            <v>1.407</v>
          </cell>
        </row>
        <row r="539">
          <cell r="A539" t="str">
            <v>B&amp;P-002-AG-1235-B</v>
          </cell>
          <cell r="G539" t="str">
            <v>IDESP</v>
          </cell>
          <cell r="L539">
            <v>45112</v>
          </cell>
          <cell r="M539">
            <v>270.5</v>
          </cell>
          <cell r="P539">
            <v>0.92</v>
          </cell>
        </row>
        <row r="540">
          <cell r="A540" t="str">
            <v>B&amp;P-002-AG-1235-PPZ9</v>
          </cell>
          <cell r="G540" t="str">
            <v>IDESP</v>
          </cell>
          <cell r="L540">
            <v>45112</v>
          </cell>
          <cell r="M540">
            <v>270.5</v>
          </cell>
          <cell r="P540">
            <v>0.98</v>
          </cell>
        </row>
        <row r="541">
          <cell r="A541" t="str">
            <v>B&amp;P-002-ASL205-14-02</v>
          </cell>
          <cell r="G541" t="str">
            <v>IDESP</v>
          </cell>
          <cell r="L541">
            <v>45930</v>
          </cell>
          <cell r="M541">
            <v>1380</v>
          </cell>
          <cell r="P541">
            <v>0.62039999999999995</v>
          </cell>
        </row>
        <row r="542">
          <cell r="A542" t="str">
            <v>B&amp;P-002-ASL205-25-02</v>
          </cell>
          <cell r="G542" t="str">
            <v>IDESP</v>
          </cell>
          <cell r="L542">
            <v>45124</v>
          </cell>
          <cell r="M542">
            <v>277</v>
          </cell>
          <cell r="P542">
            <v>0.8</v>
          </cell>
        </row>
        <row r="543">
          <cell r="A543" t="str">
            <v>B&amp;P-002-ASL206-30-02</v>
          </cell>
          <cell r="G543" t="str">
            <v>IDESP</v>
          </cell>
          <cell r="L543">
            <v>45996</v>
          </cell>
          <cell r="M543">
            <v>1470</v>
          </cell>
          <cell r="P543">
            <v>0.83489999999999998</v>
          </cell>
        </row>
        <row r="544">
          <cell r="A544" t="str">
            <v>B&amp;P-002-ASL207-35-02</v>
          </cell>
          <cell r="G544" t="str">
            <v>IDESP</v>
          </cell>
          <cell r="L544">
            <v>45587</v>
          </cell>
          <cell r="M544">
            <v>1004.5</v>
          </cell>
          <cell r="P544">
            <v>1.0164</v>
          </cell>
        </row>
        <row r="545">
          <cell r="A545" t="str">
            <v>B&amp;P-002-BB203-KRR2</v>
          </cell>
          <cell r="G545" t="str">
            <v>IDESP</v>
          </cell>
          <cell r="L545">
            <v>45112</v>
          </cell>
          <cell r="M545">
            <v>270.5</v>
          </cell>
          <cell r="P545">
            <v>0.49</v>
          </cell>
        </row>
        <row r="546">
          <cell r="A546" t="str">
            <v>B&amp;P-002-BP-13009-02</v>
          </cell>
          <cell r="G546" t="str">
            <v xml:space="preserve">CR   </v>
          </cell>
          <cell r="L546">
            <v>43126.69902777778</v>
          </cell>
          <cell r="M546">
            <v>19.86</v>
          </cell>
          <cell r="P546">
            <v>1.622809667673716</v>
          </cell>
        </row>
        <row r="547">
          <cell r="A547" t="str">
            <v>B&amp;P-002-BP-13009-A2</v>
          </cell>
          <cell r="G547" t="str">
            <v>VPRet</v>
          </cell>
          <cell r="L547">
            <v>41976</v>
          </cell>
          <cell r="M547">
            <v>8.5500000000000007</v>
          </cell>
          <cell r="P547">
            <v>3.4747251461988302</v>
          </cell>
        </row>
        <row r="548">
          <cell r="A548" t="str">
            <v>B&amp;P-002-BP-13009-B2</v>
          </cell>
          <cell r="G548" t="str">
            <v>InRet</v>
          </cell>
          <cell r="L548">
            <v>41991</v>
          </cell>
          <cell r="M548">
            <v>8.58</v>
          </cell>
          <cell r="P548">
            <v>3.7562820512820516</v>
          </cell>
        </row>
        <row r="549">
          <cell r="A549" t="str">
            <v>B&amp;P-002-BP-14001-02</v>
          </cell>
          <cell r="G549" t="str">
            <v>InRet</v>
          </cell>
          <cell r="L549">
            <v>41705</v>
          </cell>
          <cell r="M549">
            <v>7.9</v>
          </cell>
          <cell r="P549">
            <v>0.62111392405063282</v>
          </cell>
        </row>
        <row r="550">
          <cell r="A550" t="str">
            <v>B&amp;P-002-BP-22002-02</v>
          </cell>
          <cell r="G550" t="str">
            <v>vpret</v>
          </cell>
          <cell r="L550">
            <v>45422</v>
          </cell>
          <cell r="M550">
            <v>901</v>
          </cell>
          <cell r="P550">
            <v>3.2098657047724748</v>
          </cell>
        </row>
        <row r="551">
          <cell r="A551" t="str">
            <v>B&amp;P-002-BP-22002-04</v>
          </cell>
          <cell r="G551" t="str">
            <v>vpret</v>
          </cell>
          <cell r="L551">
            <v>45422</v>
          </cell>
          <cell r="M551">
            <v>901</v>
          </cell>
          <cell r="P551">
            <v>3.2098657047724748</v>
          </cell>
        </row>
        <row r="552">
          <cell r="A552" t="str">
            <v>B&amp;P-002-BP-22002-A2</v>
          </cell>
          <cell r="G552" t="str">
            <v>vpret</v>
          </cell>
          <cell r="L552">
            <v>45404</v>
          </cell>
          <cell r="M552">
            <v>890</v>
          </cell>
          <cell r="P552">
            <v>3.0575056179775277</v>
          </cell>
        </row>
        <row r="553">
          <cell r="A553" t="str">
            <v>B&amp;P-002-BP-22002-A4</v>
          </cell>
          <cell r="G553" t="str">
            <v>vpret</v>
          </cell>
          <cell r="L553">
            <v>45404</v>
          </cell>
          <cell r="M553">
            <v>890</v>
          </cell>
          <cell r="P553">
            <v>3.0575056179775277</v>
          </cell>
        </row>
        <row r="554">
          <cell r="A554" t="str">
            <v>B&amp;P-002-BP-22002-B2</v>
          </cell>
          <cell r="G554" t="str">
            <v>InRet</v>
          </cell>
          <cell r="L554">
            <v>45422</v>
          </cell>
          <cell r="M554">
            <v>901</v>
          </cell>
          <cell r="P554">
            <v>3.209866037735849</v>
          </cell>
        </row>
        <row r="555">
          <cell r="A555" t="str">
            <v>B&amp;P-002-BP-22002-B4</v>
          </cell>
          <cell r="G555" t="str">
            <v>InRet</v>
          </cell>
          <cell r="L555">
            <v>45422</v>
          </cell>
          <cell r="M555">
            <v>901</v>
          </cell>
          <cell r="P555">
            <v>3.209866037735849</v>
          </cell>
        </row>
        <row r="556">
          <cell r="A556" t="str">
            <v>B&amp;P-002-BP12011-01-2</v>
          </cell>
          <cell r="G556" t="str">
            <v>IDESP</v>
          </cell>
          <cell r="L556">
            <v>42733</v>
          </cell>
          <cell r="M556">
            <v>16.079999999999998</v>
          </cell>
          <cell r="P556">
            <v>7.35</v>
          </cell>
        </row>
        <row r="557">
          <cell r="A557" t="str">
            <v>B&amp;P-002-CF5202-2RST</v>
          </cell>
          <cell r="G557" t="str">
            <v>IDESP</v>
          </cell>
          <cell r="L557">
            <v>42422</v>
          </cell>
          <cell r="M557">
            <v>15.27</v>
          </cell>
          <cell r="P557">
            <v>0.93500000000000005</v>
          </cell>
        </row>
        <row r="558">
          <cell r="A558" t="str">
            <v>B&amp;P-002-ECL204-20-02</v>
          </cell>
          <cell r="G558" t="str">
            <v>IDESP</v>
          </cell>
          <cell r="L558">
            <v>45509</v>
          </cell>
          <cell r="M558">
            <v>953.5</v>
          </cell>
          <cell r="P558">
            <v>0.76500000000000001</v>
          </cell>
        </row>
        <row r="559">
          <cell r="A559" t="str">
            <v>B&amp;P-002-ECL205-14-02</v>
          </cell>
          <cell r="G559" t="str">
            <v>IDESP</v>
          </cell>
          <cell r="L559">
            <v>45509</v>
          </cell>
          <cell r="M559">
            <v>953.5</v>
          </cell>
          <cell r="P559">
            <v>0.80100000000000005</v>
          </cell>
        </row>
        <row r="560">
          <cell r="A560" t="str">
            <v>B&amp;P-002-ECL205-16-02</v>
          </cell>
          <cell r="G560" t="str">
            <v>IDESP</v>
          </cell>
          <cell r="L560">
            <v>45996</v>
          </cell>
          <cell r="M560">
            <v>1470</v>
          </cell>
          <cell r="P560">
            <v>0.67800000000000005</v>
          </cell>
        </row>
        <row r="561">
          <cell r="A561" t="str">
            <v>B&amp;P-002-ECL205-25-02</v>
          </cell>
          <cell r="G561" t="str">
            <v>IDESP</v>
          </cell>
          <cell r="L561">
            <v>45996</v>
          </cell>
          <cell r="M561">
            <v>1470</v>
          </cell>
          <cell r="P561">
            <v>0.70650000000000002</v>
          </cell>
        </row>
        <row r="562">
          <cell r="A562" t="str">
            <v>B&amp;P-002-ECL205-25-A2</v>
          </cell>
          <cell r="G562" t="str">
            <v>IDESP</v>
          </cell>
          <cell r="L562">
            <v>42282</v>
          </cell>
          <cell r="M562">
            <v>9.5</v>
          </cell>
          <cell r="P562">
            <v>0.51800000000000002</v>
          </cell>
        </row>
        <row r="563">
          <cell r="A563" t="str">
            <v>B&amp;P-002-ECL206-18-02</v>
          </cell>
          <cell r="G563" t="str">
            <v>IDESP</v>
          </cell>
          <cell r="L563">
            <v>45587</v>
          </cell>
          <cell r="M563">
            <v>1004.5</v>
          </cell>
          <cell r="P563">
            <v>1.044</v>
          </cell>
        </row>
        <row r="564">
          <cell r="A564" t="str">
            <v>B&amp;P-002-ECL206-19-02</v>
          </cell>
          <cell r="G564" t="str">
            <v>IDESP</v>
          </cell>
          <cell r="L564">
            <v>42522</v>
          </cell>
          <cell r="M564">
            <v>14.35</v>
          </cell>
          <cell r="P564">
            <v>0.83819999999999995</v>
          </cell>
        </row>
        <row r="565">
          <cell r="A565" t="str">
            <v>B&amp;P-002-ECL206-20-02</v>
          </cell>
          <cell r="G565" t="str">
            <v>IDESP</v>
          </cell>
          <cell r="L565">
            <v>45216</v>
          </cell>
          <cell r="M565">
            <v>365.5</v>
          </cell>
          <cell r="P565">
            <v>1.3</v>
          </cell>
        </row>
        <row r="566">
          <cell r="A566" t="str">
            <v>B&amp;P-002-ECL206-30-02</v>
          </cell>
          <cell r="G566" t="str">
            <v>IDESP</v>
          </cell>
          <cell r="L566">
            <v>45930</v>
          </cell>
          <cell r="M566">
            <v>1380</v>
          </cell>
          <cell r="P566">
            <v>0.86990000000000001</v>
          </cell>
        </row>
        <row r="567">
          <cell r="A567" t="str">
            <v>B&amp;P-002-ECL207-20-02</v>
          </cell>
          <cell r="G567" t="str">
            <v>IDESP</v>
          </cell>
          <cell r="L567">
            <v>44615</v>
          </cell>
          <cell r="M567">
            <v>112.5</v>
          </cell>
          <cell r="P567">
            <v>1.49</v>
          </cell>
        </row>
        <row r="568">
          <cell r="A568" t="str">
            <v>B&amp;P-002-ECL207-22-02</v>
          </cell>
          <cell r="G568" t="str">
            <v xml:space="preserve">INAC </v>
          </cell>
          <cell r="L568">
            <v>45372</v>
          </cell>
          <cell r="M568">
            <v>872</v>
          </cell>
          <cell r="P568">
            <v>1.7964105504587156</v>
          </cell>
        </row>
        <row r="569">
          <cell r="A569" t="str">
            <v>B&amp;P-002-ECL207-23-02</v>
          </cell>
          <cell r="G569" t="str">
            <v>IDESP</v>
          </cell>
          <cell r="L569">
            <v>44134</v>
          </cell>
          <cell r="M569">
            <v>83.5</v>
          </cell>
          <cell r="P569">
            <v>1.2569999999999999</v>
          </cell>
        </row>
        <row r="570">
          <cell r="A570" t="str">
            <v>B&amp;P-002-ECL207-35-02</v>
          </cell>
          <cell r="G570" t="str">
            <v>IDESP</v>
          </cell>
          <cell r="L570">
            <v>45996</v>
          </cell>
          <cell r="M570">
            <v>1470</v>
          </cell>
          <cell r="P570">
            <v>1.002</v>
          </cell>
        </row>
        <row r="571">
          <cell r="A571" t="str">
            <v>B&amp;P-002-ECL207-35-A2</v>
          </cell>
          <cell r="G571" t="str">
            <v>IDESP</v>
          </cell>
          <cell r="L571">
            <v>44257</v>
          </cell>
          <cell r="M571">
            <v>94.75</v>
          </cell>
          <cell r="P571">
            <v>0.88400000000000001</v>
          </cell>
        </row>
        <row r="572">
          <cell r="A572" t="str">
            <v>B&amp;P-002-ECL208-24-02</v>
          </cell>
          <cell r="G572" t="str">
            <v>IDESP</v>
          </cell>
          <cell r="L572">
            <v>45124</v>
          </cell>
          <cell r="M572">
            <v>277</v>
          </cell>
          <cell r="P572">
            <v>1.5354000000000001</v>
          </cell>
        </row>
        <row r="573">
          <cell r="A573" t="str">
            <v>B&amp;P-002-ECL208-40-02</v>
          </cell>
          <cell r="G573" t="str">
            <v>IPFAB</v>
          </cell>
          <cell r="L573">
            <v>45005</v>
          </cell>
          <cell r="M573">
            <v>210</v>
          </cell>
          <cell r="P573">
            <v>1.84</v>
          </cell>
        </row>
        <row r="574">
          <cell r="A574" t="str">
            <v>B&amp;P-002-ECL209-27-02</v>
          </cell>
          <cell r="G574" t="str">
            <v>IDESP</v>
          </cell>
          <cell r="L574">
            <v>45124</v>
          </cell>
          <cell r="M574">
            <v>277</v>
          </cell>
          <cell r="P574">
            <v>1.4300999999999999</v>
          </cell>
        </row>
        <row r="575">
          <cell r="A575" t="str">
            <v>B&amp;P-002-ECL209-28-02</v>
          </cell>
          <cell r="G575" t="str">
            <v>IDESP</v>
          </cell>
          <cell r="L575">
            <v>45587</v>
          </cell>
          <cell r="M575">
            <v>1004.5</v>
          </cell>
          <cell r="P575">
            <v>1.431</v>
          </cell>
        </row>
        <row r="576">
          <cell r="A576" t="str">
            <v>B&amp;P-002-ECL209-45-02</v>
          </cell>
          <cell r="G576" t="str">
            <v>IDESP</v>
          </cell>
          <cell r="L576">
            <v>44733</v>
          </cell>
          <cell r="M576">
            <v>127.75</v>
          </cell>
          <cell r="P576">
            <v>2.1</v>
          </cell>
        </row>
        <row r="577">
          <cell r="A577" t="str">
            <v>B&amp;P-002-ECL209-45-A2</v>
          </cell>
          <cell r="G577" t="str">
            <v>IDESP</v>
          </cell>
          <cell r="L577">
            <v>41017</v>
          </cell>
          <cell r="M577">
            <v>4.41</v>
          </cell>
          <cell r="P577">
            <v>1.266</v>
          </cell>
        </row>
        <row r="578">
          <cell r="A578" t="str">
            <v>B&amp;P-002-ECL210-31-02</v>
          </cell>
          <cell r="G578" t="str">
            <v>IDESP</v>
          </cell>
          <cell r="L578">
            <v>45163</v>
          </cell>
          <cell r="M578">
            <v>365.5</v>
          </cell>
          <cell r="P578">
            <v>2.62</v>
          </cell>
        </row>
        <row r="579">
          <cell r="A579" t="str">
            <v>B&amp;P-002-ECL210-32-02</v>
          </cell>
          <cell r="G579" t="str">
            <v>IDESP</v>
          </cell>
          <cell r="L579">
            <v>45124</v>
          </cell>
          <cell r="M579">
            <v>277</v>
          </cell>
          <cell r="P579">
            <v>1.7457</v>
          </cell>
        </row>
        <row r="580">
          <cell r="A580" t="str">
            <v>B&amp;P-002-ECL210-50-02</v>
          </cell>
          <cell r="G580" t="str">
            <v>IDESP</v>
          </cell>
          <cell r="L580">
            <v>45996</v>
          </cell>
          <cell r="M580">
            <v>1470</v>
          </cell>
          <cell r="P580">
            <v>1.9650000000000001</v>
          </cell>
        </row>
        <row r="581">
          <cell r="A581" t="str">
            <v>B&amp;P-002-ECL211-32-02</v>
          </cell>
          <cell r="G581" t="str">
            <v>IDESP</v>
          </cell>
          <cell r="L581">
            <v>44676</v>
          </cell>
          <cell r="M581">
            <v>119.5</v>
          </cell>
          <cell r="P581">
            <v>3.65</v>
          </cell>
        </row>
        <row r="582">
          <cell r="A582" t="str">
            <v>B&amp;P-002-ECL211-35-02</v>
          </cell>
          <cell r="G582" t="str">
            <v>IDESP</v>
          </cell>
          <cell r="L582">
            <v>44609</v>
          </cell>
          <cell r="M582">
            <v>112</v>
          </cell>
          <cell r="P582">
            <v>3.1991999999999998</v>
          </cell>
        </row>
        <row r="583">
          <cell r="A583" t="str">
            <v>B&amp;P-002-ECL211-55-02</v>
          </cell>
          <cell r="G583" t="str">
            <v>IDESP</v>
          </cell>
          <cell r="L583">
            <v>44676</v>
          </cell>
          <cell r="M583">
            <v>119.5</v>
          </cell>
          <cell r="P583">
            <v>3.56</v>
          </cell>
        </row>
        <row r="584">
          <cell r="A584" t="str">
            <v>B&amp;P-002-ECL212-39-02</v>
          </cell>
          <cell r="G584" t="str">
            <v>IDESP</v>
          </cell>
          <cell r="L584">
            <v>44274</v>
          </cell>
          <cell r="M584">
            <v>96.5</v>
          </cell>
          <cell r="P584">
            <v>3.51</v>
          </cell>
        </row>
        <row r="585">
          <cell r="A585" t="str">
            <v>B&amp;P-002-ECL212-60-02</v>
          </cell>
          <cell r="G585" t="str">
            <v>IDESP</v>
          </cell>
          <cell r="L585">
            <v>45124</v>
          </cell>
          <cell r="M585">
            <v>277</v>
          </cell>
          <cell r="P585">
            <v>2.4984000000000002</v>
          </cell>
        </row>
        <row r="586">
          <cell r="A586" t="str">
            <v>B&amp;P-002-ECL305-02</v>
          </cell>
          <cell r="G586" t="str">
            <v>IDESP</v>
          </cell>
          <cell r="L586">
            <v>45587</v>
          </cell>
          <cell r="M586">
            <v>1004.5</v>
          </cell>
          <cell r="P586">
            <v>1.776</v>
          </cell>
        </row>
        <row r="587">
          <cell r="A587" t="str">
            <v>B&amp;P-002-ECL308-02</v>
          </cell>
          <cell r="G587" t="str">
            <v>IDESP</v>
          </cell>
          <cell r="L587">
            <v>45587</v>
          </cell>
          <cell r="M587">
            <v>1004.5</v>
          </cell>
          <cell r="P587">
            <v>2.706</v>
          </cell>
        </row>
        <row r="588">
          <cell r="A588" t="str">
            <v>B&amp;P-002-F490306-02</v>
          </cell>
          <cell r="G588" t="str">
            <v>vpret</v>
          </cell>
          <cell r="L588">
            <v>45758</v>
          </cell>
          <cell r="M588">
            <v>1096.75</v>
          </cell>
          <cell r="P588">
            <v>1.5643291543195808</v>
          </cell>
        </row>
        <row r="589">
          <cell r="A589" t="str">
            <v>B&amp;P-002-HD01-D</v>
          </cell>
          <cell r="G589" t="str">
            <v>IDESP</v>
          </cell>
          <cell r="L589">
            <v>45876</v>
          </cell>
          <cell r="M589">
            <v>1345</v>
          </cell>
          <cell r="P589">
            <v>0.13100000000000001</v>
          </cell>
        </row>
        <row r="590">
          <cell r="A590" t="str">
            <v>B&amp;P-002-HD03-D</v>
          </cell>
          <cell r="G590" t="str">
            <v>IDESP</v>
          </cell>
          <cell r="L590">
            <v>45112</v>
          </cell>
          <cell r="M590">
            <v>270.5</v>
          </cell>
          <cell r="P590">
            <v>0.25</v>
          </cell>
        </row>
        <row r="591">
          <cell r="A591" t="str">
            <v>B&amp;P-002-HD04-D</v>
          </cell>
          <cell r="G591" t="str">
            <v>IDESP</v>
          </cell>
          <cell r="L591">
            <v>45628</v>
          </cell>
          <cell r="M591">
            <v>1031</v>
          </cell>
          <cell r="P591">
            <v>0.25609999999999999</v>
          </cell>
        </row>
        <row r="592">
          <cell r="A592" t="str">
            <v>B&amp;P-002-HD05-D</v>
          </cell>
          <cell r="G592" t="str">
            <v>IDESP</v>
          </cell>
          <cell r="L592">
            <v>45628</v>
          </cell>
          <cell r="M592">
            <v>1031</v>
          </cell>
          <cell r="P592">
            <v>0.36830000000000002</v>
          </cell>
        </row>
        <row r="593">
          <cell r="A593" t="str">
            <v>B&amp;P-002-HD06-D</v>
          </cell>
          <cell r="G593" t="str">
            <v>IDESP</v>
          </cell>
          <cell r="L593">
            <v>45628</v>
          </cell>
          <cell r="M593">
            <v>1031</v>
          </cell>
          <cell r="P593">
            <v>0.5181</v>
          </cell>
        </row>
        <row r="594">
          <cell r="A594" t="str">
            <v>B&amp;P-002-HD07-D</v>
          </cell>
          <cell r="G594" t="str">
            <v>IDESP</v>
          </cell>
          <cell r="L594">
            <v>45554</v>
          </cell>
          <cell r="M594">
            <v>982</v>
          </cell>
          <cell r="P594">
            <v>0.70489999999999997</v>
          </cell>
        </row>
        <row r="595">
          <cell r="A595" t="str">
            <v>B&amp;P-002-HD09-D</v>
          </cell>
          <cell r="G595" t="str">
            <v>IDESP</v>
          </cell>
          <cell r="L595">
            <v>45554</v>
          </cell>
          <cell r="M595">
            <v>982</v>
          </cell>
          <cell r="P595">
            <v>2.4255</v>
          </cell>
        </row>
        <row r="596">
          <cell r="A596" t="str">
            <v>B&amp;P-002-LS00-D</v>
          </cell>
          <cell r="G596" t="str">
            <v>IDESP</v>
          </cell>
          <cell r="L596">
            <v>45807</v>
          </cell>
          <cell r="M596">
            <v>1195</v>
          </cell>
          <cell r="P596">
            <v>8.2500000000000004E-2</v>
          </cell>
        </row>
        <row r="597">
          <cell r="A597" t="str">
            <v>B&amp;P-002-LS01-D</v>
          </cell>
          <cell r="G597" t="str">
            <v>IDESP</v>
          </cell>
          <cell r="L597">
            <v>45979</v>
          </cell>
          <cell r="M597">
            <v>1415</v>
          </cell>
          <cell r="P597">
            <v>9.01E-2</v>
          </cell>
        </row>
        <row r="598">
          <cell r="A598" t="str">
            <v>B&amp;P-002-LS02-D</v>
          </cell>
          <cell r="G598" t="str">
            <v>IDESP</v>
          </cell>
          <cell r="L598">
            <v>45979</v>
          </cell>
          <cell r="M598">
            <v>1415</v>
          </cell>
          <cell r="P598">
            <v>9.74E-2</v>
          </cell>
        </row>
        <row r="599">
          <cell r="A599" t="str">
            <v>B&amp;P-002-LS03-D</v>
          </cell>
          <cell r="G599" t="str">
            <v>IDESP</v>
          </cell>
          <cell r="L599">
            <v>45979</v>
          </cell>
          <cell r="M599">
            <v>1415</v>
          </cell>
          <cell r="P599">
            <v>0.1139</v>
          </cell>
        </row>
        <row r="600">
          <cell r="A600" t="str">
            <v>B&amp;P-002-LS04-D</v>
          </cell>
          <cell r="G600" t="str">
            <v>IDESP</v>
          </cell>
          <cell r="L600">
            <v>45979</v>
          </cell>
          <cell r="M600">
            <v>1415</v>
          </cell>
          <cell r="P600">
            <v>0.1469</v>
          </cell>
        </row>
        <row r="601">
          <cell r="A601" t="str">
            <v>B&amp;P-002-LS05-D</v>
          </cell>
          <cell r="G601" t="str">
            <v xml:space="preserve">INAC </v>
          </cell>
          <cell r="L601">
            <v>45664</v>
          </cell>
          <cell r="M601">
            <v>1055</v>
          </cell>
          <cell r="P601">
            <v>0.15</v>
          </cell>
        </row>
        <row r="602">
          <cell r="A602" t="str">
            <v>B&amp;P-002-LS06-D</v>
          </cell>
          <cell r="G602" t="str">
            <v>IDESP</v>
          </cell>
          <cell r="L602">
            <v>45554</v>
          </cell>
          <cell r="M602">
            <v>982</v>
          </cell>
          <cell r="P602">
            <v>0.222</v>
          </cell>
        </row>
        <row r="603">
          <cell r="A603" t="str">
            <v>B&amp;P-002-LS10-D</v>
          </cell>
          <cell r="G603" t="str">
            <v>IDESP</v>
          </cell>
          <cell r="L603">
            <v>45007</v>
          </cell>
          <cell r="M603">
            <v>211.75</v>
          </cell>
          <cell r="P603">
            <v>0.71</v>
          </cell>
        </row>
        <row r="604">
          <cell r="A604" t="str">
            <v>B&amp;P-002-LS11-D</v>
          </cell>
          <cell r="G604" t="str">
            <v>IDESP</v>
          </cell>
          <cell r="L604">
            <v>45509</v>
          </cell>
          <cell r="M604">
            <v>953.5</v>
          </cell>
          <cell r="P604">
            <v>0.61429999999999996</v>
          </cell>
        </row>
        <row r="605">
          <cell r="A605" t="str">
            <v>B&amp;P-002-LS12-D</v>
          </cell>
          <cell r="G605" t="str">
            <v>IDESP</v>
          </cell>
          <cell r="L605">
            <v>45163</v>
          </cell>
          <cell r="M605">
            <v>365.5</v>
          </cell>
          <cell r="P605">
            <v>1.3</v>
          </cell>
        </row>
        <row r="606">
          <cell r="A606" t="str">
            <v>B&amp;P-002-LS13-D</v>
          </cell>
          <cell r="G606" t="str">
            <v>IDESP</v>
          </cell>
          <cell r="L606">
            <v>45112</v>
          </cell>
          <cell r="M606">
            <v>270.5</v>
          </cell>
          <cell r="P606">
            <v>0.94199999999999995</v>
          </cell>
        </row>
        <row r="607">
          <cell r="A607" t="str">
            <v>B&amp;P-002-LS26-D</v>
          </cell>
          <cell r="G607" t="str">
            <v>IDESP</v>
          </cell>
          <cell r="L607">
            <v>45554</v>
          </cell>
          <cell r="M607">
            <v>982</v>
          </cell>
          <cell r="P607">
            <v>5.8079999999999998</v>
          </cell>
        </row>
        <row r="608">
          <cell r="A608" t="str">
            <v>B&amp;P-002-LS28-D</v>
          </cell>
          <cell r="G608" t="str">
            <v>IDESP</v>
          </cell>
          <cell r="L608">
            <v>45554</v>
          </cell>
          <cell r="M608">
            <v>982</v>
          </cell>
          <cell r="P608">
            <v>6.5801999999999996</v>
          </cell>
        </row>
        <row r="609">
          <cell r="A609" t="str">
            <v>B&amp;P-002-MG206-02</v>
          </cell>
          <cell r="G609" t="str">
            <v>vpret</v>
          </cell>
          <cell r="L609">
            <v>44314</v>
          </cell>
          <cell r="M609">
            <v>98.5</v>
          </cell>
          <cell r="P609">
            <v>1.056</v>
          </cell>
        </row>
        <row r="610">
          <cell r="A610" t="str">
            <v>B&amp;P-002-MG206-A2</v>
          </cell>
          <cell r="G610" t="str">
            <v>IDESP</v>
          </cell>
          <cell r="L610">
            <v>42863</v>
          </cell>
          <cell r="M610">
            <v>15.67</v>
          </cell>
          <cell r="P610">
            <v>1.056</v>
          </cell>
        </row>
        <row r="611">
          <cell r="A611" t="str">
            <v>B&amp;P-002-MG5306RR3-A2</v>
          </cell>
          <cell r="G611" t="str">
            <v>IDESP</v>
          </cell>
          <cell r="L611">
            <v>43340</v>
          </cell>
          <cell r="M611">
            <v>31.4</v>
          </cell>
          <cell r="P611">
            <v>1.7</v>
          </cell>
        </row>
        <row r="612">
          <cell r="A612" t="str">
            <v>B&amp;P-002-MG5306RR3-B2</v>
          </cell>
          <cell r="G612" t="str">
            <v>InRet</v>
          </cell>
          <cell r="L612">
            <v>43209</v>
          </cell>
          <cell r="M612">
            <v>20.46</v>
          </cell>
          <cell r="P612">
            <v>0.30791788856304986</v>
          </cell>
        </row>
        <row r="613">
          <cell r="A613" t="str">
            <v>B&amp;P-002-MS00-D</v>
          </cell>
          <cell r="G613" t="str">
            <v>IDESP</v>
          </cell>
          <cell r="L613">
            <v>45979</v>
          </cell>
          <cell r="M613">
            <v>1415</v>
          </cell>
          <cell r="P613">
            <v>9.4100000000000003E-2</v>
          </cell>
        </row>
        <row r="614">
          <cell r="A614" t="str">
            <v>B&amp;P-002-MS01-D</v>
          </cell>
          <cell r="G614" t="str">
            <v>IDESP</v>
          </cell>
          <cell r="L614">
            <v>45876</v>
          </cell>
          <cell r="M614">
            <v>1345</v>
          </cell>
          <cell r="P614">
            <v>8.5099999999999995E-2</v>
          </cell>
        </row>
        <row r="615">
          <cell r="A615" t="str">
            <v>B&amp;P-002-MS02-D</v>
          </cell>
          <cell r="G615" t="str">
            <v>IDESP</v>
          </cell>
          <cell r="L615">
            <v>45979</v>
          </cell>
          <cell r="M615">
            <v>1415</v>
          </cell>
          <cell r="P615">
            <v>0.1013</v>
          </cell>
        </row>
        <row r="616">
          <cell r="A616" t="str">
            <v>B&amp;P-002-MS03-D</v>
          </cell>
          <cell r="G616" t="str">
            <v>IDESP</v>
          </cell>
          <cell r="L616">
            <v>45979</v>
          </cell>
          <cell r="M616">
            <v>1415</v>
          </cell>
          <cell r="P616">
            <v>0.12470000000000001</v>
          </cell>
        </row>
        <row r="617">
          <cell r="A617" t="str">
            <v>B&amp;P-002-MS04-D</v>
          </cell>
          <cell r="G617" t="str">
            <v>IDESP</v>
          </cell>
          <cell r="L617">
            <v>45979</v>
          </cell>
          <cell r="M617">
            <v>1415</v>
          </cell>
          <cell r="P617">
            <v>0.1716</v>
          </cell>
        </row>
        <row r="618">
          <cell r="A618" t="str">
            <v>B&amp;P-002-MS05-D</v>
          </cell>
          <cell r="G618" t="str">
            <v>IDESP</v>
          </cell>
          <cell r="L618">
            <v>45951</v>
          </cell>
          <cell r="M618">
            <v>1495</v>
          </cell>
          <cell r="P618">
            <v>0.20330000000000001</v>
          </cell>
        </row>
        <row r="619">
          <cell r="A619" t="str">
            <v>B&amp;P-002-MS06-D</v>
          </cell>
          <cell r="G619" t="str">
            <v>IDESP</v>
          </cell>
          <cell r="L619">
            <v>45876</v>
          </cell>
          <cell r="M619">
            <v>1345</v>
          </cell>
          <cell r="P619">
            <v>0.29730000000000001</v>
          </cell>
        </row>
        <row r="620">
          <cell r="A620" t="str">
            <v>B&amp;P-002-MS07-D</v>
          </cell>
          <cell r="G620" t="str">
            <v>IDESP</v>
          </cell>
          <cell r="L620">
            <v>45839</v>
          </cell>
          <cell r="M620">
            <v>1215</v>
          </cell>
          <cell r="P620">
            <v>0.43659999999999999</v>
          </cell>
        </row>
        <row r="621">
          <cell r="A621" t="str">
            <v>B&amp;P-002-MS08-D</v>
          </cell>
          <cell r="G621" t="str">
            <v>IDESP</v>
          </cell>
          <cell r="L621">
            <v>45958</v>
          </cell>
          <cell r="M621">
            <v>1460</v>
          </cell>
          <cell r="P621">
            <v>0.56169999999999998</v>
          </cell>
        </row>
        <row r="622">
          <cell r="A622" t="str">
            <v>B&amp;P-002-MS09-D</v>
          </cell>
          <cell r="G622" t="str">
            <v>IDESP</v>
          </cell>
          <cell r="L622">
            <v>45628</v>
          </cell>
          <cell r="M622">
            <v>1031</v>
          </cell>
          <cell r="P622">
            <v>0.63690000000000002</v>
          </cell>
        </row>
        <row r="623">
          <cell r="A623" t="str">
            <v>B&amp;P-002-MS10-D</v>
          </cell>
          <cell r="G623" t="str">
            <v>IDESP</v>
          </cell>
          <cell r="L623">
            <v>45628</v>
          </cell>
          <cell r="M623">
            <v>1031</v>
          </cell>
          <cell r="P623">
            <v>0.78869999999999996</v>
          </cell>
        </row>
        <row r="624">
          <cell r="A624" t="str">
            <v>B&amp;P-002-MS11-D</v>
          </cell>
          <cell r="G624" t="str">
            <v>IDESP</v>
          </cell>
          <cell r="L624">
            <v>45112</v>
          </cell>
          <cell r="M624">
            <v>270.5</v>
          </cell>
          <cell r="P624">
            <v>1.35</v>
          </cell>
        </row>
        <row r="625">
          <cell r="A625" t="str">
            <v>B&amp;P-002-MS12-D</v>
          </cell>
          <cell r="G625" t="str">
            <v>IDESP</v>
          </cell>
          <cell r="L625">
            <v>45112</v>
          </cell>
          <cell r="M625">
            <v>270.5</v>
          </cell>
          <cell r="P625">
            <v>1.6160000000000001</v>
          </cell>
        </row>
        <row r="626">
          <cell r="A626" t="str">
            <v>B&amp;P-002-MS16-D</v>
          </cell>
          <cell r="G626" t="str">
            <v>IDESP</v>
          </cell>
          <cell r="L626">
            <v>45509</v>
          </cell>
          <cell r="M626">
            <v>953.5</v>
          </cell>
          <cell r="P626">
            <v>2.4336000000000002</v>
          </cell>
        </row>
        <row r="627">
          <cell r="A627" t="str">
            <v>B&amp;P-002-NTBS-1613-02</v>
          </cell>
          <cell r="G627" t="str">
            <v>InRet</v>
          </cell>
          <cell r="L627">
            <v>45525</v>
          </cell>
          <cell r="M627">
            <v>963</v>
          </cell>
          <cell r="P627">
            <v>6.3238210799584635</v>
          </cell>
        </row>
        <row r="628">
          <cell r="A628" t="str">
            <v>B&amp;P-002-SAB-5207-02</v>
          </cell>
          <cell r="G628" t="str">
            <v>IDESP</v>
          </cell>
          <cell r="L628">
            <v>42801</v>
          </cell>
          <cell r="M628">
            <v>15.83</v>
          </cell>
          <cell r="P628">
            <v>1.77</v>
          </cell>
        </row>
        <row r="629">
          <cell r="A629" t="str">
            <v>B&amp;P-002-SAB204-20-02</v>
          </cell>
          <cell r="G629" t="str">
            <v>IDESP</v>
          </cell>
          <cell r="L629">
            <v>45509</v>
          </cell>
          <cell r="M629">
            <v>953.5</v>
          </cell>
          <cell r="P629">
            <v>0.49170000000000003</v>
          </cell>
        </row>
        <row r="630">
          <cell r="A630" t="str">
            <v>B&amp;P-002-SAB205-14-02</v>
          </cell>
          <cell r="G630" t="str">
            <v>IDESP</v>
          </cell>
          <cell r="L630">
            <v>45124</v>
          </cell>
          <cell r="M630">
            <v>277</v>
          </cell>
          <cell r="P630">
            <v>0.82</v>
          </cell>
        </row>
        <row r="631">
          <cell r="A631" t="str">
            <v>B&amp;P-002-SAB205-16-02</v>
          </cell>
          <cell r="G631" t="str">
            <v>IDESP</v>
          </cell>
          <cell r="L631">
            <v>44631</v>
          </cell>
          <cell r="M631">
            <v>114</v>
          </cell>
          <cell r="P631">
            <v>0.55000000000000004</v>
          </cell>
        </row>
        <row r="632">
          <cell r="A632" t="str">
            <v>B&amp;P-002-SAB205-25-02</v>
          </cell>
          <cell r="G632" t="str">
            <v>IDESP</v>
          </cell>
          <cell r="L632">
            <v>45951</v>
          </cell>
          <cell r="M632">
            <v>1495</v>
          </cell>
          <cell r="P632">
            <v>0.67979999999999996</v>
          </cell>
        </row>
        <row r="633">
          <cell r="A633" t="str">
            <v>B&amp;P-002-SAB205-25-A2</v>
          </cell>
          <cell r="G633" t="str">
            <v>IDESP</v>
          </cell>
          <cell r="L633">
            <v>42450</v>
          </cell>
          <cell r="M633">
            <v>15.19</v>
          </cell>
          <cell r="P633">
            <v>0.57799999999999996</v>
          </cell>
        </row>
        <row r="634">
          <cell r="A634" t="str">
            <v>B&amp;P-002-SAB206-20-02</v>
          </cell>
          <cell r="G634" t="str">
            <v>IDESP</v>
          </cell>
          <cell r="L634">
            <v>42522</v>
          </cell>
          <cell r="M634">
            <v>14.35</v>
          </cell>
          <cell r="P634">
            <v>1.1352</v>
          </cell>
        </row>
        <row r="635">
          <cell r="A635" t="str">
            <v>B&amp;P-002-SAB206-30</v>
          </cell>
          <cell r="G635" t="str">
            <v>IDESP</v>
          </cell>
          <cell r="L635">
            <v>45930</v>
          </cell>
          <cell r="M635">
            <v>1380</v>
          </cell>
          <cell r="P635">
            <v>0.78710000000000002</v>
          </cell>
        </row>
        <row r="636">
          <cell r="A636" t="str">
            <v>B&amp;P-002-SAB207-20-02</v>
          </cell>
          <cell r="G636" t="str">
            <v>IDESP</v>
          </cell>
          <cell r="L636">
            <v>45509</v>
          </cell>
          <cell r="M636">
            <v>953.5</v>
          </cell>
          <cell r="P636">
            <v>1.1451</v>
          </cell>
        </row>
        <row r="637">
          <cell r="A637" t="str">
            <v>B&amp;P-002-SAB207-35-02</v>
          </cell>
          <cell r="G637" t="str">
            <v>vpret</v>
          </cell>
          <cell r="L637">
            <v>45952</v>
          </cell>
          <cell r="M637">
            <v>1515</v>
          </cell>
          <cell r="P637">
            <v>0.66239339933993391</v>
          </cell>
        </row>
        <row r="638">
          <cell r="A638" t="str">
            <v>B&amp;P-002-SAB207-35-A2</v>
          </cell>
          <cell r="G638" t="str">
            <v>IDESP</v>
          </cell>
          <cell r="L638">
            <v>44257</v>
          </cell>
          <cell r="M638">
            <v>94.75</v>
          </cell>
          <cell r="P638">
            <v>0.91500000000000004</v>
          </cell>
        </row>
        <row r="639">
          <cell r="A639" t="str">
            <v>B&amp;P-002-SAB207-P-02</v>
          </cell>
          <cell r="G639" t="str">
            <v>vpret</v>
          </cell>
          <cell r="L639">
            <v>45638</v>
          </cell>
          <cell r="M639">
            <v>1037</v>
          </cell>
          <cell r="P639">
            <v>1.6467058823529412</v>
          </cell>
        </row>
        <row r="640">
          <cell r="A640" t="str">
            <v>B&amp;P-002-SAB208-40-02</v>
          </cell>
          <cell r="G640" t="str">
            <v>IDESP</v>
          </cell>
          <cell r="L640">
            <v>45903</v>
          </cell>
          <cell r="M640">
            <v>1375</v>
          </cell>
          <cell r="P640">
            <v>1.3433999999999999</v>
          </cell>
        </row>
        <row r="641">
          <cell r="A641" t="str">
            <v>B&amp;P-002-SAB209-28-02</v>
          </cell>
          <cell r="G641" t="str">
            <v>IDESP</v>
          </cell>
          <cell r="L641">
            <v>45996</v>
          </cell>
          <cell r="M641">
            <v>1470</v>
          </cell>
          <cell r="P641">
            <v>1.8447</v>
          </cell>
        </row>
        <row r="642">
          <cell r="A642" t="str">
            <v>B&amp;P-002-SAB209-45-02</v>
          </cell>
          <cell r="G642" t="str">
            <v xml:space="preserve">INAC </v>
          </cell>
          <cell r="L642">
            <v>45694</v>
          </cell>
          <cell r="M642">
            <v>1074.5</v>
          </cell>
          <cell r="P642">
            <v>1.738</v>
          </cell>
        </row>
        <row r="643">
          <cell r="A643" t="str">
            <v>B&amp;P-002-SAB209-45-A2</v>
          </cell>
          <cell r="G643" t="str">
            <v>IDESP</v>
          </cell>
          <cell r="L643">
            <v>41017</v>
          </cell>
          <cell r="M643">
            <v>4.41</v>
          </cell>
          <cell r="P643">
            <v>1.58</v>
          </cell>
        </row>
        <row r="644">
          <cell r="A644" t="str">
            <v>B&amp;P-002-SAB210-50-02</v>
          </cell>
          <cell r="G644" t="str">
            <v>IDESP</v>
          </cell>
          <cell r="L644">
            <v>45996</v>
          </cell>
          <cell r="M644">
            <v>1470</v>
          </cell>
          <cell r="P644">
            <v>1.9601999999999999</v>
          </cell>
        </row>
        <row r="645">
          <cell r="A645" t="str">
            <v>B&amp;P-002-SAB211-32-02</v>
          </cell>
          <cell r="G645" t="str">
            <v>IDESP</v>
          </cell>
          <cell r="L645">
            <v>44559</v>
          </cell>
          <cell r="M645">
            <v>107.75</v>
          </cell>
          <cell r="P645">
            <v>2.4815999999999998</v>
          </cell>
        </row>
        <row r="646">
          <cell r="A646" t="str">
            <v>B&amp;P-002-SAB211-55-02</v>
          </cell>
          <cell r="G646" t="str">
            <v>IDESP</v>
          </cell>
          <cell r="L646">
            <v>44609</v>
          </cell>
          <cell r="M646">
            <v>112</v>
          </cell>
          <cell r="P646">
            <v>2.7488999999999999</v>
          </cell>
        </row>
        <row r="647">
          <cell r="A647" t="str">
            <v>B&amp;P-002-SAB212-60-02</v>
          </cell>
          <cell r="G647" t="str">
            <v>IDESP</v>
          </cell>
          <cell r="L647">
            <v>44631</v>
          </cell>
          <cell r="M647">
            <v>114</v>
          </cell>
          <cell r="P647">
            <v>4.84</v>
          </cell>
        </row>
        <row r="648">
          <cell r="A648" t="str">
            <v>B&amp;P-002-TCX205</v>
          </cell>
          <cell r="G648" t="str">
            <v>IDESP</v>
          </cell>
          <cell r="L648">
            <v>41128</v>
          </cell>
          <cell r="M648">
            <v>4.5999999999999996</v>
          </cell>
          <cell r="P648">
            <v>0.54</v>
          </cell>
        </row>
        <row r="649">
          <cell r="A649" t="str">
            <v>B&amp;P-002-TCX207</v>
          </cell>
          <cell r="G649" t="str">
            <v>IDESP</v>
          </cell>
          <cell r="L649">
            <v>41128</v>
          </cell>
          <cell r="M649">
            <v>4.5999999999999996</v>
          </cell>
          <cell r="P649">
            <v>0.65</v>
          </cell>
        </row>
        <row r="650">
          <cell r="A650" t="str">
            <v>B&amp;P-002-TCX209</v>
          </cell>
          <cell r="G650" t="str">
            <v>IDESP</v>
          </cell>
          <cell r="L650">
            <v>41128</v>
          </cell>
          <cell r="M650">
            <v>4.5999999999999996</v>
          </cell>
          <cell r="P650">
            <v>0.83</v>
          </cell>
        </row>
        <row r="651">
          <cell r="A651" t="str">
            <v>B&amp;P-002-TDX218</v>
          </cell>
          <cell r="G651" t="str">
            <v>IDESP</v>
          </cell>
          <cell r="L651">
            <v>41128</v>
          </cell>
          <cell r="M651">
            <v>4.5999999999999996</v>
          </cell>
          <cell r="P651">
            <v>3.97</v>
          </cell>
        </row>
        <row r="652">
          <cell r="A652" t="str">
            <v>B&amp;P-002-TS04-D</v>
          </cell>
          <cell r="G652" t="str">
            <v>IDESP</v>
          </cell>
          <cell r="L652">
            <v>45554</v>
          </cell>
          <cell r="M652">
            <v>982</v>
          </cell>
          <cell r="P652">
            <v>0.1353</v>
          </cell>
        </row>
        <row r="653">
          <cell r="A653" t="str">
            <v>B&amp;P-002-TS05-D</v>
          </cell>
          <cell r="G653" t="str">
            <v>IDESP</v>
          </cell>
          <cell r="L653">
            <v>44663</v>
          </cell>
          <cell r="M653">
            <v>117.75</v>
          </cell>
          <cell r="P653">
            <v>0.22</v>
          </cell>
        </row>
        <row r="654">
          <cell r="A654" t="str">
            <v>B&amp;P-002-TS06-D</v>
          </cell>
          <cell r="G654" t="str">
            <v>IDESP</v>
          </cell>
          <cell r="L654">
            <v>45554</v>
          </cell>
          <cell r="M654">
            <v>982</v>
          </cell>
          <cell r="P654">
            <v>0.1782</v>
          </cell>
        </row>
        <row r="655">
          <cell r="A655" t="str">
            <v>B&amp;P-002-TX1845</v>
          </cell>
          <cell r="G655" t="str">
            <v>IDESP</v>
          </cell>
          <cell r="L655">
            <v>41128</v>
          </cell>
          <cell r="M655">
            <v>4.5999999999999996</v>
          </cell>
          <cell r="P655">
            <v>3.64</v>
          </cell>
        </row>
        <row r="656">
          <cell r="A656" t="str">
            <v>B&amp;P-002-UK207</v>
          </cell>
          <cell r="G656" t="str">
            <v>IDESP</v>
          </cell>
          <cell r="L656">
            <v>45509</v>
          </cell>
          <cell r="M656">
            <v>953.5</v>
          </cell>
          <cell r="P656">
            <v>1.0296000000000001</v>
          </cell>
        </row>
        <row r="657">
          <cell r="A657" t="str">
            <v>B&amp;P-002-UK208</v>
          </cell>
          <cell r="G657" t="str">
            <v>IDESP</v>
          </cell>
          <cell r="L657">
            <v>45587</v>
          </cell>
          <cell r="M657">
            <v>1004.5</v>
          </cell>
          <cell r="P657">
            <v>1.1913</v>
          </cell>
        </row>
        <row r="658">
          <cell r="A658" t="str">
            <v>B&amp;P-002-UK209</v>
          </cell>
          <cell r="G658" t="str">
            <v>IDESP</v>
          </cell>
          <cell r="L658">
            <v>45509</v>
          </cell>
          <cell r="M658">
            <v>953.5</v>
          </cell>
          <cell r="P658">
            <v>1.3299000000000001</v>
          </cell>
        </row>
        <row r="659">
          <cell r="A659" t="str">
            <v>B&amp;P-002-W-208-YYB22</v>
          </cell>
          <cell r="G659" t="str">
            <v>IDESP</v>
          </cell>
          <cell r="L659">
            <v>42863</v>
          </cell>
          <cell r="M659">
            <v>15.67</v>
          </cell>
          <cell r="P659">
            <v>2.9369999999999998</v>
          </cell>
        </row>
        <row r="660">
          <cell r="A660" t="str">
            <v>B&amp;P-003-15/64</v>
          </cell>
          <cell r="G660" t="str">
            <v xml:space="preserve">INAC </v>
          </cell>
          <cell r="L660">
            <v>42474</v>
          </cell>
          <cell r="M660">
            <v>14.74</v>
          </cell>
          <cell r="P660">
            <v>3.3921302578018994E-2</v>
          </cell>
        </row>
        <row r="661">
          <cell r="A661" t="str">
            <v>B&amp;P-003-17/32</v>
          </cell>
          <cell r="G661" t="str">
            <v>IDESP</v>
          </cell>
          <cell r="L661">
            <v>45554</v>
          </cell>
          <cell r="M661">
            <v>982</v>
          </cell>
          <cell r="P661">
            <v>4.0099999999999997E-2</v>
          </cell>
        </row>
        <row r="662">
          <cell r="A662" t="str">
            <v>B&amp;P-003-17/64</v>
          </cell>
          <cell r="G662" t="str">
            <v>IDESP</v>
          </cell>
          <cell r="L662">
            <v>43235</v>
          </cell>
          <cell r="M662">
            <v>25.51</v>
          </cell>
          <cell r="P662">
            <v>8.9999999999999993E-3</v>
          </cell>
        </row>
        <row r="663">
          <cell r="A663" t="str">
            <v>B&amp;P-003-32-X</v>
          </cell>
          <cell r="G663" t="str">
            <v>IDESP</v>
          </cell>
          <cell r="L663">
            <v>42360</v>
          </cell>
          <cell r="M663">
            <v>13.57</v>
          </cell>
          <cell r="P663">
            <v>1.7999999999999999E-2</v>
          </cell>
        </row>
        <row r="664">
          <cell r="A664" t="str">
            <v>B&amp;P-003-3TX-12001</v>
          </cell>
          <cell r="G664" t="str">
            <v>IDESP</v>
          </cell>
          <cell r="L664">
            <v>41975</v>
          </cell>
          <cell r="M664">
            <v>8.5500000000000007</v>
          </cell>
          <cell r="P664">
            <v>1.6E-2</v>
          </cell>
        </row>
        <row r="665">
          <cell r="A665" t="str">
            <v>B&amp;P-003-3TX-12003</v>
          </cell>
          <cell r="G665" t="str">
            <v>IDESP</v>
          </cell>
          <cell r="L665">
            <v>41326</v>
          </cell>
          <cell r="M665">
            <v>5.0199999999999996</v>
          </cell>
          <cell r="P665">
            <v>0.28000000000000003</v>
          </cell>
        </row>
        <row r="666">
          <cell r="A666" t="str">
            <v>B&amp;P-003-3TX-12004</v>
          </cell>
          <cell r="G666" t="str">
            <v>IDESP</v>
          </cell>
          <cell r="L666">
            <v>41309</v>
          </cell>
          <cell r="M666">
            <v>4.99</v>
          </cell>
          <cell r="P666">
            <v>0.26</v>
          </cell>
        </row>
        <row r="667">
          <cell r="A667" t="str">
            <v>B&amp;P-003-3TX-12006</v>
          </cell>
          <cell r="G667" t="str">
            <v>IDESP</v>
          </cell>
          <cell r="L667">
            <v>41309</v>
          </cell>
          <cell r="M667">
            <v>4.99</v>
          </cell>
          <cell r="P667">
            <v>0.28000000000000003</v>
          </cell>
        </row>
        <row r="668">
          <cell r="A668" t="str">
            <v>B&amp;P-003-3TX-12008</v>
          </cell>
          <cell r="G668" t="str">
            <v>IDESP</v>
          </cell>
          <cell r="L668">
            <v>41326</v>
          </cell>
          <cell r="M668">
            <v>5.0199999999999996</v>
          </cell>
          <cell r="P668">
            <v>0.3</v>
          </cell>
        </row>
        <row r="669">
          <cell r="A669" t="str">
            <v>B&amp;P-003-3TX-12010</v>
          </cell>
          <cell r="G669" t="str">
            <v>IPFAP</v>
          </cell>
          <cell r="L669">
            <v>41767</v>
          </cell>
          <cell r="M669">
            <v>8.0500000000000007</v>
          </cell>
          <cell r="P669">
            <v>3.8795031055900618E-2</v>
          </cell>
        </row>
        <row r="670">
          <cell r="A670" t="str">
            <v>B&amp;P-003-3TX-12012</v>
          </cell>
          <cell r="G670" t="str">
            <v>IDESP</v>
          </cell>
          <cell r="L670">
            <v>41975</v>
          </cell>
          <cell r="M670">
            <v>8.5500000000000007</v>
          </cell>
          <cell r="P670">
            <v>1.7000000000000001E-2</v>
          </cell>
        </row>
        <row r="671">
          <cell r="A671" t="str">
            <v>B&amp;P-003-3TX-12024</v>
          </cell>
          <cell r="G671" t="str">
            <v>IDESP</v>
          </cell>
          <cell r="L671">
            <v>41309</v>
          </cell>
          <cell r="M671">
            <v>4.99</v>
          </cell>
          <cell r="P671">
            <v>0.36</v>
          </cell>
        </row>
        <row r="672">
          <cell r="A672" t="str">
            <v>B&amp;P-003-3TX-12047</v>
          </cell>
          <cell r="G672" t="str">
            <v>IPFAB</v>
          </cell>
          <cell r="L672">
            <v>41347</v>
          </cell>
          <cell r="M672">
            <v>5.08</v>
          </cell>
          <cell r="P672">
            <v>2.5700000000000001E-2</v>
          </cell>
        </row>
        <row r="673">
          <cell r="A673" t="str">
            <v>B&amp;P-003-3TX-12050</v>
          </cell>
          <cell r="G673" t="str">
            <v>IPFAB</v>
          </cell>
          <cell r="L673">
            <v>41347</v>
          </cell>
          <cell r="M673">
            <v>5.08</v>
          </cell>
          <cell r="P673">
            <v>2.1700000000000001E-2</v>
          </cell>
        </row>
        <row r="674">
          <cell r="A674" t="str">
            <v>B&amp;P-003-3TX-12057</v>
          </cell>
          <cell r="G674" t="str">
            <v>IDESP</v>
          </cell>
          <cell r="L674">
            <v>41309</v>
          </cell>
          <cell r="M674">
            <v>4.99</v>
          </cell>
          <cell r="P674">
            <v>0.45</v>
          </cell>
        </row>
        <row r="675">
          <cell r="A675" t="str">
            <v>B&amp;P-003-3TX-12070</v>
          </cell>
          <cell r="G675" t="str">
            <v>IDESP</v>
          </cell>
          <cell r="L675">
            <v>41326</v>
          </cell>
          <cell r="M675">
            <v>5.0199999999999996</v>
          </cell>
          <cell r="P675">
            <v>0.37</v>
          </cell>
        </row>
        <row r="676">
          <cell r="A676" t="str">
            <v>B&amp;P-003-3TX-12074</v>
          </cell>
          <cell r="G676" t="str">
            <v>IDESP</v>
          </cell>
          <cell r="L676">
            <v>41309</v>
          </cell>
          <cell r="M676">
            <v>4.99</v>
          </cell>
          <cell r="P676">
            <v>0.62</v>
          </cell>
        </row>
        <row r="677">
          <cell r="A677" t="str">
            <v>B&amp;P-003-3TX-12080</v>
          </cell>
          <cell r="G677" t="str">
            <v>IPFAB</v>
          </cell>
          <cell r="L677">
            <v>41347</v>
          </cell>
          <cell r="M677">
            <v>5.08</v>
          </cell>
          <cell r="P677">
            <v>3.8800000000000001E-2</v>
          </cell>
        </row>
        <row r="678">
          <cell r="A678" t="str">
            <v>B&amp;P-003-3TX-12107</v>
          </cell>
          <cell r="G678" t="str">
            <v>IPFAB</v>
          </cell>
          <cell r="L678">
            <v>41347</v>
          </cell>
          <cell r="M678">
            <v>5.08</v>
          </cell>
          <cell r="P678">
            <v>3.6200000000000003E-2</v>
          </cell>
        </row>
        <row r="679">
          <cell r="A679" t="str">
            <v>B&amp;P-003-3TX-12201</v>
          </cell>
          <cell r="G679" t="str">
            <v>IDESP</v>
          </cell>
          <cell r="L679">
            <v>41309</v>
          </cell>
          <cell r="M679">
            <v>4.99</v>
          </cell>
          <cell r="P679">
            <v>0.57999999999999996</v>
          </cell>
        </row>
        <row r="680">
          <cell r="A680" t="str">
            <v>B&amp;P-003-3TX-12401</v>
          </cell>
          <cell r="G680" t="str">
            <v>IDESP</v>
          </cell>
          <cell r="L680">
            <v>41309</v>
          </cell>
          <cell r="M680">
            <v>4.99</v>
          </cell>
          <cell r="P680">
            <v>2.19</v>
          </cell>
        </row>
        <row r="681">
          <cell r="A681" t="str">
            <v>B&amp;P-003-3TX-12413</v>
          </cell>
          <cell r="G681" t="str">
            <v>IDESP</v>
          </cell>
          <cell r="L681">
            <v>41975</v>
          </cell>
          <cell r="M681">
            <v>8.5500000000000007</v>
          </cell>
          <cell r="P681">
            <v>0.13100000000000001</v>
          </cell>
        </row>
        <row r="682">
          <cell r="A682" t="str">
            <v>B&amp;P-003-3TX-14123</v>
          </cell>
          <cell r="G682" t="str">
            <v>IDESP</v>
          </cell>
          <cell r="L682">
            <v>42059</v>
          </cell>
          <cell r="M682">
            <v>8.73</v>
          </cell>
          <cell r="P682">
            <v>1.7000000000000001E-2</v>
          </cell>
        </row>
        <row r="683">
          <cell r="A683" t="str">
            <v>B&amp;P-003-3TX-14314</v>
          </cell>
          <cell r="G683" t="str">
            <v>IDESP</v>
          </cell>
          <cell r="L683">
            <v>42059</v>
          </cell>
          <cell r="M683">
            <v>8.73</v>
          </cell>
          <cell r="P683">
            <v>2.1000000000000001E-2</v>
          </cell>
        </row>
        <row r="684">
          <cell r="A684" t="str">
            <v>B&amp;P-003-3TX-14349</v>
          </cell>
          <cell r="G684" t="str">
            <v>IDESP</v>
          </cell>
          <cell r="L684">
            <v>42059</v>
          </cell>
          <cell r="M684">
            <v>8.73</v>
          </cell>
          <cell r="P684">
            <v>2.1000000000000001E-2</v>
          </cell>
        </row>
        <row r="685">
          <cell r="A685" t="str">
            <v>B&amp;P-003-3TX-29013</v>
          </cell>
          <cell r="G685" t="str">
            <v>IDESP</v>
          </cell>
          <cell r="L685">
            <v>41326</v>
          </cell>
          <cell r="M685">
            <v>5.0199999999999996</v>
          </cell>
          <cell r="P685">
            <v>0.32</v>
          </cell>
        </row>
        <row r="686">
          <cell r="A686" t="str">
            <v>B&amp;P-003-3TX-74910</v>
          </cell>
          <cell r="G686" t="str">
            <v>IDESP</v>
          </cell>
          <cell r="L686">
            <v>41326</v>
          </cell>
          <cell r="M686">
            <v>5.0199999999999996</v>
          </cell>
          <cell r="P686">
            <v>0.28000000000000003</v>
          </cell>
        </row>
        <row r="687">
          <cell r="A687" t="str">
            <v>B&amp;P-003-9/16</v>
          </cell>
          <cell r="G687" t="str">
            <v>IDESP</v>
          </cell>
          <cell r="L687">
            <v>45112</v>
          </cell>
          <cell r="M687">
            <v>270.5</v>
          </cell>
          <cell r="P687">
            <v>0.05</v>
          </cell>
        </row>
        <row r="688">
          <cell r="A688" t="str">
            <v>B&amp;P-003-BALL-1/2</v>
          </cell>
          <cell r="G688" t="str">
            <v>IDESP</v>
          </cell>
          <cell r="L688">
            <v>45996</v>
          </cell>
          <cell r="M688">
            <v>1470</v>
          </cell>
          <cell r="P688">
            <v>9.8299999999999998E-2</v>
          </cell>
        </row>
        <row r="689">
          <cell r="A689" t="str">
            <v>B&amp;P-003-BALL-10mm</v>
          </cell>
          <cell r="G689" t="str">
            <v>IDESP</v>
          </cell>
          <cell r="L689">
            <v>44134</v>
          </cell>
          <cell r="M689">
            <v>83.5</v>
          </cell>
          <cell r="P689">
            <v>5.3100000000000001E-2</v>
          </cell>
        </row>
        <row r="690">
          <cell r="A690" t="str">
            <v>B&amp;P-003-Ball-11/16</v>
          </cell>
          <cell r="G690" t="str">
            <v>IDESP</v>
          </cell>
          <cell r="L690">
            <v>45554</v>
          </cell>
          <cell r="M690">
            <v>982</v>
          </cell>
          <cell r="P690">
            <v>0.13780000000000001</v>
          </cell>
        </row>
        <row r="691">
          <cell r="A691" t="str">
            <v>B&amp;P-003-Ball-13/16</v>
          </cell>
          <cell r="G691" t="str">
            <v>IDESP</v>
          </cell>
          <cell r="L691">
            <v>45554</v>
          </cell>
          <cell r="M691">
            <v>982</v>
          </cell>
          <cell r="P691">
            <v>0.19939999999999999</v>
          </cell>
        </row>
        <row r="692">
          <cell r="A692" t="str">
            <v>B&amp;P-003-BALL-15/32</v>
          </cell>
          <cell r="G692" t="str">
            <v>IDESP</v>
          </cell>
          <cell r="L692">
            <v>45628</v>
          </cell>
          <cell r="M692">
            <v>1031</v>
          </cell>
          <cell r="P692">
            <v>2.9399999999999999E-2</v>
          </cell>
        </row>
        <row r="693">
          <cell r="A693" t="str">
            <v>B&amp;P-003-BALL-15/64</v>
          </cell>
          <cell r="G693" t="str">
            <v>IDESP</v>
          </cell>
          <cell r="L693">
            <v>45979</v>
          </cell>
          <cell r="M693">
            <v>1415</v>
          </cell>
          <cell r="P693">
            <v>6.1000000000000004E-3</v>
          </cell>
        </row>
        <row r="694">
          <cell r="A694" t="str">
            <v>B&amp;P-003-BALL-17/64</v>
          </cell>
          <cell r="G694" t="str">
            <v>IDESP</v>
          </cell>
          <cell r="L694">
            <v>45979</v>
          </cell>
          <cell r="M694">
            <v>1415</v>
          </cell>
          <cell r="P694">
            <v>7.1000000000000004E-3</v>
          </cell>
        </row>
        <row r="695">
          <cell r="A695" t="str">
            <v>B&amp;P-003-Ball-19/32</v>
          </cell>
          <cell r="G695" t="str">
            <v>IDESP</v>
          </cell>
          <cell r="L695">
            <v>45112</v>
          </cell>
          <cell r="M695">
            <v>270.5</v>
          </cell>
          <cell r="P695">
            <v>1.7999999999999999E-2</v>
          </cell>
        </row>
        <row r="696">
          <cell r="A696" t="str">
            <v>B&amp;P-003-Ball-23/32</v>
          </cell>
          <cell r="G696" t="str">
            <v>IDESP</v>
          </cell>
          <cell r="L696">
            <v>45509</v>
          </cell>
          <cell r="M696">
            <v>953.5</v>
          </cell>
          <cell r="P696">
            <v>0.109</v>
          </cell>
        </row>
        <row r="697">
          <cell r="A697" t="str">
            <v>B&amp;P-003-Ball-29/64</v>
          </cell>
          <cell r="G697" t="str">
            <v>IDESP</v>
          </cell>
          <cell r="L697">
            <v>45628</v>
          </cell>
          <cell r="M697">
            <v>1031</v>
          </cell>
          <cell r="P697">
            <v>2.3900000000000001E-2</v>
          </cell>
        </row>
        <row r="698">
          <cell r="A698" t="str">
            <v>B&amp;P-003-Ball-3/16</v>
          </cell>
          <cell r="G698" t="str">
            <v>IDESP</v>
          </cell>
          <cell r="L698">
            <v>45979</v>
          </cell>
          <cell r="M698">
            <v>1415</v>
          </cell>
          <cell r="P698">
            <v>5.1999999999999998E-3</v>
          </cell>
        </row>
        <row r="699">
          <cell r="A699" t="str">
            <v>B&amp;P-003-Ball-3/32</v>
          </cell>
          <cell r="G699" t="str">
            <v>IDESP</v>
          </cell>
          <cell r="L699">
            <v>45554</v>
          </cell>
          <cell r="M699">
            <v>982</v>
          </cell>
          <cell r="P699">
            <v>2.7000000000000001E-3</v>
          </cell>
        </row>
        <row r="700">
          <cell r="A700" t="str">
            <v>B&amp;P-003-Ball-3/8</v>
          </cell>
          <cell r="G700" t="str">
            <v>IDESP</v>
          </cell>
          <cell r="L700">
            <v>45996</v>
          </cell>
          <cell r="M700">
            <v>1470</v>
          </cell>
          <cell r="P700">
            <v>0.05</v>
          </cell>
        </row>
        <row r="701">
          <cell r="A701" t="str">
            <v>B&amp;P-003-Ball-5/16</v>
          </cell>
          <cell r="G701" t="str">
            <v>IDESP</v>
          </cell>
          <cell r="L701">
            <v>45996</v>
          </cell>
          <cell r="M701">
            <v>1470</v>
          </cell>
          <cell r="P701">
            <v>3.9300000000000002E-2</v>
          </cell>
        </row>
        <row r="702">
          <cell r="A702" t="str">
            <v>B&amp;P-003-Ball-7/16</v>
          </cell>
          <cell r="G702" t="str">
            <v>IDESP</v>
          </cell>
          <cell r="L702">
            <v>45996</v>
          </cell>
          <cell r="M702">
            <v>1470</v>
          </cell>
          <cell r="P702">
            <v>5.57E-2</v>
          </cell>
        </row>
        <row r="703">
          <cell r="A703" t="str">
            <v>B&amp;P-003-BALL-7/32</v>
          </cell>
          <cell r="G703" t="str">
            <v>IDESP</v>
          </cell>
          <cell r="L703">
            <v>41725</v>
          </cell>
          <cell r="M703">
            <v>8.0299999999999994</v>
          </cell>
          <cell r="P703">
            <v>4.8000000000000001E-2</v>
          </cell>
        </row>
        <row r="704">
          <cell r="A704" t="str">
            <v>B&amp;P-003-BALL-8.5</v>
          </cell>
          <cell r="G704" t="str">
            <v>IDESP</v>
          </cell>
          <cell r="L704">
            <v>42801</v>
          </cell>
          <cell r="M704">
            <v>15.83</v>
          </cell>
          <cell r="P704">
            <v>0.02</v>
          </cell>
        </row>
        <row r="705">
          <cell r="A705" t="str">
            <v>B&amp;P-003-Ball-8mm</v>
          </cell>
          <cell r="G705" t="str">
            <v xml:space="preserve">INAC </v>
          </cell>
          <cell r="L705">
            <v>44099</v>
          </cell>
          <cell r="M705">
            <v>79.75</v>
          </cell>
          <cell r="P705">
            <v>7.3981191222570533E-3</v>
          </cell>
        </row>
        <row r="706">
          <cell r="A706" t="str">
            <v>B&amp;P-003-BALL-9/16</v>
          </cell>
          <cell r="G706" t="str">
            <v>IDESP</v>
          </cell>
          <cell r="L706">
            <v>45112</v>
          </cell>
          <cell r="M706">
            <v>270.5</v>
          </cell>
          <cell r="P706">
            <v>0.01</v>
          </cell>
        </row>
        <row r="707">
          <cell r="A707" t="str">
            <v>B&amp;P-003-Ball-9/32</v>
          </cell>
          <cell r="G707" t="str">
            <v>IDESP</v>
          </cell>
          <cell r="L707">
            <v>45554</v>
          </cell>
          <cell r="M707">
            <v>982</v>
          </cell>
          <cell r="P707">
            <v>0.01</v>
          </cell>
        </row>
        <row r="708">
          <cell r="A708" t="str">
            <v>B&amp;P-003-BALL7/16C-5</v>
          </cell>
          <cell r="G708" t="str">
            <v xml:space="preserve">CR   </v>
          </cell>
          <cell r="L708">
            <v>44824.549375000002</v>
          </cell>
          <cell r="M708">
            <v>150</v>
          </cell>
          <cell r="P708">
            <v>0.02</v>
          </cell>
        </row>
        <row r="709">
          <cell r="A709" t="str">
            <v>B&amp;P-003-TCX203</v>
          </cell>
          <cell r="G709" t="str">
            <v>IDESP</v>
          </cell>
          <cell r="L709">
            <v>44008</v>
          </cell>
          <cell r="M709">
            <v>73</v>
          </cell>
          <cell r="P709">
            <v>1.8700000000000001E-2</v>
          </cell>
        </row>
        <row r="710">
          <cell r="A710" t="str">
            <v>B&amp;P-003-TCX204</v>
          </cell>
          <cell r="G710" t="str">
            <v>IDESP</v>
          </cell>
          <cell r="L710">
            <v>44008</v>
          </cell>
          <cell r="M710">
            <v>73</v>
          </cell>
          <cell r="P710">
            <v>1.6299999999999999E-2</v>
          </cell>
        </row>
        <row r="711">
          <cell r="A711" t="str">
            <v>B&amp;P-003-TCX205</v>
          </cell>
          <cell r="G711" t="str">
            <v>IDESP</v>
          </cell>
          <cell r="L711">
            <v>44008</v>
          </cell>
          <cell r="M711">
            <v>73</v>
          </cell>
          <cell r="P711">
            <v>1.4999999999999999E-2</v>
          </cell>
        </row>
        <row r="712">
          <cell r="A712" t="str">
            <v>B&amp;P-003-TCX206</v>
          </cell>
          <cell r="G712" t="str">
            <v xml:space="preserve">INAC </v>
          </cell>
          <cell r="L712">
            <v>45694</v>
          </cell>
          <cell r="M712">
            <v>1074.5</v>
          </cell>
          <cell r="P712">
            <v>0.1056</v>
          </cell>
        </row>
        <row r="713">
          <cell r="A713" t="str">
            <v>B&amp;P-003-TCX207</v>
          </cell>
          <cell r="G713" t="str">
            <v>IDESP</v>
          </cell>
          <cell r="L713">
            <v>43369</v>
          </cell>
          <cell r="M713">
            <v>38.700000000000003</v>
          </cell>
          <cell r="P713">
            <v>2.3E-2</v>
          </cell>
        </row>
        <row r="714">
          <cell r="A714" t="str">
            <v>B&amp;P-003-TCX208</v>
          </cell>
          <cell r="G714" t="str">
            <v>IDESP</v>
          </cell>
          <cell r="L714">
            <v>44008</v>
          </cell>
          <cell r="M714">
            <v>73</v>
          </cell>
          <cell r="P714">
            <v>2.9700000000000001E-2</v>
          </cell>
        </row>
        <row r="715">
          <cell r="A715" t="str">
            <v>B&amp;P-003-TCX209</v>
          </cell>
          <cell r="G715" t="str">
            <v>IDESP</v>
          </cell>
          <cell r="L715">
            <v>44008</v>
          </cell>
          <cell r="M715">
            <v>73</v>
          </cell>
          <cell r="P715">
            <v>2.69E-2</v>
          </cell>
        </row>
        <row r="716">
          <cell r="A716" t="str">
            <v>B&amp;P-003-TCX210</v>
          </cell>
          <cell r="G716" t="str">
            <v>IDESP</v>
          </cell>
          <cell r="L716">
            <v>43369</v>
          </cell>
          <cell r="M716">
            <v>38.700000000000003</v>
          </cell>
          <cell r="P716">
            <v>3.3399999999999999E-2</v>
          </cell>
        </row>
        <row r="717">
          <cell r="A717" t="str">
            <v>B&amp;P-003-TCX211</v>
          </cell>
          <cell r="G717" t="str">
            <v>IDESP</v>
          </cell>
          <cell r="L717">
            <v>43369</v>
          </cell>
          <cell r="M717">
            <v>38.700000000000003</v>
          </cell>
          <cell r="P717">
            <v>3.8300000000000001E-2</v>
          </cell>
        </row>
        <row r="718">
          <cell r="A718" t="str">
            <v>B&amp;P-003-TCX212</v>
          </cell>
          <cell r="G718" t="str">
            <v>IDESP</v>
          </cell>
          <cell r="L718">
            <v>43369</v>
          </cell>
          <cell r="M718">
            <v>38.700000000000003</v>
          </cell>
          <cell r="P718">
            <v>4.3400000000000001E-2</v>
          </cell>
        </row>
        <row r="719">
          <cell r="A719" t="str">
            <v>B&amp;P-003-TCX213</v>
          </cell>
          <cell r="G719" t="str">
            <v>IDESP</v>
          </cell>
          <cell r="L719">
            <v>42104</v>
          </cell>
          <cell r="M719">
            <v>8.8699999999999992</v>
          </cell>
          <cell r="P719">
            <v>5.4199999999999998E-2</v>
          </cell>
        </row>
        <row r="720">
          <cell r="A720" t="str">
            <v>B&amp;P-003-TCX214</v>
          </cell>
          <cell r="G720" t="str">
            <v>IDESP</v>
          </cell>
          <cell r="L720">
            <v>41512</v>
          </cell>
          <cell r="M720">
            <v>5.62</v>
          </cell>
          <cell r="P720">
            <v>5.9499999999999997E-2</v>
          </cell>
        </row>
        <row r="721">
          <cell r="A721" t="str">
            <v>B&amp;P-003-TCX216</v>
          </cell>
          <cell r="G721" t="str">
            <v>IDESP</v>
          </cell>
          <cell r="L721">
            <v>42598</v>
          </cell>
          <cell r="M721">
            <v>15.04</v>
          </cell>
          <cell r="P721">
            <v>7.8E-2</v>
          </cell>
        </row>
        <row r="722">
          <cell r="A722" t="str">
            <v>B&amp;P-003-TCX306</v>
          </cell>
          <cell r="G722" t="str">
            <v xml:space="preserve">INAC </v>
          </cell>
          <cell r="L722">
            <v>41737</v>
          </cell>
          <cell r="M722">
            <v>8.0500000000000007</v>
          </cell>
          <cell r="P722">
            <v>2.5217391304347823</v>
          </cell>
        </row>
        <row r="723">
          <cell r="A723" t="str">
            <v>B&amp;P-003-TCX309</v>
          </cell>
          <cell r="G723" t="str">
            <v>IDESP</v>
          </cell>
          <cell r="L723">
            <v>42598</v>
          </cell>
          <cell r="M723">
            <v>15.04</v>
          </cell>
          <cell r="P723">
            <v>7.0000000000000007E-2</v>
          </cell>
        </row>
        <row r="724">
          <cell r="A724" t="str">
            <v>B&amp;P-003-TCX310</v>
          </cell>
          <cell r="G724" t="str">
            <v>IDESP</v>
          </cell>
          <cell r="L724">
            <v>43369</v>
          </cell>
          <cell r="M724">
            <v>38.700000000000003</v>
          </cell>
          <cell r="P724">
            <v>7.8E-2</v>
          </cell>
        </row>
        <row r="725">
          <cell r="A725" t="str">
            <v>B&amp;P-003-TDX006</v>
          </cell>
          <cell r="G725" t="str">
            <v xml:space="preserve">INSI </v>
          </cell>
          <cell r="L725">
            <v>42523</v>
          </cell>
          <cell r="M725">
            <v>14.33</v>
          </cell>
          <cell r="P725">
            <v>1.4E-2</v>
          </cell>
        </row>
        <row r="726">
          <cell r="A726" t="str">
            <v>B&amp;P-003-TDX008</v>
          </cell>
          <cell r="G726" t="str">
            <v>IDESP</v>
          </cell>
          <cell r="L726">
            <v>43158</v>
          </cell>
          <cell r="M726">
            <v>20.420000000000002</v>
          </cell>
          <cell r="P726">
            <v>2.1700000000000001E-2</v>
          </cell>
        </row>
        <row r="727">
          <cell r="A727" t="str">
            <v>B&amp;P-003-TDX009</v>
          </cell>
          <cell r="G727" t="str">
            <v xml:space="preserve">INAC </v>
          </cell>
          <cell r="L727">
            <v>41971</v>
          </cell>
          <cell r="M727">
            <v>8.5399999999999991</v>
          </cell>
          <cell r="P727">
            <v>3.8641686182669797E-2</v>
          </cell>
        </row>
        <row r="728">
          <cell r="A728" t="str">
            <v>B&amp;P-003-TDX010</v>
          </cell>
          <cell r="G728" t="str">
            <v>IDESP</v>
          </cell>
          <cell r="L728">
            <v>44445</v>
          </cell>
          <cell r="M728">
            <v>103</v>
          </cell>
          <cell r="P728">
            <v>2.4E-2</v>
          </cell>
        </row>
        <row r="729">
          <cell r="A729" t="str">
            <v>B&amp;P-003-TDX206</v>
          </cell>
          <cell r="G729" t="str">
            <v>IDESP</v>
          </cell>
          <cell r="L729">
            <v>43369</v>
          </cell>
          <cell r="M729">
            <v>38.700000000000003</v>
          </cell>
          <cell r="P729">
            <v>2.5600000000000001E-2</v>
          </cell>
        </row>
        <row r="730">
          <cell r="A730" t="str">
            <v>B&amp;P-003-TDX207</v>
          </cell>
          <cell r="G730" t="str">
            <v>IDESP</v>
          </cell>
          <cell r="L730">
            <v>42853</v>
          </cell>
          <cell r="M730">
            <v>15.78</v>
          </cell>
          <cell r="P730">
            <v>4.6199999999999998E-2</v>
          </cell>
        </row>
        <row r="731">
          <cell r="A731" t="str">
            <v>B&amp;P-003-TDX208</v>
          </cell>
          <cell r="G731" t="str">
            <v>IDESP</v>
          </cell>
          <cell r="L731">
            <v>43369</v>
          </cell>
          <cell r="M731">
            <v>38.700000000000003</v>
          </cell>
          <cell r="P731">
            <v>3.3599999999999998E-2</v>
          </cell>
        </row>
        <row r="732">
          <cell r="A732" t="str">
            <v>B&amp;P-003-TDX209</v>
          </cell>
          <cell r="G732" t="str">
            <v>IDESP</v>
          </cell>
          <cell r="L732">
            <v>43369</v>
          </cell>
          <cell r="M732">
            <v>38.700000000000003</v>
          </cell>
          <cell r="P732">
            <v>3.1199999999999999E-2</v>
          </cell>
        </row>
        <row r="733">
          <cell r="A733" t="str">
            <v>B&amp;P-003-TDX210</v>
          </cell>
          <cell r="G733" t="str">
            <v>IDESP</v>
          </cell>
          <cell r="L733">
            <v>42101</v>
          </cell>
          <cell r="M733">
            <v>8.86</v>
          </cell>
          <cell r="P733">
            <v>3.2199999999999999E-2</v>
          </cell>
        </row>
        <row r="734">
          <cell r="A734" t="str">
            <v>B&amp;P-003-TDX211</v>
          </cell>
          <cell r="G734" t="str">
            <v>IDESP</v>
          </cell>
          <cell r="L734">
            <v>43369</v>
          </cell>
          <cell r="M734">
            <v>38.700000000000003</v>
          </cell>
          <cell r="P734">
            <v>5.2200000000000003E-2</v>
          </cell>
        </row>
        <row r="735">
          <cell r="A735" t="str">
            <v>B&amp;P-003-TDX212</v>
          </cell>
          <cell r="G735" t="str">
            <v>IDESP</v>
          </cell>
          <cell r="L735">
            <v>42104</v>
          </cell>
          <cell r="M735">
            <v>8.8699999999999992</v>
          </cell>
          <cell r="P735">
            <v>5.5800000000000002E-2</v>
          </cell>
        </row>
        <row r="736">
          <cell r="A736" t="str">
            <v>B&amp;P-003-TDX213</v>
          </cell>
          <cell r="G736" t="str">
            <v>IDESP</v>
          </cell>
          <cell r="L736">
            <v>42957</v>
          </cell>
          <cell r="M736">
            <v>18.04</v>
          </cell>
          <cell r="P736">
            <v>7.7399999999999997E-2</v>
          </cell>
        </row>
        <row r="737">
          <cell r="A737" t="str">
            <v>B&amp;P-003-TDX214</v>
          </cell>
          <cell r="G737" t="str">
            <v>IDESP</v>
          </cell>
          <cell r="L737">
            <v>42677</v>
          </cell>
          <cell r="M737">
            <v>15.25</v>
          </cell>
          <cell r="P737">
            <v>0.10299999999999999</v>
          </cell>
        </row>
        <row r="738">
          <cell r="A738" t="str">
            <v>B&amp;P-003-TDX216</v>
          </cell>
          <cell r="G738" t="str">
            <v>IDESP</v>
          </cell>
          <cell r="L738">
            <v>42600</v>
          </cell>
          <cell r="M738">
            <v>15.09</v>
          </cell>
          <cell r="P738">
            <v>0.1216</v>
          </cell>
        </row>
        <row r="739">
          <cell r="A739" t="str">
            <v>B&amp;P-003-TDX218</v>
          </cell>
          <cell r="G739" t="str">
            <v>IDESP</v>
          </cell>
          <cell r="L739">
            <v>42733</v>
          </cell>
          <cell r="M739">
            <v>16.079999999999998</v>
          </cell>
          <cell r="P739">
            <v>0.20300000000000001</v>
          </cell>
        </row>
        <row r="740">
          <cell r="A740" t="str">
            <v>B&amp;P-003-TX1845</v>
          </cell>
          <cell r="G740" t="str">
            <v>IDESP</v>
          </cell>
          <cell r="L740">
            <v>43892</v>
          </cell>
          <cell r="M740">
            <v>64</v>
          </cell>
          <cell r="P740">
            <v>0.13600000000000001</v>
          </cell>
        </row>
        <row r="741">
          <cell r="A741" t="str">
            <v>B&amp;P-004-203-DBL-08</v>
          </cell>
          <cell r="G741" t="str">
            <v>IDESP</v>
          </cell>
          <cell r="L741">
            <v>45112</v>
          </cell>
          <cell r="M741">
            <v>270.5</v>
          </cell>
          <cell r="P741">
            <v>0.08</v>
          </cell>
        </row>
        <row r="742">
          <cell r="A742" t="str">
            <v>B&amp;P-004-203-RST-08</v>
          </cell>
          <cell r="G742" t="str">
            <v>IDESP</v>
          </cell>
          <cell r="L742">
            <v>44585</v>
          </cell>
          <cell r="M742">
            <v>109.25</v>
          </cell>
          <cell r="P742">
            <v>7.0000000000000007E-2</v>
          </cell>
        </row>
        <row r="743">
          <cell r="A743" t="str">
            <v>B&amp;P-004-204-DBL-08</v>
          </cell>
          <cell r="G743" t="str">
            <v>IDESP</v>
          </cell>
          <cell r="L743">
            <v>45979</v>
          </cell>
          <cell r="M743">
            <v>1415</v>
          </cell>
          <cell r="P743">
            <v>0.05</v>
          </cell>
        </row>
        <row r="744">
          <cell r="A744" t="str">
            <v>B&amp;P-004-204-KYY7</v>
          </cell>
          <cell r="G744" t="str">
            <v>IDESP</v>
          </cell>
          <cell r="L744">
            <v>45112</v>
          </cell>
          <cell r="M744">
            <v>270.5</v>
          </cell>
          <cell r="P744">
            <v>0.14000000000000001</v>
          </cell>
        </row>
        <row r="745">
          <cell r="A745" t="str">
            <v>B&amp;P-004-204-RST-08</v>
          </cell>
          <cell r="G745" t="str">
            <v>IDESP</v>
          </cell>
          <cell r="L745">
            <v>45509</v>
          </cell>
          <cell r="M745">
            <v>953.5</v>
          </cell>
          <cell r="P745">
            <v>0.1421</v>
          </cell>
        </row>
        <row r="746">
          <cell r="A746" t="str">
            <v>B&amp;P-004-204-RW-08</v>
          </cell>
          <cell r="G746" t="str">
            <v>IDESP</v>
          </cell>
          <cell r="L746">
            <v>45587</v>
          </cell>
          <cell r="M746">
            <v>1004.5</v>
          </cell>
          <cell r="P746">
            <v>7.8100000000000003E-2</v>
          </cell>
        </row>
        <row r="747">
          <cell r="A747" t="str">
            <v>B&amp;P-004-204-TPL-08</v>
          </cell>
          <cell r="G747" t="str">
            <v>IDESP</v>
          </cell>
          <cell r="L747">
            <v>45509</v>
          </cell>
          <cell r="M747">
            <v>953.5</v>
          </cell>
          <cell r="P747">
            <v>0.12180000000000001</v>
          </cell>
        </row>
        <row r="748">
          <cell r="A748" t="str">
            <v>B&amp;P-004-205-BR-08</v>
          </cell>
          <cell r="G748" t="str">
            <v>IDESP</v>
          </cell>
          <cell r="L748">
            <v>44631</v>
          </cell>
          <cell r="M748">
            <v>114</v>
          </cell>
          <cell r="P748">
            <v>0.11</v>
          </cell>
        </row>
        <row r="749">
          <cell r="A749" t="str">
            <v>B&amp;P-004-205-DBL-08</v>
          </cell>
          <cell r="G749" t="str">
            <v>IDESP</v>
          </cell>
          <cell r="L749">
            <v>45996</v>
          </cell>
          <cell r="M749">
            <v>1470</v>
          </cell>
          <cell r="P749">
            <v>8.2400000000000001E-2</v>
          </cell>
        </row>
        <row r="750">
          <cell r="A750" t="str">
            <v>B&amp;P-004-205-KPPB9-28</v>
          </cell>
          <cell r="G750" t="str">
            <v>IDESP</v>
          </cell>
          <cell r="L750">
            <v>41946</v>
          </cell>
          <cell r="M750">
            <v>8.5</v>
          </cell>
          <cell r="P750">
            <v>0.155</v>
          </cell>
        </row>
        <row r="751">
          <cell r="A751" t="str">
            <v>B&amp;P-004-205-KYYB5-28</v>
          </cell>
          <cell r="G751" t="str">
            <v>IDESP</v>
          </cell>
          <cell r="L751">
            <v>42979</v>
          </cell>
          <cell r="M751">
            <v>17.66</v>
          </cell>
          <cell r="P751">
            <v>0.12</v>
          </cell>
        </row>
        <row r="752">
          <cell r="A752" t="str">
            <v>B&amp;P-004-205-RST-08</v>
          </cell>
          <cell r="G752" t="str">
            <v>IDESP</v>
          </cell>
          <cell r="L752">
            <v>45930</v>
          </cell>
          <cell r="M752">
            <v>1380</v>
          </cell>
          <cell r="P752">
            <v>6.5799999999999997E-2</v>
          </cell>
        </row>
        <row r="753">
          <cell r="A753" t="str">
            <v>B&amp;P-004-205-RW-08</v>
          </cell>
          <cell r="G753" t="str">
            <v>IDESP</v>
          </cell>
          <cell r="L753">
            <v>45839</v>
          </cell>
          <cell r="M753">
            <v>1215</v>
          </cell>
          <cell r="P753">
            <v>7.9000000000000001E-2</v>
          </cell>
        </row>
        <row r="754">
          <cell r="A754" t="str">
            <v>B&amp;P-004-205-TPL-08</v>
          </cell>
          <cell r="G754" t="str">
            <v>IDESP</v>
          </cell>
          <cell r="L754">
            <v>45051</v>
          </cell>
          <cell r="M754">
            <v>233</v>
          </cell>
          <cell r="P754">
            <v>7.5899999999999995E-2</v>
          </cell>
        </row>
        <row r="755">
          <cell r="A755" t="str">
            <v>B&amp;P-004-206-C-08</v>
          </cell>
          <cell r="G755" t="str">
            <v>INCOU</v>
          </cell>
          <cell r="L755">
            <v>41787</v>
          </cell>
          <cell r="M755">
            <v>8.11</v>
          </cell>
          <cell r="P755">
            <v>0.62</v>
          </cell>
        </row>
        <row r="756">
          <cell r="A756" t="str">
            <v>B&amp;P-004-206-DBL-08</v>
          </cell>
          <cell r="G756" t="str">
            <v>IDESP</v>
          </cell>
          <cell r="L756">
            <v>45930</v>
          </cell>
          <cell r="M756">
            <v>1380</v>
          </cell>
          <cell r="P756">
            <v>0.1017</v>
          </cell>
        </row>
        <row r="757">
          <cell r="A757" t="str">
            <v>B&amp;P-004-206-RST-08</v>
          </cell>
          <cell r="G757" t="str">
            <v>IDESP</v>
          </cell>
          <cell r="L757">
            <v>44174</v>
          </cell>
          <cell r="M757">
            <v>86.75</v>
          </cell>
          <cell r="P757">
            <v>0.21709999999999999</v>
          </cell>
        </row>
        <row r="758">
          <cell r="A758" t="str">
            <v>B&amp;P-004-206-RW-08</v>
          </cell>
          <cell r="G758" t="str">
            <v>IDESP</v>
          </cell>
          <cell r="L758">
            <v>45996</v>
          </cell>
          <cell r="M758">
            <v>1470</v>
          </cell>
          <cell r="P758">
            <v>8.8599999999999998E-2</v>
          </cell>
        </row>
        <row r="759">
          <cell r="A759" t="str">
            <v>B&amp;P-004-206-TPL-08</v>
          </cell>
          <cell r="G759" t="str">
            <v>IDESP</v>
          </cell>
          <cell r="L759">
            <v>45216</v>
          </cell>
          <cell r="M759">
            <v>365.5</v>
          </cell>
          <cell r="P759">
            <v>0.2</v>
          </cell>
        </row>
        <row r="760">
          <cell r="A760" t="str">
            <v>B&amp;P-004-207-BR-08</v>
          </cell>
          <cell r="G760" t="str">
            <v>IDESP</v>
          </cell>
          <cell r="L760">
            <v>44615</v>
          </cell>
          <cell r="M760">
            <v>112.5</v>
          </cell>
          <cell r="P760">
            <v>0.25</v>
          </cell>
        </row>
        <row r="761">
          <cell r="A761" t="str">
            <v>B&amp;P-004-207-DBL-08</v>
          </cell>
          <cell r="G761" t="str">
            <v>IDESP</v>
          </cell>
          <cell r="L761">
            <v>45996</v>
          </cell>
          <cell r="M761">
            <v>1470</v>
          </cell>
          <cell r="P761">
            <v>0.1169</v>
          </cell>
        </row>
        <row r="762">
          <cell r="A762" t="str">
            <v>B&amp;P-004-207-KR-12-08</v>
          </cell>
          <cell r="G762" t="str">
            <v>INCOU</v>
          </cell>
          <cell r="L762">
            <v>41787</v>
          </cell>
          <cell r="M762">
            <v>8.11</v>
          </cell>
          <cell r="P762">
            <v>0.62</v>
          </cell>
        </row>
        <row r="763">
          <cell r="A763" t="str">
            <v>B&amp;P-004-207-KYYB2</v>
          </cell>
          <cell r="G763" t="str">
            <v>IDESP</v>
          </cell>
          <cell r="L763">
            <v>42230</v>
          </cell>
          <cell r="M763">
            <v>9.2799999999999994</v>
          </cell>
          <cell r="P763">
            <v>0.255</v>
          </cell>
        </row>
        <row r="764">
          <cell r="A764" t="str">
            <v>B&amp;P-004-207-RST-08</v>
          </cell>
          <cell r="G764" t="str">
            <v>IDESP</v>
          </cell>
          <cell r="L764">
            <v>45124</v>
          </cell>
          <cell r="M764">
            <v>277</v>
          </cell>
          <cell r="P764">
            <v>0.26500000000000001</v>
          </cell>
        </row>
        <row r="765">
          <cell r="A765" t="str">
            <v>B&amp;P-004-207-RW-08</v>
          </cell>
          <cell r="G765" t="str">
            <v>IDESP</v>
          </cell>
          <cell r="L765">
            <v>45930</v>
          </cell>
          <cell r="M765">
            <v>1380</v>
          </cell>
          <cell r="P765">
            <v>0.14069999999999999</v>
          </cell>
        </row>
        <row r="766">
          <cell r="A766" t="str">
            <v>B&amp;P-004-207RST-08</v>
          </cell>
          <cell r="G766" t="str">
            <v>INCOU</v>
          </cell>
          <cell r="L766">
            <v>42030</v>
          </cell>
          <cell r="M766">
            <v>8.65</v>
          </cell>
          <cell r="P766">
            <v>0.1</v>
          </cell>
        </row>
        <row r="767">
          <cell r="A767" t="str">
            <v>B&amp;P-004-208-DBL-08</v>
          </cell>
          <cell r="G767" t="str">
            <v>IDESP</v>
          </cell>
          <cell r="L767">
            <v>45903</v>
          </cell>
          <cell r="M767">
            <v>1375</v>
          </cell>
          <cell r="P767">
            <v>0.14249999999999999</v>
          </cell>
        </row>
        <row r="768">
          <cell r="A768" t="str">
            <v>B&amp;P-004-208-RST-08</v>
          </cell>
          <cell r="G768" t="str">
            <v>IDESP</v>
          </cell>
          <cell r="L768">
            <v>45930</v>
          </cell>
          <cell r="M768">
            <v>1380</v>
          </cell>
          <cell r="P768">
            <v>0.1628</v>
          </cell>
        </row>
        <row r="769">
          <cell r="A769" t="str">
            <v>B&amp;P-004-208-TPL-08</v>
          </cell>
          <cell r="G769" t="str">
            <v>IDESP</v>
          </cell>
          <cell r="L769">
            <v>45124</v>
          </cell>
          <cell r="M769">
            <v>277</v>
          </cell>
          <cell r="P769">
            <v>0.34</v>
          </cell>
        </row>
        <row r="770">
          <cell r="A770" t="str">
            <v>B&amp;P-004-209-BR-08</v>
          </cell>
          <cell r="G770" t="str">
            <v>IDESP</v>
          </cell>
          <cell r="L770">
            <v>44615</v>
          </cell>
          <cell r="M770">
            <v>112.5</v>
          </cell>
          <cell r="P770">
            <v>0.37</v>
          </cell>
        </row>
        <row r="771">
          <cell r="A771" t="str">
            <v>B&amp;P-004-209-C-08</v>
          </cell>
          <cell r="G771" t="str">
            <v>INCOU</v>
          </cell>
          <cell r="L771">
            <v>41787</v>
          </cell>
          <cell r="M771">
            <v>8.11</v>
          </cell>
          <cell r="P771">
            <v>0.62</v>
          </cell>
        </row>
        <row r="772">
          <cell r="A772" t="str">
            <v>B&amp;P-004-209-DBL-08</v>
          </cell>
          <cell r="G772" t="str">
            <v>IDESP</v>
          </cell>
          <cell r="L772">
            <v>45996</v>
          </cell>
          <cell r="M772">
            <v>1470</v>
          </cell>
          <cell r="P772">
            <v>0.19570000000000001</v>
          </cell>
        </row>
        <row r="773">
          <cell r="A773" t="str">
            <v>B&amp;P-004-209-RW-08</v>
          </cell>
          <cell r="G773" t="str">
            <v>IDESP</v>
          </cell>
          <cell r="L773">
            <v>45587</v>
          </cell>
          <cell r="M773">
            <v>1004.5</v>
          </cell>
          <cell r="P773">
            <v>0.21460000000000001</v>
          </cell>
        </row>
        <row r="774">
          <cell r="A774" t="str">
            <v>B&amp;P-004-210-DBL-08</v>
          </cell>
          <cell r="G774" t="str">
            <v>IDESP</v>
          </cell>
          <cell r="L774">
            <v>45996</v>
          </cell>
          <cell r="M774">
            <v>1470</v>
          </cell>
          <cell r="P774">
            <v>0.2293</v>
          </cell>
        </row>
        <row r="775">
          <cell r="A775" t="str">
            <v>B&amp;P-004-210-RST-08</v>
          </cell>
          <cell r="G775" t="str">
            <v>IDESP</v>
          </cell>
          <cell r="L775">
            <v>42362</v>
          </cell>
          <cell r="M775">
            <v>13.42</v>
          </cell>
          <cell r="P775">
            <v>0.2465</v>
          </cell>
        </row>
        <row r="776">
          <cell r="A776" t="str">
            <v>B&amp;P-004-210-TPL-08</v>
          </cell>
          <cell r="G776" t="str">
            <v>IDESP</v>
          </cell>
          <cell r="L776">
            <v>45163</v>
          </cell>
          <cell r="M776">
            <v>365.5</v>
          </cell>
          <cell r="P776">
            <v>0.42</v>
          </cell>
        </row>
        <row r="777">
          <cell r="A777" t="str">
            <v>B&amp;P-004-211-BR-08</v>
          </cell>
          <cell r="G777" t="str">
            <v>IDESP</v>
          </cell>
          <cell r="L777">
            <v>44615</v>
          </cell>
          <cell r="M777">
            <v>112.5</v>
          </cell>
          <cell r="P777">
            <v>0.75</v>
          </cell>
        </row>
        <row r="778">
          <cell r="A778" t="str">
            <v>B&amp;P-004-211-DBL-08</v>
          </cell>
          <cell r="G778" t="str">
            <v>IDESP</v>
          </cell>
          <cell r="L778">
            <v>44887</v>
          </cell>
          <cell r="M778">
            <v>169.25</v>
          </cell>
          <cell r="P778">
            <v>0.47</v>
          </cell>
        </row>
        <row r="779">
          <cell r="A779" t="str">
            <v>B&amp;P-004-211-TPL-08</v>
          </cell>
          <cell r="G779" t="str">
            <v>IDESP</v>
          </cell>
          <cell r="L779">
            <v>45112</v>
          </cell>
          <cell r="M779">
            <v>270.5</v>
          </cell>
          <cell r="P779">
            <v>0.57999999999999996</v>
          </cell>
        </row>
        <row r="780">
          <cell r="A780" t="str">
            <v>B&amp;P-004-212-DBL-08</v>
          </cell>
          <cell r="G780" t="str">
            <v>IDESP</v>
          </cell>
          <cell r="L780">
            <v>45124</v>
          </cell>
          <cell r="M780">
            <v>277</v>
          </cell>
          <cell r="P780">
            <v>0.29149999999999998</v>
          </cell>
        </row>
        <row r="781">
          <cell r="A781" t="str">
            <v>B&amp;P-004-308-DBL-08</v>
          </cell>
          <cell r="G781" t="str">
            <v>IDESP</v>
          </cell>
          <cell r="L781">
            <v>45587</v>
          </cell>
          <cell r="M781">
            <v>1004.5</v>
          </cell>
          <cell r="P781">
            <v>0.31569999999999998</v>
          </cell>
        </row>
        <row r="782">
          <cell r="A782" t="str">
            <v>B&amp;P-004-5203-KYY2-08</v>
          </cell>
          <cell r="G782" t="str">
            <v>IDESP</v>
          </cell>
          <cell r="L782">
            <v>44974</v>
          </cell>
          <cell r="M782">
            <v>198.5</v>
          </cell>
          <cell r="P782">
            <v>0.2</v>
          </cell>
        </row>
        <row r="783">
          <cell r="A783" t="str">
            <v>B&amp;P-004-5207-08</v>
          </cell>
          <cell r="G783" t="str">
            <v>IDESP</v>
          </cell>
          <cell r="L783">
            <v>42801</v>
          </cell>
          <cell r="M783">
            <v>15.83</v>
          </cell>
          <cell r="P783">
            <v>0.15</v>
          </cell>
        </row>
        <row r="784">
          <cell r="A784" t="str">
            <v>B&amp;P-004-5209-08</v>
          </cell>
          <cell r="G784" t="str">
            <v>IDESP</v>
          </cell>
          <cell r="L784">
            <v>42979</v>
          </cell>
          <cell r="M784">
            <v>17.66</v>
          </cell>
          <cell r="P784">
            <v>0.22</v>
          </cell>
        </row>
        <row r="785">
          <cell r="A785" t="str">
            <v>B&amp;P-004-59190-16-08</v>
          </cell>
          <cell r="G785" t="str">
            <v>IDESP</v>
          </cell>
          <cell r="L785">
            <v>44396</v>
          </cell>
          <cell r="M785">
            <v>101.25</v>
          </cell>
          <cell r="P785">
            <v>4.99E-2</v>
          </cell>
        </row>
        <row r="786">
          <cell r="A786" t="str">
            <v>B&amp;P-004-6802RS-BLUE</v>
          </cell>
          <cell r="G786" t="str">
            <v>IDESP</v>
          </cell>
          <cell r="L786">
            <v>45554</v>
          </cell>
          <cell r="M786">
            <v>982</v>
          </cell>
          <cell r="P786">
            <v>8.8000000000000005E-3</v>
          </cell>
        </row>
        <row r="787">
          <cell r="A787" t="str">
            <v>B&amp;P-004-AG-1235-PPZ9</v>
          </cell>
          <cell r="G787" t="str">
            <v>IDESP</v>
          </cell>
          <cell r="L787">
            <v>45112</v>
          </cell>
          <cell r="M787">
            <v>270.5</v>
          </cell>
          <cell r="P787">
            <v>0.155</v>
          </cell>
        </row>
        <row r="788">
          <cell r="A788" t="str">
            <v>B&amp;P-004-AG590026-07</v>
          </cell>
          <cell r="G788" t="str">
            <v>IDESP</v>
          </cell>
          <cell r="L788">
            <v>45628</v>
          </cell>
          <cell r="M788">
            <v>1031</v>
          </cell>
          <cell r="P788">
            <v>1.79</v>
          </cell>
        </row>
        <row r="789">
          <cell r="A789" t="str">
            <v>B&amp;P-004-CF5202-2RST</v>
          </cell>
          <cell r="G789" t="str">
            <v>INCOU</v>
          </cell>
          <cell r="L789">
            <v>43535</v>
          </cell>
          <cell r="M789">
            <v>42.2</v>
          </cell>
          <cell r="P789">
            <v>7.0000000000000007E-2</v>
          </cell>
        </row>
        <row r="790">
          <cell r="A790" t="str">
            <v>B&amp;P-004-DTR2047-TPL</v>
          </cell>
          <cell r="G790" t="str">
            <v>IDESP</v>
          </cell>
          <cell r="L790">
            <v>44974</v>
          </cell>
          <cell r="M790">
            <v>198.5</v>
          </cell>
          <cell r="P790">
            <v>0.17399999999999999</v>
          </cell>
        </row>
        <row r="791">
          <cell r="A791" t="str">
            <v>B&amp;P-004-HD01RLD-BLUE</v>
          </cell>
          <cell r="G791" t="str">
            <v>IDESP</v>
          </cell>
          <cell r="L791">
            <v>45876</v>
          </cell>
          <cell r="M791">
            <v>1345</v>
          </cell>
          <cell r="P791">
            <v>1.3899999999999999E-2</v>
          </cell>
        </row>
        <row r="792">
          <cell r="A792" t="str">
            <v>B&amp;P-004-HD01RS-BLUE</v>
          </cell>
          <cell r="G792" t="str">
            <v>IDESP</v>
          </cell>
          <cell r="L792">
            <v>45509</v>
          </cell>
          <cell r="M792">
            <v>953.5</v>
          </cell>
          <cell r="P792">
            <v>1.37E-2</v>
          </cell>
        </row>
        <row r="793">
          <cell r="A793" t="str">
            <v>B&amp;P-004-HD03-2RST-08</v>
          </cell>
          <cell r="G793" t="str">
            <v>IDESP</v>
          </cell>
          <cell r="L793">
            <v>45112</v>
          </cell>
          <cell r="M793">
            <v>270.5</v>
          </cell>
          <cell r="P793">
            <v>0.04</v>
          </cell>
        </row>
        <row r="794">
          <cell r="A794" t="str">
            <v>B&amp;P-004-HD04RS-BLUE</v>
          </cell>
          <cell r="G794" t="str">
            <v>IDESP</v>
          </cell>
          <cell r="L794">
            <v>45628</v>
          </cell>
          <cell r="M794">
            <v>1031</v>
          </cell>
          <cell r="P794">
            <v>2.7199999999999998E-2</v>
          </cell>
        </row>
        <row r="795">
          <cell r="A795" t="str">
            <v>B&amp;P-004-HD05RS-BLUE</v>
          </cell>
          <cell r="G795" t="str">
            <v>IDESP</v>
          </cell>
          <cell r="L795">
            <v>45628</v>
          </cell>
          <cell r="M795">
            <v>1031</v>
          </cell>
          <cell r="P795">
            <v>3.9100000000000003E-2</v>
          </cell>
        </row>
        <row r="796">
          <cell r="A796" t="str">
            <v>B&amp;P-004-HD06RS-BLUE</v>
          </cell>
          <cell r="G796" t="str">
            <v>IDESP</v>
          </cell>
          <cell r="L796">
            <v>45628</v>
          </cell>
          <cell r="M796">
            <v>1031</v>
          </cell>
          <cell r="P796">
            <v>5.5E-2</v>
          </cell>
        </row>
        <row r="797">
          <cell r="A797" t="str">
            <v>B&amp;P-004-HD07RS-BLUE</v>
          </cell>
          <cell r="G797" t="str">
            <v>IDESP</v>
          </cell>
          <cell r="L797">
            <v>45554</v>
          </cell>
          <cell r="M797">
            <v>982</v>
          </cell>
          <cell r="P797">
            <v>7.4800000000000005E-2</v>
          </cell>
        </row>
        <row r="798">
          <cell r="A798" t="str">
            <v>B&amp;P-004-HD09RS-BLUE</v>
          </cell>
          <cell r="G798" t="str">
            <v>IDESP</v>
          </cell>
          <cell r="L798">
            <v>45554</v>
          </cell>
          <cell r="M798">
            <v>982</v>
          </cell>
          <cell r="P798">
            <v>0.25729999999999997</v>
          </cell>
        </row>
        <row r="799">
          <cell r="A799" t="str">
            <v>B&amp;P-004-LS00RLD-BLUE</v>
          </cell>
          <cell r="G799" t="str">
            <v>IDESP</v>
          </cell>
          <cell r="L799">
            <v>45807</v>
          </cell>
          <cell r="M799">
            <v>1195</v>
          </cell>
          <cell r="P799">
            <v>8.8000000000000005E-3</v>
          </cell>
        </row>
        <row r="800">
          <cell r="A800" t="str">
            <v>B&amp;P-004-LS00RS-BLUE</v>
          </cell>
          <cell r="G800" t="str">
            <v>IDESP</v>
          </cell>
          <cell r="L800">
            <v>45509</v>
          </cell>
          <cell r="M800">
            <v>953.5</v>
          </cell>
          <cell r="P800">
            <v>7.7000000000000002E-3</v>
          </cell>
        </row>
        <row r="801">
          <cell r="A801" t="str">
            <v>B&amp;P-004-LS01RLD-BLUE</v>
          </cell>
          <cell r="G801" t="str">
            <v>IDESP</v>
          </cell>
          <cell r="L801">
            <v>45979</v>
          </cell>
          <cell r="M801">
            <v>1415</v>
          </cell>
          <cell r="P801">
            <v>9.5999999999999992E-3</v>
          </cell>
        </row>
        <row r="802">
          <cell r="A802" t="str">
            <v>B&amp;P-004-LS01RS-BLUE</v>
          </cell>
          <cell r="G802" t="str">
            <v>IDESP</v>
          </cell>
          <cell r="L802">
            <v>45509</v>
          </cell>
          <cell r="M802">
            <v>953.5</v>
          </cell>
          <cell r="P802">
            <v>8.5000000000000006E-3</v>
          </cell>
        </row>
        <row r="803">
          <cell r="A803" t="str">
            <v>B&amp;P-004-LS02RLD-BLUE</v>
          </cell>
          <cell r="G803" t="str">
            <v>IDESP</v>
          </cell>
          <cell r="L803">
            <v>45979</v>
          </cell>
          <cell r="M803">
            <v>1415</v>
          </cell>
          <cell r="P803">
            <v>1.03E-2</v>
          </cell>
        </row>
        <row r="804">
          <cell r="A804" t="str">
            <v>B&amp;P-004-LS02RS-BLUE</v>
          </cell>
          <cell r="G804" t="str">
            <v>IDESP</v>
          </cell>
          <cell r="L804">
            <v>44789</v>
          </cell>
          <cell r="M804">
            <v>141</v>
          </cell>
          <cell r="P804">
            <v>2.5000000000000001E-2</v>
          </cell>
        </row>
        <row r="805">
          <cell r="A805" t="str">
            <v>B&amp;P-004-LS03-2RST-08</v>
          </cell>
          <cell r="G805" t="str">
            <v>IDESP</v>
          </cell>
          <cell r="L805">
            <v>44746</v>
          </cell>
          <cell r="M805">
            <v>130.25</v>
          </cell>
          <cell r="P805">
            <v>1.6799999999999999E-2</v>
          </cell>
        </row>
        <row r="806">
          <cell r="A806" t="str">
            <v>B&amp;P-004-LS03RLD-BLUE</v>
          </cell>
          <cell r="G806" t="str">
            <v>IDESP</v>
          </cell>
          <cell r="L806">
            <v>45979</v>
          </cell>
          <cell r="M806">
            <v>1415</v>
          </cell>
          <cell r="P806">
            <v>1.21E-2</v>
          </cell>
        </row>
        <row r="807">
          <cell r="A807" t="str">
            <v>B&amp;P-004-LS03RS-BLUE</v>
          </cell>
          <cell r="G807" t="str">
            <v>IDESP</v>
          </cell>
          <cell r="L807">
            <v>44708</v>
          </cell>
          <cell r="M807">
            <v>124.25</v>
          </cell>
          <cell r="P807">
            <v>2.5000000000000001E-2</v>
          </cell>
        </row>
        <row r="808">
          <cell r="A808" t="str">
            <v>B&amp;P-004-LS04-2RST-08</v>
          </cell>
          <cell r="G808" t="str">
            <v>IDESP</v>
          </cell>
          <cell r="L808">
            <v>45124</v>
          </cell>
          <cell r="M808">
            <v>277</v>
          </cell>
          <cell r="P808">
            <v>0.01</v>
          </cell>
        </row>
        <row r="809">
          <cell r="A809" t="str">
            <v>B&amp;P-004-LS04RLD-BLUE</v>
          </cell>
          <cell r="G809" t="str">
            <v>IDESP</v>
          </cell>
          <cell r="L809">
            <v>45979</v>
          </cell>
          <cell r="M809">
            <v>1415</v>
          </cell>
          <cell r="P809">
            <v>1.5599999999999999E-2</v>
          </cell>
        </row>
        <row r="810">
          <cell r="A810" t="str">
            <v>B&amp;P-004-LS04RS-BLUE</v>
          </cell>
          <cell r="G810" t="str">
            <v>IDESP</v>
          </cell>
          <cell r="L810">
            <v>45509</v>
          </cell>
          <cell r="M810">
            <v>953.5</v>
          </cell>
          <cell r="P810">
            <v>1.46E-2</v>
          </cell>
        </row>
        <row r="811">
          <cell r="A811" t="str">
            <v>B&amp;P-004-LS05-2RST-08</v>
          </cell>
          <cell r="G811" t="str">
            <v xml:space="preserve">INAC </v>
          </cell>
          <cell r="L811">
            <v>45616</v>
          </cell>
          <cell r="M811">
            <v>1022.5</v>
          </cell>
          <cell r="P811">
            <v>6.7002444987775064E-2</v>
          </cell>
        </row>
        <row r="812">
          <cell r="A812" t="str">
            <v>B&amp;P-004-LS05-Z-08</v>
          </cell>
          <cell r="G812" t="str">
            <v>IDESP</v>
          </cell>
          <cell r="L812">
            <v>44887</v>
          </cell>
          <cell r="M812">
            <v>169.25</v>
          </cell>
          <cell r="P812">
            <v>3.8800000000000001E-2</v>
          </cell>
        </row>
        <row r="813">
          <cell r="A813" t="str">
            <v>B&amp;P-004-LS05RLD-BLUE</v>
          </cell>
          <cell r="G813" t="str">
            <v xml:space="preserve">INAC </v>
          </cell>
          <cell r="L813">
            <v>45694</v>
          </cell>
          <cell r="M813">
            <v>1074.5</v>
          </cell>
          <cell r="P813">
            <v>9.7900046533271293E-2</v>
          </cell>
        </row>
        <row r="814">
          <cell r="A814" t="str">
            <v>B&amp;P-004-LS06-2RST-08</v>
          </cell>
          <cell r="G814" t="str">
            <v>IDESP</v>
          </cell>
          <cell r="L814">
            <v>44988</v>
          </cell>
          <cell r="M814">
            <v>205</v>
          </cell>
          <cell r="P814">
            <v>5.5E-2</v>
          </cell>
        </row>
        <row r="815">
          <cell r="A815" t="str">
            <v>B&amp;P-004-LS06RS-BLUE</v>
          </cell>
          <cell r="G815" t="str">
            <v>IDESP</v>
          </cell>
          <cell r="L815">
            <v>45554</v>
          </cell>
          <cell r="M815">
            <v>982</v>
          </cell>
          <cell r="P815">
            <v>2.4E-2</v>
          </cell>
        </row>
        <row r="816">
          <cell r="A816" t="str">
            <v>B&amp;P-004-LS07-2RST-08</v>
          </cell>
          <cell r="G816" t="str">
            <v>IDESP</v>
          </cell>
          <cell r="L816">
            <v>44630</v>
          </cell>
          <cell r="M816">
            <v>114</v>
          </cell>
          <cell r="P816">
            <v>0.1</v>
          </cell>
        </row>
        <row r="817">
          <cell r="A817" t="str">
            <v>B&amp;P-004-LS10-RS</v>
          </cell>
          <cell r="G817" t="str">
            <v>IDESP</v>
          </cell>
          <cell r="L817">
            <v>45007</v>
          </cell>
          <cell r="M817">
            <v>211.75</v>
          </cell>
          <cell r="P817">
            <v>0.11</v>
          </cell>
        </row>
        <row r="818">
          <cell r="A818" t="str">
            <v>B&amp;P-004-LS10RSTX</v>
          </cell>
          <cell r="G818" t="str">
            <v>IDESP</v>
          </cell>
          <cell r="L818">
            <v>45216</v>
          </cell>
          <cell r="M818">
            <v>365.5</v>
          </cell>
          <cell r="P818">
            <v>0.02</v>
          </cell>
        </row>
        <row r="819">
          <cell r="A819" t="str">
            <v>B&amp;P-004-LS11RS-BLUE</v>
          </cell>
          <cell r="G819" t="str">
            <v>IDESP</v>
          </cell>
          <cell r="L819">
            <v>45509</v>
          </cell>
          <cell r="M819">
            <v>953.5</v>
          </cell>
          <cell r="P819">
            <v>6.6199999999999995E-2</v>
          </cell>
        </row>
        <row r="820">
          <cell r="A820" t="str">
            <v>B&amp;P-004-LS12RLD-BLUE</v>
          </cell>
          <cell r="G820" t="str">
            <v>IDESP</v>
          </cell>
          <cell r="L820">
            <v>45163</v>
          </cell>
          <cell r="M820">
            <v>365.5</v>
          </cell>
          <cell r="P820">
            <v>0.2</v>
          </cell>
        </row>
        <row r="821">
          <cell r="A821" t="str">
            <v>B&amp;P-004-LS13RS-BLUE</v>
          </cell>
          <cell r="G821" t="str">
            <v>IDESP</v>
          </cell>
          <cell r="L821">
            <v>45112</v>
          </cell>
          <cell r="M821">
            <v>270.5</v>
          </cell>
          <cell r="P821">
            <v>0.17</v>
          </cell>
        </row>
        <row r="822">
          <cell r="A822" t="str">
            <v>B&amp;P-004-LS26RS-BLUE</v>
          </cell>
          <cell r="G822" t="str">
            <v>IDESP</v>
          </cell>
          <cell r="L822">
            <v>45554</v>
          </cell>
          <cell r="M822">
            <v>982</v>
          </cell>
          <cell r="P822">
            <v>0.61599999999999999</v>
          </cell>
        </row>
        <row r="823">
          <cell r="A823" t="str">
            <v>B&amp;P-004-LS28RS-BLUE</v>
          </cell>
          <cell r="G823" t="str">
            <v>IDESP</v>
          </cell>
          <cell r="L823">
            <v>45554</v>
          </cell>
          <cell r="M823">
            <v>982</v>
          </cell>
          <cell r="P823">
            <v>0.69789999999999996</v>
          </cell>
        </row>
        <row r="824">
          <cell r="A824" t="str">
            <v>B&amp;P-004-MG206-08</v>
          </cell>
          <cell r="G824" t="str">
            <v>IDESP</v>
          </cell>
          <cell r="L824">
            <v>42863</v>
          </cell>
          <cell r="M824">
            <v>15.67</v>
          </cell>
          <cell r="P824">
            <v>0.22</v>
          </cell>
        </row>
        <row r="825">
          <cell r="A825" t="str">
            <v>B&amp;P-004-MS00RLD-BLUE</v>
          </cell>
          <cell r="G825" t="str">
            <v>IDESP</v>
          </cell>
          <cell r="L825">
            <v>45979</v>
          </cell>
          <cell r="M825">
            <v>1415</v>
          </cell>
          <cell r="P825">
            <v>0.01</v>
          </cell>
        </row>
        <row r="826">
          <cell r="A826" t="str">
            <v>B&amp;P-004-MS01-2RST-08</v>
          </cell>
          <cell r="G826" t="str">
            <v>IDESP</v>
          </cell>
          <cell r="L826">
            <v>44988</v>
          </cell>
          <cell r="M826">
            <v>205</v>
          </cell>
          <cell r="P826">
            <v>0.03</v>
          </cell>
        </row>
        <row r="827">
          <cell r="A827" t="str">
            <v>B&amp;P-004-MS01RLD-BLUE</v>
          </cell>
          <cell r="G827" t="str">
            <v>IDESP</v>
          </cell>
          <cell r="L827">
            <v>45876</v>
          </cell>
          <cell r="M827">
            <v>1345</v>
          </cell>
          <cell r="P827">
            <v>8.9999999999999993E-3</v>
          </cell>
        </row>
        <row r="828">
          <cell r="A828" t="str">
            <v>B&amp;P-004-MS02RLD-BLUE</v>
          </cell>
          <cell r="G828" t="str">
            <v>IDESP</v>
          </cell>
          <cell r="L828">
            <v>45979</v>
          </cell>
          <cell r="M828">
            <v>1415</v>
          </cell>
          <cell r="P828">
            <v>1.0699999999999999E-2</v>
          </cell>
        </row>
        <row r="829">
          <cell r="A829" t="str">
            <v>B&amp;P-004-MS02RLD-RED</v>
          </cell>
          <cell r="G829" t="str">
            <v xml:space="preserve">INSI </v>
          </cell>
          <cell r="L829">
            <v>44543</v>
          </cell>
          <cell r="M829">
            <v>106.75</v>
          </cell>
          <cell r="P829">
            <v>2.4E-2</v>
          </cell>
        </row>
        <row r="830">
          <cell r="A830" t="str">
            <v>B&amp;P-004-MS03-2RST-08</v>
          </cell>
          <cell r="G830" t="str">
            <v>IDESP</v>
          </cell>
          <cell r="L830">
            <v>44988</v>
          </cell>
          <cell r="M830">
            <v>205</v>
          </cell>
          <cell r="P830">
            <v>0.03</v>
          </cell>
        </row>
        <row r="831">
          <cell r="A831" t="str">
            <v>B&amp;P-004-MS03RLD-BLUE</v>
          </cell>
          <cell r="G831" t="str">
            <v>IDESP</v>
          </cell>
          <cell r="L831">
            <v>45979</v>
          </cell>
          <cell r="M831">
            <v>1415</v>
          </cell>
          <cell r="P831">
            <v>1.32E-2</v>
          </cell>
        </row>
        <row r="832">
          <cell r="A832" t="str">
            <v>B&amp;P-004-MS04-2RST-08</v>
          </cell>
          <cell r="G832" t="str">
            <v>IDESP</v>
          </cell>
          <cell r="L832">
            <v>44988</v>
          </cell>
          <cell r="M832">
            <v>205</v>
          </cell>
          <cell r="P832">
            <v>0.05</v>
          </cell>
        </row>
        <row r="833">
          <cell r="A833" t="str">
            <v>B&amp;P-004-MS04RLD-BLUE</v>
          </cell>
          <cell r="G833" t="str">
            <v>IDESP</v>
          </cell>
          <cell r="L833">
            <v>45979</v>
          </cell>
          <cell r="M833">
            <v>1415</v>
          </cell>
          <cell r="P833">
            <v>1.8200000000000001E-2</v>
          </cell>
        </row>
        <row r="834">
          <cell r="A834" t="str">
            <v>B&amp;P-004-MS05-2RST-08</v>
          </cell>
          <cell r="G834" t="str">
            <v>IDESP</v>
          </cell>
          <cell r="L834">
            <v>44988</v>
          </cell>
          <cell r="M834">
            <v>205</v>
          </cell>
          <cell r="P834">
            <v>0.03</v>
          </cell>
        </row>
        <row r="835">
          <cell r="A835" t="str">
            <v>B&amp;P-004-MS05RLD-BLUE</v>
          </cell>
          <cell r="G835" t="str">
            <v>IDESP</v>
          </cell>
          <cell r="L835">
            <v>45951</v>
          </cell>
          <cell r="M835">
            <v>1495</v>
          </cell>
          <cell r="P835">
            <v>2.1600000000000001E-2</v>
          </cell>
        </row>
        <row r="836">
          <cell r="A836" t="str">
            <v>B&amp;P-004-MS05RS-BLUE</v>
          </cell>
          <cell r="G836" t="str">
            <v>IDESP</v>
          </cell>
          <cell r="L836">
            <v>45628</v>
          </cell>
          <cell r="M836">
            <v>1031</v>
          </cell>
          <cell r="P836">
            <v>2.0400000000000001E-2</v>
          </cell>
        </row>
        <row r="837">
          <cell r="A837" t="str">
            <v>B&amp;P-004-MS06-2RST-08</v>
          </cell>
          <cell r="G837" t="str">
            <v xml:space="preserve">INAC </v>
          </cell>
          <cell r="L837">
            <v>45664</v>
          </cell>
          <cell r="M837">
            <v>1055</v>
          </cell>
          <cell r="P837">
            <v>0.02</v>
          </cell>
        </row>
        <row r="838">
          <cell r="A838" t="str">
            <v>B&amp;P-004-MS06RLD-BLUE</v>
          </cell>
          <cell r="G838" t="str">
            <v>IDESP</v>
          </cell>
          <cell r="L838">
            <v>45876</v>
          </cell>
          <cell r="M838">
            <v>1345</v>
          </cell>
          <cell r="P838">
            <v>3.15E-2</v>
          </cell>
        </row>
        <row r="839">
          <cell r="A839" t="str">
            <v>B&amp;P-004-MS07-2RST-08</v>
          </cell>
          <cell r="G839" t="str">
            <v>IDESP</v>
          </cell>
          <cell r="L839">
            <v>44677</v>
          </cell>
          <cell r="M839">
            <v>119.5</v>
          </cell>
          <cell r="P839">
            <v>5.2299999999999999E-2</v>
          </cell>
        </row>
        <row r="840">
          <cell r="A840" t="str">
            <v>B&amp;P-004-MS07RLD-BLUE</v>
          </cell>
          <cell r="G840" t="str">
            <v>IDESP</v>
          </cell>
          <cell r="L840">
            <v>45839</v>
          </cell>
          <cell r="M840">
            <v>1215</v>
          </cell>
          <cell r="P840">
            <v>4.6300000000000001E-2</v>
          </cell>
        </row>
        <row r="841">
          <cell r="A841" t="str">
            <v>B&amp;P-004-MS08RLD-BLUE</v>
          </cell>
          <cell r="G841" t="str">
            <v>IDESP</v>
          </cell>
          <cell r="L841">
            <v>43413</v>
          </cell>
          <cell r="M841">
            <v>36.4</v>
          </cell>
          <cell r="P841">
            <v>6.4000000000000001E-2</v>
          </cell>
        </row>
        <row r="842">
          <cell r="A842" t="str">
            <v>B&amp;P-004-MS08RS-BLUE</v>
          </cell>
          <cell r="G842" t="str">
            <v>IDESP</v>
          </cell>
          <cell r="L842">
            <v>45958</v>
          </cell>
          <cell r="M842">
            <v>1460</v>
          </cell>
          <cell r="P842">
            <v>5.96E-2</v>
          </cell>
        </row>
        <row r="843">
          <cell r="A843" t="str">
            <v>B&amp;P-004-MS08RSTX</v>
          </cell>
          <cell r="G843" t="str">
            <v>IDESP</v>
          </cell>
          <cell r="L843">
            <v>45216</v>
          </cell>
          <cell r="M843">
            <v>365.5</v>
          </cell>
          <cell r="P843">
            <v>0.02</v>
          </cell>
        </row>
        <row r="844">
          <cell r="A844" t="str">
            <v>B&amp;P-004-MS09-2RST-08</v>
          </cell>
          <cell r="G844" t="str">
            <v>IDESP</v>
          </cell>
          <cell r="L844">
            <v>42249</v>
          </cell>
          <cell r="M844">
            <v>9.35</v>
          </cell>
          <cell r="P844">
            <v>0.13</v>
          </cell>
        </row>
        <row r="845">
          <cell r="A845" t="str">
            <v>B&amp;P-004-MS09RS-BLUE</v>
          </cell>
          <cell r="G845" t="str">
            <v>IDESP</v>
          </cell>
          <cell r="L845">
            <v>45628</v>
          </cell>
          <cell r="M845">
            <v>1031</v>
          </cell>
          <cell r="P845">
            <v>6.7599999999999993E-2</v>
          </cell>
        </row>
        <row r="846">
          <cell r="A846" t="str">
            <v>B&amp;P-004-MS10RS-BLUE</v>
          </cell>
          <cell r="G846" t="str">
            <v>IDESP</v>
          </cell>
          <cell r="L846">
            <v>45628</v>
          </cell>
          <cell r="M846">
            <v>1031</v>
          </cell>
          <cell r="P846">
            <v>8.3699999999999997E-2</v>
          </cell>
        </row>
        <row r="847">
          <cell r="A847" t="str">
            <v>B&amp;P-004-MS10RSTX</v>
          </cell>
          <cell r="G847" t="str">
            <v>IDESP</v>
          </cell>
          <cell r="L847">
            <v>45216</v>
          </cell>
          <cell r="M847">
            <v>365.5</v>
          </cell>
          <cell r="P847">
            <v>0.02</v>
          </cell>
        </row>
        <row r="848">
          <cell r="A848" t="str">
            <v>B&amp;P-004-MS11RS-BLUE</v>
          </cell>
          <cell r="G848" t="str">
            <v>IDESP</v>
          </cell>
          <cell r="L848">
            <v>45112</v>
          </cell>
          <cell r="M848">
            <v>270.5</v>
          </cell>
          <cell r="P848">
            <v>0.2</v>
          </cell>
        </row>
        <row r="849">
          <cell r="A849" t="str">
            <v>B&amp;P-004-MS12-RS</v>
          </cell>
          <cell r="G849" t="str">
            <v>IDESP</v>
          </cell>
          <cell r="L849">
            <v>45112</v>
          </cell>
          <cell r="M849">
            <v>270.5</v>
          </cell>
          <cell r="P849">
            <v>0.22500000000000001</v>
          </cell>
        </row>
        <row r="850">
          <cell r="A850" t="str">
            <v>B&amp;P-004-MS16RS-BLUE</v>
          </cell>
          <cell r="G850" t="str">
            <v>IDESP</v>
          </cell>
          <cell r="L850">
            <v>45509</v>
          </cell>
          <cell r="M850">
            <v>953.5</v>
          </cell>
          <cell r="P850">
            <v>0.2621</v>
          </cell>
        </row>
        <row r="851">
          <cell r="A851" t="str">
            <v>B&amp;P-004-SAB205-25-28</v>
          </cell>
          <cell r="G851" t="str">
            <v>IDESP</v>
          </cell>
          <cell r="L851">
            <v>41017</v>
          </cell>
          <cell r="M851">
            <v>4.41</v>
          </cell>
          <cell r="P851">
            <v>0.10299999999999999</v>
          </cell>
        </row>
        <row r="852">
          <cell r="A852" t="str">
            <v>B&amp;P-004-SAB207-35-28</v>
          </cell>
          <cell r="G852" t="str">
            <v>IDESP</v>
          </cell>
          <cell r="L852">
            <v>41946</v>
          </cell>
          <cell r="M852">
            <v>8.5</v>
          </cell>
          <cell r="P852">
            <v>0.16</v>
          </cell>
        </row>
        <row r="853">
          <cell r="A853" t="str">
            <v>B&amp;P-004-SAB209-45-28</v>
          </cell>
          <cell r="G853" t="str">
            <v>IDESP</v>
          </cell>
          <cell r="L853">
            <v>41017</v>
          </cell>
          <cell r="M853">
            <v>4.41</v>
          </cell>
          <cell r="P853">
            <v>0.215</v>
          </cell>
        </row>
        <row r="854">
          <cell r="A854" t="str">
            <v>B&amp;P-004-SNL508-TG</v>
          </cell>
          <cell r="G854" t="str">
            <v>IDESP</v>
          </cell>
          <cell r="L854">
            <v>45979</v>
          </cell>
          <cell r="M854">
            <v>1415</v>
          </cell>
          <cell r="P854">
            <v>0.38</v>
          </cell>
        </row>
        <row r="855">
          <cell r="A855" t="str">
            <v>B&amp;P-004-SNL509-TG</v>
          </cell>
          <cell r="G855" t="str">
            <v>IDESP</v>
          </cell>
          <cell r="L855">
            <v>45714</v>
          </cell>
          <cell r="M855">
            <v>1081</v>
          </cell>
          <cell r="P855">
            <v>0.39</v>
          </cell>
        </row>
        <row r="856">
          <cell r="A856" t="str">
            <v>B&amp;P-004-SNL510-TG</v>
          </cell>
          <cell r="G856" t="str">
            <v>IDESP</v>
          </cell>
          <cell r="L856">
            <v>45979</v>
          </cell>
          <cell r="M856">
            <v>1415</v>
          </cell>
          <cell r="P856">
            <v>0.46</v>
          </cell>
        </row>
        <row r="857">
          <cell r="A857" t="str">
            <v>B&amp;P-004-SNL511-TG</v>
          </cell>
          <cell r="G857" t="str">
            <v>IDESP</v>
          </cell>
          <cell r="L857">
            <v>45714</v>
          </cell>
          <cell r="M857">
            <v>1081</v>
          </cell>
          <cell r="P857">
            <v>0.51</v>
          </cell>
        </row>
        <row r="858">
          <cell r="A858" t="str">
            <v>B&amp;P-004-SNL512-TG</v>
          </cell>
          <cell r="G858" t="str">
            <v>IDESP</v>
          </cell>
          <cell r="L858">
            <v>45979</v>
          </cell>
          <cell r="M858">
            <v>1415</v>
          </cell>
          <cell r="P858">
            <v>0.52500000000000002</v>
          </cell>
        </row>
        <row r="859">
          <cell r="A859" t="str">
            <v>B&amp;P-004-SNL513-TG</v>
          </cell>
          <cell r="G859" t="str">
            <v>IDESP</v>
          </cell>
          <cell r="L859">
            <v>45714</v>
          </cell>
          <cell r="M859">
            <v>1081</v>
          </cell>
          <cell r="P859">
            <v>0.57499999999999996</v>
          </cell>
        </row>
        <row r="860">
          <cell r="A860" t="str">
            <v>B&amp;P-004-SNL515-TG</v>
          </cell>
          <cell r="G860" t="str">
            <v>IDESP</v>
          </cell>
          <cell r="L860">
            <v>45714</v>
          </cell>
          <cell r="M860">
            <v>1081</v>
          </cell>
          <cell r="P860">
            <v>0.76500000000000001</v>
          </cell>
        </row>
        <row r="861">
          <cell r="A861" t="str">
            <v>B&amp;P-004-SNL516-TG</v>
          </cell>
          <cell r="G861" t="str">
            <v>IDESP</v>
          </cell>
          <cell r="L861">
            <v>45714</v>
          </cell>
          <cell r="M861">
            <v>1081</v>
          </cell>
          <cell r="P861">
            <v>0.86499999999999999</v>
          </cell>
        </row>
        <row r="862">
          <cell r="A862" t="str">
            <v>B&amp;P-004-SNL517-TG</v>
          </cell>
          <cell r="G862" t="str">
            <v>IDESP</v>
          </cell>
          <cell r="L862">
            <v>45714</v>
          </cell>
          <cell r="M862">
            <v>1081</v>
          </cell>
          <cell r="P862">
            <v>0.875</v>
          </cell>
        </row>
        <row r="863">
          <cell r="A863" t="str">
            <v>B&amp;P-004-SNL518-TG</v>
          </cell>
          <cell r="G863" t="str">
            <v>IDESP</v>
          </cell>
          <cell r="L863">
            <v>45714</v>
          </cell>
          <cell r="M863">
            <v>1081</v>
          </cell>
          <cell r="P863">
            <v>0.91500000000000004</v>
          </cell>
        </row>
        <row r="864">
          <cell r="A864" t="str">
            <v>B&amp;P-004-SNL519-TG</v>
          </cell>
          <cell r="G864" t="str">
            <v>IDESP</v>
          </cell>
          <cell r="L864">
            <v>45979</v>
          </cell>
          <cell r="M864">
            <v>1415</v>
          </cell>
          <cell r="P864">
            <v>1.2549999999999999</v>
          </cell>
        </row>
        <row r="865">
          <cell r="A865" t="str">
            <v>B&amp;P-004-SNL520-TG</v>
          </cell>
          <cell r="G865" t="str">
            <v>IDESP</v>
          </cell>
          <cell r="L865">
            <v>45714</v>
          </cell>
          <cell r="M865">
            <v>1081</v>
          </cell>
          <cell r="P865">
            <v>1.2949999999999999</v>
          </cell>
        </row>
        <row r="866">
          <cell r="A866" t="str">
            <v>B&amp;P-004-SNL522-TG</v>
          </cell>
          <cell r="G866" t="str">
            <v>IDESP</v>
          </cell>
          <cell r="L866">
            <v>45714</v>
          </cell>
          <cell r="M866">
            <v>1081</v>
          </cell>
          <cell r="P866">
            <v>1.5449999999999999</v>
          </cell>
        </row>
        <row r="867">
          <cell r="A867" t="str">
            <v>B&amp;P-004-TS04RS-BLUE</v>
          </cell>
          <cell r="G867" t="str">
            <v>IDESP</v>
          </cell>
          <cell r="L867">
            <v>45554</v>
          </cell>
          <cell r="M867">
            <v>982</v>
          </cell>
          <cell r="P867">
            <v>1.44E-2</v>
          </cell>
        </row>
        <row r="868">
          <cell r="A868" t="str">
            <v>B&amp;P-004-TS05RS-BLUE</v>
          </cell>
          <cell r="G868" t="str">
            <v>IDESP</v>
          </cell>
          <cell r="L868">
            <v>44663</v>
          </cell>
          <cell r="M868">
            <v>117.75</v>
          </cell>
          <cell r="P868">
            <v>0.04</v>
          </cell>
        </row>
        <row r="869">
          <cell r="A869" t="str">
            <v>B&amp;P-004-TS06RS-BLUE</v>
          </cell>
          <cell r="G869" t="str">
            <v>IDESP</v>
          </cell>
          <cell r="L869">
            <v>45554</v>
          </cell>
          <cell r="M869">
            <v>982</v>
          </cell>
          <cell r="P869">
            <v>1.89E-2</v>
          </cell>
        </row>
        <row r="870">
          <cell r="A870" t="str">
            <v>B&amp;P-004-W-208-YYB22</v>
          </cell>
          <cell r="G870" t="str">
            <v>IDESP</v>
          </cell>
          <cell r="L870">
            <v>42853</v>
          </cell>
          <cell r="M870">
            <v>15.78</v>
          </cell>
          <cell r="P870">
            <v>0.24249999999999999</v>
          </cell>
        </row>
        <row r="871">
          <cell r="A871" t="str">
            <v>B&amp;P-004-Z-9504-2RST</v>
          </cell>
          <cell r="G871" t="str">
            <v>IDESP</v>
          </cell>
          <cell r="L871">
            <v>42949</v>
          </cell>
          <cell r="M871">
            <v>17.91</v>
          </cell>
          <cell r="P871">
            <v>1.4999999999999999E-2</v>
          </cell>
        </row>
        <row r="872">
          <cell r="A872" t="str">
            <v>B&amp;P-005-204-KYY7</v>
          </cell>
          <cell r="G872" t="str">
            <v>IDESP</v>
          </cell>
          <cell r="L872">
            <v>45112</v>
          </cell>
          <cell r="M872">
            <v>270.5</v>
          </cell>
          <cell r="P872">
            <v>0.1</v>
          </cell>
        </row>
        <row r="873">
          <cell r="A873" t="str">
            <v>B&amp;P-005-205-KPPB9-17</v>
          </cell>
          <cell r="G873" t="str">
            <v>IDESP</v>
          </cell>
          <cell r="L873">
            <v>41946</v>
          </cell>
          <cell r="M873">
            <v>8.5</v>
          </cell>
          <cell r="P873">
            <v>0.1</v>
          </cell>
        </row>
        <row r="874">
          <cell r="A874" t="str">
            <v>B&amp;P-005-205-KYYB5-17</v>
          </cell>
          <cell r="G874" t="str">
            <v>IDESP</v>
          </cell>
          <cell r="L874">
            <v>42979</v>
          </cell>
          <cell r="M874">
            <v>17.66</v>
          </cell>
          <cell r="P874">
            <v>7.0000000000000007E-2</v>
          </cell>
        </row>
        <row r="875">
          <cell r="A875" t="str">
            <v>B&amp;P-005-207-KYYB2</v>
          </cell>
          <cell r="G875" t="str">
            <v>IDESP</v>
          </cell>
          <cell r="L875">
            <v>42230</v>
          </cell>
          <cell r="M875">
            <v>9.2799999999999994</v>
          </cell>
          <cell r="P875">
            <v>0.1</v>
          </cell>
        </row>
        <row r="876">
          <cell r="A876" t="str">
            <v>B&amp;P-005-32-X</v>
          </cell>
          <cell r="G876" t="str">
            <v>IDESP</v>
          </cell>
          <cell r="L876">
            <v>42360</v>
          </cell>
          <cell r="M876">
            <v>13.57</v>
          </cell>
          <cell r="P876">
            <v>0.108</v>
          </cell>
        </row>
        <row r="877">
          <cell r="A877" t="str">
            <v>B&amp;P-005-3TX-12001</v>
          </cell>
          <cell r="G877" t="str">
            <v>IDESP</v>
          </cell>
          <cell r="L877">
            <v>41975</v>
          </cell>
          <cell r="M877">
            <v>8.5500000000000007</v>
          </cell>
          <cell r="P877">
            <v>0.05</v>
          </cell>
        </row>
        <row r="878">
          <cell r="A878" t="str">
            <v>B&amp;P-005-3TX-12003</v>
          </cell>
          <cell r="G878" t="str">
            <v>IDESP</v>
          </cell>
          <cell r="L878">
            <v>41309</v>
          </cell>
          <cell r="M878">
            <v>4.99</v>
          </cell>
          <cell r="P878">
            <v>7.0000000000000007E-2</v>
          </cell>
        </row>
        <row r="879">
          <cell r="A879" t="str">
            <v>B&amp;P-005-3TX-12004</v>
          </cell>
          <cell r="G879" t="str">
            <v>IDESP</v>
          </cell>
          <cell r="L879">
            <v>41309</v>
          </cell>
          <cell r="M879">
            <v>4.99</v>
          </cell>
          <cell r="P879">
            <v>7.0000000000000007E-2</v>
          </cell>
        </row>
        <row r="880">
          <cell r="A880" t="str">
            <v>B&amp;P-005-3TX-12006</v>
          </cell>
          <cell r="G880" t="str">
            <v>IDESP</v>
          </cell>
          <cell r="L880">
            <v>41309</v>
          </cell>
          <cell r="M880">
            <v>4.99</v>
          </cell>
          <cell r="P880">
            <v>0.1</v>
          </cell>
        </row>
        <row r="881">
          <cell r="A881" t="str">
            <v>B&amp;P-005-3TX-12008</v>
          </cell>
          <cell r="G881" t="str">
            <v>IDESP</v>
          </cell>
          <cell r="L881">
            <v>41309</v>
          </cell>
          <cell r="M881">
            <v>4.99</v>
          </cell>
          <cell r="P881">
            <v>7.0000000000000007E-2</v>
          </cell>
        </row>
        <row r="882">
          <cell r="A882" t="str">
            <v>B&amp;P-005-3TX-12010</v>
          </cell>
          <cell r="G882" t="str">
            <v>IDESP</v>
          </cell>
          <cell r="L882">
            <v>41347</v>
          </cell>
          <cell r="M882">
            <v>5.08</v>
          </cell>
          <cell r="P882">
            <v>0.16</v>
          </cell>
        </row>
        <row r="883">
          <cell r="A883" t="str">
            <v>B&amp;P-005-3TX-12012</v>
          </cell>
          <cell r="G883" t="str">
            <v>IDESP</v>
          </cell>
          <cell r="L883">
            <v>42429</v>
          </cell>
          <cell r="M883">
            <v>15.66</v>
          </cell>
          <cell r="P883">
            <v>7.6899999999999996E-2</v>
          </cell>
        </row>
        <row r="884">
          <cell r="A884" t="str">
            <v>B&amp;P-005-3TX-12024</v>
          </cell>
          <cell r="G884" t="str">
            <v>IDESP</v>
          </cell>
          <cell r="L884">
            <v>41309</v>
          </cell>
          <cell r="M884">
            <v>4.99</v>
          </cell>
          <cell r="P884">
            <v>0.09</v>
          </cell>
        </row>
        <row r="885">
          <cell r="A885" t="str">
            <v>B&amp;P-005-3TX-12047</v>
          </cell>
          <cell r="G885" t="str">
            <v>IDESP</v>
          </cell>
          <cell r="L885">
            <v>41347</v>
          </cell>
          <cell r="M885">
            <v>5.08</v>
          </cell>
          <cell r="P885">
            <v>0.15</v>
          </cell>
        </row>
        <row r="886">
          <cell r="A886" t="str">
            <v>B&amp;P-005-3TX-12050</v>
          </cell>
          <cell r="G886" t="str">
            <v>IDESP</v>
          </cell>
          <cell r="L886">
            <v>41347</v>
          </cell>
          <cell r="M886">
            <v>5.08</v>
          </cell>
          <cell r="P886">
            <v>0.08</v>
          </cell>
        </row>
        <row r="887">
          <cell r="A887" t="str">
            <v>B&amp;P-005-3TX-12057</v>
          </cell>
          <cell r="G887" t="str">
            <v>IDESP</v>
          </cell>
          <cell r="L887">
            <v>41309</v>
          </cell>
          <cell r="M887">
            <v>4.99</v>
          </cell>
          <cell r="P887">
            <v>0.17</v>
          </cell>
        </row>
        <row r="888">
          <cell r="A888" t="str">
            <v>B&amp;P-005-3TX-12070</v>
          </cell>
          <cell r="G888" t="str">
            <v>IDESP</v>
          </cell>
          <cell r="L888">
            <v>41309</v>
          </cell>
          <cell r="M888">
            <v>4.99</v>
          </cell>
          <cell r="P888">
            <v>0.13</v>
          </cell>
        </row>
        <row r="889">
          <cell r="A889" t="str">
            <v>B&amp;P-005-3TX-12074</v>
          </cell>
          <cell r="G889" t="str">
            <v>IDESP</v>
          </cell>
          <cell r="L889">
            <v>41309</v>
          </cell>
          <cell r="M889">
            <v>4.99</v>
          </cell>
          <cell r="P889">
            <v>0.16</v>
          </cell>
        </row>
        <row r="890">
          <cell r="A890" t="str">
            <v>B&amp;P-005-3TX-12080</v>
          </cell>
          <cell r="G890" t="str">
            <v>IDESP</v>
          </cell>
          <cell r="L890">
            <v>41347</v>
          </cell>
          <cell r="M890">
            <v>5.08</v>
          </cell>
          <cell r="P890">
            <v>0.16</v>
          </cell>
        </row>
        <row r="891">
          <cell r="A891" t="str">
            <v>B&amp;P-005-3TX-12107</v>
          </cell>
          <cell r="G891" t="str">
            <v>IDESP</v>
          </cell>
          <cell r="L891">
            <v>41347</v>
          </cell>
          <cell r="M891">
            <v>5.08</v>
          </cell>
          <cell r="P891">
            <v>0.13</v>
          </cell>
        </row>
        <row r="892">
          <cell r="A892" t="str">
            <v>B&amp;P-005-3TX-12201</v>
          </cell>
          <cell r="G892" t="str">
            <v>IDESP</v>
          </cell>
          <cell r="L892">
            <v>41309</v>
          </cell>
          <cell r="M892">
            <v>4.99</v>
          </cell>
          <cell r="P892">
            <v>0.27</v>
          </cell>
        </row>
        <row r="893">
          <cell r="A893" t="str">
            <v>B&amp;P-005-3TX-12401</v>
          </cell>
          <cell r="G893" t="str">
            <v>IDESP</v>
          </cell>
          <cell r="L893">
            <v>41309</v>
          </cell>
          <cell r="M893">
            <v>4.99</v>
          </cell>
          <cell r="P893">
            <v>0.6</v>
          </cell>
        </row>
        <row r="894">
          <cell r="A894" t="str">
            <v>B&amp;P-005-3TX-12413</v>
          </cell>
          <cell r="G894" t="str">
            <v>IDESP</v>
          </cell>
          <cell r="L894">
            <v>41975</v>
          </cell>
          <cell r="M894">
            <v>8.5500000000000007</v>
          </cell>
          <cell r="P894">
            <v>0.56999999999999995</v>
          </cell>
        </row>
        <row r="895">
          <cell r="A895" t="str">
            <v>B&amp;P-005-3TX-14123</v>
          </cell>
          <cell r="G895" t="str">
            <v>IDESP</v>
          </cell>
          <cell r="L895">
            <v>42059</v>
          </cell>
          <cell r="M895">
            <v>8.73</v>
          </cell>
          <cell r="P895">
            <v>0.12</v>
          </cell>
        </row>
        <row r="896">
          <cell r="A896" t="str">
            <v>B&amp;P-005-3TX-14314</v>
          </cell>
          <cell r="G896" t="str">
            <v>IDESP</v>
          </cell>
          <cell r="L896">
            <v>42059</v>
          </cell>
          <cell r="M896">
            <v>8.73</v>
          </cell>
          <cell r="P896">
            <v>0.16</v>
          </cell>
        </row>
        <row r="897">
          <cell r="A897" t="str">
            <v>B&amp;P-005-3TX-14349</v>
          </cell>
          <cell r="G897" t="str">
            <v>IDESP</v>
          </cell>
          <cell r="L897">
            <v>42059</v>
          </cell>
          <cell r="M897">
            <v>8.73</v>
          </cell>
          <cell r="P897">
            <v>0.16</v>
          </cell>
        </row>
        <row r="898">
          <cell r="A898" t="str">
            <v>B&amp;P-005-3TX-29013</v>
          </cell>
          <cell r="G898" t="str">
            <v>IDESP</v>
          </cell>
          <cell r="L898">
            <v>41309</v>
          </cell>
          <cell r="M898">
            <v>4.99</v>
          </cell>
          <cell r="P898">
            <v>0.08</v>
          </cell>
        </row>
        <row r="899">
          <cell r="A899" t="str">
            <v>B&amp;P-005-3TX-74910</v>
          </cell>
          <cell r="G899" t="str">
            <v>IDESP</v>
          </cell>
          <cell r="L899">
            <v>41309</v>
          </cell>
          <cell r="M899">
            <v>4.99</v>
          </cell>
          <cell r="P899">
            <v>7.0000000000000007E-2</v>
          </cell>
        </row>
        <row r="900">
          <cell r="A900" t="str">
            <v>B&amp;P-005-5203-KYY2</v>
          </cell>
          <cell r="G900" t="str">
            <v>IDESP</v>
          </cell>
          <cell r="L900">
            <v>44974</v>
          </cell>
          <cell r="M900">
            <v>198.5</v>
          </cell>
          <cell r="P900">
            <v>0.1</v>
          </cell>
        </row>
        <row r="901">
          <cell r="A901" t="str">
            <v>B&amp;P-005-5203-KYY9</v>
          </cell>
          <cell r="G901" t="str">
            <v xml:space="preserve">INSI </v>
          </cell>
          <cell r="L901">
            <v>41753</v>
          </cell>
          <cell r="M901">
            <v>8.0500000000000007</v>
          </cell>
          <cell r="P901">
            <v>0.13</v>
          </cell>
        </row>
        <row r="902">
          <cell r="A902" t="str">
            <v>B&amp;P-005-AG-1235-PPZ9</v>
          </cell>
          <cell r="G902" t="str">
            <v>IDESP</v>
          </cell>
          <cell r="L902">
            <v>45112</v>
          </cell>
          <cell r="M902">
            <v>270.5</v>
          </cell>
          <cell r="P902">
            <v>0.15</v>
          </cell>
        </row>
        <row r="903">
          <cell r="A903" t="str">
            <v>B&amp;P-005-BP12011-01-7</v>
          </cell>
          <cell r="G903" t="str">
            <v>IDESP</v>
          </cell>
          <cell r="L903">
            <v>42733</v>
          </cell>
          <cell r="M903">
            <v>16.079999999999998</v>
          </cell>
          <cell r="P903">
            <v>0.115</v>
          </cell>
        </row>
        <row r="904">
          <cell r="A904" t="str">
            <v>B&amp;P-005-CAGE-5207-17</v>
          </cell>
          <cell r="G904" t="str">
            <v>IDESP</v>
          </cell>
          <cell r="L904">
            <v>42801</v>
          </cell>
          <cell r="M904">
            <v>15.83</v>
          </cell>
          <cell r="P904">
            <v>0.11</v>
          </cell>
        </row>
        <row r="905">
          <cell r="A905" t="str">
            <v>B&amp;P-005-CAGE-5209-17</v>
          </cell>
          <cell r="G905" t="str">
            <v>IDESP</v>
          </cell>
          <cell r="L905">
            <v>42979</v>
          </cell>
          <cell r="M905">
            <v>17.66</v>
          </cell>
          <cell r="P905">
            <v>0.2</v>
          </cell>
        </row>
        <row r="906">
          <cell r="A906" t="str">
            <v>B&amp;P-005-CAGE203-17</v>
          </cell>
          <cell r="G906" t="str">
            <v>IDESP</v>
          </cell>
          <cell r="L906">
            <v>45112</v>
          </cell>
          <cell r="M906">
            <v>270.5</v>
          </cell>
          <cell r="P906">
            <v>0.09</v>
          </cell>
        </row>
        <row r="907">
          <cell r="A907" t="str">
            <v>B&amp;P-005-CAGE204-17</v>
          </cell>
          <cell r="G907" t="str">
            <v>IDESP</v>
          </cell>
          <cell r="L907">
            <v>45587</v>
          </cell>
          <cell r="M907">
            <v>1004.5</v>
          </cell>
          <cell r="P907">
            <v>0.15609999999999999</v>
          </cell>
        </row>
        <row r="908">
          <cell r="A908" t="str">
            <v>B&amp;P-005-CAGE205-17</v>
          </cell>
          <cell r="G908" t="str">
            <v>IDESP</v>
          </cell>
          <cell r="L908">
            <v>45996</v>
          </cell>
          <cell r="M908">
            <v>1470</v>
          </cell>
          <cell r="P908">
            <v>0.15820000000000001</v>
          </cell>
        </row>
        <row r="909">
          <cell r="A909" t="str">
            <v>B&amp;P-005-CAGE206-17</v>
          </cell>
          <cell r="G909" t="str">
            <v>IDESP</v>
          </cell>
          <cell r="L909">
            <v>45996</v>
          </cell>
          <cell r="M909">
            <v>1470</v>
          </cell>
          <cell r="P909">
            <v>0.17710000000000001</v>
          </cell>
        </row>
        <row r="910">
          <cell r="A910" t="str">
            <v>B&amp;P-005-CAGE207-17</v>
          </cell>
          <cell r="G910" t="str">
            <v>IDESP</v>
          </cell>
          <cell r="L910">
            <v>45996</v>
          </cell>
          <cell r="M910">
            <v>1470</v>
          </cell>
          <cell r="P910">
            <v>0.23380000000000001</v>
          </cell>
        </row>
        <row r="911">
          <cell r="A911" t="str">
            <v>B&amp;P-005-CAGE207-PEEK</v>
          </cell>
          <cell r="G911" t="str">
            <v>IDESP</v>
          </cell>
          <cell r="L911">
            <v>41257</v>
          </cell>
          <cell r="M911">
            <v>4.88</v>
          </cell>
          <cell r="P911">
            <v>4.3499999999999996</v>
          </cell>
        </row>
        <row r="912">
          <cell r="A912" t="str">
            <v>B&amp;P-005-CAGE208-17</v>
          </cell>
          <cell r="G912" t="str">
            <v>IDESP</v>
          </cell>
          <cell r="L912">
            <v>45930</v>
          </cell>
          <cell r="M912">
            <v>1380</v>
          </cell>
          <cell r="P912">
            <v>0.35070000000000001</v>
          </cell>
        </row>
        <row r="913">
          <cell r="A913" t="str">
            <v>B&amp;P-005-CAGE209-17</v>
          </cell>
          <cell r="G913" t="str">
            <v>IDESP</v>
          </cell>
          <cell r="L913">
            <v>45996</v>
          </cell>
          <cell r="M913">
            <v>1470</v>
          </cell>
          <cell r="P913">
            <v>0.39129999999999998</v>
          </cell>
        </row>
        <row r="914">
          <cell r="A914" t="str">
            <v>B&amp;P-005-CAGE210-17</v>
          </cell>
          <cell r="G914" t="str">
            <v>IDESP</v>
          </cell>
          <cell r="L914">
            <v>45996</v>
          </cell>
          <cell r="M914">
            <v>1470</v>
          </cell>
          <cell r="P914">
            <v>0.45850000000000002</v>
          </cell>
        </row>
        <row r="915">
          <cell r="A915" t="str">
            <v>B&amp;P-005-CAGE211-17</v>
          </cell>
          <cell r="G915" t="str">
            <v>IDESP</v>
          </cell>
          <cell r="L915">
            <v>45112</v>
          </cell>
          <cell r="M915">
            <v>270.5</v>
          </cell>
          <cell r="P915">
            <v>0.66</v>
          </cell>
        </row>
        <row r="916">
          <cell r="A916" t="str">
            <v>B&amp;P-005-CAGE212-17</v>
          </cell>
          <cell r="G916" t="str">
            <v>IDESP</v>
          </cell>
          <cell r="L916">
            <v>45124</v>
          </cell>
          <cell r="M916">
            <v>277</v>
          </cell>
          <cell r="P916">
            <v>0.58299999999999996</v>
          </cell>
        </row>
        <row r="917">
          <cell r="A917" t="str">
            <v>B&amp;P-005-CAGE308-17</v>
          </cell>
          <cell r="G917" t="str">
            <v>IDESP</v>
          </cell>
          <cell r="L917">
            <v>45587</v>
          </cell>
          <cell r="M917">
            <v>1004.5</v>
          </cell>
          <cell r="P917">
            <v>0.63139999999999996</v>
          </cell>
        </row>
        <row r="918">
          <cell r="A918" t="str">
            <v>B&amp;P-005-CAGE490306</v>
          </cell>
          <cell r="G918" t="str">
            <v>IDESP</v>
          </cell>
          <cell r="L918">
            <v>41864</v>
          </cell>
          <cell r="M918">
            <v>8.27</v>
          </cell>
          <cell r="P918">
            <v>0.1</v>
          </cell>
        </row>
        <row r="919">
          <cell r="A919" t="str">
            <v>B&amp;P-005-CF5202-2RST</v>
          </cell>
          <cell r="G919" t="str">
            <v>INCOU</v>
          </cell>
          <cell r="L919">
            <v>43535</v>
          </cell>
          <cell r="M919">
            <v>42.2</v>
          </cell>
          <cell r="P919">
            <v>6.6000000000000003E-2</v>
          </cell>
        </row>
        <row r="920">
          <cell r="A920" t="str">
            <v>B&amp;P-005-RET/SET-6802</v>
          </cell>
          <cell r="G920" t="str">
            <v>IDESP</v>
          </cell>
          <cell r="L920">
            <v>45554</v>
          </cell>
          <cell r="M920">
            <v>982</v>
          </cell>
          <cell r="P920">
            <v>1.7500000000000002E-2</v>
          </cell>
        </row>
        <row r="921">
          <cell r="A921" t="str">
            <v>B&amp;P-005-RET/SET-HD01</v>
          </cell>
          <cell r="G921" t="str">
            <v>IDESP</v>
          </cell>
          <cell r="L921">
            <v>45876</v>
          </cell>
          <cell r="M921">
            <v>1345</v>
          </cell>
          <cell r="P921">
            <v>2.7799999999999998E-2</v>
          </cell>
        </row>
        <row r="922">
          <cell r="A922" t="str">
            <v>B&amp;P-005-RET/SET-HD03</v>
          </cell>
          <cell r="G922" t="str">
            <v>IDESP</v>
          </cell>
          <cell r="L922">
            <v>45112</v>
          </cell>
          <cell r="M922">
            <v>270.5</v>
          </cell>
          <cell r="P922">
            <v>0.05</v>
          </cell>
        </row>
        <row r="923">
          <cell r="A923" t="str">
            <v>B&amp;P-005-RET/SET-HD04</v>
          </cell>
          <cell r="G923" t="str">
            <v>IDESP</v>
          </cell>
          <cell r="L923">
            <v>45628</v>
          </cell>
          <cell r="M923">
            <v>1031</v>
          </cell>
          <cell r="P923">
            <v>5.4300000000000001E-2</v>
          </cell>
        </row>
        <row r="924">
          <cell r="A924" t="str">
            <v>B&amp;P-005-RET/SET-HD05</v>
          </cell>
          <cell r="G924" t="str">
            <v>IDESP</v>
          </cell>
          <cell r="L924">
            <v>45628</v>
          </cell>
          <cell r="M924">
            <v>1031</v>
          </cell>
          <cell r="P924">
            <v>7.8100000000000003E-2</v>
          </cell>
        </row>
        <row r="925">
          <cell r="A925" t="str">
            <v>B&amp;P-005-RET/SET-HD06</v>
          </cell>
          <cell r="G925" t="str">
            <v>IDESP</v>
          </cell>
          <cell r="L925">
            <v>45628</v>
          </cell>
          <cell r="M925">
            <v>1031</v>
          </cell>
          <cell r="P925">
            <v>0.1099</v>
          </cell>
        </row>
        <row r="926">
          <cell r="A926" t="str">
            <v>B&amp;P-005-RET/SET-HD07</v>
          </cell>
          <cell r="G926" t="str">
            <v>IDESP</v>
          </cell>
          <cell r="L926">
            <v>45554</v>
          </cell>
          <cell r="M926">
            <v>982</v>
          </cell>
          <cell r="P926">
            <v>0.14949999999999999</v>
          </cell>
        </row>
        <row r="927">
          <cell r="A927" t="str">
            <v>B&amp;P-005-RET/SET-HD09</v>
          </cell>
          <cell r="G927" t="str">
            <v>IDESP</v>
          </cell>
          <cell r="L927">
            <v>45554</v>
          </cell>
          <cell r="M927">
            <v>982</v>
          </cell>
          <cell r="P927">
            <v>0.51449999999999996</v>
          </cell>
        </row>
        <row r="928">
          <cell r="A928" t="str">
            <v>B&amp;P-005-RET/SET-LS00</v>
          </cell>
          <cell r="G928" t="str">
            <v>IDESP</v>
          </cell>
          <cell r="L928">
            <v>45807</v>
          </cell>
          <cell r="M928">
            <v>1195</v>
          </cell>
          <cell r="P928">
            <v>1.7500000000000002E-2</v>
          </cell>
        </row>
        <row r="929">
          <cell r="A929" t="str">
            <v>B&amp;P-005-RET/SET-LS01</v>
          </cell>
          <cell r="G929" t="str">
            <v>IDESP</v>
          </cell>
          <cell r="L929">
            <v>45979</v>
          </cell>
          <cell r="M929">
            <v>1415</v>
          </cell>
          <cell r="P929">
            <v>1.9099999999999999E-2</v>
          </cell>
        </row>
        <row r="930">
          <cell r="A930" t="str">
            <v>B&amp;P-005-RET/SET-LS02</v>
          </cell>
          <cell r="G930" t="str">
            <v>IDESP</v>
          </cell>
          <cell r="L930">
            <v>45979</v>
          </cell>
          <cell r="M930">
            <v>1415</v>
          </cell>
          <cell r="P930">
            <v>2.07E-2</v>
          </cell>
        </row>
        <row r="931">
          <cell r="A931" t="str">
            <v>B&amp;P-005-RET/SET-LS03</v>
          </cell>
          <cell r="G931" t="str">
            <v>IDESP</v>
          </cell>
          <cell r="L931">
            <v>45979</v>
          </cell>
          <cell r="M931">
            <v>1415</v>
          </cell>
          <cell r="P931">
            <v>2.4199999999999999E-2</v>
          </cell>
        </row>
        <row r="932">
          <cell r="A932" t="str">
            <v>B&amp;P-005-RET/SET-LS04</v>
          </cell>
          <cell r="G932" t="str">
            <v>IDESP</v>
          </cell>
          <cell r="L932">
            <v>45979</v>
          </cell>
          <cell r="M932">
            <v>1415</v>
          </cell>
          <cell r="P932">
            <v>3.1199999999999999E-2</v>
          </cell>
        </row>
        <row r="933">
          <cell r="A933" t="str">
            <v>B&amp;P-005-RET/SET-LS05</v>
          </cell>
          <cell r="G933" t="str">
            <v xml:space="preserve">INAC </v>
          </cell>
          <cell r="L933">
            <v>45664</v>
          </cell>
          <cell r="M933">
            <v>1055</v>
          </cell>
          <cell r="P933">
            <v>0.02</v>
          </cell>
        </row>
        <row r="934">
          <cell r="A934" t="str">
            <v>B&amp;P-005-RET/SET-LS06</v>
          </cell>
          <cell r="G934" t="str">
            <v>IDESP</v>
          </cell>
          <cell r="L934">
            <v>45554</v>
          </cell>
          <cell r="M934">
            <v>982</v>
          </cell>
          <cell r="P934">
            <v>4.7899999999999998E-2</v>
          </cell>
        </row>
        <row r="935">
          <cell r="A935" t="str">
            <v>B&amp;P-005-RET/SET-LS10</v>
          </cell>
          <cell r="G935" t="str">
            <v>IDESP</v>
          </cell>
          <cell r="L935">
            <v>45007</v>
          </cell>
          <cell r="M935">
            <v>211.75</v>
          </cell>
          <cell r="P935">
            <v>0.129</v>
          </cell>
        </row>
        <row r="936">
          <cell r="A936" t="str">
            <v>B&amp;P-005-RET/SET-LS11</v>
          </cell>
          <cell r="G936" t="str">
            <v>IDESP</v>
          </cell>
          <cell r="L936">
            <v>45509</v>
          </cell>
          <cell r="M936">
            <v>953.5</v>
          </cell>
          <cell r="P936">
            <v>0.1323</v>
          </cell>
        </row>
        <row r="937">
          <cell r="A937" t="str">
            <v>B&amp;P-005-RET/SET-LS12</v>
          </cell>
          <cell r="G937" t="str">
            <v>IDESP</v>
          </cell>
          <cell r="L937">
            <v>45163</v>
          </cell>
          <cell r="M937">
            <v>365.5</v>
          </cell>
          <cell r="P937">
            <v>0.2</v>
          </cell>
        </row>
        <row r="938">
          <cell r="A938" t="str">
            <v>B&amp;P-005-RET/SET-LS13</v>
          </cell>
          <cell r="G938" t="str">
            <v>IDESP</v>
          </cell>
          <cell r="L938">
            <v>45112</v>
          </cell>
          <cell r="M938">
            <v>270.5</v>
          </cell>
          <cell r="P938">
            <v>0.18</v>
          </cell>
        </row>
        <row r="939">
          <cell r="A939" t="str">
            <v>B&amp;P-005-RET/SET-LS26</v>
          </cell>
          <cell r="G939" t="str">
            <v>IDESP</v>
          </cell>
          <cell r="L939">
            <v>45554</v>
          </cell>
          <cell r="M939">
            <v>982</v>
          </cell>
          <cell r="P939">
            <v>1.232</v>
          </cell>
        </row>
        <row r="940">
          <cell r="A940" t="str">
            <v>B&amp;P-005-RET/SET-LS28</v>
          </cell>
          <cell r="G940" t="str">
            <v>IDESP</v>
          </cell>
          <cell r="L940">
            <v>45554</v>
          </cell>
          <cell r="M940">
            <v>982</v>
          </cell>
          <cell r="P940">
            <v>1.3957999999999999</v>
          </cell>
        </row>
        <row r="941">
          <cell r="A941" t="str">
            <v>B&amp;P-005-RET/SET-MS00</v>
          </cell>
          <cell r="G941" t="str">
            <v>IDESP</v>
          </cell>
          <cell r="L941">
            <v>45979</v>
          </cell>
          <cell r="M941">
            <v>1415</v>
          </cell>
          <cell r="P941">
            <v>0.02</v>
          </cell>
        </row>
        <row r="942">
          <cell r="A942" t="str">
            <v>B&amp;P-005-RET/SET-MS01</v>
          </cell>
          <cell r="G942" t="str">
            <v>IDESP</v>
          </cell>
          <cell r="L942">
            <v>45876</v>
          </cell>
          <cell r="M942">
            <v>1345</v>
          </cell>
          <cell r="P942">
            <v>1.8100000000000002E-2</v>
          </cell>
        </row>
        <row r="943">
          <cell r="A943" t="str">
            <v>B&amp;P-005-RET/SET-MS02</v>
          </cell>
          <cell r="G943" t="str">
            <v>IDESP</v>
          </cell>
          <cell r="L943">
            <v>45979</v>
          </cell>
          <cell r="M943">
            <v>1415</v>
          </cell>
          <cell r="P943">
            <v>2.1499999999999998E-2</v>
          </cell>
        </row>
        <row r="944">
          <cell r="A944" t="str">
            <v>B&amp;P-005-RET/SET-MS03</v>
          </cell>
          <cell r="G944" t="str">
            <v>IDESP</v>
          </cell>
          <cell r="L944">
            <v>45979</v>
          </cell>
          <cell r="M944">
            <v>1415</v>
          </cell>
          <cell r="P944">
            <v>2.6499999999999999E-2</v>
          </cell>
        </row>
        <row r="945">
          <cell r="A945" t="str">
            <v>B&amp;P-005-RET/SET-MS04</v>
          </cell>
          <cell r="G945" t="str">
            <v>IDESP</v>
          </cell>
          <cell r="L945">
            <v>45979</v>
          </cell>
          <cell r="M945">
            <v>1415</v>
          </cell>
          <cell r="P945">
            <v>3.6400000000000002E-2</v>
          </cell>
        </row>
        <row r="946">
          <cell r="A946" t="str">
            <v>B&amp;P-005-RET/SET-MS05</v>
          </cell>
          <cell r="G946" t="str">
            <v>IDESP</v>
          </cell>
          <cell r="L946">
            <v>45951</v>
          </cell>
          <cell r="M946">
            <v>1495</v>
          </cell>
          <cell r="P946">
            <v>4.3099999999999999E-2</v>
          </cell>
        </row>
        <row r="947">
          <cell r="A947" t="str">
            <v>B&amp;P-005-RET/SET-MS06</v>
          </cell>
          <cell r="G947" t="str">
            <v>IDESP</v>
          </cell>
          <cell r="L947">
            <v>45876</v>
          </cell>
          <cell r="M947">
            <v>1345</v>
          </cell>
          <cell r="P947">
            <v>6.3100000000000003E-2</v>
          </cell>
        </row>
        <row r="948">
          <cell r="A948" t="str">
            <v>B&amp;P-005-RET/SET-MS07</v>
          </cell>
          <cell r="G948" t="str">
            <v>IDESP</v>
          </cell>
          <cell r="L948">
            <v>45628</v>
          </cell>
          <cell r="M948">
            <v>1031</v>
          </cell>
          <cell r="P948">
            <v>0.16650000000000001</v>
          </cell>
        </row>
        <row r="949">
          <cell r="A949" t="str">
            <v>B&amp;P-005-RET/SET-MS08</v>
          </cell>
          <cell r="G949" t="str">
            <v>IDESP</v>
          </cell>
          <cell r="L949">
            <v>45958</v>
          </cell>
          <cell r="M949">
            <v>1460</v>
          </cell>
          <cell r="P949">
            <v>0.1191</v>
          </cell>
        </row>
        <row r="950">
          <cell r="A950" t="str">
            <v>B&amp;P-005-RET/SET-MS09</v>
          </cell>
          <cell r="G950" t="str">
            <v>IDESP</v>
          </cell>
          <cell r="L950">
            <v>45628</v>
          </cell>
          <cell r="M950">
            <v>1031</v>
          </cell>
          <cell r="P950">
            <v>0.1351</v>
          </cell>
        </row>
        <row r="951">
          <cell r="A951" t="str">
            <v>B&amp;P-005-RET/SET-MS10</v>
          </cell>
          <cell r="G951" t="str">
            <v>IDESP</v>
          </cell>
          <cell r="L951">
            <v>45628</v>
          </cell>
          <cell r="M951">
            <v>1031</v>
          </cell>
          <cell r="P951">
            <v>0.1673</v>
          </cell>
        </row>
        <row r="952">
          <cell r="A952" t="str">
            <v>B&amp;P-005-RET/SET-MS11</v>
          </cell>
          <cell r="G952" t="str">
            <v>IDESP</v>
          </cell>
          <cell r="L952">
            <v>45112</v>
          </cell>
          <cell r="M952">
            <v>270.5</v>
          </cell>
          <cell r="P952">
            <v>0.22</v>
          </cell>
        </row>
        <row r="953">
          <cell r="A953" t="str">
            <v>B&amp;P-005-RET/SET-MS12</v>
          </cell>
          <cell r="G953" t="str">
            <v>IDESP</v>
          </cell>
          <cell r="L953">
            <v>45112</v>
          </cell>
          <cell r="M953">
            <v>270.5</v>
          </cell>
          <cell r="P953">
            <v>0.26</v>
          </cell>
        </row>
        <row r="954">
          <cell r="A954" t="str">
            <v>B&amp;P-005-RET/SET-MS16</v>
          </cell>
          <cell r="G954" t="str">
            <v>IDESP</v>
          </cell>
          <cell r="L954">
            <v>45509</v>
          </cell>
          <cell r="M954">
            <v>953.5</v>
          </cell>
          <cell r="P954">
            <v>0.5242</v>
          </cell>
        </row>
        <row r="955">
          <cell r="A955" t="str">
            <v>B&amp;P-005-RET/SET-TS04</v>
          </cell>
          <cell r="G955" t="str">
            <v>IDESP</v>
          </cell>
          <cell r="L955">
            <v>45554</v>
          </cell>
          <cell r="M955">
            <v>982</v>
          </cell>
          <cell r="P955">
            <v>2.87E-2</v>
          </cell>
        </row>
        <row r="956">
          <cell r="A956" t="str">
            <v>B&amp;P-005-RET/SET-TS05</v>
          </cell>
          <cell r="G956" t="str">
            <v>IDESP</v>
          </cell>
          <cell r="L956">
            <v>44663</v>
          </cell>
          <cell r="M956">
            <v>117.75</v>
          </cell>
          <cell r="P956">
            <v>0.04</v>
          </cell>
        </row>
        <row r="957">
          <cell r="A957" t="str">
            <v>B&amp;P-005-RET/SET-TS06</v>
          </cell>
          <cell r="G957" t="str">
            <v>IDESP</v>
          </cell>
          <cell r="L957">
            <v>45554</v>
          </cell>
          <cell r="M957">
            <v>982</v>
          </cell>
          <cell r="P957">
            <v>3.78E-2</v>
          </cell>
        </row>
        <row r="958">
          <cell r="A958" t="str">
            <v>B&amp;P-005-TCX203</v>
          </cell>
          <cell r="G958" t="str">
            <v>IDESP</v>
          </cell>
          <cell r="L958">
            <v>44008</v>
          </cell>
          <cell r="M958">
            <v>73</v>
          </cell>
          <cell r="P958">
            <v>8.2900000000000001E-2</v>
          </cell>
        </row>
        <row r="959">
          <cell r="A959" t="str">
            <v>B&amp;P-005-TCX204</v>
          </cell>
          <cell r="G959" t="str">
            <v>IDESP</v>
          </cell>
          <cell r="L959">
            <v>44008</v>
          </cell>
          <cell r="M959">
            <v>73</v>
          </cell>
          <cell r="P959">
            <v>8.72E-2</v>
          </cell>
        </row>
        <row r="960">
          <cell r="A960" t="str">
            <v>B&amp;P-005-TCX205</v>
          </cell>
          <cell r="G960" t="str">
            <v>IDESP</v>
          </cell>
          <cell r="L960">
            <v>44008</v>
          </cell>
          <cell r="M960">
            <v>73</v>
          </cell>
          <cell r="P960">
            <v>9.2999999999999999E-2</v>
          </cell>
        </row>
        <row r="961">
          <cell r="A961" t="str">
            <v>B&amp;P-005-TCX206</v>
          </cell>
          <cell r="G961" t="str">
            <v>IDESP</v>
          </cell>
          <cell r="L961">
            <v>44008</v>
          </cell>
          <cell r="M961">
            <v>73</v>
          </cell>
          <cell r="P961">
            <v>0.1105</v>
          </cell>
        </row>
        <row r="962">
          <cell r="A962" t="str">
            <v>B&amp;P-005-TCX207</v>
          </cell>
          <cell r="G962" t="str">
            <v>IDESP</v>
          </cell>
          <cell r="L962">
            <v>43369</v>
          </cell>
          <cell r="M962">
            <v>38.700000000000003</v>
          </cell>
          <cell r="P962">
            <v>0.14230000000000001</v>
          </cell>
        </row>
        <row r="963">
          <cell r="A963" t="str">
            <v>B&amp;P-005-TCX208</v>
          </cell>
          <cell r="G963" t="str">
            <v>IDESP</v>
          </cell>
          <cell r="L963">
            <v>44008</v>
          </cell>
          <cell r="M963">
            <v>73</v>
          </cell>
          <cell r="P963">
            <v>0.1386</v>
          </cell>
        </row>
        <row r="964">
          <cell r="A964" t="str">
            <v>B&amp;P-005-TCX209</v>
          </cell>
          <cell r="G964" t="str">
            <v xml:space="preserve">INAC </v>
          </cell>
          <cell r="L964">
            <v>45694</v>
          </cell>
          <cell r="M964">
            <v>1074.5</v>
          </cell>
          <cell r="P964">
            <v>0.19910004653327129</v>
          </cell>
        </row>
        <row r="965">
          <cell r="A965" t="str">
            <v>B&amp;P-005-TCX210</v>
          </cell>
          <cell r="G965" t="str">
            <v xml:space="preserve">INSI </v>
          </cell>
          <cell r="L965">
            <v>45244</v>
          </cell>
          <cell r="M965">
            <v>365.5</v>
          </cell>
          <cell r="P965">
            <v>1.8766</v>
          </cell>
        </row>
        <row r="966">
          <cell r="A966" t="str">
            <v>B&amp;P-005-TCX211</v>
          </cell>
          <cell r="G966" t="str">
            <v>IDESP</v>
          </cell>
          <cell r="L966">
            <v>43369</v>
          </cell>
          <cell r="M966">
            <v>38.700000000000003</v>
          </cell>
          <cell r="P966">
            <v>0.30270000000000002</v>
          </cell>
        </row>
        <row r="967">
          <cell r="A967" t="str">
            <v>B&amp;P-005-TCX212</v>
          </cell>
          <cell r="G967" t="str">
            <v xml:space="preserve">INSI </v>
          </cell>
          <cell r="L967">
            <v>45244</v>
          </cell>
          <cell r="M967">
            <v>365.5</v>
          </cell>
          <cell r="P967">
            <v>1.8766</v>
          </cell>
        </row>
        <row r="968">
          <cell r="A968" t="str">
            <v>B&amp;P-005-TCX213</v>
          </cell>
          <cell r="G968" t="str">
            <v>IDESP</v>
          </cell>
          <cell r="L968">
            <v>42104</v>
          </cell>
          <cell r="M968">
            <v>8.8699999999999992</v>
          </cell>
          <cell r="P968">
            <v>0.36</v>
          </cell>
        </row>
        <row r="969">
          <cell r="A969" t="str">
            <v>B&amp;P-005-TCX214</v>
          </cell>
          <cell r="G969" t="str">
            <v>IDESP</v>
          </cell>
          <cell r="L969">
            <v>41512</v>
          </cell>
          <cell r="M969">
            <v>5.62</v>
          </cell>
          <cell r="P969">
            <v>0.42</v>
          </cell>
        </row>
        <row r="970">
          <cell r="A970" t="str">
            <v>B&amp;P-005-TCX216</v>
          </cell>
          <cell r="G970" t="str">
            <v>IDESP</v>
          </cell>
          <cell r="L970">
            <v>42598</v>
          </cell>
          <cell r="M970">
            <v>15.04</v>
          </cell>
          <cell r="P970">
            <v>0.58299999999999996</v>
          </cell>
        </row>
        <row r="971">
          <cell r="A971" t="str">
            <v>B&amp;P-005-TCX309</v>
          </cell>
          <cell r="G971" t="str">
            <v>IDESP</v>
          </cell>
          <cell r="L971">
            <v>42598</v>
          </cell>
          <cell r="M971">
            <v>15.04</v>
          </cell>
          <cell r="P971">
            <v>0.28699999999999998</v>
          </cell>
        </row>
        <row r="972">
          <cell r="A972" t="str">
            <v>B&amp;P-005-TCX310</v>
          </cell>
          <cell r="G972" t="str">
            <v>IDESP</v>
          </cell>
          <cell r="L972">
            <v>43369</v>
          </cell>
          <cell r="M972">
            <v>38.700000000000003</v>
          </cell>
          <cell r="P972">
            <v>0.3679</v>
          </cell>
        </row>
        <row r="973">
          <cell r="A973" t="str">
            <v>B&amp;P-005-TDX006</v>
          </cell>
          <cell r="G973" t="str">
            <v xml:space="preserve">INSI </v>
          </cell>
          <cell r="L973">
            <v>42523</v>
          </cell>
          <cell r="M973">
            <v>14.33</v>
          </cell>
          <cell r="P973">
            <v>7.0000000000000007E-2</v>
          </cell>
        </row>
        <row r="974">
          <cell r="A974" t="str">
            <v>B&amp;P-005-TDX008</v>
          </cell>
          <cell r="G974" t="str">
            <v>IDESP</v>
          </cell>
          <cell r="L974">
            <v>43158</v>
          </cell>
          <cell r="M974">
            <v>20.420000000000002</v>
          </cell>
          <cell r="P974">
            <v>0.15260000000000001</v>
          </cell>
        </row>
        <row r="975">
          <cell r="A975" t="str">
            <v>B&amp;P-005-TDX009</v>
          </cell>
          <cell r="G975" t="str">
            <v>IDESP</v>
          </cell>
          <cell r="L975">
            <v>42600</v>
          </cell>
          <cell r="M975">
            <v>15.09</v>
          </cell>
          <cell r="P975">
            <v>0.17</v>
          </cell>
        </row>
        <row r="976">
          <cell r="A976" t="str">
            <v>B&amp;P-005-TDX010</v>
          </cell>
          <cell r="G976" t="str">
            <v>IDESP</v>
          </cell>
          <cell r="L976">
            <v>44445</v>
          </cell>
          <cell r="M976">
            <v>103</v>
          </cell>
          <cell r="P976">
            <v>2.4E-2</v>
          </cell>
        </row>
        <row r="977">
          <cell r="A977" t="str">
            <v>B&amp;P-005-TDX206</v>
          </cell>
          <cell r="G977" t="str">
            <v>IDESP</v>
          </cell>
          <cell r="L977">
            <v>43369</v>
          </cell>
          <cell r="M977">
            <v>38.700000000000003</v>
          </cell>
          <cell r="P977">
            <v>0.11409999999999999</v>
          </cell>
        </row>
        <row r="978">
          <cell r="A978" t="str">
            <v>B&amp;P-005-TDX207</v>
          </cell>
          <cell r="G978" t="str">
            <v>IDESP</v>
          </cell>
          <cell r="L978">
            <v>42853</v>
          </cell>
          <cell r="M978">
            <v>15.78</v>
          </cell>
          <cell r="P978">
            <v>0.1903</v>
          </cell>
        </row>
        <row r="979">
          <cell r="A979" t="str">
            <v>B&amp;P-005-TDX208</v>
          </cell>
          <cell r="G979" t="str">
            <v>IDESP</v>
          </cell>
          <cell r="L979">
            <v>43369</v>
          </cell>
          <cell r="M979">
            <v>38.700000000000003</v>
          </cell>
          <cell r="P979">
            <v>0.16589999999999999</v>
          </cell>
        </row>
        <row r="980">
          <cell r="A980" t="str">
            <v>B&amp;P-005-TDX209</v>
          </cell>
          <cell r="G980" t="str">
            <v>IDESP</v>
          </cell>
          <cell r="L980">
            <v>43369</v>
          </cell>
          <cell r="M980">
            <v>38.700000000000003</v>
          </cell>
          <cell r="P980">
            <v>0.18129999999999999</v>
          </cell>
        </row>
        <row r="981">
          <cell r="A981" t="str">
            <v>B&amp;P-005-TDX210</v>
          </cell>
          <cell r="G981" t="str">
            <v>IDESP</v>
          </cell>
          <cell r="L981">
            <v>42101</v>
          </cell>
          <cell r="M981">
            <v>8.86</v>
          </cell>
          <cell r="P981">
            <v>0.23</v>
          </cell>
        </row>
        <row r="982">
          <cell r="A982" t="str">
            <v>B&amp;P-005-TDX211</v>
          </cell>
          <cell r="G982" t="str">
            <v>IDESP</v>
          </cell>
          <cell r="L982">
            <v>43369</v>
          </cell>
          <cell r="M982">
            <v>38.700000000000003</v>
          </cell>
          <cell r="P982">
            <v>0.2374</v>
          </cell>
        </row>
        <row r="983">
          <cell r="A983" t="str">
            <v>B&amp;P-005-TDX212</v>
          </cell>
          <cell r="G983" t="str">
            <v>IDESP</v>
          </cell>
          <cell r="L983">
            <v>42104</v>
          </cell>
          <cell r="M983">
            <v>8.8699999999999992</v>
          </cell>
          <cell r="P983">
            <v>0.3</v>
          </cell>
        </row>
        <row r="984">
          <cell r="A984" t="str">
            <v>B&amp;P-005-TDX213</v>
          </cell>
          <cell r="G984" t="str">
            <v>IDESP</v>
          </cell>
          <cell r="L984">
            <v>42957</v>
          </cell>
          <cell r="M984">
            <v>18.04</v>
          </cell>
          <cell r="P984">
            <v>0.34310000000000002</v>
          </cell>
        </row>
        <row r="985">
          <cell r="A985" t="str">
            <v>B&amp;P-005-TDX214</v>
          </cell>
          <cell r="G985" t="str">
            <v>IDESP</v>
          </cell>
          <cell r="L985">
            <v>42677</v>
          </cell>
          <cell r="M985">
            <v>15.25</v>
          </cell>
          <cell r="P985">
            <v>0.38</v>
          </cell>
        </row>
        <row r="986">
          <cell r="A986" t="str">
            <v>B&amp;P-005-TDX216</v>
          </cell>
          <cell r="G986" t="str">
            <v xml:space="preserve">INAC </v>
          </cell>
          <cell r="L986">
            <v>45694</v>
          </cell>
          <cell r="M986">
            <v>1074.5</v>
          </cell>
          <cell r="P986">
            <v>0.7127994416007446</v>
          </cell>
        </row>
        <row r="987">
          <cell r="A987" t="str">
            <v>B&amp;P-005-TDX218</v>
          </cell>
          <cell r="G987" t="str">
            <v xml:space="preserve">INAC </v>
          </cell>
          <cell r="L987">
            <v>45694</v>
          </cell>
          <cell r="M987">
            <v>1074.5</v>
          </cell>
          <cell r="P987">
            <v>0.81619925546765937</v>
          </cell>
        </row>
        <row r="988">
          <cell r="A988" t="str">
            <v>B&amp;P-005-TX1845</v>
          </cell>
          <cell r="G988" t="str">
            <v xml:space="preserve">INAC </v>
          </cell>
          <cell r="L988">
            <v>45090</v>
          </cell>
          <cell r="M988">
            <v>255.5</v>
          </cell>
          <cell r="P988">
            <v>0.72610567514677105</v>
          </cell>
        </row>
        <row r="989">
          <cell r="A989" t="str">
            <v>B&amp;P-005-W-208-YYB22</v>
          </cell>
          <cell r="G989" t="str">
            <v>IDESP</v>
          </cell>
          <cell r="L989">
            <v>42863</v>
          </cell>
          <cell r="M989">
            <v>15.67</v>
          </cell>
          <cell r="P989">
            <v>0.20899999999999999</v>
          </cell>
        </row>
        <row r="990">
          <cell r="A990" t="str">
            <v>B&amp;P-010-BP-PMD</v>
          </cell>
          <cell r="G990" t="str">
            <v>VPRet</v>
          </cell>
          <cell r="L990">
            <v>42811</v>
          </cell>
          <cell r="M990">
            <v>15.84</v>
          </cell>
          <cell r="P990">
            <v>343.08080808080808</v>
          </cell>
        </row>
        <row r="991">
          <cell r="A991" t="str">
            <v>B&amp;P-010-BP-PMI</v>
          </cell>
          <cell r="G991" t="str">
            <v>VPRet</v>
          </cell>
          <cell r="L991">
            <v>42811</v>
          </cell>
          <cell r="M991">
            <v>15.84</v>
          </cell>
          <cell r="P991">
            <v>343.08080808080808</v>
          </cell>
        </row>
        <row r="992">
          <cell r="A992" t="str">
            <v>B&amp;P-010-LOC204-20</v>
          </cell>
          <cell r="G992" t="str">
            <v>IDESP</v>
          </cell>
          <cell r="L992">
            <v>45587</v>
          </cell>
          <cell r="M992">
            <v>1004.5</v>
          </cell>
          <cell r="P992">
            <v>0.1338</v>
          </cell>
        </row>
        <row r="993">
          <cell r="A993" t="str">
            <v>B&amp;P-010-LOC205-14</v>
          </cell>
          <cell r="G993" t="str">
            <v>IDESP</v>
          </cell>
          <cell r="L993">
            <v>45554</v>
          </cell>
          <cell r="M993">
            <v>982</v>
          </cell>
          <cell r="P993">
            <v>0.1326</v>
          </cell>
        </row>
        <row r="994">
          <cell r="A994" t="str">
            <v>B&amp;P-010-LOC205-16</v>
          </cell>
          <cell r="G994" t="str">
            <v>IDESP</v>
          </cell>
          <cell r="L994">
            <v>45996</v>
          </cell>
          <cell r="M994">
            <v>1470</v>
          </cell>
          <cell r="P994">
            <v>0.1356</v>
          </cell>
        </row>
        <row r="995">
          <cell r="A995" t="str">
            <v>B&amp;P-010-LOC205-25</v>
          </cell>
          <cell r="G995" t="str">
            <v>IDESP</v>
          </cell>
          <cell r="L995">
            <v>45996</v>
          </cell>
          <cell r="M995">
            <v>1470</v>
          </cell>
          <cell r="P995">
            <v>0.14130000000000001</v>
          </cell>
        </row>
        <row r="996">
          <cell r="A996" t="str">
            <v>B&amp;P-010-LOC206-18</v>
          </cell>
          <cell r="G996" t="str">
            <v>IDESP</v>
          </cell>
          <cell r="L996">
            <v>45930</v>
          </cell>
          <cell r="M996">
            <v>1380</v>
          </cell>
          <cell r="P996">
            <v>0.23219999999999999</v>
          </cell>
        </row>
        <row r="997">
          <cell r="A997" t="str">
            <v>B&amp;P-010-LOC206-19</v>
          </cell>
          <cell r="G997" t="str">
            <v>IDESP</v>
          </cell>
          <cell r="L997">
            <v>44641</v>
          </cell>
          <cell r="M997">
            <v>114.75</v>
          </cell>
          <cell r="P997">
            <v>0.32</v>
          </cell>
        </row>
        <row r="998">
          <cell r="A998" t="str">
            <v>B&amp;P-010-LOC206-20</v>
          </cell>
          <cell r="G998" t="str">
            <v>IDESP</v>
          </cell>
          <cell r="L998">
            <v>45996</v>
          </cell>
          <cell r="M998">
            <v>1470</v>
          </cell>
          <cell r="P998">
            <v>0.18</v>
          </cell>
        </row>
        <row r="999">
          <cell r="A999" t="str">
            <v>B&amp;P-010-LOC206-25</v>
          </cell>
          <cell r="G999" t="str">
            <v>IDESP</v>
          </cell>
          <cell r="L999">
            <v>45587</v>
          </cell>
          <cell r="M999">
            <v>1004.5</v>
          </cell>
          <cell r="P999">
            <v>0.35520000000000002</v>
          </cell>
        </row>
        <row r="1000">
          <cell r="A1000" t="str">
            <v>B&amp;P-010-LOC206-30</v>
          </cell>
          <cell r="G1000" t="str">
            <v>IDESP</v>
          </cell>
          <cell r="L1000">
            <v>45930</v>
          </cell>
          <cell r="M1000">
            <v>1380</v>
          </cell>
          <cell r="P1000">
            <v>0.17399999999999999</v>
          </cell>
        </row>
        <row r="1001">
          <cell r="A1001" t="str">
            <v>B&amp;P-010-LOC207-20</v>
          </cell>
          <cell r="G1001" t="str">
            <v>IDESP</v>
          </cell>
          <cell r="L1001">
            <v>44615</v>
          </cell>
          <cell r="M1001">
            <v>112.5</v>
          </cell>
          <cell r="P1001">
            <v>0.41</v>
          </cell>
        </row>
        <row r="1002">
          <cell r="A1002" t="str">
            <v>B&amp;P-010-LOC207-22</v>
          </cell>
          <cell r="G1002" t="str">
            <v xml:space="preserve">INAC </v>
          </cell>
          <cell r="L1002">
            <v>45372</v>
          </cell>
          <cell r="M1002">
            <v>872</v>
          </cell>
          <cell r="P1002">
            <v>0.29704128440366973</v>
          </cell>
        </row>
        <row r="1003">
          <cell r="A1003" t="str">
            <v>B&amp;P-010-LOC207-23</v>
          </cell>
          <cell r="G1003" t="str">
            <v>IDESP</v>
          </cell>
          <cell r="L1003">
            <v>45930</v>
          </cell>
          <cell r="M1003">
            <v>1380</v>
          </cell>
          <cell r="P1003">
            <v>0.2412</v>
          </cell>
        </row>
        <row r="1004">
          <cell r="A1004" t="str">
            <v>B&amp;P-010-LOC207-35</v>
          </cell>
          <cell r="G1004" t="str">
            <v>IDESP</v>
          </cell>
          <cell r="L1004">
            <v>45996</v>
          </cell>
          <cell r="M1004">
            <v>1470</v>
          </cell>
          <cell r="P1004">
            <v>0.20039999999999999</v>
          </cell>
        </row>
        <row r="1005">
          <cell r="A1005" t="str">
            <v>B&amp;P-010-LOC208-24</v>
          </cell>
          <cell r="G1005" t="str">
            <v>IDESP</v>
          </cell>
          <cell r="L1005">
            <v>45930</v>
          </cell>
          <cell r="M1005">
            <v>1380</v>
          </cell>
          <cell r="P1005">
            <v>0.30059999999999998</v>
          </cell>
        </row>
        <row r="1006">
          <cell r="A1006" t="str">
            <v>B&amp;P-010-LOC208-40</v>
          </cell>
          <cell r="G1006" t="str">
            <v>IDESP</v>
          </cell>
          <cell r="L1006">
            <v>45930</v>
          </cell>
          <cell r="M1006">
            <v>1380</v>
          </cell>
          <cell r="P1006">
            <v>0.27900000000000003</v>
          </cell>
        </row>
        <row r="1007">
          <cell r="A1007" t="str">
            <v>B&amp;P-010-LOC209-27</v>
          </cell>
          <cell r="G1007" t="str">
            <v>IDESP</v>
          </cell>
          <cell r="L1007">
            <v>45124</v>
          </cell>
          <cell r="M1007">
            <v>277</v>
          </cell>
          <cell r="P1007">
            <v>0.28599999999999998</v>
          </cell>
        </row>
        <row r="1008">
          <cell r="A1008" t="str">
            <v>B&amp;P-010-LOC209-28</v>
          </cell>
          <cell r="G1008" t="str">
            <v>IDESP</v>
          </cell>
          <cell r="L1008">
            <v>45587</v>
          </cell>
          <cell r="M1008">
            <v>1004.5</v>
          </cell>
          <cell r="P1008">
            <v>0.28620000000000001</v>
          </cell>
        </row>
        <row r="1009">
          <cell r="A1009" t="str">
            <v>B&amp;P-010-LOC209-45</v>
          </cell>
          <cell r="G1009" t="str">
            <v>IDESP</v>
          </cell>
          <cell r="L1009">
            <v>44733</v>
          </cell>
          <cell r="M1009">
            <v>127.75</v>
          </cell>
          <cell r="P1009">
            <v>0.61</v>
          </cell>
        </row>
        <row r="1010">
          <cell r="A1010" t="str">
            <v>B&amp;P-010-LOC210-31</v>
          </cell>
          <cell r="G1010" t="str">
            <v xml:space="preserve">INSI </v>
          </cell>
          <cell r="L1010">
            <v>45168</v>
          </cell>
          <cell r="M1010">
            <v>365.5</v>
          </cell>
          <cell r="P1010">
            <v>0.65</v>
          </cell>
        </row>
        <row r="1011">
          <cell r="A1011" t="str">
            <v>B&amp;P-010-LOC210-32</v>
          </cell>
          <cell r="G1011" t="str">
            <v>IDESP</v>
          </cell>
          <cell r="L1011">
            <v>45124</v>
          </cell>
          <cell r="M1011">
            <v>277</v>
          </cell>
          <cell r="P1011">
            <v>0.34910000000000002</v>
          </cell>
        </row>
        <row r="1012">
          <cell r="A1012" t="str">
            <v>B&amp;P-010-LOC210-50</v>
          </cell>
          <cell r="G1012" t="str">
            <v>IDESP</v>
          </cell>
          <cell r="L1012">
            <v>45996</v>
          </cell>
          <cell r="M1012">
            <v>1470</v>
          </cell>
          <cell r="P1012">
            <v>0.39300000000000002</v>
          </cell>
        </row>
        <row r="1013">
          <cell r="A1013" t="str">
            <v>B&amp;P-010-LOC211-32</v>
          </cell>
          <cell r="G1013" t="str">
            <v>IDESP</v>
          </cell>
          <cell r="L1013">
            <v>44676</v>
          </cell>
          <cell r="M1013">
            <v>119.5</v>
          </cell>
          <cell r="P1013">
            <v>1</v>
          </cell>
        </row>
        <row r="1014">
          <cell r="A1014" t="str">
            <v>B&amp;P-010-LOC211-35</v>
          </cell>
          <cell r="G1014" t="str">
            <v>IDESP</v>
          </cell>
          <cell r="L1014">
            <v>44609</v>
          </cell>
          <cell r="M1014">
            <v>112</v>
          </cell>
          <cell r="P1014">
            <v>0.51600000000000001</v>
          </cell>
        </row>
        <row r="1015">
          <cell r="A1015" t="str">
            <v>B&amp;P-010-LOC211-55</v>
          </cell>
          <cell r="G1015" t="str">
            <v>IDESP</v>
          </cell>
          <cell r="L1015">
            <v>44676</v>
          </cell>
          <cell r="M1015">
            <v>119.5</v>
          </cell>
          <cell r="P1015">
            <v>0.98</v>
          </cell>
        </row>
        <row r="1016">
          <cell r="A1016" t="str">
            <v>B&amp;P-010-LOC212-39</v>
          </cell>
          <cell r="G1016" t="str">
            <v>IDESP</v>
          </cell>
          <cell r="L1016">
            <v>44274</v>
          </cell>
          <cell r="M1016">
            <v>96.5</v>
          </cell>
          <cell r="P1016">
            <v>1.38</v>
          </cell>
        </row>
        <row r="1017">
          <cell r="A1017" t="str">
            <v>B&amp;P-010-LOC212-60</v>
          </cell>
          <cell r="G1017" t="str">
            <v>IDESP</v>
          </cell>
          <cell r="L1017">
            <v>45124</v>
          </cell>
          <cell r="M1017">
            <v>277</v>
          </cell>
          <cell r="P1017">
            <v>0.49969999999999998</v>
          </cell>
        </row>
        <row r="1018">
          <cell r="A1018" t="str">
            <v>B&amp;P-010-LOC308-40</v>
          </cell>
          <cell r="G1018" t="str">
            <v>IDESP</v>
          </cell>
          <cell r="L1018">
            <v>45587</v>
          </cell>
          <cell r="M1018">
            <v>1004.5</v>
          </cell>
          <cell r="P1018">
            <v>0.54120000000000001</v>
          </cell>
        </row>
        <row r="1019">
          <cell r="A1019" t="str">
            <v>B&amp;P-010-SR100x11.5</v>
          </cell>
          <cell r="G1019" t="str">
            <v>IDESP</v>
          </cell>
          <cell r="L1019">
            <v>45714</v>
          </cell>
          <cell r="M1019">
            <v>1081</v>
          </cell>
          <cell r="P1019">
            <v>0.34499999999999997</v>
          </cell>
        </row>
        <row r="1020">
          <cell r="A1020" t="str">
            <v>B&amp;P-010-SR100x9.5</v>
          </cell>
          <cell r="G1020" t="str">
            <v>IDESP</v>
          </cell>
          <cell r="L1020">
            <v>45714</v>
          </cell>
          <cell r="M1020">
            <v>1081</v>
          </cell>
          <cell r="P1020">
            <v>0.23499999999999999</v>
          </cell>
        </row>
        <row r="1021">
          <cell r="A1021" t="str">
            <v>B&amp;P-010-SR110x10</v>
          </cell>
          <cell r="G1021" t="str">
            <v>IDESP</v>
          </cell>
          <cell r="L1021">
            <v>45714</v>
          </cell>
          <cell r="M1021">
            <v>1081</v>
          </cell>
          <cell r="P1021">
            <v>0.3</v>
          </cell>
        </row>
        <row r="1022">
          <cell r="A1022" t="str">
            <v>B&amp;P-010-SR110x13</v>
          </cell>
          <cell r="G1022" t="str">
            <v>IDESP</v>
          </cell>
          <cell r="L1022">
            <v>45714</v>
          </cell>
          <cell r="M1022">
            <v>1081</v>
          </cell>
          <cell r="P1022">
            <v>0.51</v>
          </cell>
        </row>
        <row r="1023">
          <cell r="A1023" t="str">
            <v>B&amp;P-010-SR120x10</v>
          </cell>
          <cell r="G1023" t="str">
            <v>IDESP</v>
          </cell>
          <cell r="L1023">
            <v>45714</v>
          </cell>
          <cell r="M1023">
            <v>1081</v>
          </cell>
          <cell r="P1023">
            <v>0.38500000000000001</v>
          </cell>
        </row>
        <row r="1024">
          <cell r="A1024" t="str">
            <v>B&amp;P-010-SR120x14</v>
          </cell>
          <cell r="G1024" t="str">
            <v>IDESP</v>
          </cell>
          <cell r="L1024">
            <v>45714</v>
          </cell>
          <cell r="M1024">
            <v>1081</v>
          </cell>
          <cell r="P1024">
            <v>0.54</v>
          </cell>
        </row>
        <row r="1025">
          <cell r="A1025" t="str">
            <v>B&amp;P-010-SR130x12.5</v>
          </cell>
          <cell r="G1025" t="str">
            <v>IDESP</v>
          </cell>
          <cell r="L1025">
            <v>45714</v>
          </cell>
          <cell r="M1025">
            <v>1081</v>
          </cell>
          <cell r="P1025">
            <v>0.49</v>
          </cell>
        </row>
        <row r="1026">
          <cell r="A1026" t="str">
            <v>B&amp;P-010-SR130x15.5</v>
          </cell>
          <cell r="G1026" t="str">
            <v>IDESP</v>
          </cell>
          <cell r="L1026">
            <v>45714</v>
          </cell>
          <cell r="M1026">
            <v>1081</v>
          </cell>
          <cell r="P1026">
            <v>0.85499999999999998</v>
          </cell>
        </row>
        <row r="1027">
          <cell r="A1027" t="str">
            <v>B&amp;P-010-SR140x12.5</v>
          </cell>
          <cell r="G1027" t="str">
            <v>IDESP</v>
          </cell>
          <cell r="L1027">
            <v>45714</v>
          </cell>
          <cell r="M1027">
            <v>1081</v>
          </cell>
          <cell r="P1027">
            <v>0.65500000000000003</v>
          </cell>
        </row>
        <row r="1028">
          <cell r="A1028" t="str">
            <v>B&amp;P-010-SR140x16</v>
          </cell>
          <cell r="G1028" t="str">
            <v>IDESP</v>
          </cell>
          <cell r="L1028">
            <v>45714</v>
          </cell>
          <cell r="M1028">
            <v>1081</v>
          </cell>
          <cell r="P1028">
            <v>1.0449999999999999</v>
          </cell>
        </row>
        <row r="1029">
          <cell r="A1029" t="str">
            <v>B&amp;P-010-SR150x12.5</v>
          </cell>
          <cell r="G1029" t="str">
            <v>IDESP</v>
          </cell>
          <cell r="L1029">
            <v>45714</v>
          </cell>
          <cell r="M1029">
            <v>1081</v>
          </cell>
          <cell r="P1029">
            <v>0.75</v>
          </cell>
        </row>
        <row r="1030">
          <cell r="A1030" t="str">
            <v>B&amp;P-010-SR150x16.5</v>
          </cell>
          <cell r="G1030" t="str">
            <v>IDESP</v>
          </cell>
          <cell r="L1030">
            <v>45714</v>
          </cell>
          <cell r="M1030">
            <v>1081</v>
          </cell>
          <cell r="P1030">
            <v>0.98</v>
          </cell>
        </row>
        <row r="1031">
          <cell r="A1031" t="str">
            <v>B&amp;P-010-SR160x12.5</v>
          </cell>
          <cell r="G1031" t="str">
            <v>IDESP</v>
          </cell>
          <cell r="L1031">
            <v>45714</v>
          </cell>
          <cell r="M1031">
            <v>1081</v>
          </cell>
          <cell r="P1031">
            <v>0.79500000000000004</v>
          </cell>
        </row>
        <row r="1032">
          <cell r="A1032" t="str">
            <v>B&amp;P-010-SR160x12.6</v>
          </cell>
          <cell r="G1032" t="str">
            <v>IDESP</v>
          </cell>
          <cell r="L1032">
            <v>45714</v>
          </cell>
          <cell r="M1032">
            <v>1081</v>
          </cell>
          <cell r="P1032">
            <v>0.8</v>
          </cell>
        </row>
        <row r="1033">
          <cell r="A1033" t="str">
            <v>B&amp;P-010-SR160x17.5</v>
          </cell>
          <cell r="G1033" t="str">
            <v>IDESP</v>
          </cell>
          <cell r="L1033">
            <v>45714</v>
          </cell>
          <cell r="M1033">
            <v>1081</v>
          </cell>
          <cell r="P1033">
            <v>1.175</v>
          </cell>
        </row>
        <row r="1034">
          <cell r="A1034" t="str">
            <v>B&amp;P-010-SR170x12.5</v>
          </cell>
          <cell r="G1034" t="str">
            <v>IDESP</v>
          </cell>
          <cell r="L1034">
            <v>45714</v>
          </cell>
          <cell r="M1034">
            <v>1081</v>
          </cell>
          <cell r="P1034">
            <v>0.84499999999999997</v>
          </cell>
        </row>
        <row r="1035">
          <cell r="A1035" t="str">
            <v>B&amp;P-010-SR170x14.5</v>
          </cell>
          <cell r="G1035" t="str">
            <v>IDESP</v>
          </cell>
          <cell r="L1035">
            <v>45714</v>
          </cell>
          <cell r="M1035">
            <v>1081</v>
          </cell>
          <cell r="P1035">
            <v>0.91</v>
          </cell>
        </row>
        <row r="1036">
          <cell r="A1036" t="str">
            <v>B&amp;P-010-SR180x12</v>
          </cell>
          <cell r="G1036" t="str">
            <v>IDESP</v>
          </cell>
          <cell r="L1036">
            <v>45714</v>
          </cell>
          <cell r="M1036">
            <v>1081</v>
          </cell>
          <cell r="P1036">
            <v>0.80500000000000005</v>
          </cell>
        </row>
        <row r="1037">
          <cell r="A1037" t="str">
            <v>B&amp;P-010-SR180x9.7</v>
          </cell>
          <cell r="G1037" t="str">
            <v>IDESP</v>
          </cell>
          <cell r="L1037">
            <v>45714</v>
          </cell>
          <cell r="M1037">
            <v>1081</v>
          </cell>
          <cell r="P1037">
            <v>0.78</v>
          </cell>
        </row>
        <row r="1038">
          <cell r="A1038" t="str">
            <v>B&amp;P-010-SR200x10.2</v>
          </cell>
          <cell r="G1038" t="str">
            <v>IDESP</v>
          </cell>
          <cell r="L1038">
            <v>45714</v>
          </cell>
          <cell r="M1038">
            <v>1081</v>
          </cell>
          <cell r="P1038">
            <v>0.94</v>
          </cell>
        </row>
        <row r="1039">
          <cell r="A1039" t="str">
            <v>B&amp;P-010-SR200x13.5</v>
          </cell>
          <cell r="G1039" t="str">
            <v>IDESP</v>
          </cell>
          <cell r="L1039">
            <v>45714</v>
          </cell>
          <cell r="M1039">
            <v>1081</v>
          </cell>
          <cell r="P1039">
            <v>1.05</v>
          </cell>
        </row>
        <row r="1040">
          <cell r="A1040" t="str">
            <v>B&amp;P-010-SR80x10.5</v>
          </cell>
          <cell r="G1040" t="str">
            <v>IDESP</v>
          </cell>
          <cell r="L1040">
            <v>45714</v>
          </cell>
          <cell r="M1040">
            <v>1081</v>
          </cell>
          <cell r="P1040">
            <v>0.21</v>
          </cell>
        </row>
        <row r="1041">
          <cell r="A1041" t="str">
            <v>B&amp;P-010-SR80x8</v>
          </cell>
          <cell r="G1041" t="str">
            <v>IDESP</v>
          </cell>
          <cell r="L1041">
            <v>45714</v>
          </cell>
          <cell r="M1041">
            <v>1081</v>
          </cell>
          <cell r="P1041">
            <v>0.2</v>
          </cell>
        </row>
        <row r="1042">
          <cell r="A1042" t="str">
            <v>B&amp;P-010-SR85x5.5</v>
          </cell>
          <cell r="G1042" t="str">
            <v>IDESP</v>
          </cell>
          <cell r="L1042">
            <v>45714</v>
          </cell>
          <cell r="M1042">
            <v>1081</v>
          </cell>
          <cell r="P1042">
            <v>0.18</v>
          </cell>
        </row>
        <row r="1043">
          <cell r="A1043" t="str">
            <v>B&amp;P-010-SR85x7</v>
          </cell>
          <cell r="G1043" t="str">
            <v>IDESP</v>
          </cell>
          <cell r="L1043">
            <v>45714</v>
          </cell>
          <cell r="M1043">
            <v>1081</v>
          </cell>
          <cell r="P1043">
            <v>0.21</v>
          </cell>
        </row>
        <row r="1044">
          <cell r="A1044" t="str">
            <v>B&amp;P-010-SR90x10.5</v>
          </cell>
          <cell r="G1044" t="str">
            <v>IDESP</v>
          </cell>
          <cell r="L1044">
            <v>45714</v>
          </cell>
          <cell r="M1044">
            <v>1081</v>
          </cell>
          <cell r="P1044">
            <v>0.28000000000000003</v>
          </cell>
        </row>
        <row r="1045">
          <cell r="A1045" t="str">
            <v>B&amp;P-010-SR90x9</v>
          </cell>
          <cell r="G1045" t="str">
            <v>IDESP</v>
          </cell>
          <cell r="L1045">
            <v>45714</v>
          </cell>
          <cell r="M1045">
            <v>1081</v>
          </cell>
          <cell r="P1045">
            <v>0.23</v>
          </cell>
        </row>
        <row r="1046">
          <cell r="A1046" t="str">
            <v>B&amp;P-027-08-DTR2549</v>
          </cell>
          <cell r="G1046" t="str">
            <v>IDESP</v>
          </cell>
          <cell r="L1046">
            <v>45628</v>
          </cell>
          <cell r="M1046">
            <v>1031</v>
          </cell>
          <cell r="P1046">
            <v>0.17</v>
          </cell>
        </row>
        <row r="1047">
          <cell r="A1047" t="str">
            <v>B&amp;P-027-205-BR-09</v>
          </cell>
          <cell r="G1047" t="str">
            <v>IDESP</v>
          </cell>
          <cell r="L1047">
            <v>44631</v>
          </cell>
          <cell r="M1047">
            <v>114</v>
          </cell>
          <cell r="P1047">
            <v>0.04</v>
          </cell>
        </row>
        <row r="1048">
          <cell r="A1048" t="str">
            <v>B&amp;P-027-205-KPPB9-09</v>
          </cell>
          <cell r="G1048" t="str">
            <v>IDESP</v>
          </cell>
          <cell r="L1048">
            <v>41946</v>
          </cell>
          <cell r="M1048">
            <v>8.5</v>
          </cell>
          <cell r="P1048">
            <v>0.16</v>
          </cell>
        </row>
        <row r="1049">
          <cell r="A1049" t="str">
            <v>B&amp;P-027-207-BR-09</v>
          </cell>
          <cell r="G1049" t="str">
            <v>IDESP</v>
          </cell>
          <cell r="L1049">
            <v>44615</v>
          </cell>
          <cell r="M1049">
            <v>112.5</v>
          </cell>
          <cell r="P1049">
            <v>0.13</v>
          </cell>
        </row>
        <row r="1050">
          <cell r="A1050" t="str">
            <v>B&amp;P-027-209-BR-09</v>
          </cell>
          <cell r="G1050" t="str">
            <v>IDESP</v>
          </cell>
          <cell r="L1050">
            <v>44615</v>
          </cell>
          <cell r="M1050">
            <v>112.5</v>
          </cell>
          <cell r="P1050">
            <v>0.19</v>
          </cell>
        </row>
        <row r="1051">
          <cell r="A1051" t="str">
            <v>B&amp;P-027-211-BR-09</v>
          </cell>
          <cell r="G1051" t="str">
            <v>IDESP</v>
          </cell>
          <cell r="L1051">
            <v>44615</v>
          </cell>
          <cell r="M1051">
            <v>112.5</v>
          </cell>
          <cell r="P1051">
            <v>0.33</v>
          </cell>
        </row>
        <row r="1052">
          <cell r="A1052" t="str">
            <v>B&amp;P-027-5203-KYY9</v>
          </cell>
          <cell r="G1052" t="str">
            <v>IDESP</v>
          </cell>
          <cell r="L1052">
            <v>45776</v>
          </cell>
          <cell r="M1052">
            <v>1190</v>
          </cell>
          <cell r="P1052">
            <v>0.13600000000000001</v>
          </cell>
        </row>
        <row r="1053">
          <cell r="A1053" t="str">
            <v>B&amp;P-027-BP12011-01-8</v>
          </cell>
          <cell r="G1053" t="str">
            <v>IDESP</v>
          </cell>
          <cell r="L1053">
            <v>42733</v>
          </cell>
          <cell r="M1053">
            <v>16.079999999999998</v>
          </cell>
          <cell r="P1053">
            <v>0.125</v>
          </cell>
        </row>
        <row r="1054">
          <cell r="A1054" t="str">
            <v>B&amp;P-027-NTBS-1613-09</v>
          </cell>
          <cell r="G1054" t="str">
            <v xml:space="preserve">INAC </v>
          </cell>
          <cell r="L1054">
            <v>45512</v>
          </cell>
          <cell r="M1054">
            <v>955.5</v>
          </cell>
          <cell r="P1054">
            <v>6.0986813186813184E-2</v>
          </cell>
        </row>
        <row r="1055">
          <cell r="A1055" t="str">
            <v>B&amp;P-027-SEAL204JY3DL</v>
          </cell>
          <cell r="G1055" t="str">
            <v>IDESP</v>
          </cell>
          <cell r="L1055">
            <v>42887</v>
          </cell>
          <cell r="M1055">
            <v>16.37</v>
          </cell>
          <cell r="P1055">
            <v>0.15</v>
          </cell>
        </row>
        <row r="1056">
          <cell r="A1056" t="str">
            <v>B&amp;P-031-12025rollers</v>
          </cell>
          <cell r="G1056" t="str">
            <v>IDESP</v>
          </cell>
          <cell r="L1056">
            <v>45916</v>
          </cell>
          <cell r="M1056">
            <v>1475</v>
          </cell>
          <cell r="P1056">
            <v>3.4</v>
          </cell>
        </row>
        <row r="1057">
          <cell r="A1057" t="str">
            <v>B&amp;P-031-DAC-25520037</v>
          </cell>
          <cell r="G1057" t="str">
            <v>IDESP</v>
          </cell>
          <cell r="L1057">
            <v>45539</v>
          </cell>
          <cell r="M1057">
            <v>973</v>
          </cell>
          <cell r="P1057">
            <v>3.01</v>
          </cell>
        </row>
        <row r="1058">
          <cell r="A1058" t="str">
            <v>B&amp;P-031-DAC-25520042</v>
          </cell>
          <cell r="G1058" t="str">
            <v>IDESP</v>
          </cell>
          <cell r="L1058">
            <v>45539</v>
          </cell>
          <cell r="M1058">
            <v>973</v>
          </cell>
          <cell r="P1058">
            <v>3.01</v>
          </cell>
        </row>
        <row r="1059">
          <cell r="A1059" t="str">
            <v>B&amp;P-031-DAC-30600337</v>
          </cell>
          <cell r="G1059" t="str">
            <v>IDESP</v>
          </cell>
          <cell r="L1059">
            <v>45539</v>
          </cell>
          <cell r="M1059">
            <v>973</v>
          </cell>
          <cell r="P1059">
            <v>2.84</v>
          </cell>
        </row>
        <row r="1060">
          <cell r="A1060" t="str">
            <v>B&amp;P-031-DAC-30620030</v>
          </cell>
          <cell r="G1060" t="str">
            <v>IDESP</v>
          </cell>
          <cell r="L1060">
            <v>45656</v>
          </cell>
          <cell r="M1060">
            <v>1051</v>
          </cell>
          <cell r="P1060">
            <v>3.25</v>
          </cell>
        </row>
        <row r="1061">
          <cell r="A1061" t="str">
            <v>B&amp;P-031-DAC-34660037</v>
          </cell>
          <cell r="G1061" t="str">
            <v>IDESP</v>
          </cell>
          <cell r="L1061">
            <v>45539</v>
          </cell>
          <cell r="M1061">
            <v>973</v>
          </cell>
          <cell r="P1061">
            <v>3.4</v>
          </cell>
        </row>
        <row r="1062">
          <cell r="A1062" t="str">
            <v>B&amp;P-031-DAC-34670037</v>
          </cell>
          <cell r="G1062" t="str">
            <v xml:space="preserve">INSI </v>
          </cell>
          <cell r="L1062">
            <v>46009</v>
          </cell>
          <cell r="M1062">
            <v>1475</v>
          </cell>
          <cell r="P1062">
            <v>3.49</v>
          </cell>
        </row>
        <row r="1063">
          <cell r="A1063" t="str">
            <v>B&amp;P-031-DAC-35650035</v>
          </cell>
          <cell r="G1063" t="str">
            <v>IDESP</v>
          </cell>
          <cell r="L1063">
            <v>41439</v>
          </cell>
          <cell r="M1063">
            <v>5.33</v>
          </cell>
          <cell r="P1063">
            <v>2.92</v>
          </cell>
        </row>
        <row r="1064">
          <cell r="A1064" t="str">
            <v>B&amp;P-031-DAC-35680037</v>
          </cell>
          <cell r="G1064" t="str">
            <v>IDESP</v>
          </cell>
          <cell r="L1064">
            <v>41241</v>
          </cell>
          <cell r="M1064">
            <v>4.83</v>
          </cell>
          <cell r="P1064">
            <v>3.15</v>
          </cell>
        </row>
        <row r="1065">
          <cell r="A1065" t="str">
            <v>B&amp;P-031-DAC-35720033</v>
          </cell>
          <cell r="G1065" t="str">
            <v>IDESP</v>
          </cell>
          <cell r="L1065">
            <v>45539</v>
          </cell>
          <cell r="M1065">
            <v>973</v>
          </cell>
          <cell r="P1065">
            <v>4.13</v>
          </cell>
        </row>
        <row r="1066">
          <cell r="A1066" t="str">
            <v>B&amp;P-031-DAC-35720034</v>
          </cell>
          <cell r="G1066" t="str">
            <v>IDESP</v>
          </cell>
          <cell r="L1066">
            <v>45093</v>
          </cell>
          <cell r="M1066">
            <v>258</v>
          </cell>
          <cell r="P1066">
            <v>3.78</v>
          </cell>
        </row>
        <row r="1067">
          <cell r="A1067" t="str">
            <v>B&amp;P-031-DAC-37720037</v>
          </cell>
          <cell r="G1067" t="str">
            <v>IDESP</v>
          </cell>
          <cell r="L1067">
            <v>45539</v>
          </cell>
          <cell r="M1067">
            <v>973</v>
          </cell>
          <cell r="P1067">
            <v>3.65</v>
          </cell>
        </row>
        <row r="1068">
          <cell r="A1068" t="str">
            <v>B&amp;P-031-DAC-39720037</v>
          </cell>
          <cell r="G1068" t="str">
            <v>IDESP</v>
          </cell>
          <cell r="L1068">
            <v>41439</v>
          </cell>
          <cell r="M1068">
            <v>5.33</v>
          </cell>
          <cell r="P1068">
            <v>3.5</v>
          </cell>
        </row>
        <row r="1069">
          <cell r="A1069" t="str">
            <v>B&amp;P-031-DAC-39740039</v>
          </cell>
          <cell r="G1069" t="str">
            <v>IDESP</v>
          </cell>
          <cell r="L1069">
            <v>45020</v>
          </cell>
          <cell r="M1069">
            <v>216.5</v>
          </cell>
          <cell r="P1069">
            <v>4</v>
          </cell>
        </row>
        <row r="1070">
          <cell r="A1070" t="str">
            <v>B&amp;P-031-DAC-40108001</v>
          </cell>
          <cell r="G1070" t="str">
            <v>IDESP</v>
          </cell>
          <cell r="L1070">
            <v>41241</v>
          </cell>
          <cell r="M1070">
            <v>4.83</v>
          </cell>
          <cell r="P1070">
            <v>5.81</v>
          </cell>
        </row>
        <row r="1071">
          <cell r="A1071" t="str">
            <v>B&amp;P-031-DAC-40720037</v>
          </cell>
          <cell r="G1071" t="str">
            <v>IDESP</v>
          </cell>
          <cell r="L1071">
            <v>41439</v>
          </cell>
          <cell r="M1071">
            <v>5.33</v>
          </cell>
          <cell r="P1071">
            <v>3.17</v>
          </cell>
        </row>
        <row r="1072">
          <cell r="A1072" t="str">
            <v>B&amp;P-031-DAC-42840039</v>
          </cell>
          <cell r="G1072" t="str">
            <v>IDESP</v>
          </cell>
          <cell r="L1072">
            <v>45539</v>
          </cell>
          <cell r="M1072">
            <v>973</v>
          </cell>
          <cell r="P1072">
            <v>5.35</v>
          </cell>
        </row>
        <row r="1073">
          <cell r="A1073" t="str">
            <v>B&amp;P-031-DAC-45800045</v>
          </cell>
          <cell r="G1073" t="str">
            <v>IDESP</v>
          </cell>
          <cell r="L1073">
            <v>41241</v>
          </cell>
          <cell r="M1073">
            <v>4.83</v>
          </cell>
          <cell r="P1073">
            <v>4.84</v>
          </cell>
        </row>
        <row r="1074">
          <cell r="A1074" t="str">
            <v>B&amp;P-033-ASA-100-1</v>
          </cell>
          <cell r="G1074" t="str">
            <v>IDESP</v>
          </cell>
          <cell r="L1074">
            <v>45975</v>
          </cell>
          <cell r="M1074">
            <v>1430</v>
          </cell>
          <cell r="P1074">
            <v>2.93</v>
          </cell>
        </row>
        <row r="1075">
          <cell r="A1075" t="str">
            <v>B&amp;P-033-ASA-100-1H</v>
          </cell>
          <cell r="G1075" t="str">
            <v>IDESP</v>
          </cell>
          <cell r="L1075">
            <v>45807</v>
          </cell>
          <cell r="M1075">
            <v>1195</v>
          </cell>
          <cell r="P1075">
            <v>4.0999999999999996</v>
          </cell>
        </row>
        <row r="1076">
          <cell r="A1076" t="str">
            <v>B&amp;P-033-ASA-100-2</v>
          </cell>
          <cell r="G1076" t="str">
            <v>IDESP</v>
          </cell>
          <cell r="L1076">
            <v>45887</v>
          </cell>
          <cell r="M1076">
            <v>1310</v>
          </cell>
          <cell r="P1076">
            <v>5.86</v>
          </cell>
        </row>
        <row r="1077">
          <cell r="A1077" t="str">
            <v>B&amp;P-033-ASA-120-1H</v>
          </cell>
          <cell r="G1077" t="str">
            <v>IDESP</v>
          </cell>
          <cell r="L1077">
            <v>45322</v>
          </cell>
          <cell r="M1077">
            <v>845</v>
          </cell>
          <cell r="P1077">
            <v>4.8499999999999996</v>
          </cell>
        </row>
        <row r="1078">
          <cell r="A1078" t="str">
            <v>B&amp;P-033-ASA-140-1</v>
          </cell>
          <cell r="G1078" t="str">
            <v>IDESP</v>
          </cell>
          <cell r="L1078">
            <v>45352</v>
          </cell>
          <cell r="M1078">
            <v>861</v>
          </cell>
          <cell r="P1078">
            <v>6.36</v>
          </cell>
        </row>
        <row r="1079">
          <cell r="A1079" t="str">
            <v>B&amp;P-033-ASA-140-1H</v>
          </cell>
          <cell r="G1079" t="str">
            <v>IDESP</v>
          </cell>
          <cell r="L1079">
            <v>45807</v>
          </cell>
          <cell r="M1079">
            <v>1195</v>
          </cell>
          <cell r="P1079">
            <v>8.14</v>
          </cell>
        </row>
        <row r="1080">
          <cell r="A1080" t="str">
            <v>B&amp;P-033-ASA-40-1</v>
          </cell>
          <cell r="G1080" t="str">
            <v>IDESP</v>
          </cell>
          <cell r="L1080">
            <v>45930</v>
          </cell>
          <cell r="M1080">
            <v>1380</v>
          </cell>
          <cell r="P1080">
            <v>0.51</v>
          </cell>
        </row>
        <row r="1081">
          <cell r="A1081" t="str">
            <v>B&amp;P-033-ASA-40-2</v>
          </cell>
          <cell r="G1081" t="str">
            <v>IDESP</v>
          </cell>
          <cell r="L1081">
            <v>45979</v>
          </cell>
          <cell r="M1081">
            <v>1415</v>
          </cell>
          <cell r="P1081">
            <v>1.01</v>
          </cell>
        </row>
        <row r="1082">
          <cell r="A1082" t="str">
            <v>B&amp;P-033-ASA-415-H</v>
          </cell>
          <cell r="G1082" t="str">
            <v>IDESP</v>
          </cell>
          <cell r="L1082">
            <v>45352</v>
          </cell>
          <cell r="M1082">
            <v>861</v>
          </cell>
          <cell r="P1082">
            <v>0.51</v>
          </cell>
        </row>
        <row r="1083">
          <cell r="A1083" t="str">
            <v>B&amp;P-033-ASA-50-1</v>
          </cell>
          <cell r="G1083" t="str">
            <v>IDESP</v>
          </cell>
          <cell r="L1083">
            <v>45979</v>
          </cell>
          <cell r="M1083">
            <v>1415</v>
          </cell>
          <cell r="P1083">
            <v>0.75</v>
          </cell>
        </row>
        <row r="1084">
          <cell r="A1084" t="str">
            <v>B&amp;P-033-ASA-50-1H</v>
          </cell>
          <cell r="G1084" t="str">
            <v>IDESP</v>
          </cell>
          <cell r="L1084">
            <v>45975</v>
          </cell>
          <cell r="M1084">
            <v>1430</v>
          </cell>
          <cell r="P1084">
            <v>0.98</v>
          </cell>
        </row>
        <row r="1085">
          <cell r="A1085" t="str">
            <v>B&amp;P-033-ASA-50-2</v>
          </cell>
          <cell r="G1085" t="str">
            <v>IDESP</v>
          </cell>
          <cell r="L1085">
            <v>45979</v>
          </cell>
          <cell r="M1085">
            <v>1415</v>
          </cell>
          <cell r="P1085">
            <v>1.5</v>
          </cell>
        </row>
        <row r="1086">
          <cell r="A1086" t="str">
            <v>B&amp;P-033-ASA-60-1</v>
          </cell>
          <cell r="G1086" t="str">
            <v>IDESP</v>
          </cell>
          <cell r="L1086">
            <v>45930</v>
          </cell>
          <cell r="M1086">
            <v>1380</v>
          </cell>
          <cell r="P1086">
            <v>1</v>
          </cell>
        </row>
        <row r="1087">
          <cell r="A1087" t="str">
            <v>B&amp;P-033-ASA-60-1H</v>
          </cell>
          <cell r="G1087" t="str">
            <v>IDESP</v>
          </cell>
          <cell r="L1087">
            <v>45882</v>
          </cell>
          <cell r="M1087">
            <v>1330</v>
          </cell>
          <cell r="P1087">
            <v>1.3009999999999999</v>
          </cell>
        </row>
        <row r="1088">
          <cell r="A1088" t="str">
            <v>B&amp;P-033-ASA-60-2</v>
          </cell>
          <cell r="G1088" t="str">
            <v>IDESP</v>
          </cell>
          <cell r="L1088">
            <v>45887</v>
          </cell>
          <cell r="M1088">
            <v>1310</v>
          </cell>
          <cell r="P1088">
            <v>2.21</v>
          </cell>
        </row>
        <row r="1089">
          <cell r="A1089" t="str">
            <v>B&amp;P-033-ASA-80-1</v>
          </cell>
          <cell r="G1089" t="str">
            <v>IDESP</v>
          </cell>
          <cell r="L1089">
            <v>45975</v>
          </cell>
          <cell r="M1089">
            <v>1430</v>
          </cell>
          <cell r="P1089">
            <v>2</v>
          </cell>
        </row>
        <row r="1090">
          <cell r="A1090" t="str">
            <v>B&amp;P-033-ASA-80-1H</v>
          </cell>
          <cell r="G1090" t="str">
            <v>IDESP</v>
          </cell>
          <cell r="L1090">
            <v>45882</v>
          </cell>
          <cell r="M1090">
            <v>1330</v>
          </cell>
          <cell r="P1090">
            <v>2.3359999999999999</v>
          </cell>
        </row>
        <row r="1091">
          <cell r="A1091" t="str">
            <v>B&amp;P-033-ASA-80-2</v>
          </cell>
          <cell r="G1091" t="str">
            <v>IDESP</v>
          </cell>
          <cell r="L1091">
            <v>45722</v>
          </cell>
          <cell r="M1091">
            <v>1084.5</v>
          </cell>
          <cell r="P1091">
            <v>4.45</v>
          </cell>
        </row>
        <row r="1092">
          <cell r="A1092" t="str">
            <v>B&amp;P-033-ASA160-1H-RE</v>
          </cell>
          <cell r="G1092" t="str">
            <v>IDESP</v>
          </cell>
          <cell r="L1092">
            <v>45322</v>
          </cell>
          <cell r="M1092">
            <v>845</v>
          </cell>
          <cell r="P1092">
            <v>32.409999999999997</v>
          </cell>
        </row>
        <row r="1093">
          <cell r="A1093" t="str">
            <v>B&amp;P-033-ASA180-1H-RE</v>
          </cell>
          <cell r="G1093" t="str">
            <v>IDESP</v>
          </cell>
          <cell r="L1093">
            <v>45807</v>
          </cell>
          <cell r="M1093">
            <v>1195</v>
          </cell>
          <cell r="P1093">
            <v>56.39</v>
          </cell>
        </row>
        <row r="1094">
          <cell r="A1094" t="str">
            <v>B&amp;P-033-ASA410-REEL</v>
          </cell>
          <cell r="G1094" t="str">
            <v>IDESP</v>
          </cell>
          <cell r="L1094">
            <v>45020</v>
          </cell>
          <cell r="M1094">
            <v>216.5</v>
          </cell>
          <cell r="P1094">
            <v>1.19</v>
          </cell>
        </row>
        <row r="1095">
          <cell r="A1095" t="str">
            <v>B&amp;P-033-ASA415-H-REE</v>
          </cell>
          <cell r="G1095" t="str">
            <v>IDESP</v>
          </cell>
          <cell r="L1095">
            <v>45124</v>
          </cell>
          <cell r="M1095">
            <v>277</v>
          </cell>
          <cell r="P1095">
            <v>1.51</v>
          </cell>
        </row>
        <row r="1096">
          <cell r="A1096" t="str">
            <v>B&amp;P-033-ASA60-1-REEL</v>
          </cell>
          <cell r="G1096" t="str">
            <v>IDESP</v>
          </cell>
          <cell r="L1096">
            <v>45916</v>
          </cell>
          <cell r="M1096">
            <v>1475</v>
          </cell>
          <cell r="P1096">
            <v>3.16</v>
          </cell>
        </row>
        <row r="1097">
          <cell r="A1097" t="str">
            <v>B&amp;P-033-ASA60-1H-REE</v>
          </cell>
          <cell r="G1097" t="str">
            <v>IDESP</v>
          </cell>
          <cell r="L1097">
            <v>45996</v>
          </cell>
          <cell r="M1097">
            <v>1470</v>
          </cell>
          <cell r="P1097">
            <v>4.0999999999999996</v>
          </cell>
        </row>
        <row r="1098">
          <cell r="A1098" t="str">
            <v>B&amp;P-033-ASA80-1-REEL</v>
          </cell>
          <cell r="G1098" t="str">
            <v>IDESP</v>
          </cell>
          <cell r="L1098">
            <v>45807</v>
          </cell>
          <cell r="M1098">
            <v>1195</v>
          </cell>
          <cell r="P1098">
            <v>5.67</v>
          </cell>
        </row>
        <row r="1099">
          <cell r="A1099" t="str">
            <v>B&amp;P-033-ASA80-1H-REE</v>
          </cell>
          <cell r="G1099" t="str">
            <v>IDESP</v>
          </cell>
          <cell r="L1099">
            <v>45996</v>
          </cell>
          <cell r="M1099">
            <v>1470</v>
          </cell>
          <cell r="P1099">
            <v>7.2</v>
          </cell>
        </row>
        <row r="1100">
          <cell r="A1100" t="str">
            <v>B&amp;P-033-ASA80-2-REEL</v>
          </cell>
          <cell r="G1100" t="str">
            <v>IDESP</v>
          </cell>
          <cell r="L1100">
            <v>45807</v>
          </cell>
          <cell r="M1100">
            <v>1195</v>
          </cell>
          <cell r="P1100">
            <v>11.55</v>
          </cell>
        </row>
        <row r="1101">
          <cell r="A1101" t="str">
            <v>B&amp;P-033-C2060-H-A1</v>
          </cell>
          <cell r="G1101" t="str">
            <v>IDESP</v>
          </cell>
          <cell r="L1101">
            <v>45744</v>
          </cell>
          <cell r="M1101">
            <v>1091.75</v>
          </cell>
          <cell r="P1101">
            <v>17.8</v>
          </cell>
        </row>
        <row r="1102">
          <cell r="A1102" t="str">
            <v>B&amp;P-033-C2060-H-SK1</v>
          </cell>
          <cell r="G1102" t="str">
            <v>IDESP</v>
          </cell>
          <cell r="L1102">
            <v>45744</v>
          </cell>
          <cell r="M1102">
            <v>1091.75</v>
          </cell>
          <cell r="P1102">
            <v>31</v>
          </cell>
        </row>
        <row r="1103">
          <cell r="A1103" t="str">
            <v>B&amp;P-033-C2060H-PLATE</v>
          </cell>
          <cell r="G1103" t="str">
            <v>IDESP</v>
          </cell>
          <cell r="L1103">
            <v>45912</v>
          </cell>
          <cell r="M1103">
            <v>1445</v>
          </cell>
          <cell r="P1103">
            <v>0.05</v>
          </cell>
        </row>
        <row r="1104">
          <cell r="A1104" t="str">
            <v>B&amp;P-033-C2060H-SK1AT</v>
          </cell>
          <cell r="G1104" t="str">
            <v>IDESP</v>
          </cell>
          <cell r="L1104">
            <v>45912</v>
          </cell>
          <cell r="M1104">
            <v>1445</v>
          </cell>
          <cell r="P1104">
            <v>0.28399999999999997</v>
          </cell>
        </row>
        <row r="1105">
          <cell r="A1105" t="str">
            <v>B&amp;P-033-CA-550</v>
          </cell>
          <cell r="G1105" t="str">
            <v>IDESP</v>
          </cell>
          <cell r="L1105">
            <v>45322</v>
          </cell>
          <cell r="M1105">
            <v>845</v>
          </cell>
          <cell r="P1105">
            <v>4.68</v>
          </cell>
        </row>
        <row r="1106">
          <cell r="A1106" t="str">
            <v>B&amp;P-033-CA-550-A1</v>
          </cell>
          <cell r="G1106" t="str">
            <v>IDESP</v>
          </cell>
          <cell r="L1106">
            <v>45916</v>
          </cell>
          <cell r="M1106">
            <v>1475</v>
          </cell>
          <cell r="P1106">
            <v>5.54</v>
          </cell>
        </row>
        <row r="1107">
          <cell r="A1107" t="str">
            <v>B&amp;P-033-CA550-A1-CL</v>
          </cell>
          <cell r="G1107" t="str">
            <v>IDESP</v>
          </cell>
          <cell r="L1107">
            <v>45916</v>
          </cell>
          <cell r="M1107">
            <v>1475</v>
          </cell>
          <cell r="P1107">
            <v>0.48</v>
          </cell>
        </row>
        <row r="1108">
          <cell r="A1108" t="str">
            <v>B&amp;P-033-CA550K-19SE2</v>
          </cell>
          <cell r="G1108" t="str">
            <v>IDESP</v>
          </cell>
          <cell r="L1108">
            <v>44979</v>
          </cell>
          <cell r="M1108">
            <v>199.25</v>
          </cell>
          <cell r="P1108">
            <v>24.34</v>
          </cell>
        </row>
        <row r="1109">
          <cell r="A1109" t="str">
            <v>B&amp;P-033-CA550K-19SE4</v>
          </cell>
          <cell r="G1109" t="str">
            <v>IDESP</v>
          </cell>
          <cell r="L1109">
            <v>44986</v>
          </cell>
          <cell r="M1109">
            <v>204</v>
          </cell>
          <cell r="P1109">
            <v>23.93</v>
          </cell>
        </row>
        <row r="1110">
          <cell r="A1110" t="str">
            <v>B&amp;P-033-CA550KL19SE2</v>
          </cell>
          <cell r="G1110" t="str">
            <v>IDESP</v>
          </cell>
          <cell r="L1110">
            <v>45093</v>
          </cell>
          <cell r="M1110">
            <v>258</v>
          </cell>
          <cell r="P1110">
            <v>25.32</v>
          </cell>
        </row>
        <row r="1111">
          <cell r="A1111" t="str">
            <v>B&amp;P-033-CA550KL19SE4</v>
          </cell>
          <cell r="G1111" t="str">
            <v>IDESP</v>
          </cell>
          <cell r="L1111">
            <v>45093</v>
          </cell>
          <cell r="M1111">
            <v>258</v>
          </cell>
          <cell r="P1111">
            <v>24.89</v>
          </cell>
        </row>
        <row r="1112">
          <cell r="A1112" t="str">
            <v>B&amp;P-033-CA555-C2E-48</v>
          </cell>
          <cell r="G1112" t="str">
            <v>IDESP</v>
          </cell>
          <cell r="L1112">
            <v>45587</v>
          </cell>
          <cell r="M1112">
            <v>1004.5</v>
          </cell>
          <cell r="P1112">
            <v>11.18</v>
          </cell>
        </row>
        <row r="1113">
          <cell r="A1113" t="str">
            <v>B&amp;P-033-CA555-C6E-52</v>
          </cell>
          <cell r="G1113" t="str">
            <v>IDESP</v>
          </cell>
          <cell r="L1113">
            <v>45916</v>
          </cell>
          <cell r="M1113">
            <v>1475</v>
          </cell>
          <cell r="P1113">
            <v>12.73</v>
          </cell>
        </row>
        <row r="1114">
          <cell r="A1114" t="str">
            <v>B&amp;P-033-CA555R-C5E-M</v>
          </cell>
          <cell r="G1114" t="str">
            <v>IDESP</v>
          </cell>
          <cell r="L1114">
            <v>45916</v>
          </cell>
          <cell r="M1114">
            <v>1475</v>
          </cell>
          <cell r="P1114">
            <v>13.13</v>
          </cell>
        </row>
        <row r="1115">
          <cell r="A1115" t="str">
            <v>B&amp;P-033-CA555R-QX48P</v>
          </cell>
          <cell r="G1115" t="str">
            <v>IDESP</v>
          </cell>
          <cell r="L1115">
            <v>45887</v>
          </cell>
          <cell r="M1115">
            <v>1310</v>
          </cell>
          <cell r="P1115">
            <v>11.86</v>
          </cell>
        </row>
        <row r="1116">
          <cell r="A1116" t="str">
            <v>B&amp;P-033-CA627-M40A</v>
          </cell>
          <cell r="G1116" t="str">
            <v>IDESP</v>
          </cell>
          <cell r="L1116">
            <v>45807</v>
          </cell>
          <cell r="M1116">
            <v>1195</v>
          </cell>
          <cell r="P1116">
            <v>19.149999999999999</v>
          </cell>
        </row>
        <row r="1117">
          <cell r="A1117" t="str">
            <v>B&amp;P-033-CA627-M40A-7</v>
          </cell>
          <cell r="G1117" t="str">
            <v>IDESP</v>
          </cell>
          <cell r="L1117">
            <v>45352</v>
          </cell>
          <cell r="M1117">
            <v>861</v>
          </cell>
          <cell r="P1117">
            <v>20.56</v>
          </cell>
        </row>
        <row r="1118">
          <cell r="A1118" t="str">
            <v>B&amp;P-033-CA627-M40A-9</v>
          </cell>
          <cell r="G1118" t="str">
            <v>IDESP</v>
          </cell>
          <cell r="L1118">
            <v>44971</v>
          </cell>
          <cell r="M1118">
            <v>197.75</v>
          </cell>
          <cell r="P1118">
            <v>17.03</v>
          </cell>
        </row>
        <row r="1119">
          <cell r="A1119" t="str">
            <v>B&amp;P-033-CA627-M40AY</v>
          </cell>
          <cell r="G1119" t="str">
            <v>IDESP</v>
          </cell>
          <cell r="L1119">
            <v>45519</v>
          </cell>
          <cell r="M1119">
            <v>959</v>
          </cell>
          <cell r="P1119">
            <v>18.95</v>
          </cell>
        </row>
        <row r="1120">
          <cell r="A1120" t="str">
            <v>B&amp;P-033-CCL-140-1</v>
          </cell>
          <cell r="G1120" t="str">
            <v>IDESP</v>
          </cell>
          <cell r="L1120">
            <v>45352</v>
          </cell>
          <cell r="M1120">
            <v>861</v>
          </cell>
          <cell r="P1120">
            <v>2.13</v>
          </cell>
        </row>
        <row r="1121">
          <cell r="A1121" t="str">
            <v>B&amp;P-033-CCL-140-1H</v>
          </cell>
          <cell r="G1121" t="str">
            <v>IDESP</v>
          </cell>
          <cell r="L1121">
            <v>45807</v>
          </cell>
          <cell r="M1121">
            <v>1195</v>
          </cell>
          <cell r="P1121">
            <v>2.33</v>
          </cell>
        </row>
        <row r="1122">
          <cell r="A1122" t="str">
            <v>B&amp;P-033-CCL-50-1</v>
          </cell>
          <cell r="G1122" t="str">
            <v>IDESP</v>
          </cell>
          <cell r="L1122">
            <v>44979</v>
          </cell>
          <cell r="M1122">
            <v>199.25</v>
          </cell>
          <cell r="P1122">
            <v>0.13600000000000001</v>
          </cell>
        </row>
        <row r="1123">
          <cell r="A1123" t="str">
            <v>B&amp;P-033-CCL-50-1H</v>
          </cell>
          <cell r="G1123" t="str">
            <v>IDESP</v>
          </cell>
          <cell r="L1123">
            <v>44979</v>
          </cell>
          <cell r="M1123">
            <v>199.25</v>
          </cell>
          <cell r="P1123">
            <v>0.17</v>
          </cell>
        </row>
        <row r="1124">
          <cell r="A1124" t="str">
            <v>B&amp;P-033-CCL-60-1</v>
          </cell>
          <cell r="G1124" t="str">
            <v>IDESP</v>
          </cell>
          <cell r="L1124">
            <v>44979</v>
          </cell>
          <cell r="M1124">
            <v>199.25</v>
          </cell>
          <cell r="P1124">
            <v>0.20399999999999999</v>
          </cell>
        </row>
        <row r="1125">
          <cell r="A1125" t="str">
            <v>B&amp;P-033-CCL-60-1H</v>
          </cell>
          <cell r="G1125" t="str">
            <v>IDESP</v>
          </cell>
          <cell r="L1125">
            <v>45916</v>
          </cell>
          <cell r="M1125">
            <v>1475</v>
          </cell>
          <cell r="P1125">
            <v>0.3</v>
          </cell>
        </row>
        <row r="1126">
          <cell r="A1126" t="str">
            <v>B&amp;P-033-CCL-60-2</v>
          </cell>
          <cell r="G1126" t="str">
            <v>IDESP</v>
          </cell>
          <cell r="L1126">
            <v>44979</v>
          </cell>
          <cell r="M1126">
            <v>199.25</v>
          </cell>
          <cell r="P1126">
            <v>0.44700000000000001</v>
          </cell>
        </row>
        <row r="1127">
          <cell r="A1127" t="str">
            <v>B&amp;P-033-CCL-80-1</v>
          </cell>
          <cell r="G1127" t="str">
            <v>IDESP</v>
          </cell>
          <cell r="L1127">
            <v>44979</v>
          </cell>
          <cell r="M1127">
            <v>199.25</v>
          </cell>
          <cell r="P1127">
            <v>0.57399999999999995</v>
          </cell>
        </row>
        <row r="1128">
          <cell r="A1128" t="str">
            <v>B&amp;P-033-CCL-80-1-H</v>
          </cell>
          <cell r="G1128" t="str">
            <v>IDESP</v>
          </cell>
          <cell r="L1128">
            <v>44979</v>
          </cell>
          <cell r="M1128">
            <v>199.25</v>
          </cell>
          <cell r="P1128">
            <v>0.77500000000000002</v>
          </cell>
        </row>
        <row r="1129">
          <cell r="A1129" t="str">
            <v>B&amp;P-033-CCL-80-2</v>
          </cell>
          <cell r="G1129" t="str">
            <v>IPFAP</v>
          </cell>
          <cell r="L1129">
            <v>45551</v>
          </cell>
          <cell r="M1129">
            <v>980.5</v>
          </cell>
          <cell r="P1129">
            <v>1.3099999999999998</v>
          </cell>
        </row>
        <row r="1130">
          <cell r="A1130" t="str">
            <v>B&amp;P-033-CL-100-1HR</v>
          </cell>
          <cell r="G1130" t="str">
            <v>IDESP</v>
          </cell>
          <cell r="L1130">
            <v>45882</v>
          </cell>
          <cell r="M1130">
            <v>1330</v>
          </cell>
          <cell r="P1130">
            <v>0.9</v>
          </cell>
        </row>
        <row r="1131">
          <cell r="A1131" t="str">
            <v>B&amp;P-033-CL-100-2</v>
          </cell>
          <cell r="G1131" t="str">
            <v>IDESP</v>
          </cell>
          <cell r="L1131">
            <v>45887</v>
          </cell>
          <cell r="M1131">
            <v>1310</v>
          </cell>
          <cell r="P1131">
            <v>1.59</v>
          </cell>
        </row>
        <row r="1132">
          <cell r="A1132" t="str">
            <v>B&amp;P-033-CL-120-1H</v>
          </cell>
          <cell r="G1132" t="str">
            <v>IDESP</v>
          </cell>
          <cell r="L1132">
            <v>45322</v>
          </cell>
          <cell r="M1132">
            <v>845</v>
          </cell>
          <cell r="P1132">
            <v>1.21</v>
          </cell>
        </row>
        <row r="1133">
          <cell r="A1133" t="str">
            <v>B&amp;P-033-CL-180-1H</v>
          </cell>
          <cell r="G1133" t="str">
            <v>IDESP</v>
          </cell>
          <cell r="L1133">
            <v>45744</v>
          </cell>
          <cell r="M1133">
            <v>1091.75</v>
          </cell>
          <cell r="P1133">
            <v>6.6150000000000002</v>
          </cell>
        </row>
        <row r="1134">
          <cell r="A1134" t="str">
            <v>B&amp;P-033-CL-40-1</v>
          </cell>
          <cell r="G1134" t="str">
            <v>IDESP</v>
          </cell>
          <cell r="L1134">
            <v>44986</v>
          </cell>
          <cell r="M1134">
            <v>204</v>
          </cell>
          <cell r="P1134">
            <v>0.08</v>
          </cell>
        </row>
        <row r="1135">
          <cell r="A1135" t="str">
            <v>B&amp;P-033-CL-40-2</v>
          </cell>
          <cell r="G1135" t="str">
            <v>IDESP</v>
          </cell>
          <cell r="L1135">
            <v>45519</v>
          </cell>
          <cell r="M1135">
            <v>959</v>
          </cell>
          <cell r="P1135">
            <v>0.152</v>
          </cell>
        </row>
        <row r="1136">
          <cell r="A1136" t="str">
            <v>B&amp;P-033-CL-415-H</v>
          </cell>
          <cell r="G1136" t="str">
            <v>IDESP</v>
          </cell>
          <cell r="L1136">
            <v>45352</v>
          </cell>
          <cell r="M1136">
            <v>861</v>
          </cell>
          <cell r="P1136">
            <v>0.09</v>
          </cell>
        </row>
        <row r="1137">
          <cell r="A1137" t="str">
            <v>B&amp;P-033-CL-50-1</v>
          </cell>
          <cell r="G1137" t="str">
            <v>IDESP</v>
          </cell>
          <cell r="L1137">
            <v>45124</v>
          </cell>
          <cell r="M1137">
            <v>277</v>
          </cell>
          <cell r="P1137">
            <v>0.11</v>
          </cell>
        </row>
        <row r="1138">
          <cell r="A1138" t="str">
            <v>B&amp;P-033-CL-50-2</v>
          </cell>
          <cell r="G1138" t="str">
            <v>IDESP</v>
          </cell>
          <cell r="L1138">
            <v>45519</v>
          </cell>
          <cell r="M1138">
            <v>959</v>
          </cell>
          <cell r="P1138">
            <v>0.22900000000000001</v>
          </cell>
        </row>
        <row r="1139">
          <cell r="A1139" t="str">
            <v>B&amp;P-033-CL-60-1</v>
          </cell>
          <cell r="G1139" t="str">
            <v>IDESP</v>
          </cell>
          <cell r="L1139">
            <v>45882</v>
          </cell>
          <cell r="M1139">
            <v>1330</v>
          </cell>
          <cell r="P1139">
            <v>0.157</v>
          </cell>
        </row>
        <row r="1140">
          <cell r="A1140" t="str">
            <v>B&amp;P-033-CL-60-1H</v>
          </cell>
          <cell r="G1140" t="str">
            <v>IDESP</v>
          </cell>
          <cell r="L1140">
            <v>45352</v>
          </cell>
          <cell r="M1140">
            <v>861</v>
          </cell>
          <cell r="P1140">
            <v>0.31</v>
          </cell>
        </row>
        <row r="1141">
          <cell r="A1141" t="str">
            <v>B&amp;P-033-CL-60-2</v>
          </cell>
          <cell r="G1141" t="str">
            <v>IDESP</v>
          </cell>
          <cell r="L1141">
            <v>45807</v>
          </cell>
          <cell r="M1141">
            <v>1195</v>
          </cell>
          <cell r="P1141">
            <v>0.34399999999999997</v>
          </cell>
        </row>
        <row r="1142">
          <cell r="A1142" t="str">
            <v>B&amp;P-033-CL-80-1</v>
          </cell>
          <cell r="G1142" t="str">
            <v>IDESP</v>
          </cell>
          <cell r="L1142">
            <v>45916</v>
          </cell>
          <cell r="M1142">
            <v>1475</v>
          </cell>
          <cell r="P1142">
            <v>0.5</v>
          </cell>
        </row>
        <row r="1143">
          <cell r="A1143" t="str">
            <v>B&amp;P-033-CL-80-2</v>
          </cell>
          <cell r="G1143" t="str">
            <v>IDESP</v>
          </cell>
          <cell r="L1143">
            <v>45807</v>
          </cell>
          <cell r="M1143">
            <v>1195</v>
          </cell>
          <cell r="P1143">
            <v>1.002</v>
          </cell>
        </row>
        <row r="1144">
          <cell r="A1144" t="str">
            <v>B&amp;P-033-OL-100-1</v>
          </cell>
          <cell r="G1144" t="str">
            <v>IDESP</v>
          </cell>
          <cell r="L1144">
            <v>45686</v>
          </cell>
          <cell r="M1144">
            <v>1070.5</v>
          </cell>
          <cell r="P1144">
            <v>1.45</v>
          </cell>
        </row>
        <row r="1145">
          <cell r="A1145" t="str">
            <v>B&amp;P-033-OL-100-1H</v>
          </cell>
          <cell r="G1145" t="str">
            <v>IDESP</v>
          </cell>
          <cell r="L1145">
            <v>45916</v>
          </cell>
          <cell r="M1145">
            <v>1475</v>
          </cell>
          <cell r="P1145">
            <v>1.81</v>
          </cell>
        </row>
        <row r="1146">
          <cell r="A1146" t="str">
            <v>B&amp;P-033-OL-100-3</v>
          </cell>
          <cell r="G1146" t="str">
            <v>IDESP</v>
          </cell>
          <cell r="L1146">
            <v>45807</v>
          </cell>
          <cell r="M1146">
            <v>1195</v>
          </cell>
          <cell r="P1146">
            <v>4.33</v>
          </cell>
        </row>
        <row r="1147">
          <cell r="A1147" t="str">
            <v>B&amp;P-033-OL-120-1H</v>
          </cell>
          <cell r="G1147" t="str">
            <v>IDESP</v>
          </cell>
          <cell r="L1147">
            <v>45322</v>
          </cell>
          <cell r="M1147">
            <v>845</v>
          </cell>
          <cell r="P1147">
            <v>2.4300000000000002</v>
          </cell>
        </row>
        <row r="1148">
          <cell r="A1148" t="str">
            <v>B&amp;P-033-OL-140-1</v>
          </cell>
          <cell r="G1148" t="str">
            <v>IDESP</v>
          </cell>
          <cell r="L1148">
            <v>45352</v>
          </cell>
          <cell r="M1148">
            <v>861</v>
          </cell>
          <cell r="P1148">
            <v>4.24</v>
          </cell>
        </row>
        <row r="1149">
          <cell r="A1149" t="str">
            <v>B&amp;P-033-OL-140-1H</v>
          </cell>
          <cell r="G1149" t="str">
            <v>IDESP</v>
          </cell>
          <cell r="L1149">
            <v>45916</v>
          </cell>
          <cell r="M1149">
            <v>1475</v>
          </cell>
          <cell r="P1149">
            <v>4.24</v>
          </cell>
        </row>
        <row r="1150">
          <cell r="A1150" t="str">
            <v>B&amp;P-033-OL-415-H</v>
          </cell>
          <cell r="G1150" t="str">
            <v>IDESP</v>
          </cell>
          <cell r="L1150">
            <v>45807</v>
          </cell>
          <cell r="M1150">
            <v>1195</v>
          </cell>
          <cell r="P1150">
            <v>0.14799999999999999</v>
          </cell>
        </row>
        <row r="1151">
          <cell r="A1151" t="str">
            <v>B&amp;P-033-OL-50-1</v>
          </cell>
          <cell r="G1151" t="str">
            <v>IDESP</v>
          </cell>
          <cell r="L1151">
            <v>45744</v>
          </cell>
          <cell r="M1151">
            <v>1091.75</v>
          </cell>
          <cell r="P1151">
            <v>0.20200000000000001</v>
          </cell>
        </row>
        <row r="1152">
          <cell r="A1152" t="str">
            <v>B&amp;P-033-OL-50-1H</v>
          </cell>
          <cell r="G1152" t="str">
            <v>IDESP</v>
          </cell>
          <cell r="L1152">
            <v>45807</v>
          </cell>
          <cell r="M1152">
            <v>1195</v>
          </cell>
          <cell r="P1152">
            <v>0.26100000000000001</v>
          </cell>
        </row>
        <row r="1153">
          <cell r="A1153" t="str">
            <v>B&amp;P-033-OL-50-2</v>
          </cell>
          <cell r="G1153" t="str">
            <v>IDESP</v>
          </cell>
          <cell r="L1153">
            <v>45882</v>
          </cell>
          <cell r="M1153">
            <v>1330</v>
          </cell>
          <cell r="P1153">
            <v>0.39800000000000002</v>
          </cell>
        </row>
        <row r="1154">
          <cell r="A1154" t="str">
            <v>B&amp;P-033-OL-60-1</v>
          </cell>
          <cell r="G1154" t="str">
            <v>IDESP</v>
          </cell>
          <cell r="L1154">
            <v>45916</v>
          </cell>
          <cell r="M1154">
            <v>1475</v>
          </cell>
          <cell r="P1154">
            <v>0.32</v>
          </cell>
        </row>
        <row r="1155">
          <cell r="A1155" t="str">
            <v>B&amp;P-033-OL-60-1H</v>
          </cell>
          <cell r="G1155" t="str">
            <v>IDESP</v>
          </cell>
          <cell r="L1155">
            <v>45916</v>
          </cell>
          <cell r="M1155">
            <v>1475</v>
          </cell>
          <cell r="P1155">
            <v>0.42</v>
          </cell>
        </row>
        <row r="1156">
          <cell r="A1156" t="str">
            <v>B&amp;P-033-OL-60-2</v>
          </cell>
          <cell r="G1156" t="str">
            <v>IDESP</v>
          </cell>
          <cell r="L1156">
            <v>45882</v>
          </cell>
          <cell r="M1156">
            <v>1330</v>
          </cell>
          <cell r="P1156">
            <v>0.624</v>
          </cell>
        </row>
        <row r="1157">
          <cell r="A1157" t="str">
            <v>B&amp;P-033-OL-80-1</v>
          </cell>
          <cell r="G1157" t="str">
            <v>IDESP</v>
          </cell>
          <cell r="L1157">
            <v>45887</v>
          </cell>
          <cell r="M1157">
            <v>1310</v>
          </cell>
          <cell r="P1157">
            <v>0.88200000000000001</v>
          </cell>
        </row>
        <row r="1158">
          <cell r="A1158" t="str">
            <v>B&amp;P-033-OL-80-1-H</v>
          </cell>
          <cell r="G1158" t="str">
            <v>IDESP</v>
          </cell>
          <cell r="L1158">
            <v>45807</v>
          </cell>
          <cell r="M1158">
            <v>1195</v>
          </cell>
          <cell r="P1158">
            <v>1.55</v>
          </cell>
        </row>
        <row r="1159">
          <cell r="A1159" t="str">
            <v>B&amp;P-033-OL-80-2</v>
          </cell>
          <cell r="G1159" t="str">
            <v>IDESP</v>
          </cell>
          <cell r="L1159">
            <v>45807</v>
          </cell>
          <cell r="M1159">
            <v>1195</v>
          </cell>
          <cell r="P1159">
            <v>2</v>
          </cell>
        </row>
        <row r="1160">
          <cell r="A1160" t="str">
            <v>B&amp;P-033-PIN-C2060-H</v>
          </cell>
          <cell r="G1160" t="str">
            <v>IDESP</v>
          </cell>
          <cell r="L1160">
            <v>45912</v>
          </cell>
          <cell r="M1160">
            <v>1445</v>
          </cell>
          <cell r="P1160">
            <v>1.0999999999999999E-2</v>
          </cell>
        </row>
        <row r="1161">
          <cell r="A1161" t="str">
            <v>B&amp;P-034-BL-10-BD</v>
          </cell>
          <cell r="G1161" t="str">
            <v>IDESP</v>
          </cell>
          <cell r="L1161">
            <v>45509</v>
          </cell>
          <cell r="M1161">
            <v>953.5</v>
          </cell>
          <cell r="P1161">
            <v>1.54</v>
          </cell>
        </row>
        <row r="1162">
          <cell r="A1162" t="str">
            <v>B&amp;P-034-GE-17-ES-2RS</v>
          </cell>
          <cell r="G1162" t="str">
            <v>IDESP</v>
          </cell>
          <cell r="L1162">
            <v>45509</v>
          </cell>
          <cell r="M1162">
            <v>953.5</v>
          </cell>
          <cell r="P1162">
            <v>0.92</v>
          </cell>
        </row>
        <row r="1163">
          <cell r="A1163" t="str">
            <v>B&amp;P-034-GE-25-ES-2RS</v>
          </cell>
          <cell r="G1163" t="str">
            <v>IDESP</v>
          </cell>
          <cell r="L1163">
            <v>45509</v>
          </cell>
          <cell r="M1163">
            <v>953.5</v>
          </cell>
          <cell r="P1163">
            <v>1.01</v>
          </cell>
        </row>
        <row r="1164">
          <cell r="A1164" t="str">
            <v>B&amp;P-034-GE-40-ES-2RS</v>
          </cell>
          <cell r="G1164" t="str">
            <v>IDESP</v>
          </cell>
          <cell r="L1164">
            <v>45509</v>
          </cell>
          <cell r="M1164">
            <v>953.5</v>
          </cell>
          <cell r="P1164">
            <v>2.15</v>
          </cell>
        </row>
        <row r="1165">
          <cell r="A1165" t="str">
            <v>B&amp;P-034-GE-50-ES-2RS</v>
          </cell>
          <cell r="G1165" t="str">
            <v>IDESP</v>
          </cell>
          <cell r="L1165">
            <v>44988</v>
          </cell>
          <cell r="M1165">
            <v>205</v>
          </cell>
          <cell r="P1165">
            <v>3.8</v>
          </cell>
        </row>
        <row r="1166">
          <cell r="A1166" t="str">
            <v>B&amp;P-034-GE-60-ES-2RS</v>
          </cell>
          <cell r="G1166" t="str">
            <v>IDESP</v>
          </cell>
          <cell r="L1166">
            <v>45509</v>
          </cell>
          <cell r="M1166">
            <v>953.5</v>
          </cell>
          <cell r="P1166">
            <v>5.9080000000000004</v>
          </cell>
        </row>
        <row r="1167">
          <cell r="A1167" t="str">
            <v>B&amp;P-034-GEG20ES-2RS</v>
          </cell>
          <cell r="G1167" t="str">
            <v>IDESP</v>
          </cell>
          <cell r="L1167">
            <v>45020</v>
          </cell>
          <cell r="M1167">
            <v>216.5</v>
          </cell>
          <cell r="P1167">
            <v>1.9359999999999999</v>
          </cell>
        </row>
        <row r="1168">
          <cell r="A1168" t="str">
            <v>B&amp;P-034-GEZ-100-ES-2</v>
          </cell>
          <cell r="G1168" t="str">
            <v>IDESP</v>
          </cell>
          <cell r="L1168">
            <v>45554</v>
          </cell>
          <cell r="M1168">
            <v>982</v>
          </cell>
          <cell r="P1168">
            <v>1.708</v>
          </cell>
        </row>
        <row r="1169">
          <cell r="A1169" t="str">
            <v>B&amp;P-034-GEZ-108-ES-2</v>
          </cell>
          <cell r="G1169" t="str">
            <v>IDESP</v>
          </cell>
          <cell r="L1169">
            <v>44988</v>
          </cell>
          <cell r="M1169">
            <v>205</v>
          </cell>
          <cell r="P1169">
            <v>4.91</v>
          </cell>
        </row>
        <row r="1170">
          <cell r="A1170" t="str">
            <v>B&amp;P-034-PHS-10-Der.</v>
          </cell>
          <cell r="G1170" t="str">
            <v>IDESP</v>
          </cell>
          <cell r="L1170">
            <v>45020</v>
          </cell>
          <cell r="M1170">
            <v>216.5</v>
          </cell>
          <cell r="P1170">
            <v>1.4</v>
          </cell>
        </row>
        <row r="1171">
          <cell r="A1171" t="str">
            <v>B&amp;P-034-PHS-10-Izq.</v>
          </cell>
          <cell r="G1171" t="str">
            <v>IDESP</v>
          </cell>
          <cell r="L1171">
            <v>45020</v>
          </cell>
          <cell r="M1171">
            <v>216.5</v>
          </cell>
          <cell r="P1171">
            <v>1.4</v>
          </cell>
        </row>
        <row r="1172">
          <cell r="A1172" t="str">
            <v>B&amp;P-034-PHS-12-Der.</v>
          </cell>
          <cell r="G1172" t="str">
            <v>IDESP</v>
          </cell>
          <cell r="L1172">
            <v>45554</v>
          </cell>
          <cell r="M1172">
            <v>982</v>
          </cell>
          <cell r="P1172">
            <v>1.78</v>
          </cell>
        </row>
        <row r="1173">
          <cell r="A1173" t="str">
            <v>B&amp;P-034-PHS-12-Izq.</v>
          </cell>
          <cell r="G1173" t="str">
            <v>IDESP</v>
          </cell>
          <cell r="L1173">
            <v>45020</v>
          </cell>
          <cell r="M1173">
            <v>216.5</v>
          </cell>
          <cell r="P1173">
            <v>1.78</v>
          </cell>
        </row>
        <row r="1174">
          <cell r="A1174" t="str">
            <v>B&amp;P-034-PHS-14-Der.</v>
          </cell>
          <cell r="G1174" t="str">
            <v>IDESP</v>
          </cell>
          <cell r="L1174">
            <v>45554</v>
          </cell>
          <cell r="M1174">
            <v>982</v>
          </cell>
          <cell r="P1174">
            <v>1.98</v>
          </cell>
        </row>
        <row r="1175">
          <cell r="A1175" t="str">
            <v>B&amp;P-034-PHS-16-Der.</v>
          </cell>
          <cell r="G1175" t="str">
            <v>IDESP</v>
          </cell>
          <cell r="L1175">
            <v>45554</v>
          </cell>
          <cell r="M1175">
            <v>982</v>
          </cell>
          <cell r="P1175">
            <v>2.91</v>
          </cell>
        </row>
        <row r="1176">
          <cell r="A1176" t="str">
            <v>B&amp;P-034-PHS-16-Izq.</v>
          </cell>
          <cell r="G1176" t="str">
            <v>IDESP</v>
          </cell>
          <cell r="L1176">
            <v>45020</v>
          </cell>
          <cell r="M1176">
            <v>216.5</v>
          </cell>
          <cell r="P1176">
            <v>2.91</v>
          </cell>
        </row>
        <row r="1177">
          <cell r="A1177" t="str">
            <v>B&amp;P-034-PHS-18-Der.</v>
          </cell>
          <cell r="G1177" t="str">
            <v>IDESP</v>
          </cell>
          <cell r="L1177">
            <v>45554</v>
          </cell>
          <cell r="M1177">
            <v>982</v>
          </cell>
          <cell r="P1177">
            <v>3.53</v>
          </cell>
        </row>
        <row r="1178">
          <cell r="A1178" t="str">
            <v>B&amp;P-034-PHS-25-Der.</v>
          </cell>
          <cell r="G1178" t="str">
            <v>IDESP</v>
          </cell>
          <cell r="L1178">
            <v>45554</v>
          </cell>
          <cell r="M1178">
            <v>982</v>
          </cell>
          <cell r="P1178">
            <v>8.1999999999999993</v>
          </cell>
        </row>
        <row r="1179">
          <cell r="A1179" t="str">
            <v>B&amp;P-034-PHS-5-Der.</v>
          </cell>
          <cell r="G1179" t="str">
            <v>IDESP</v>
          </cell>
          <cell r="L1179">
            <v>45554</v>
          </cell>
          <cell r="M1179">
            <v>982</v>
          </cell>
          <cell r="P1179">
            <v>0.96</v>
          </cell>
        </row>
        <row r="1180">
          <cell r="A1180" t="str">
            <v>B&amp;P-034-PHS-6-Der.</v>
          </cell>
          <cell r="G1180" t="str">
            <v>IDESP</v>
          </cell>
          <cell r="L1180">
            <v>42075</v>
          </cell>
          <cell r="M1180">
            <v>8.81</v>
          </cell>
          <cell r="P1180">
            <v>0.84</v>
          </cell>
        </row>
        <row r="1181">
          <cell r="A1181" t="str">
            <v>B&amp;P-034-PHS-6-Izq.</v>
          </cell>
          <cell r="G1181" t="str">
            <v>IDESP</v>
          </cell>
          <cell r="L1181">
            <v>45020</v>
          </cell>
          <cell r="M1181">
            <v>216.5</v>
          </cell>
          <cell r="P1181">
            <v>1.07</v>
          </cell>
        </row>
        <row r="1182">
          <cell r="A1182" t="str">
            <v>B&amp;P-034-PHS-8-DER</v>
          </cell>
          <cell r="G1182" t="str">
            <v>IDESP</v>
          </cell>
          <cell r="L1182">
            <v>45020</v>
          </cell>
          <cell r="M1182">
            <v>216.5</v>
          </cell>
          <cell r="P1182">
            <v>1.17</v>
          </cell>
        </row>
        <row r="1183">
          <cell r="A1183" t="str">
            <v>B&amp;P-034-PHS-8-IZQ</v>
          </cell>
          <cell r="G1183" t="str">
            <v>IDESP</v>
          </cell>
          <cell r="L1183">
            <v>45020</v>
          </cell>
          <cell r="M1183">
            <v>216.5</v>
          </cell>
          <cell r="P1183">
            <v>1.17</v>
          </cell>
        </row>
        <row r="1184">
          <cell r="A1184" t="str">
            <v>B&amp;P-034-PHSB-6</v>
          </cell>
          <cell r="G1184" t="str">
            <v>IDESP</v>
          </cell>
          <cell r="L1184">
            <v>45020</v>
          </cell>
          <cell r="M1184">
            <v>216.5</v>
          </cell>
          <cell r="P1184">
            <v>2.5379999999999998</v>
          </cell>
        </row>
        <row r="1185">
          <cell r="A1185" t="str">
            <v>B&amp;P-034-POS-10-Der.</v>
          </cell>
          <cell r="G1185" t="str">
            <v>IDESP</v>
          </cell>
          <cell r="L1185">
            <v>45020</v>
          </cell>
          <cell r="M1185">
            <v>216.5</v>
          </cell>
          <cell r="P1185">
            <v>1.35</v>
          </cell>
        </row>
        <row r="1186">
          <cell r="A1186" t="str">
            <v>B&amp;P-034-POS-10-Izq.</v>
          </cell>
          <cell r="G1186" t="str">
            <v>IDESP</v>
          </cell>
          <cell r="L1186">
            <v>42075</v>
          </cell>
          <cell r="M1186">
            <v>8.81</v>
          </cell>
          <cell r="P1186">
            <v>1.07</v>
          </cell>
        </row>
        <row r="1187">
          <cell r="A1187" t="str">
            <v>B&amp;P-034-POS-12-Der.</v>
          </cell>
          <cell r="G1187" t="str">
            <v>IDESP</v>
          </cell>
          <cell r="L1187">
            <v>45020</v>
          </cell>
          <cell r="M1187">
            <v>216.5</v>
          </cell>
          <cell r="P1187">
            <v>1.8</v>
          </cell>
        </row>
        <row r="1188">
          <cell r="A1188" t="str">
            <v>B&amp;P-034-POS-12-Izq.</v>
          </cell>
          <cell r="G1188" t="str">
            <v>IDESP</v>
          </cell>
          <cell r="L1188">
            <v>43320</v>
          </cell>
          <cell r="M1188">
            <v>27.9</v>
          </cell>
          <cell r="P1188">
            <v>1.55</v>
          </cell>
        </row>
        <row r="1189">
          <cell r="A1189" t="str">
            <v>B&amp;P-034-POS-14-Der.</v>
          </cell>
          <cell r="G1189" t="str">
            <v>IDESP</v>
          </cell>
          <cell r="L1189">
            <v>42075</v>
          </cell>
          <cell r="M1189">
            <v>8.81</v>
          </cell>
          <cell r="P1189">
            <v>1.46</v>
          </cell>
        </row>
        <row r="1190">
          <cell r="A1190" t="str">
            <v>B&amp;P-034-POS-16-Der.</v>
          </cell>
          <cell r="G1190" t="str">
            <v>IDESP</v>
          </cell>
          <cell r="L1190">
            <v>45020</v>
          </cell>
          <cell r="M1190">
            <v>216.5</v>
          </cell>
          <cell r="P1190">
            <v>2.68</v>
          </cell>
        </row>
        <row r="1191">
          <cell r="A1191" t="str">
            <v>B&amp;P-034-POS-16-Izq.</v>
          </cell>
          <cell r="G1191" t="str">
            <v>IDESP</v>
          </cell>
          <cell r="L1191">
            <v>42075</v>
          </cell>
          <cell r="M1191">
            <v>8.81</v>
          </cell>
          <cell r="P1191">
            <v>1.92</v>
          </cell>
        </row>
        <row r="1192">
          <cell r="A1192" t="str">
            <v>B&amp;P-034-POS-18-Der.</v>
          </cell>
          <cell r="G1192" t="str">
            <v>IDESP</v>
          </cell>
          <cell r="L1192">
            <v>45020</v>
          </cell>
          <cell r="M1192">
            <v>216.5</v>
          </cell>
          <cell r="P1192">
            <v>3.59</v>
          </cell>
        </row>
        <row r="1193">
          <cell r="A1193" t="str">
            <v>B&amp;P-034-POS-20-Der.</v>
          </cell>
          <cell r="G1193" t="str">
            <v>IDESP</v>
          </cell>
          <cell r="L1193">
            <v>45554</v>
          </cell>
          <cell r="M1193">
            <v>982</v>
          </cell>
          <cell r="P1193">
            <v>4.1500000000000004</v>
          </cell>
        </row>
        <row r="1194">
          <cell r="A1194" t="str">
            <v>B&amp;P-034-POS-20-Izq.</v>
          </cell>
          <cell r="G1194" t="str">
            <v>IDESP</v>
          </cell>
          <cell r="L1194">
            <v>45554</v>
          </cell>
          <cell r="M1194">
            <v>982</v>
          </cell>
          <cell r="P1194">
            <v>4.1500000000000004</v>
          </cell>
        </row>
        <row r="1195">
          <cell r="A1195" t="str">
            <v>B&amp;P-034-POS-5-Der.</v>
          </cell>
          <cell r="G1195" t="str">
            <v>IDESP</v>
          </cell>
          <cell r="L1195">
            <v>42075</v>
          </cell>
          <cell r="M1195">
            <v>8.81</v>
          </cell>
          <cell r="P1195">
            <v>0.82</v>
          </cell>
        </row>
        <row r="1196">
          <cell r="A1196" t="str">
            <v>B&amp;P-034-POS-6-Der.</v>
          </cell>
          <cell r="G1196" t="str">
            <v>IDESP</v>
          </cell>
          <cell r="L1196">
            <v>45020</v>
          </cell>
          <cell r="M1196">
            <v>216.5</v>
          </cell>
          <cell r="P1196">
            <v>1.05</v>
          </cell>
        </row>
        <row r="1197">
          <cell r="A1197" t="str">
            <v>B&amp;P-034-POS-8-Der.</v>
          </cell>
          <cell r="G1197" t="str">
            <v>IDESP</v>
          </cell>
          <cell r="L1197">
            <v>45020</v>
          </cell>
          <cell r="M1197">
            <v>216.5</v>
          </cell>
          <cell r="P1197">
            <v>1.25</v>
          </cell>
        </row>
        <row r="1198">
          <cell r="A1198" t="str">
            <v>B&amp;P-034-POS-8-IZQ</v>
          </cell>
          <cell r="G1198" t="str">
            <v>IDESP</v>
          </cell>
          <cell r="L1198">
            <v>42310</v>
          </cell>
          <cell r="M1198">
            <v>9.61</v>
          </cell>
          <cell r="P1198">
            <v>1.0620000000000001</v>
          </cell>
        </row>
        <row r="1199">
          <cell r="A1199" t="str">
            <v>B&amp;P-034-POSB-10-Der.</v>
          </cell>
          <cell r="G1199" t="str">
            <v>IDESP</v>
          </cell>
          <cell r="L1199">
            <v>45554</v>
          </cell>
          <cell r="M1199">
            <v>982</v>
          </cell>
          <cell r="P1199">
            <v>3.74</v>
          </cell>
        </row>
        <row r="1200">
          <cell r="A1200" t="str">
            <v>B&amp;P-034-POSB-10-Izq.</v>
          </cell>
          <cell r="G1200" t="str">
            <v>IDESP</v>
          </cell>
          <cell r="L1200">
            <v>42464</v>
          </cell>
          <cell r="M1200">
            <v>15.03</v>
          </cell>
          <cell r="P1200">
            <v>3.15</v>
          </cell>
        </row>
        <row r="1201">
          <cell r="A1201" t="str">
            <v>B&amp;P-034-POSB-12-Der.</v>
          </cell>
          <cell r="G1201" t="str">
            <v>IDESP</v>
          </cell>
          <cell r="L1201">
            <v>42075</v>
          </cell>
          <cell r="M1201">
            <v>8.81</v>
          </cell>
          <cell r="P1201">
            <v>5.84</v>
          </cell>
        </row>
        <row r="1202">
          <cell r="A1202" t="str">
            <v>B&amp;P-034-POSB-12-Izq.</v>
          </cell>
          <cell r="G1202" t="str">
            <v>IDESP</v>
          </cell>
          <cell r="L1202">
            <v>42075</v>
          </cell>
          <cell r="M1202">
            <v>8.81</v>
          </cell>
          <cell r="P1202">
            <v>5.84</v>
          </cell>
        </row>
        <row r="1203">
          <cell r="A1203" t="str">
            <v>B&amp;P-034-POSB-6-Der.</v>
          </cell>
          <cell r="G1203" t="str">
            <v>IDESP</v>
          </cell>
          <cell r="L1203">
            <v>45554</v>
          </cell>
          <cell r="M1203">
            <v>982</v>
          </cell>
          <cell r="P1203">
            <v>2.34</v>
          </cell>
        </row>
        <row r="1204">
          <cell r="A1204" t="str">
            <v>B&amp;P-034-POSB-6-Izq.</v>
          </cell>
          <cell r="G1204" t="str">
            <v>IDESP</v>
          </cell>
          <cell r="L1204">
            <v>45554</v>
          </cell>
          <cell r="M1204">
            <v>982</v>
          </cell>
          <cell r="P1204">
            <v>2.34</v>
          </cell>
        </row>
        <row r="1205">
          <cell r="A1205" t="str">
            <v>B&amp;P-034-POSB-8-Der.</v>
          </cell>
          <cell r="G1205" t="str">
            <v>IDESP</v>
          </cell>
          <cell r="L1205">
            <v>45020</v>
          </cell>
          <cell r="M1205">
            <v>216.5</v>
          </cell>
          <cell r="P1205">
            <v>2.76</v>
          </cell>
        </row>
        <row r="1206">
          <cell r="A1206" t="str">
            <v>B&amp;P-034-SA20T/K-RD</v>
          </cell>
          <cell r="G1206" t="str">
            <v>IDESP</v>
          </cell>
          <cell r="L1206">
            <v>41186</v>
          </cell>
          <cell r="M1206">
            <v>4.71</v>
          </cell>
          <cell r="P1206">
            <v>3.6</v>
          </cell>
        </row>
        <row r="1207">
          <cell r="A1207" t="str">
            <v>B&amp;P-034-SA20T/K-RI</v>
          </cell>
          <cell r="G1207" t="str">
            <v>IDESP</v>
          </cell>
          <cell r="L1207">
            <v>41186</v>
          </cell>
          <cell r="M1207">
            <v>4.71</v>
          </cell>
          <cell r="P1207">
            <v>3.6</v>
          </cell>
        </row>
        <row r="1208">
          <cell r="A1208" t="str">
            <v>B&amp;P-035-BA-3616-ZOH</v>
          </cell>
          <cell r="G1208" t="str">
            <v>IDESP</v>
          </cell>
          <cell r="L1208">
            <v>44930</v>
          </cell>
          <cell r="M1208">
            <v>185.75</v>
          </cell>
          <cell r="P1208">
            <v>1.383</v>
          </cell>
        </row>
        <row r="1209">
          <cell r="A1209" t="str">
            <v>B&amp;P-035-BHA-1612-ZO</v>
          </cell>
          <cell r="G1209" t="str">
            <v>IDESP</v>
          </cell>
          <cell r="L1209">
            <v>44930</v>
          </cell>
          <cell r="M1209">
            <v>185.75</v>
          </cell>
          <cell r="P1209">
            <v>0.67</v>
          </cell>
        </row>
        <row r="1210">
          <cell r="A1210" t="str">
            <v>B&amp;P-035-BHA-1616-ZOH</v>
          </cell>
          <cell r="G1210" t="str">
            <v>IDESP</v>
          </cell>
          <cell r="L1210">
            <v>44798</v>
          </cell>
          <cell r="M1210">
            <v>144</v>
          </cell>
          <cell r="P1210">
            <v>0.81799999999999995</v>
          </cell>
        </row>
        <row r="1211">
          <cell r="A1211" t="str">
            <v>B&amp;P-035-BHA-2020-ZO</v>
          </cell>
          <cell r="G1211" t="str">
            <v>IDESP</v>
          </cell>
          <cell r="L1211">
            <v>44930</v>
          </cell>
          <cell r="M1211">
            <v>185.75</v>
          </cell>
          <cell r="P1211">
            <v>1.008</v>
          </cell>
        </row>
        <row r="1212">
          <cell r="A1212" t="str">
            <v>B&amp;P-035-CF18</v>
          </cell>
          <cell r="G1212" t="str">
            <v>IDESP</v>
          </cell>
          <cell r="L1212">
            <v>45912</v>
          </cell>
          <cell r="M1212">
            <v>1445</v>
          </cell>
          <cell r="P1212">
            <v>3.36</v>
          </cell>
        </row>
        <row r="1213">
          <cell r="A1213" t="str">
            <v>B&amp;P-035-F1720</v>
          </cell>
          <cell r="G1213" t="str">
            <v>IDESP</v>
          </cell>
          <cell r="L1213">
            <v>42828</v>
          </cell>
          <cell r="M1213">
            <v>15.68</v>
          </cell>
          <cell r="P1213">
            <v>1</v>
          </cell>
        </row>
        <row r="1214">
          <cell r="A1214" t="str">
            <v>B&amp;P-035-HK-1412</v>
          </cell>
          <cell r="G1214" t="str">
            <v>IDESP</v>
          </cell>
          <cell r="L1214">
            <v>44887</v>
          </cell>
          <cell r="M1214">
            <v>169.25</v>
          </cell>
          <cell r="P1214">
            <v>0.23</v>
          </cell>
        </row>
        <row r="1215">
          <cell r="A1215" t="str">
            <v>B&amp;P-035-HK-2830</v>
          </cell>
          <cell r="G1215" t="str">
            <v>IDESP</v>
          </cell>
          <cell r="L1215">
            <v>45807</v>
          </cell>
          <cell r="M1215">
            <v>1195</v>
          </cell>
          <cell r="P1215">
            <v>0.91</v>
          </cell>
        </row>
        <row r="1216">
          <cell r="A1216" t="str">
            <v>B&amp;P-035-HN-2820</v>
          </cell>
          <cell r="G1216" t="str">
            <v>IDESP</v>
          </cell>
          <cell r="L1216">
            <v>45112</v>
          </cell>
          <cell r="M1216">
            <v>270.5</v>
          </cell>
          <cell r="P1216">
            <v>0.68</v>
          </cell>
        </row>
        <row r="1217">
          <cell r="A1217" t="str">
            <v>B&amp;P-035-IR-25-29-30</v>
          </cell>
          <cell r="G1217" t="str">
            <v>IDESP</v>
          </cell>
          <cell r="L1217">
            <v>45807</v>
          </cell>
          <cell r="M1217">
            <v>1195</v>
          </cell>
          <cell r="P1217">
            <v>0.84</v>
          </cell>
        </row>
        <row r="1218">
          <cell r="A1218" t="str">
            <v>B&amp;P-035-NJG-2250</v>
          </cell>
          <cell r="G1218" t="str">
            <v>IDESP</v>
          </cell>
          <cell r="L1218">
            <v>41905</v>
          </cell>
          <cell r="M1218">
            <v>8.41</v>
          </cell>
          <cell r="P1218">
            <v>3.71</v>
          </cell>
        </row>
        <row r="1219">
          <cell r="A1219" t="str">
            <v>B&amp;P-035-NJG-2860</v>
          </cell>
          <cell r="G1219" t="str">
            <v>IDESP</v>
          </cell>
          <cell r="L1219">
            <v>41905</v>
          </cell>
          <cell r="M1219">
            <v>8.41</v>
          </cell>
          <cell r="P1219">
            <v>4.72</v>
          </cell>
        </row>
        <row r="1220">
          <cell r="A1220" t="str">
            <v>B&amp;P-035-NK-2520</v>
          </cell>
          <cell r="G1220" t="str">
            <v>IDESP</v>
          </cell>
          <cell r="L1220">
            <v>45979</v>
          </cell>
          <cell r="M1220">
            <v>1415</v>
          </cell>
          <cell r="P1220">
            <v>1.47</v>
          </cell>
        </row>
        <row r="1221">
          <cell r="A1221" t="str">
            <v>B&amp;P-035-NK-2830</v>
          </cell>
          <cell r="G1221" t="str">
            <v>IDESP</v>
          </cell>
          <cell r="L1221">
            <v>44887</v>
          </cell>
          <cell r="M1221">
            <v>169.25</v>
          </cell>
          <cell r="P1221">
            <v>1.72</v>
          </cell>
        </row>
        <row r="1222">
          <cell r="A1222" t="str">
            <v>B&amp;P-035-NK-2930</v>
          </cell>
          <cell r="G1222" t="str">
            <v>IDESP</v>
          </cell>
          <cell r="L1222">
            <v>45807</v>
          </cell>
          <cell r="M1222">
            <v>1195</v>
          </cell>
          <cell r="P1222">
            <v>1.55</v>
          </cell>
        </row>
        <row r="1223">
          <cell r="A1223" t="str">
            <v>B&amp;P-035-NK-4520</v>
          </cell>
          <cell r="G1223" t="str">
            <v>IDESP</v>
          </cell>
          <cell r="L1223">
            <v>44851</v>
          </cell>
          <cell r="M1223">
            <v>157.25</v>
          </cell>
          <cell r="P1223">
            <v>1.73</v>
          </cell>
        </row>
        <row r="1224">
          <cell r="A1224" t="str">
            <v>B&amp;P-035-NK-5025</v>
          </cell>
          <cell r="G1224" t="str">
            <v>IDESP</v>
          </cell>
          <cell r="L1224">
            <v>44887</v>
          </cell>
          <cell r="M1224">
            <v>169.25</v>
          </cell>
          <cell r="P1224">
            <v>2.86</v>
          </cell>
        </row>
        <row r="1225">
          <cell r="A1225" t="str">
            <v>B&amp;P-035-NKIS-15</v>
          </cell>
          <cell r="G1225" t="str">
            <v>IDESP</v>
          </cell>
          <cell r="L1225">
            <v>45628</v>
          </cell>
          <cell r="M1225">
            <v>1031</v>
          </cell>
          <cell r="P1225">
            <v>1.665</v>
          </cell>
        </row>
        <row r="1226">
          <cell r="A1226" t="str">
            <v>B&amp;P-035-SS-BA-3616</v>
          </cell>
          <cell r="G1226" t="str">
            <v>IDESP</v>
          </cell>
          <cell r="L1226">
            <v>41885</v>
          </cell>
          <cell r="M1226">
            <v>8.41</v>
          </cell>
          <cell r="P1226">
            <v>2.36</v>
          </cell>
        </row>
        <row r="1227">
          <cell r="A1227" t="str">
            <v>B&amp;P-035-SS-BHA-1612</v>
          </cell>
          <cell r="G1227" t="str">
            <v>IDESP</v>
          </cell>
          <cell r="L1227">
            <v>41926</v>
          </cell>
          <cell r="M1227">
            <v>8.4700000000000006</v>
          </cell>
          <cell r="P1227">
            <v>1.1200000000000001</v>
          </cell>
        </row>
        <row r="1228">
          <cell r="A1228" t="str">
            <v>B&amp;P-035-SS-BHA-2020</v>
          </cell>
          <cell r="G1228" t="str">
            <v>IDESP</v>
          </cell>
          <cell r="L1228">
            <v>41885</v>
          </cell>
          <cell r="M1228">
            <v>8.41</v>
          </cell>
          <cell r="P1228">
            <v>1.72</v>
          </cell>
        </row>
        <row r="1229">
          <cell r="A1229" t="str">
            <v>B&amp;P-035-SS-YB-3216</v>
          </cell>
          <cell r="G1229" t="str">
            <v>IDESP</v>
          </cell>
          <cell r="L1229">
            <v>41885</v>
          </cell>
          <cell r="M1229">
            <v>8.41</v>
          </cell>
          <cell r="P1229">
            <v>2.76</v>
          </cell>
        </row>
        <row r="1230">
          <cell r="A1230" t="str">
            <v>B&amp;P-035-TA-3820-Z</v>
          </cell>
          <cell r="G1230" t="str">
            <v>IDESP</v>
          </cell>
          <cell r="L1230">
            <v>45112</v>
          </cell>
          <cell r="M1230">
            <v>270.5</v>
          </cell>
          <cell r="P1230">
            <v>1.22</v>
          </cell>
        </row>
        <row r="1231">
          <cell r="A1231" t="str">
            <v>B&amp;P-035-YB-1816</v>
          </cell>
          <cell r="G1231" t="str">
            <v>IDESP</v>
          </cell>
          <cell r="L1231">
            <v>44628</v>
          </cell>
          <cell r="M1231">
            <v>113.5</v>
          </cell>
          <cell r="P1231">
            <v>0.76</v>
          </cell>
        </row>
        <row r="1232">
          <cell r="A1232" t="str">
            <v>B&amp;P-036-SNL508</v>
          </cell>
          <cell r="G1232" t="str">
            <v>IDESP</v>
          </cell>
          <cell r="L1232">
            <v>45714</v>
          </cell>
          <cell r="M1232">
            <v>1081</v>
          </cell>
          <cell r="P1232">
            <v>9.4600000000000009</v>
          </cell>
        </row>
        <row r="1233">
          <cell r="A1233" t="str">
            <v>B&amp;P-036-SNL509</v>
          </cell>
          <cell r="G1233" t="str">
            <v>IDESP</v>
          </cell>
          <cell r="L1233">
            <v>45714</v>
          </cell>
          <cell r="M1233">
            <v>1081</v>
          </cell>
          <cell r="P1233">
            <v>10.45</v>
          </cell>
        </row>
        <row r="1234">
          <cell r="A1234" t="str">
            <v>B&amp;P-036-SNL510</v>
          </cell>
          <cell r="G1234" t="str">
            <v>IDESP</v>
          </cell>
          <cell r="L1234">
            <v>45714</v>
          </cell>
          <cell r="M1234">
            <v>1081</v>
          </cell>
          <cell r="P1234">
            <v>11.12</v>
          </cell>
        </row>
        <row r="1235">
          <cell r="A1235" t="str">
            <v>B&amp;P-036-SNL511</v>
          </cell>
          <cell r="G1235" t="str">
            <v>IDESP</v>
          </cell>
          <cell r="L1235">
            <v>45714</v>
          </cell>
          <cell r="M1235">
            <v>1081</v>
          </cell>
          <cell r="P1235">
            <v>14.5</v>
          </cell>
        </row>
        <row r="1236">
          <cell r="A1236" t="str">
            <v>B&amp;P-036-SNL512</v>
          </cell>
          <cell r="G1236" t="str">
            <v>IDESP</v>
          </cell>
          <cell r="L1236">
            <v>45714</v>
          </cell>
          <cell r="M1236">
            <v>1081</v>
          </cell>
          <cell r="P1236">
            <v>18.46</v>
          </cell>
        </row>
        <row r="1237">
          <cell r="A1237" t="str">
            <v>B&amp;P-036-SNL513</v>
          </cell>
          <cell r="G1237" t="str">
            <v>IDESP</v>
          </cell>
          <cell r="L1237">
            <v>45714</v>
          </cell>
          <cell r="M1237">
            <v>1081</v>
          </cell>
          <cell r="P1237">
            <v>21.88</v>
          </cell>
        </row>
        <row r="1238">
          <cell r="A1238" t="str">
            <v>B&amp;P-036-SNL515</v>
          </cell>
          <cell r="G1238" t="str">
            <v>IDESP</v>
          </cell>
          <cell r="L1238">
            <v>45714</v>
          </cell>
          <cell r="M1238">
            <v>1081</v>
          </cell>
          <cell r="P1238">
            <v>23.25</v>
          </cell>
        </row>
        <row r="1239">
          <cell r="A1239" t="str">
            <v>B&amp;P-036-SNL516</v>
          </cell>
          <cell r="G1239" t="str">
            <v>IDESP</v>
          </cell>
          <cell r="L1239">
            <v>45714</v>
          </cell>
          <cell r="M1239">
            <v>1081</v>
          </cell>
          <cell r="P1239">
            <v>29.86</v>
          </cell>
        </row>
        <row r="1240">
          <cell r="A1240" t="str">
            <v>B&amp;P-036-SNL517</v>
          </cell>
          <cell r="G1240" t="str">
            <v>IDESP</v>
          </cell>
          <cell r="L1240">
            <v>45714</v>
          </cell>
          <cell r="M1240">
            <v>1081</v>
          </cell>
          <cell r="P1240">
            <v>33.619999999999997</v>
          </cell>
        </row>
        <row r="1241">
          <cell r="A1241" t="str">
            <v>B&amp;P-036-SNL518</v>
          </cell>
          <cell r="G1241" t="str">
            <v>IDESP</v>
          </cell>
          <cell r="L1241">
            <v>45714</v>
          </cell>
          <cell r="M1241">
            <v>1081</v>
          </cell>
          <cell r="P1241">
            <v>42.17</v>
          </cell>
        </row>
        <row r="1242">
          <cell r="A1242" t="str">
            <v>B&amp;P-036-SNL519</v>
          </cell>
          <cell r="G1242" t="str">
            <v>IDESP</v>
          </cell>
          <cell r="L1242">
            <v>45714</v>
          </cell>
          <cell r="M1242">
            <v>1081</v>
          </cell>
          <cell r="P1242">
            <v>45.52</v>
          </cell>
        </row>
        <row r="1243">
          <cell r="A1243" t="str">
            <v>B&amp;P-036-SNL520</v>
          </cell>
          <cell r="G1243" t="str">
            <v>IDESP</v>
          </cell>
          <cell r="L1243">
            <v>45714</v>
          </cell>
          <cell r="M1243">
            <v>1081</v>
          </cell>
          <cell r="P1243">
            <v>52.81</v>
          </cell>
        </row>
        <row r="1244">
          <cell r="A1244" t="str">
            <v>B&amp;P-036-SNL522</v>
          </cell>
          <cell r="G1244" t="str">
            <v>IDESP</v>
          </cell>
          <cell r="L1244">
            <v>45714</v>
          </cell>
          <cell r="M1244">
            <v>1081</v>
          </cell>
          <cell r="P1244">
            <v>81.7</v>
          </cell>
        </row>
        <row r="1245">
          <cell r="A1245" t="str">
            <v>B&amp;P-037-10X1.25X10</v>
          </cell>
          <cell r="G1245" t="str">
            <v>INCOU</v>
          </cell>
          <cell r="L1245">
            <v>42362</v>
          </cell>
          <cell r="M1245">
            <v>13.42</v>
          </cell>
          <cell r="P1245">
            <v>3.6999999999999998E-2</v>
          </cell>
        </row>
        <row r="1246">
          <cell r="A1246" t="str">
            <v>B&amp;P-037-3000X2500-GD</v>
          </cell>
          <cell r="G1246" t="str">
            <v>IDESP</v>
          </cell>
          <cell r="L1246">
            <v>41975</v>
          </cell>
          <cell r="M1246">
            <v>8.5500000000000007</v>
          </cell>
          <cell r="P1246">
            <v>1100</v>
          </cell>
        </row>
        <row r="1247">
          <cell r="A1247" t="str">
            <v>B&amp;P-037-6061-T6-B</v>
          </cell>
          <cell r="G1247" t="str">
            <v>IDESP</v>
          </cell>
          <cell r="L1247">
            <v>45628</v>
          </cell>
          <cell r="M1247">
            <v>1031</v>
          </cell>
          <cell r="P1247">
            <v>209.48</v>
          </cell>
        </row>
        <row r="1248">
          <cell r="A1248" t="str">
            <v>B&amp;P-037-6061-T6-C</v>
          </cell>
          <cell r="G1248" t="str">
            <v>IDESP</v>
          </cell>
          <cell r="L1248">
            <v>45628</v>
          </cell>
          <cell r="M1248">
            <v>1031</v>
          </cell>
          <cell r="P1248">
            <v>163.5</v>
          </cell>
        </row>
        <row r="1249">
          <cell r="A1249" t="str">
            <v>B&amp;P-037-7322BM/P5</v>
          </cell>
          <cell r="G1249" t="str">
            <v>IDESP</v>
          </cell>
          <cell r="L1249">
            <v>41326</v>
          </cell>
          <cell r="M1249">
            <v>5.0199999999999996</v>
          </cell>
          <cell r="P1249">
            <v>163.19999999999999</v>
          </cell>
        </row>
        <row r="1250">
          <cell r="A1250" t="str">
            <v>B&amp;P-037-806699</v>
          </cell>
          <cell r="G1250" t="str">
            <v>IPFAB</v>
          </cell>
          <cell r="L1250">
            <v>41477</v>
          </cell>
          <cell r="M1250">
            <v>5.46</v>
          </cell>
          <cell r="P1250">
            <v>25.042100000000001</v>
          </cell>
        </row>
        <row r="1251">
          <cell r="A1251" t="str">
            <v>B&amp;P-037-806700</v>
          </cell>
          <cell r="G1251" t="str">
            <v>IPFAB</v>
          </cell>
          <cell r="L1251">
            <v>41477</v>
          </cell>
          <cell r="M1251">
            <v>5.46</v>
          </cell>
          <cell r="P1251">
            <v>31.315000000000001</v>
          </cell>
        </row>
        <row r="1252">
          <cell r="A1252" t="str">
            <v>B&amp;P-037-807141</v>
          </cell>
          <cell r="G1252" t="str">
            <v>IPFAB</v>
          </cell>
          <cell r="L1252">
            <v>41477</v>
          </cell>
          <cell r="M1252">
            <v>5.46</v>
          </cell>
          <cell r="P1252">
            <v>47.111699999999999</v>
          </cell>
        </row>
        <row r="1253">
          <cell r="A1253" t="str">
            <v>B&amp;P-037-807142</v>
          </cell>
          <cell r="G1253" t="str">
            <v>IPFAB</v>
          </cell>
          <cell r="L1253">
            <v>41477</v>
          </cell>
          <cell r="M1253">
            <v>5.46</v>
          </cell>
          <cell r="P1253">
            <v>38.516500000000001</v>
          </cell>
        </row>
        <row r="1254">
          <cell r="A1254" t="str">
            <v>B&amp;P-037-81120-TN</v>
          </cell>
          <cell r="G1254" t="str">
            <v>IDESP</v>
          </cell>
          <cell r="L1254">
            <v>42429</v>
          </cell>
          <cell r="M1254">
            <v>15.66</v>
          </cell>
          <cell r="P1254">
            <v>13.688000000000001</v>
          </cell>
        </row>
        <row r="1255">
          <cell r="A1255" t="str">
            <v>B&amp;P-037-81208</v>
          </cell>
          <cell r="G1255" t="str">
            <v xml:space="preserve">INAC </v>
          </cell>
          <cell r="L1255">
            <v>44327</v>
          </cell>
          <cell r="M1255">
            <v>99</v>
          </cell>
          <cell r="P1255">
            <v>30.303030303030305</v>
          </cell>
        </row>
        <row r="1256">
          <cell r="A1256" t="str">
            <v>B&amp;P-037-81210</v>
          </cell>
          <cell r="G1256" t="str">
            <v>IDESP</v>
          </cell>
          <cell r="L1256">
            <v>45322</v>
          </cell>
          <cell r="M1256">
            <v>845</v>
          </cell>
          <cell r="P1256">
            <v>4.9980000000000002</v>
          </cell>
        </row>
        <row r="1257">
          <cell r="A1257" t="str">
            <v>B&amp;P-037-81211</v>
          </cell>
          <cell r="G1257" t="str">
            <v xml:space="preserve">INAC </v>
          </cell>
          <cell r="L1257">
            <v>44327</v>
          </cell>
          <cell r="M1257">
            <v>99</v>
          </cell>
          <cell r="P1257">
            <v>26.725186868686873</v>
          </cell>
        </row>
        <row r="1258">
          <cell r="A1258" t="str">
            <v>B&amp;P-037-81215-TN</v>
          </cell>
          <cell r="G1258" t="str">
            <v>IDESP</v>
          </cell>
          <cell r="L1258">
            <v>41978</v>
          </cell>
          <cell r="M1258">
            <v>8.57</v>
          </cell>
          <cell r="P1258">
            <v>8.35</v>
          </cell>
        </row>
        <row r="1259">
          <cell r="A1259" t="str">
            <v>B&amp;P-037-AG590026-06</v>
          </cell>
          <cell r="G1259" t="str">
            <v>IDESP</v>
          </cell>
          <cell r="L1259">
            <v>45020</v>
          </cell>
          <cell r="M1259">
            <v>216.5</v>
          </cell>
          <cell r="P1259">
            <v>0.39</v>
          </cell>
        </row>
        <row r="1260">
          <cell r="A1260" t="str">
            <v>B&amp;P-037-AG59517-01-Z</v>
          </cell>
          <cell r="G1260" t="str">
            <v>InRet</v>
          </cell>
          <cell r="L1260">
            <v>45624</v>
          </cell>
          <cell r="M1260">
            <v>1028</v>
          </cell>
          <cell r="P1260">
            <v>18.968871595330739</v>
          </cell>
        </row>
        <row r="1261">
          <cell r="A1261" t="str">
            <v>B&amp;P-037-AG59517-03-Z</v>
          </cell>
          <cell r="G1261" t="str">
            <v>InRet</v>
          </cell>
          <cell r="L1261">
            <v>45624</v>
          </cell>
          <cell r="M1261">
            <v>1028</v>
          </cell>
          <cell r="P1261">
            <v>3.5599659533073931</v>
          </cell>
        </row>
        <row r="1262">
          <cell r="A1262" t="str">
            <v>B&amp;P-037-AG59520-01-Z</v>
          </cell>
          <cell r="G1262" t="str">
            <v>InRet</v>
          </cell>
          <cell r="L1262">
            <v>45484</v>
          </cell>
          <cell r="M1262">
            <v>937.5</v>
          </cell>
          <cell r="P1262">
            <v>1.3866666666666667</v>
          </cell>
        </row>
        <row r="1263">
          <cell r="A1263" t="str">
            <v>B&amp;P-037-AG59520-03-Z</v>
          </cell>
          <cell r="G1263" t="str">
            <v>InRet</v>
          </cell>
          <cell r="L1263">
            <v>45484</v>
          </cell>
          <cell r="M1263">
            <v>937.5</v>
          </cell>
          <cell r="P1263">
            <v>0.16</v>
          </cell>
        </row>
        <row r="1264">
          <cell r="A1264" t="str">
            <v>B&amp;P-037-AG59520-08</v>
          </cell>
          <cell r="G1264" t="str">
            <v>INSI$</v>
          </cell>
          <cell r="L1264">
            <v>45485</v>
          </cell>
          <cell r="M1264">
            <v>938</v>
          </cell>
          <cell r="P1264">
            <v>0.41528486140724946</v>
          </cell>
        </row>
        <row r="1265">
          <cell r="A1265" t="str">
            <v>B&amp;P-037-BIG-BAG1040</v>
          </cell>
          <cell r="G1265" t="str">
            <v>IDESP</v>
          </cell>
          <cell r="L1265">
            <v>41843</v>
          </cell>
          <cell r="M1265">
            <v>8.18</v>
          </cell>
          <cell r="P1265">
            <v>7.46</v>
          </cell>
        </row>
        <row r="1266">
          <cell r="A1266" t="str">
            <v>B&amp;P-037-BIG-BAG1250</v>
          </cell>
          <cell r="G1266" t="str">
            <v>IDESP</v>
          </cell>
          <cell r="L1266">
            <v>41843</v>
          </cell>
          <cell r="M1266">
            <v>8.18</v>
          </cell>
          <cell r="P1266">
            <v>7.97</v>
          </cell>
        </row>
        <row r="1267">
          <cell r="A1267" t="str">
            <v>B&amp;P-037-BP-12011-05</v>
          </cell>
          <cell r="G1267" t="str">
            <v>IPFAP</v>
          </cell>
          <cell r="L1267">
            <v>42758</v>
          </cell>
          <cell r="M1267">
            <v>16.309999999999999</v>
          </cell>
          <cell r="P1267">
            <v>0.12413243408951564</v>
          </cell>
        </row>
        <row r="1268">
          <cell r="A1268" t="str">
            <v>B&amp;P-037-BP-12011-A5</v>
          </cell>
          <cell r="G1268" t="str">
            <v>InRet</v>
          </cell>
          <cell r="L1268">
            <v>42758</v>
          </cell>
          <cell r="M1268">
            <v>16.309999999999999</v>
          </cell>
          <cell r="P1268">
            <v>0.1882280809319436</v>
          </cell>
        </row>
        <row r="1269">
          <cell r="A1269" t="str">
            <v>B&amp;P-037-BP-12011-BD2</v>
          </cell>
          <cell r="G1269" t="str">
            <v>IDESP</v>
          </cell>
          <cell r="L1269">
            <v>44986</v>
          </cell>
          <cell r="M1269">
            <v>204</v>
          </cell>
          <cell r="P1269">
            <v>2.89</v>
          </cell>
        </row>
        <row r="1270">
          <cell r="A1270" t="str">
            <v>B&amp;P-037-BP-12011-BI2</v>
          </cell>
          <cell r="G1270" t="str">
            <v>IDESP</v>
          </cell>
          <cell r="L1270">
            <v>44986</v>
          </cell>
          <cell r="M1270">
            <v>204</v>
          </cell>
          <cell r="P1270">
            <v>2.89</v>
          </cell>
        </row>
        <row r="1271">
          <cell r="A1271" t="str">
            <v>B&amp;P-037-BP-13002</v>
          </cell>
          <cell r="G1271" t="str">
            <v>vpret</v>
          </cell>
          <cell r="L1271">
            <v>44403</v>
          </cell>
          <cell r="M1271">
            <v>101.5</v>
          </cell>
          <cell r="P1271">
            <v>9.8621556650246305</v>
          </cell>
        </row>
        <row r="1272">
          <cell r="A1272" t="str">
            <v>B&amp;P-037-BP-13002-01</v>
          </cell>
          <cell r="G1272" t="str">
            <v>vpret</v>
          </cell>
          <cell r="L1272">
            <v>44403</v>
          </cell>
          <cell r="M1272">
            <v>101.5</v>
          </cell>
          <cell r="P1272">
            <v>6.1766206896551727</v>
          </cell>
        </row>
        <row r="1273">
          <cell r="A1273" t="str">
            <v>B&amp;P-037-BP-13002-02</v>
          </cell>
          <cell r="G1273" t="str">
            <v>vpret</v>
          </cell>
          <cell r="L1273">
            <v>44403</v>
          </cell>
          <cell r="M1273">
            <v>101.5</v>
          </cell>
          <cell r="P1273">
            <v>2.5635960591133005</v>
          </cell>
        </row>
        <row r="1274">
          <cell r="A1274" t="str">
            <v>B&amp;P-037-BP-13002-A1</v>
          </cell>
          <cell r="G1274" t="str">
            <v>vpret</v>
          </cell>
          <cell r="L1274">
            <v>44321</v>
          </cell>
          <cell r="M1274">
            <v>98.75</v>
          </cell>
          <cell r="P1274">
            <v>5.6498936708860761</v>
          </cell>
        </row>
        <row r="1275">
          <cell r="A1275" t="str">
            <v>B&amp;P-037-BP-13002-A2</v>
          </cell>
          <cell r="G1275" t="str">
            <v>vpret</v>
          </cell>
          <cell r="L1275">
            <v>44321</v>
          </cell>
          <cell r="M1275">
            <v>98.75</v>
          </cell>
          <cell r="P1275">
            <v>1.9362531645569621</v>
          </cell>
        </row>
        <row r="1276">
          <cell r="A1276" t="str">
            <v>B&amp;P-037-BP-13002-B1</v>
          </cell>
          <cell r="G1276" t="str">
            <v>IPFAP</v>
          </cell>
          <cell r="L1276">
            <v>44343</v>
          </cell>
          <cell r="M1276">
            <v>99.5</v>
          </cell>
          <cell r="P1276">
            <v>6.3007738693467337</v>
          </cell>
        </row>
        <row r="1277">
          <cell r="A1277" t="str">
            <v>B&amp;P-037-BP-13002-B2</v>
          </cell>
          <cell r="G1277" t="str">
            <v>IPFAP</v>
          </cell>
          <cell r="L1277">
            <v>44343</v>
          </cell>
          <cell r="M1277">
            <v>99.5</v>
          </cell>
          <cell r="P1277">
            <v>2.6151256281407034</v>
          </cell>
        </row>
        <row r="1278">
          <cell r="A1278" t="str">
            <v>B&amp;P-037-BP-13008-06</v>
          </cell>
          <cell r="G1278" t="str">
            <v>VPRet</v>
          </cell>
          <cell r="L1278">
            <v>42242</v>
          </cell>
          <cell r="M1278">
            <v>9.31</v>
          </cell>
          <cell r="P1278">
            <v>1.0382556390977442</v>
          </cell>
        </row>
        <row r="1279">
          <cell r="A1279" t="str">
            <v>B&amp;P-037-BP-13010</v>
          </cell>
          <cell r="G1279" t="str">
            <v>INPE$</v>
          </cell>
          <cell r="L1279">
            <v>41507</v>
          </cell>
          <cell r="M1279">
            <v>5.6</v>
          </cell>
          <cell r="P1279">
            <v>85.714285714285722</v>
          </cell>
        </row>
        <row r="1280">
          <cell r="A1280" t="str">
            <v>B&amp;P-037-BP-13011-01</v>
          </cell>
          <cell r="G1280" t="str">
            <v xml:space="preserve">CR   </v>
          </cell>
          <cell r="L1280">
            <v>43126.69902777778</v>
          </cell>
          <cell r="M1280">
            <v>19.86</v>
          </cell>
          <cell r="P1280">
            <v>1.7263846928499498</v>
          </cell>
        </row>
        <row r="1281">
          <cell r="A1281" t="str">
            <v>B&amp;P-037-BP-13011-A1</v>
          </cell>
          <cell r="G1281" t="str">
            <v>VPRet</v>
          </cell>
          <cell r="L1281">
            <v>42310</v>
          </cell>
          <cell r="M1281">
            <v>9.61</v>
          </cell>
          <cell r="P1281">
            <v>4.9827731529656614</v>
          </cell>
        </row>
        <row r="1282">
          <cell r="A1282" t="str">
            <v>B&amp;P-037-BP-13011-A2</v>
          </cell>
          <cell r="G1282" t="str">
            <v xml:space="preserve">CR   </v>
          </cell>
          <cell r="L1282">
            <v>43126.69902777778</v>
          </cell>
          <cell r="M1282">
            <v>19.86</v>
          </cell>
          <cell r="P1282">
            <v>0.41213494461228606</v>
          </cell>
        </row>
        <row r="1283">
          <cell r="A1283" t="str">
            <v>B&amp;P-037-BP-13011-B1</v>
          </cell>
          <cell r="G1283" t="str">
            <v>InRet</v>
          </cell>
          <cell r="L1283">
            <v>42320</v>
          </cell>
          <cell r="M1283">
            <v>9.68</v>
          </cell>
          <cell r="P1283">
            <v>5.5354855371900831</v>
          </cell>
        </row>
        <row r="1284">
          <cell r="A1284" t="str">
            <v>B&amp;P-037-BP-13014</v>
          </cell>
          <cell r="G1284" t="str">
            <v>IDESP</v>
          </cell>
          <cell r="L1284">
            <v>45722</v>
          </cell>
          <cell r="M1284">
            <v>1084.5</v>
          </cell>
          <cell r="P1284">
            <v>5.13</v>
          </cell>
        </row>
        <row r="1285">
          <cell r="A1285" t="str">
            <v>B&amp;P-037-BP-14002</v>
          </cell>
          <cell r="G1285" t="str">
            <v>IPFAP</v>
          </cell>
          <cell r="L1285">
            <v>42419</v>
          </cell>
          <cell r="M1285">
            <v>15.27</v>
          </cell>
          <cell r="P1285">
            <v>0.64404060248853967</v>
          </cell>
        </row>
        <row r="1286">
          <cell r="A1286" t="str">
            <v>B&amp;P-037-BP-14003</v>
          </cell>
          <cell r="G1286" t="str">
            <v xml:space="preserve">INAC </v>
          </cell>
          <cell r="L1286">
            <v>42072</v>
          </cell>
          <cell r="M1286">
            <v>8.7799999999999994</v>
          </cell>
          <cell r="P1286">
            <v>0.98291571753986351</v>
          </cell>
        </row>
        <row r="1287">
          <cell r="A1287" t="str">
            <v>B&amp;P-037-BP-15001-P</v>
          </cell>
          <cell r="G1287" t="str">
            <v>IPFAP</v>
          </cell>
          <cell r="L1287">
            <v>42121</v>
          </cell>
          <cell r="M1287">
            <v>8.92</v>
          </cell>
          <cell r="P1287">
            <v>22.982062780269057</v>
          </cell>
        </row>
        <row r="1288">
          <cell r="A1288" t="str">
            <v>B&amp;P-037-BP-15002-P</v>
          </cell>
          <cell r="G1288" t="str">
            <v>IPFAP</v>
          </cell>
          <cell r="L1288">
            <v>42121</v>
          </cell>
          <cell r="M1288">
            <v>8.92</v>
          </cell>
          <cell r="P1288">
            <v>22.982062780269057</v>
          </cell>
        </row>
        <row r="1289">
          <cell r="A1289" t="str">
            <v>B&amp;P-037-BP-15003-P</v>
          </cell>
          <cell r="G1289" t="str">
            <v>IPFAP</v>
          </cell>
          <cell r="L1289">
            <v>42121</v>
          </cell>
          <cell r="M1289">
            <v>8.92</v>
          </cell>
          <cell r="P1289">
            <v>23.850896860986548</v>
          </cell>
        </row>
        <row r="1290">
          <cell r="A1290" t="str">
            <v>B&amp;P-037-BP-15004-P</v>
          </cell>
          <cell r="G1290" t="str">
            <v>IPFAP</v>
          </cell>
          <cell r="L1290">
            <v>42121</v>
          </cell>
          <cell r="M1290">
            <v>8.92</v>
          </cell>
          <cell r="P1290">
            <v>17.264573991031391</v>
          </cell>
        </row>
        <row r="1291">
          <cell r="A1291" t="str">
            <v>B&amp;P-037-BP-17010</v>
          </cell>
          <cell r="G1291" t="str">
            <v>IDESP</v>
          </cell>
          <cell r="L1291">
            <v>45322</v>
          </cell>
          <cell r="M1291">
            <v>845</v>
          </cell>
          <cell r="P1291">
            <v>5.55</v>
          </cell>
        </row>
        <row r="1292">
          <cell r="A1292" t="str">
            <v>B&amp;P-037-BP-20005-BD</v>
          </cell>
          <cell r="G1292" t="str">
            <v>IDESP</v>
          </cell>
          <cell r="L1292">
            <v>44986</v>
          </cell>
          <cell r="M1292">
            <v>204</v>
          </cell>
          <cell r="P1292">
            <v>2.65</v>
          </cell>
        </row>
        <row r="1293">
          <cell r="A1293" t="str">
            <v>B&amp;P-037-BP-20005-BI</v>
          </cell>
          <cell r="G1293" t="str">
            <v>IDESP</v>
          </cell>
          <cell r="L1293">
            <v>44986</v>
          </cell>
          <cell r="M1293">
            <v>204</v>
          </cell>
          <cell r="P1293">
            <v>2.65</v>
          </cell>
        </row>
        <row r="1294">
          <cell r="A1294" t="str">
            <v>B&amp;P-037-BP-21001-BD</v>
          </cell>
          <cell r="G1294" t="str">
            <v>IDESP</v>
          </cell>
          <cell r="L1294">
            <v>45979</v>
          </cell>
          <cell r="M1294">
            <v>1415</v>
          </cell>
          <cell r="P1294">
            <v>5.8323999999999998</v>
          </cell>
        </row>
        <row r="1295">
          <cell r="A1295" t="str">
            <v>B&amp;P-037-BP-21001-BI</v>
          </cell>
          <cell r="G1295" t="str">
            <v>IDESP</v>
          </cell>
          <cell r="L1295">
            <v>45979</v>
          </cell>
          <cell r="M1295">
            <v>1415</v>
          </cell>
          <cell r="P1295">
            <v>5.8323999999999998</v>
          </cell>
        </row>
        <row r="1296">
          <cell r="A1296" t="str">
            <v>B&amp;P-037-BP-22001</v>
          </cell>
          <cell r="G1296" t="str">
            <v>IDESP</v>
          </cell>
          <cell r="L1296">
            <v>45807</v>
          </cell>
          <cell r="M1296">
            <v>1195</v>
          </cell>
          <cell r="P1296">
            <v>2.4300000000000002</v>
          </cell>
        </row>
        <row r="1297">
          <cell r="A1297" t="str">
            <v>B&amp;P-037-BP-22001-02</v>
          </cell>
          <cell r="G1297" t="str">
            <v>IDESP</v>
          </cell>
          <cell r="L1297">
            <v>45992</v>
          </cell>
          <cell r="M1297">
            <v>1475</v>
          </cell>
          <cell r="P1297">
            <v>0.39300000000000002</v>
          </cell>
        </row>
        <row r="1298">
          <cell r="A1298" t="str">
            <v>B&amp;P-037-BP-22002</v>
          </cell>
          <cell r="G1298" t="str">
            <v>vpret</v>
          </cell>
          <cell r="L1298">
            <v>45422</v>
          </cell>
          <cell r="M1298">
            <v>901</v>
          </cell>
          <cell r="P1298">
            <v>76.035995560488345</v>
          </cell>
        </row>
        <row r="1299">
          <cell r="A1299" t="str">
            <v>B&amp;P-037-BP-23006</v>
          </cell>
          <cell r="G1299" t="str">
            <v>INCOU</v>
          </cell>
          <cell r="L1299">
            <v>45439</v>
          </cell>
          <cell r="M1299">
            <v>909.5</v>
          </cell>
          <cell r="P1299">
            <v>53.82</v>
          </cell>
        </row>
        <row r="1300">
          <cell r="A1300" t="str">
            <v>B&amp;P-037-BP-24002</v>
          </cell>
          <cell r="G1300" t="str">
            <v>IDESP</v>
          </cell>
          <cell r="L1300">
            <v>45903</v>
          </cell>
          <cell r="M1300">
            <v>1375</v>
          </cell>
          <cell r="P1300">
            <v>6.04</v>
          </cell>
        </row>
        <row r="1301">
          <cell r="A1301" t="str">
            <v>B&amp;P-037-BP-24003-01</v>
          </cell>
          <cell r="G1301" t="str">
            <v>IPFAP</v>
          </cell>
          <cell r="L1301">
            <v>45908</v>
          </cell>
          <cell r="M1301">
            <v>1380</v>
          </cell>
          <cell r="P1301">
            <v>3.3049999999999997</v>
          </cell>
        </row>
        <row r="1302">
          <cell r="A1302" t="str">
            <v>B&amp;P-037-BP-24003-02</v>
          </cell>
          <cell r="G1302" t="str">
            <v>vpret</v>
          </cell>
          <cell r="L1302">
            <v>45917</v>
          </cell>
          <cell r="M1302">
            <v>1480</v>
          </cell>
          <cell r="P1302">
            <v>0.41824662162162163</v>
          </cell>
        </row>
        <row r="1303">
          <cell r="A1303" t="str">
            <v>B&amp;P-037-BP-25006-02</v>
          </cell>
          <cell r="G1303" t="str">
            <v>IDESP</v>
          </cell>
          <cell r="L1303">
            <v>45912</v>
          </cell>
          <cell r="M1303">
            <v>1445</v>
          </cell>
          <cell r="P1303">
            <v>5.08</v>
          </cell>
        </row>
        <row r="1304">
          <cell r="A1304" t="str">
            <v>B&amp;P-037-BP-25006-D</v>
          </cell>
          <cell r="G1304" t="str">
            <v>IDESP</v>
          </cell>
          <cell r="L1304">
            <v>45912</v>
          </cell>
          <cell r="M1304">
            <v>1445</v>
          </cell>
          <cell r="P1304">
            <v>11.03</v>
          </cell>
        </row>
        <row r="1305">
          <cell r="A1305" t="str">
            <v>B&amp;P-037-BP-25006-I</v>
          </cell>
          <cell r="G1305" t="str">
            <v>IDESP</v>
          </cell>
          <cell r="L1305">
            <v>45912</v>
          </cell>
          <cell r="M1305">
            <v>1445</v>
          </cell>
          <cell r="P1305">
            <v>11.03</v>
          </cell>
        </row>
        <row r="1306">
          <cell r="A1306" t="str">
            <v>B&amp;P-037-BP-6000</v>
          </cell>
          <cell r="G1306" t="str">
            <v>IDESP</v>
          </cell>
          <cell r="L1306">
            <v>43283</v>
          </cell>
          <cell r="M1306">
            <v>29.4</v>
          </cell>
          <cell r="P1306">
            <v>747.65</v>
          </cell>
        </row>
        <row r="1307">
          <cell r="A1307" t="str">
            <v>B&amp;P-037-F4903062</v>
          </cell>
          <cell r="G1307" t="str">
            <v>VPRet</v>
          </cell>
          <cell r="L1307">
            <v>41915</v>
          </cell>
          <cell r="M1307">
            <v>8.41</v>
          </cell>
          <cell r="P1307">
            <v>12.349155766944113</v>
          </cell>
        </row>
        <row r="1308">
          <cell r="A1308" t="str">
            <v>B&amp;P-037-GREASE-PUMP</v>
          </cell>
          <cell r="G1308" t="str">
            <v>IDESP</v>
          </cell>
          <cell r="L1308">
            <v>41834</v>
          </cell>
          <cell r="M1308">
            <v>8.16</v>
          </cell>
          <cell r="P1308">
            <v>387</v>
          </cell>
        </row>
        <row r="1309">
          <cell r="A1309" t="str">
            <v>B&amp;P-037-M04132</v>
          </cell>
          <cell r="G1309" t="str">
            <v>IDESP</v>
          </cell>
          <cell r="L1309">
            <v>45839</v>
          </cell>
          <cell r="M1309">
            <v>1215</v>
          </cell>
          <cell r="P1309">
            <v>3.6299999999999999E-2</v>
          </cell>
        </row>
        <row r="1310">
          <cell r="A1310" t="str">
            <v>B&amp;P-037-P1</v>
          </cell>
          <cell r="G1310" t="str">
            <v>IDEMH</v>
          </cell>
          <cell r="L1310">
            <v>41465</v>
          </cell>
          <cell r="M1310">
            <v>5.41</v>
          </cell>
          <cell r="P1310">
            <v>295.10000000000002</v>
          </cell>
        </row>
        <row r="1311">
          <cell r="A1311" t="str">
            <v>B&amp;P-037-P2</v>
          </cell>
          <cell r="G1311" t="str">
            <v>IDESP</v>
          </cell>
          <cell r="L1311">
            <v>42031</v>
          </cell>
          <cell r="M1311">
            <v>8.66</v>
          </cell>
          <cell r="P1311">
            <v>159.30000000000001</v>
          </cell>
        </row>
        <row r="1312">
          <cell r="A1312" t="str">
            <v>B&amp;P-037-P3</v>
          </cell>
          <cell r="G1312" t="str">
            <v>IDEMH</v>
          </cell>
          <cell r="L1312">
            <v>41465</v>
          </cell>
          <cell r="M1312">
            <v>5.41</v>
          </cell>
          <cell r="P1312">
            <v>221.7</v>
          </cell>
        </row>
        <row r="1313">
          <cell r="A1313" t="str">
            <v>B&amp;P-037-P4</v>
          </cell>
          <cell r="G1313" t="str">
            <v>IDEMH</v>
          </cell>
          <cell r="L1313">
            <v>41465</v>
          </cell>
          <cell r="M1313">
            <v>5.41</v>
          </cell>
          <cell r="P1313">
            <v>285.2</v>
          </cell>
        </row>
        <row r="1314">
          <cell r="A1314" t="str">
            <v>B&amp;P-037-P5</v>
          </cell>
          <cell r="G1314" t="str">
            <v>IDEMH</v>
          </cell>
          <cell r="L1314">
            <v>41465</v>
          </cell>
          <cell r="M1314">
            <v>5.41</v>
          </cell>
          <cell r="P1314">
            <v>192.8</v>
          </cell>
        </row>
        <row r="1315">
          <cell r="A1315" t="str">
            <v>B&amp;P-037-P6</v>
          </cell>
          <cell r="G1315" t="str">
            <v>IDEMH</v>
          </cell>
          <cell r="L1315">
            <v>41465</v>
          </cell>
          <cell r="M1315">
            <v>5.41</v>
          </cell>
          <cell r="P1315">
            <v>144.6</v>
          </cell>
        </row>
        <row r="1316">
          <cell r="A1316" t="str">
            <v>B&amp;P-037-PIN-ANT-ROT</v>
          </cell>
          <cell r="G1316" t="str">
            <v>IDESP</v>
          </cell>
          <cell r="L1316">
            <v>42585</v>
          </cell>
          <cell r="M1316">
            <v>15.16</v>
          </cell>
          <cell r="P1316">
            <v>7.37</v>
          </cell>
        </row>
        <row r="1317">
          <cell r="A1317" t="str">
            <v>B&amp;P-037-PRISI-3/8x24</v>
          </cell>
          <cell r="G1317" t="str">
            <v>INCOU</v>
          </cell>
          <cell r="L1317">
            <v>42634</v>
          </cell>
          <cell r="M1317">
            <v>15.46</v>
          </cell>
          <cell r="P1317">
            <v>0.02</v>
          </cell>
        </row>
        <row r="1318">
          <cell r="A1318" t="str">
            <v>B&amp;P-037-PRISI-6X1X6</v>
          </cell>
          <cell r="G1318" t="str">
            <v xml:space="preserve">INAC </v>
          </cell>
          <cell r="L1318">
            <v>43339</v>
          </cell>
          <cell r="M1318">
            <v>31.4</v>
          </cell>
          <cell r="P1318">
            <v>2.3012738853503186E-2</v>
          </cell>
        </row>
        <row r="1319">
          <cell r="A1319" t="str">
            <v>B&amp;P-037-PRISI-8X1X8</v>
          </cell>
          <cell r="G1319" t="str">
            <v>IDESP</v>
          </cell>
          <cell r="L1319">
            <v>44641</v>
          </cell>
          <cell r="M1319">
            <v>114.75</v>
          </cell>
          <cell r="P1319">
            <v>0.06</v>
          </cell>
        </row>
        <row r="1320">
          <cell r="A1320" t="str">
            <v>B&amp;P-037-PV1</v>
          </cell>
          <cell r="G1320" t="str">
            <v>IDEMH</v>
          </cell>
          <cell r="L1320">
            <v>41465</v>
          </cell>
          <cell r="M1320">
            <v>5.41</v>
          </cell>
          <cell r="P1320">
            <v>531.96</v>
          </cell>
        </row>
        <row r="1321">
          <cell r="A1321" t="str">
            <v>B&amp;P-037-PV2</v>
          </cell>
          <cell r="G1321" t="str">
            <v>IDEMH</v>
          </cell>
          <cell r="L1321">
            <v>41465</v>
          </cell>
          <cell r="M1321">
            <v>5.41</v>
          </cell>
          <cell r="P1321">
            <v>817.96</v>
          </cell>
        </row>
        <row r="1322">
          <cell r="A1322" t="str">
            <v>B&amp;P-037-PV3</v>
          </cell>
          <cell r="G1322" t="str">
            <v>IDEMH</v>
          </cell>
          <cell r="L1322">
            <v>41465</v>
          </cell>
          <cell r="M1322">
            <v>5.41</v>
          </cell>
          <cell r="P1322">
            <v>930.6</v>
          </cell>
        </row>
        <row r="1323">
          <cell r="A1323" t="str">
            <v>B&amp;P-037-PV4</v>
          </cell>
          <cell r="G1323" t="str">
            <v>IDESP</v>
          </cell>
          <cell r="L1323">
            <v>42031</v>
          </cell>
          <cell r="M1323">
            <v>8.66</v>
          </cell>
          <cell r="P1323">
            <v>430</v>
          </cell>
        </row>
        <row r="1324">
          <cell r="A1324" t="str">
            <v>B&amp;P-037-PV5</v>
          </cell>
          <cell r="G1324" t="str">
            <v>IDEMH</v>
          </cell>
          <cell r="L1324">
            <v>41465</v>
          </cell>
          <cell r="M1324">
            <v>5.41</v>
          </cell>
          <cell r="P1324">
            <v>406.45</v>
          </cell>
        </row>
        <row r="1325">
          <cell r="A1325" t="str">
            <v>B&amp;P-037-PV6</v>
          </cell>
          <cell r="G1325" t="str">
            <v>IDEMH</v>
          </cell>
          <cell r="L1325">
            <v>41465</v>
          </cell>
          <cell r="M1325">
            <v>5.41</v>
          </cell>
          <cell r="P1325">
            <v>349.03</v>
          </cell>
        </row>
        <row r="1326">
          <cell r="A1326" t="str">
            <v>B&amp;P-037-PV7</v>
          </cell>
          <cell r="G1326" t="str">
            <v>IDESP</v>
          </cell>
          <cell r="L1326">
            <v>41465</v>
          </cell>
          <cell r="M1326">
            <v>5.41</v>
          </cell>
          <cell r="P1326">
            <v>600.32000000000005</v>
          </cell>
        </row>
        <row r="1327">
          <cell r="A1327" t="str">
            <v>B&amp;P-037-PVC-PROFILE</v>
          </cell>
          <cell r="G1327" t="str">
            <v>IDESP</v>
          </cell>
          <cell r="L1327">
            <v>42654</v>
          </cell>
          <cell r="M1327">
            <v>15.49</v>
          </cell>
          <cell r="P1327">
            <v>12.4</v>
          </cell>
        </row>
        <row r="1328">
          <cell r="A1328" t="str">
            <v>B&amp;P-037-QY-10</v>
          </cell>
          <cell r="G1328" t="str">
            <v>IDEMH</v>
          </cell>
          <cell r="L1328">
            <v>41834</v>
          </cell>
          <cell r="M1328">
            <v>8.16</v>
          </cell>
          <cell r="P1328">
            <v>3606</v>
          </cell>
        </row>
        <row r="1329">
          <cell r="A1329" t="str">
            <v>B&amp;P-037-RFMV60</v>
          </cell>
          <cell r="G1329" t="str">
            <v>IDEMH</v>
          </cell>
          <cell r="L1329">
            <v>41835</v>
          </cell>
          <cell r="M1329">
            <v>8.16</v>
          </cell>
          <cell r="P1329">
            <v>84000</v>
          </cell>
        </row>
        <row r="1330">
          <cell r="A1330" t="str">
            <v>B&amp;P-037-SP-47</v>
          </cell>
          <cell r="G1330" t="str">
            <v xml:space="preserve">INAC </v>
          </cell>
          <cell r="L1330">
            <v>41390</v>
          </cell>
          <cell r="M1330">
            <v>5.18</v>
          </cell>
          <cell r="P1330">
            <v>0.71428571428571441</v>
          </cell>
        </row>
        <row r="1331">
          <cell r="A1331" t="str">
            <v>B&amp;P-037-SSHA1-206</v>
          </cell>
          <cell r="G1331" t="str">
            <v xml:space="preserve">INAC </v>
          </cell>
          <cell r="L1331">
            <v>41107</v>
          </cell>
          <cell r="M1331">
            <v>4.57</v>
          </cell>
          <cell r="P1331">
            <v>123</v>
          </cell>
        </row>
        <row r="1332">
          <cell r="A1332" t="str">
            <v>B&amp;P-037-STC204-A</v>
          </cell>
          <cell r="G1332" t="str">
            <v xml:space="preserve">INAC </v>
          </cell>
          <cell r="L1332">
            <v>41435</v>
          </cell>
          <cell r="M1332">
            <v>5.3</v>
          </cell>
          <cell r="P1332">
            <v>56.132075471698116</v>
          </cell>
        </row>
        <row r="1333">
          <cell r="A1333" t="str">
            <v>B&amp;P-037-TUE-1"1/412</v>
          </cell>
          <cell r="G1333" t="str">
            <v xml:space="preserve">INAC </v>
          </cell>
          <cell r="L1333">
            <v>41536</v>
          </cell>
          <cell r="M1333">
            <v>5.75</v>
          </cell>
          <cell r="P1333">
            <v>1.8669391304347827</v>
          </cell>
        </row>
        <row r="1334">
          <cell r="A1334" t="str">
            <v>B&amp;P-037-TUE-1"1/412L</v>
          </cell>
          <cell r="G1334" t="str">
            <v xml:space="preserve">INAC </v>
          </cell>
          <cell r="L1334">
            <v>41536</v>
          </cell>
          <cell r="M1334">
            <v>5.75</v>
          </cell>
          <cell r="P1334">
            <v>3.5222782608695651</v>
          </cell>
        </row>
        <row r="1335">
          <cell r="A1335" t="str">
            <v>B&amp;P-037-UB-BIG</v>
          </cell>
          <cell r="G1335" t="str">
            <v>IDESP</v>
          </cell>
          <cell r="L1335">
            <v>43684</v>
          </cell>
          <cell r="M1335">
            <v>46.3</v>
          </cell>
          <cell r="P1335">
            <v>10.342000000000001</v>
          </cell>
        </row>
        <row r="1336">
          <cell r="A1336" t="str">
            <v>B&amp;P-037-UB-SMALL</v>
          </cell>
          <cell r="G1336" t="str">
            <v>IDESP</v>
          </cell>
          <cell r="L1336">
            <v>43684</v>
          </cell>
          <cell r="M1336">
            <v>46.3</v>
          </cell>
          <cell r="P1336">
            <v>9.0380000000000003</v>
          </cell>
        </row>
        <row r="1337">
          <cell r="A1337" t="str">
            <v>B&amp;P-037-UBM-DOUBLE</v>
          </cell>
          <cell r="G1337" t="str">
            <v>IDESP</v>
          </cell>
          <cell r="L1337">
            <v>43985</v>
          </cell>
          <cell r="M1337">
            <v>70.5</v>
          </cell>
          <cell r="P1337">
            <v>62.43</v>
          </cell>
        </row>
        <row r="1338">
          <cell r="A1338" t="str">
            <v>B&amp;P-037-UBM-SINGLE</v>
          </cell>
          <cell r="G1338" t="str">
            <v>IDESP</v>
          </cell>
          <cell r="L1338">
            <v>43684</v>
          </cell>
          <cell r="M1338">
            <v>46.3</v>
          </cell>
          <cell r="P1338">
            <v>43.63</v>
          </cell>
        </row>
        <row r="1339">
          <cell r="A1339" t="str">
            <v>B&amp;P-037-V1</v>
          </cell>
          <cell r="G1339" t="str">
            <v>IDESP</v>
          </cell>
          <cell r="L1339">
            <v>42031</v>
          </cell>
          <cell r="M1339">
            <v>8.66</v>
          </cell>
          <cell r="P1339">
            <v>250</v>
          </cell>
        </row>
        <row r="1340">
          <cell r="A1340" t="str">
            <v>B&amp;P-037-V10</v>
          </cell>
          <cell r="G1340" t="str">
            <v>IDESP</v>
          </cell>
          <cell r="L1340">
            <v>41843</v>
          </cell>
          <cell r="M1340">
            <v>8.18</v>
          </cell>
          <cell r="P1340">
            <v>271.95</v>
          </cell>
        </row>
        <row r="1341">
          <cell r="A1341" t="str">
            <v>B&amp;P-037-V11</v>
          </cell>
          <cell r="G1341" t="str">
            <v>IDESP</v>
          </cell>
          <cell r="L1341">
            <v>42031</v>
          </cell>
          <cell r="M1341">
            <v>8.66</v>
          </cell>
          <cell r="P1341">
            <v>346.4</v>
          </cell>
        </row>
        <row r="1342">
          <cell r="A1342" t="str">
            <v>B&amp;P-037-V12</v>
          </cell>
          <cell r="G1342" t="str">
            <v>IDESP</v>
          </cell>
          <cell r="L1342">
            <v>41843</v>
          </cell>
          <cell r="M1342">
            <v>8.18</v>
          </cell>
          <cell r="P1342">
            <v>291.89999999999998</v>
          </cell>
        </row>
        <row r="1343">
          <cell r="A1343" t="str">
            <v>B&amp;P-037-V13</v>
          </cell>
          <cell r="G1343" t="str">
            <v>IDESP</v>
          </cell>
          <cell r="L1343">
            <v>42031</v>
          </cell>
          <cell r="M1343">
            <v>8.66</v>
          </cell>
          <cell r="P1343">
            <v>385.1</v>
          </cell>
        </row>
        <row r="1344">
          <cell r="A1344" t="str">
            <v>B&amp;P-037-V14</v>
          </cell>
          <cell r="G1344" t="str">
            <v>IDESP</v>
          </cell>
          <cell r="L1344">
            <v>42031</v>
          </cell>
          <cell r="M1344">
            <v>8.66</v>
          </cell>
          <cell r="P1344">
            <v>473.4</v>
          </cell>
        </row>
        <row r="1345">
          <cell r="A1345" t="str">
            <v>B&amp;P-037-V2</v>
          </cell>
          <cell r="G1345" t="str">
            <v>IDESP</v>
          </cell>
          <cell r="L1345">
            <v>42031</v>
          </cell>
          <cell r="M1345">
            <v>8.66</v>
          </cell>
          <cell r="P1345">
            <v>427</v>
          </cell>
        </row>
        <row r="1346">
          <cell r="A1346" t="str">
            <v>B&amp;P-037-V2A</v>
          </cell>
          <cell r="G1346" t="str">
            <v>IDESP</v>
          </cell>
          <cell r="L1346">
            <v>41465</v>
          </cell>
          <cell r="M1346">
            <v>5.41</v>
          </cell>
          <cell r="P1346">
            <v>119.58</v>
          </cell>
        </row>
        <row r="1347">
          <cell r="A1347" t="str">
            <v>B&amp;P-037-V3</v>
          </cell>
          <cell r="G1347" t="str">
            <v>IDESP</v>
          </cell>
          <cell r="L1347">
            <v>42031</v>
          </cell>
          <cell r="M1347">
            <v>8.66</v>
          </cell>
          <cell r="P1347">
            <v>183</v>
          </cell>
        </row>
        <row r="1348">
          <cell r="A1348" t="str">
            <v>B&amp;P-037-V3A</v>
          </cell>
          <cell r="G1348" t="str">
            <v>IDEMH</v>
          </cell>
          <cell r="L1348">
            <v>41465</v>
          </cell>
          <cell r="M1348">
            <v>5.41</v>
          </cell>
          <cell r="P1348">
            <v>222.86</v>
          </cell>
        </row>
        <row r="1349">
          <cell r="A1349" t="str">
            <v>B&amp;P-037-V4</v>
          </cell>
          <cell r="G1349" t="str">
            <v>IDESP</v>
          </cell>
          <cell r="L1349">
            <v>42031</v>
          </cell>
          <cell r="M1349">
            <v>8.66</v>
          </cell>
          <cell r="P1349">
            <v>240.5</v>
          </cell>
        </row>
        <row r="1350">
          <cell r="A1350" t="str">
            <v>B&amp;P-037-V4A</v>
          </cell>
          <cell r="G1350" t="str">
            <v>IDESP</v>
          </cell>
          <cell r="L1350">
            <v>41465</v>
          </cell>
          <cell r="M1350">
            <v>5.41</v>
          </cell>
          <cell r="P1350">
            <v>217.46</v>
          </cell>
        </row>
        <row r="1351">
          <cell r="A1351" t="str">
            <v>B&amp;P-037-V5</v>
          </cell>
          <cell r="G1351" t="str">
            <v>IDESP</v>
          </cell>
          <cell r="L1351">
            <v>42031</v>
          </cell>
          <cell r="M1351">
            <v>8.66</v>
          </cell>
          <cell r="P1351">
            <v>315</v>
          </cell>
        </row>
        <row r="1352">
          <cell r="A1352" t="str">
            <v>B&amp;P-037-V6</v>
          </cell>
          <cell r="G1352" t="str">
            <v>IDEMH</v>
          </cell>
          <cell r="L1352">
            <v>41465</v>
          </cell>
          <cell r="M1352">
            <v>5.41</v>
          </cell>
          <cell r="P1352">
            <v>239.36</v>
          </cell>
        </row>
        <row r="1353">
          <cell r="A1353" t="str">
            <v>B&amp;P-037-V7</v>
          </cell>
          <cell r="G1353" t="str">
            <v>IDESP</v>
          </cell>
          <cell r="L1353">
            <v>42031</v>
          </cell>
          <cell r="M1353">
            <v>8.66</v>
          </cell>
          <cell r="P1353">
            <v>456.6</v>
          </cell>
        </row>
        <row r="1354">
          <cell r="A1354" t="str">
            <v>B&amp;P-037-V8</v>
          </cell>
          <cell r="G1354" t="str">
            <v>IDEMH</v>
          </cell>
          <cell r="L1354">
            <v>41465</v>
          </cell>
          <cell r="M1354">
            <v>5.41</v>
          </cell>
          <cell r="P1354">
            <v>267.44</v>
          </cell>
        </row>
        <row r="1355">
          <cell r="A1355" t="str">
            <v>B&amp;P-037-V9</v>
          </cell>
          <cell r="G1355" t="str">
            <v>IDESP</v>
          </cell>
          <cell r="L1355">
            <v>41465</v>
          </cell>
          <cell r="M1355">
            <v>5.41</v>
          </cell>
          <cell r="P1355">
            <v>345.17</v>
          </cell>
        </row>
        <row r="1356">
          <cell r="A1356" t="str">
            <v>B&amp;P-040-1204-K-TN-C3</v>
          </cell>
          <cell r="G1356" t="str">
            <v>IDESP</v>
          </cell>
          <cell r="L1356">
            <v>45744</v>
          </cell>
          <cell r="M1356">
            <v>1091.75</v>
          </cell>
          <cell r="P1356">
            <v>1.1200000000000001</v>
          </cell>
        </row>
        <row r="1357">
          <cell r="A1357" t="str">
            <v>B&amp;P-040-1205-K-TN-C3</v>
          </cell>
          <cell r="G1357" t="str">
            <v>IDESP</v>
          </cell>
          <cell r="L1357">
            <v>45744</v>
          </cell>
          <cell r="M1357">
            <v>1091.75</v>
          </cell>
          <cell r="P1357">
            <v>1.21</v>
          </cell>
        </row>
        <row r="1358">
          <cell r="A1358" t="str">
            <v>B&amp;P-040-1205-TN-C3</v>
          </cell>
          <cell r="G1358" t="str">
            <v>IDESP</v>
          </cell>
          <cell r="L1358">
            <v>45979</v>
          </cell>
          <cell r="M1358">
            <v>1415</v>
          </cell>
          <cell r="P1358">
            <v>1.1299999999999999</v>
          </cell>
        </row>
        <row r="1359">
          <cell r="A1359" t="str">
            <v>B&amp;P-040-1206-K-C3</v>
          </cell>
          <cell r="G1359" t="str">
            <v>IDESP</v>
          </cell>
          <cell r="L1359">
            <v>45744</v>
          </cell>
          <cell r="M1359">
            <v>1091.75</v>
          </cell>
          <cell r="P1359">
            <v>1.44</v>
          </cell>
        </row>
        <row r="1360">
          <cell r="A1360" t="str">
            <v>B&amp;P-040-1206-TN-C3</v>
          </cell>
          <cell r="G1360" t="str">
            <v>IDESP</v>
          </cell>
          <cell r="L1360">
            <v>45744</v>
          </cell>
          <cell r="M1360">
            <v>1091.75</v>
          </cell>
          <cell r="P1360">
            <v>1.57</v>
          </cell>
        </row>
        <row r="1361">
          <cell r="A1361" t="str">
            <v>B&amp;P-040-1207-K-TN-C3</v>
          </cell>
          <cell r="G1361" t="str">
            <v>IDESP</v>
          </cell>
          <cell r="L1361">
            <v>45744</v>
          </cell>
          <cell r="M1361">
            <v>1091.75</v>
          </cell>
          <cell r="P1361">
            <v>2</v>
          </cell>
        </row>
        <row r="1362">
          <cell r="A1362" t="str">
            <v>B&amp;P-040-1207-TN-C3</v>
          </cell>
          <cell r="G1362" t="str">
            <v>IDESP</v>
          </cell>
          <cell r="L1362">
            <v>45979</v>
          </cell>
          <cell r="M1362">
            <v>1415</v>
          </cell>
          <cell r="P1362">
            <v>2</v>
          </cell>
        </row>
        <row r="1363">
          <cell r="A1363" t="str">
            <v>B&amp;P-040-1208-K-TN-C3</v>
          </cell>
          <cell r="G1363" t="str">
            <v>IDESP</v>
          </cell>
          <cell r="L1363">
            <v>45979</v>
          </cell>
          <cell r="M1363">
            <v>1415</v>
          </cell>
          <cell r="P1363">
            <v>2.04</v>
          </cell>
        </row>
        <row r="1364">
          <cell r="A1364" t="str">
            <v>B&amp;P-040-1208-TN-C3</v>
          </cell>
          <cell r="G1364" t="str">
            <v>IDESP</v>
          </cell>
          <cell r="L1364">
            <v>45979</v>
          </cell>
          <cell r="M1364">
            <v>1415</v>
          </cell>
          <cell r="P1364">
            <v>2.21</v>
          </cell>
        </row>
        <row r="1365">
          <cell r="A1365" t="str">
            <v>B&amp;P-040-1209-K-TN-C3</v>
          </cell>
          <cell r="G1365" t="str">
            <v>IDESP</v>
          </cell>
          <cell r="L1365">
            <v>45322</v>
          </cell>
          <cell r="M1365">
            <v>845</v>
          </cell>
          <cell r="P1365">
            <v>2.33</v>
          </cell>
        </row>
        <row r="1366">
          <cell r="A1366" t="str">
            <v>B&amp;P-040-1209-TN-C3</v>
          </cell>
          <cell r="G1366" t="str">
            <v>IDESP</v>
          </cell>
          <cell r="L1366">
            <v>45979</v>
          </cell>
          <cell r="M1366">
            <v>1415</v>
          </cell>
          <cell r="P1366">
            <v>2.33</v>
          </cell>
        </row>
        <row r="1367">
          <cell r="A1367" t="str">
            <v>B&amp;P-040-1210-K-C3</v>
          </cell>
          <cell r="G1367" t="str">
            <v>IDESP</v>
          </cell>
          <cell r="L1367">
            <v>41724</v>
          </cell>
          <cell r="M1367">
            <v>8.02</v>
          </cell>
          <cell r="P1367">
            <v>2.63</v>
          </cell>
        </row>
        <row r="1368">
          <cell r="A1368" t="str">
            <v>B&amp;P-040-1210-K-TN-C3</v>
          </cell>
          <cell r="G1368" t="str">
            <v>IDESP</v>
          </cell>
          <cell r="L1368">
            <v>45722</v>
          </cell>
          <cell r="M1368">
            <v>1084.5</v>
          </cell>
          <cell r="P1368">
            <v>2.4500000000000002</v>
          </cell>
        </row>
        <row r="1369">
          <cell r="A1369" t="str">
            <v>B&amp;P-040-1211-C3</v>
          </cell>
          <cell r="G1369" t="str">
            <v>IDESP</v>
          </cell>
          <cell r="L1369">
            <v>41806</v>
          </cell>
          <cell r="M1369">
            <v>8.16</v>
          </cell>
          <cell r="P1369">
            <v>3.21</v>
          </cell>
        </row>
        <row r="1370">
          <cell r="A1370" t="str">
            <v>B&amp;P-040-1211-K-C3</v>
          </cell>
          <cell r="G1370" t="str">
            <v>IDESP</v>
          </cell>
          <cell r="L1370">
            <v>45509</v>
          </cell>
          <cell r="M1370">
            <v>953.5</v>
          </cell>
          <cell r="P1370">
            <v>3.07</v>
          </cell>
        </row>
        <row r="1371">
          <cell r="A1371" t="str">
            <v>B&amp;P-040-1212-K-TN-C3</v>
          </cell>
          <cell r="G1371" t="str">
            <v>IDESP</v>
          </cell>
          <cell r="L1371">
            <v>45744</v>
          </cell>
          <cell r="M1371">
            <v>1091.75</v>
          </cell>
          <cell r="P1371">
            <v>4.16</v>
          </cell>
        </row>
        <row r="1372">
          <cell r="A1372" t="str">
            <v>B&amp;P-040-1213-K-TN-C3</v>
          </cell>
          <cell r="G1372" t="str">
            <v>IDESP</v>
          </cell>
          <cell r="L1372">
            <v>45744</v>
          </cell>
          <cell r="M1372">
            <v>1091.75</v>
          </cell>
          <cell r="P1372">
            <v>5.04</v>
          </cell>
        </row>
        <row r="1373">
          <cell r="A1373" t="str">
            <v>B&amp;P-040-1214-K-TN-C3</v>
          </cell>
          <cell r="G1373" t="str">
            <v>IDESP</v>
          </cell>
          <cell r="L1373">
            <v>45744</v>
          </cell>
          <cell r="M1373">
            <v>1091.75</v>
          </cell>
          <cell r="P1373">
            <v>5.96</v>
          </cell>
        </row>
        <row r="1374">
          <cell r="A1374" t="str">
            <v>B&amp;P-040-1215-K-TN-C3</v>
          </cell>
          <cell r="G1374" t="str">
            <v>IDESP</v>
          </cell>
          <cell r="L1374">
            <v>45744</v>
          </cell>
          <cell r="M1374">
            <v>1091.75</v>
          </cell>
          <cell r="P1374">
            <v>6.28</v>
          </cell>
        </row>
        <row r="1375">
          <cell r="A1375" t="str">
            <v>B&amp;P-040-1305-K-TN-C3</v>
          </cell>
          <cell r="G1375" t="str">
            <v>IDESP</v>
          </cell>
          <cell r="L1375">
            <v>45322</v>
          </cell>
          <cell r="M1375">
            <v>845</v>
          </cell>
          <cell r="P1375">
            <v>1.9570000000000001</v>
          </cell>
        </row>
        <row r="1376">
          <cell r="A1376" t="str">
            <v>B&amp;P-040-1305-TN-C3</v>
          </cell>
          <cell r="G1376" t="str">
            <v>IDESP</v>
          </cell>
          <cell r="L1376">
            <v>45744</v>
          </cell>
          <cell r="M1376">
            <v>1091.75</v>
          </cell>
          <cell r="P1376">
            <v>1.97</v>
          </cell>
        </row>
        <row r="1377">
          <cell r="A1377" t="str">
            <v>B&amp;P-040-1306-K-TN-C3</v>
          </cell>
          <cell r="G1377" t="str">
            <v>IDESP</v>
          </cell>
          <cell r="L1377">
            <v>44151</v>
          </cell>
          <cell r="M1377">
            <v>85</v>
          </cell>
          <cell r="P1377">
            <v>2.2320000000000002</v>
          </cell>
        </row>
        <row r="1378">
          <cell r="A1378" t="str">
            <v>B&amp;P-040-1306-TN-C3</v>
          </cell>
          <cell r="G1378" t="str">
            <v>IDESP</v>
          </cell>
          <cell r="L1378">
            <v>45509</v>
          </cell>
          <cell r="M1378">
            <v>953.5</v>
          </cell>
          <cell r="P1378">
            <v>1.93</v>
          </cell>
        </row>
        <row r="1379">
          <cell r="A1379" t="str">
            <v>B&amp;P-040-1307-K-TN-C3</v>
          </cell>
          <cell r="G1379" t="str">
            <v>IDESP</v>
          </cell>
          <cell r="L1379">
            <v>45322</v>
          </cell>
          <cell r="M1379">
            <v>845</v>
          </cell>
          <cell r="P1379">
            <v>2.92</v>
          </cell>
        </row>
        <row r="1380">
          <cell r="A1380" t="str">
            <v>B&amp;P-040-1307-TN-C3</v>
          </cell>
          <cell r="G1380" t="str">
            <v>IDESP</v>
          </cell>
          <cell r="L1380">
            <v>45509</v>
          </cell>
          <cell r="M1380">
            <v>953.5</v>
          </cell>
          <cell r="P1380">
            <v>2.92</v>
          </cell>
        </row>
        <row r="1381">
          <cell r="A1381" t="str">
            <v>B&amp;P-040-1308-K-TN-C3</v>
          </cell>
          <cell r="G1381" t="str">
            <v>IDESP</v>
          </cell>
          <cell r="L1381">
            <v>45322</v>
          </cell>
          <cell r="M1381">
            <v>845</v>
          </cell>
          <cell r="P1381">
            <v>3.65</v>
          </cell>
        </row>
        <row r="1382">
          <cell r="A1382" t="str">
            <v>B&amp;P-040-1308-TN-C3</v>
          </cell>
          <cell r="G1382" t="str">
            <v>IDESP</v>
          </cell>
          <cell r="L1382">
            <v>45979</v>
          </cell>
          <cell r="M1382">
            <v>1415</v>
          </cell>
          <cell r="P1382">
            <v>3.65</v>
          </cell>
        </row>
        <row r="1383">
          <cell r="A1383" t="str">
            <v>B&amp;P-040-1309-K-TN-C3</v>
          </cell>
          <cell r="G1383" t="str">
            <v>IDESP</v>
          </cell>
          <cell r="L1383">
            <v>45744</v>
          </cell>
          <cell r="M1383">
            <v>1091.75</v>
          </cell>
          <cell r="P1383">
            <v>4.13</v>
          </cell>
        </row>
        <row r="1384">
          <cell r="A1384" t="str">
            <v>B&amp;P-040-1309-TN-C3</v>
          </cell>
          <cell r="G1384" t="str">
            <v>IDESP</v>
          </cell>
          <cell r="L1384">
            <v>45322</v>
          </cell>
          <cell r="M1384">
            <v>845</v>
          </cell>
          <cell r="P1384">
            <v>4.57</v>
          </cell>
        </row>
        <row r="1385">
          <cell r="A1385" t="str">
            <v>B&amp;P-040-1310-TN-C3</v>
          </cell>
          <cell r="G1385" t="str">
            <v>IDESP</v>
          </cell>
          <cell r="L1385">
            <v>45979</v>
          </cell>
          <cell r="M1385">
            <v>1415</v>
          </cell>
          <cell r="P1385">
            <v>6.32</v>
          </cell>
        </row>
        <row r="1386">
          <cell r="A1386" t="str">
            <v>B&amp;P-040-1312-K-TN-C3</v>
          </cell>
          <cell r="G1386" t="str">
            <v>IDESP</v>
          </cell>
          <cell r="L1386">
            <v>45979</v>
          </cell>
          <cell r="M1386">
            <v>1415</v>
          </cell>
          <cell r="P1386">
            <v>8.2899999999999991</v>
          </cell>
        </row>
        <row r="1387">
          <cell r="A1387" t="str">
            <v>B&amp;P-040-2205-TN-C3</v>
          </cell>
          <cell r="G1387" t="str">
            <v>IDESP</v>
          </cell>
          <cell r="L1387">
            <v>45979</v>
          </cell>
          <cell r="M1387">
            <v>1415</v>
          </cell>
          <cell r="P1387">
            <v>1.74</v>
          </cell>
        </row>
        <row r="1388">
          <cell r="A1388" t="str">
            <v>B&amp;P-040-2206-TN-C3</v>
          </cell>
          <cell r="G1388" t="str">
            <v>IDESP</v>
          </cell>
          <cell r="L1388">
            <v>43235</v>
          </cell>
          <cell r="M1388">
            <v>25.51</v>
          </cell>
          <cell r="P1388">
            <v>1.72</v>
          </cell>
        </row>
        <row r="1389">
          <cell r="A1389" t="str">
            <v>B&amp;P-040-2207-C3</v>
          </cell>
          <cell r="G1389" t="str">
            <v>IDESP</v>
          </cell>
          <cell r="L1389">
            <v>41780</v>
          </cell>
          <cell r="M1389">
            <v>8.11</v>
          </cell>
          <cell r="P1389">
            <v>2.0099999999999998</v>
          </cell>
        </row>
        <row r="1390">
          <cell r="A1390" t="str">
            <v>B&amp;P-040-2207-TN-C3</v>
          </cell>
          <cell r="G1390" t="str">
            <v>IDESP</v>
          </cell>
          <cell r="L1390">
            <v>45744</v>
          </cell>
          <cell r="M1390">
            <v>1091.75</v>
          </cell>
          <cell r="P1390">
            <v>2.2200000000000002</v>
          </cell>
        </row>
        <row r="1391">
          <cell r="A1391" t="str">
            <v>B&amp;P-040-2208-TN-C3</v>
          </cell>
          <cell r="G1391" t="str">
            <v>IDESP</v>
          </cell>
          <cell r="L1391">
            <v>45744</v>
          </cell>
          <cell r="M1391">
            <v>1091.75</v>
          </cell>
          <cell r="P1391">
            <v>2.85</v>
          </cell>
        </row>
        <row r="1392">
          <cell r="A1392" t="str">
            <v>B&amp;P-040-2209-K-TN-C3</v>
          </cell>
          <cell r="G1392" t="str">
            <v>IDESP</v>
          </cell>
          <cell r="L1392">
            <v>45744</v>
          </cell>
          <cell r="M1392">
            <v>1091.75</v>
          </cell>
          <cell r="P1392">
            <v>2.93</v>
          </cell>
        </row>
        <row r="1393">
          <cell r="A1393" t="str">
            <v>B&amp;P-040-2209-TN-C3</v>
          </cell>
          <cell r="G1393" t="str">
            <v>IDESP</v>
          </cell>
          <cell r="L1393">
            <v>45509</v>
          </cell>
          <cell r="M1393">
            <v>953.5</v>
          </cell>
          <cell r="P1393">
            <v>2.75</v>
          </cell>
        </row>
        <row r="1394">
          <cell r="A1394" t="str">
            <v>B&amp;P-040-2210-K-TN-C3</v>
          </cell>
          <cell r="G1394" t="str">
            <v>IDESP</v>
          </cell>
          <cell r="L1394">
            <v>45744</v>
          </cell>
          <cell r="M1394">
            <v>1091.75</v>
          </cell>
          <cell r="P1394">
            <v>3.31</v>
          </cell>
        </row>
        <row r="1395">
          <cell r="A1395" t="str">
            <v>B&amp;P-040-2305-TN-C3</v>
          </cell>
          <cell r="G1395" t="str">
            <v>IDESP</v>
          </cell>
          <cell r="L1395">
            <v>44151</v>
          </cell>
          <cell r="M1395">
            <v>85</v>
          </cell>
          <cell r="P1395">
            <v>2.7240000000000002</v>
          </cell>
        </row>
        <row r="1396">
          <cell r="A1396" t="str">
            <v>B&amp;P-040-2309-TN-C3</v>
          </cell>
          <cell r="G1396" t="str">
            <v>IDESP</v>
          </cell>
          <cell r="L1396">
            <v>44151</v>
          </cell>
          <cell r="M1396">
            <v>85</v>
          </cell>
          <cell r="P1396">
            <v>6.6239999999999997</v>
          </cell>
        </row>
        <row r="1397">
          <cell r="A1397" t="str">
            <v>B&amp;P-040-51102</v>
          </cell>
          <cell r="G1397" t="str">
            <v xml:space="preserve">INSI </v>
          </cell>
          <cell r="L1397">
            <v>45909</v>
          </cell>
          <cell r="M1397">
            <v>1425</v>
          </cell>
          <cell r="P1397">
            <v>0.33</v>
          </cell>
        </row>
        <row r="1398">
          <cell r="A1398" t="str">
            <v>B&amp;P-040-51103</v>
          </cell>
          <cell r="G1398" t="str">
            <v>IDESP</v>
          </cell>
          <cell r="L1398">
            <v>45996</v>
          </cell>
          <cell r="M1398">
            <v>1470</v>
          </cell>
          <cell r="P1398">
            <v>0.317</v>
          </cell>
        </row>
        <row r="1399">
          <cell r="A1399" t="str">
            <v>B&amp;P-040-51104</v>
          </cell>
          <cell r="G1399" t="str">
            <v>IDESP</v>
          </cell>
          <cell r="L1399">
            <v>45509</v>
          </cell>
          <cell r="M1399">
            <v>953.5</v>
          </cell>
          <cell r="P1399">
            <v>0.37</v>
          </cell>
        </row>
        <row r="1400">
          <cell r="A1400" t="str">
            <v>B&amp;P-040-51105</v>
          </cell>
          <cell r="G1400" t="str">
            <v>IDESP</v>
          </cell>
          <cell r="L1400">
            <v>45975</v>
          </cell>
          <cell r="M1400">
            <v>1430</v>
          </cell>
          <cell r="P1400">
            <v>0.51200000000000001</v>
          </cell>
        </row>
        <row r="1401">
          <cell r="A1401" t="str">
            <v>B&amp;P-040-51106</v>
          </cell>
          <cell r="G1401" t="str">
            <v>IDESP</v>
          </cell>
          <cell r="L1401">
            <v>45996</v>
          </cell>
          <cell r="M1401">
            <v>1470</v>
          </cell>
          <cell r="P1401">
            <v>0.55200000000000005</v>
          </cell>
        </row>
        <row r="1402">
          <cell r="A1402" t="str">
            <v>B&amp;P-040-51107</v>
          </cell>
          <cell r="G1402" t="str">
            <v>IDESP</v>
          </cell>
          <cell r="L1402">
            <v>45975</v>
          </cell>
          <cell r="M1402">
            <v>1430</v>
          </cell>
          <cell r="P1402">
            <v>0.65500000000000003</v>
          </cell>
        </row>
        <row r="1403">
          <cell r="A1403" t="str">
            <v>B&amp;P-040-51108</v>
          </cell>
          <cell r="G1403" t="str">
            <v>IDESP</v>
          </cell>
          <cell r="L1403">
            <v>45996</v>
          </cell>
          <cell r="M1403">
            <v>1470</v>
          </cell>
          <cell r="P1403">
            <v>0.66300000000000003</v>
          </cell>
        </row>
        <row r="1404">
          <cell r="A1404" t="str">
            <v>B&amp;P-040-51109</v>
          </cell>
          <cell r="G1404" t="str">
            <v>IDESP</v>
          </cell>
          <cell r="L1404">
            <v>45996</v>
          </cell>
          <cell r="M1404">
            <v>1470</v>
          </cell>
          <cell r="P1404">
            <v>0.75900000000000001</v>
          </cell>
        </row>
        <row r="1405">
          <cell r="A1405" t="str">
            <v>B&amp;P-040-51110</v>
          </cell>
          <cell r="G1405" t="str">
            <v>IDESP</v>
          </cell>
          <cell r="L1405">
            <v>45996</v>
          </cell>
          <cell r="M1405">
            <v>1470</v>
          </cell>
          <cell r="P1405">
            <v>1.0269999999999999</v>
          </cell>
        </row>
        <row r="1406">
          <cell r="A1406" t="str">
            <v>B&amp;P-040-51111</v>
          </cell>
          <cell r="G1406" t="str">
            <v>IDESP</v>
          </cell>
          <cell r="L1406">
            <v>45996</v>
          </cell>
          <cell r="M1406">
            <v>1470</v>
          </cell>
          <cell r="P1406">
            <v>1.107</v>
          </cell>
        </row>
        <row r="1407">
          <cell r="A1407" t="str">
            <v>B&amp;P-040-51112</v>
          </cell>
          <cell r="G1407" t="str">
            <v>IDESP</v>
          </cell>
          <cell r="L1407">
            <v>45996</v>
          </cell>
          <cell r="M1407">
            <v>1470</v>
          </cell>
          <cell r="P1407">
            <v>1.3819999999999999</v>
          </cell>
        </row>
        <row r="1408">
          <cell r="A1408" t="str">
            <v>B&amp;P-040-51114</v>
          </cell>
          <cell r="G1408" t="str">
            <v>IDESP</v>
          </cell>
          <cell r="L1408">
            <v>45996</v>
          </cell>
          <cell r="M1408">
            <v>1470</v>
          </cell>
          <cell r="P1408">
            <v>1.768</v>
          </cell>
        </row>
        <row r="1409">
          <cell r="A1409" t="str">
            <v>B&amp;P-040-51115</v>
          </cell>
          <cell r="G1409" t="str">
            <v>IDESP</v>
          </cell>
          <cell r="L1409">
            <v>45996</v>
          </cell>
          <cell r="M1409">
            <v>1470</v>
          </cell>
          <cell r="P1409">
            <v>1.7929999999999999</v>
          </cell>
        </row>
        <row r="1410">
          <cell r="A1410" t="str">
            <v>B&amp;P-040-51116</v>
          </cell>
          <cell r="G1410" t="str">
            <v>IDESP</v>
          </cell>
          <cell r="L1410">
            <v>45979</v>
          </cell>
          <cell r="M1410">
            <v>1415</v>
          </cell>
          <cell r="P1410">
            <v>1.81</v>
          </cell>
        </row>
        <row r="1411">
          <cell r="A1411" t="str">
            <v>B&amp;P-040-51117</v>
          </cell>
          <cell r="G1411" t="str">
            <v>IDESP</v>
          </cell>
          <cell r="L1411">
            <v>45509</v>
          </cell>
          <cell r="M1411">
            <v>953.5</v>
          </cell>
          <cell r="P1411">
            <v>2.0499999999999998</v>
          </cell>
        </row>
        <row r="1412">
          <cell r="A1412" t="str">
            <v>B&amp;P-040-51118</v>
          </cell>
          <cell r="G1412" t="str">
            <v>IDESP</v>
          </cell>
          <cell r="L1412">
            <v>44974</v>
          </cell>
          <cell r="M1412">
            <v>198.5</v>
          </cell>
          <cell r="P1412">
            <v>2.8980000000000001</v>
          </cell>
        </row>
        <row r="1413">
          <cell r="A1413" t="str">
            <v>B&amp;P-040-51205</v>
          </cell>
          <cell r="G1413" t="str">
            <v>IDESP</v>
          </cell>
          <cell r="L1413">
            <v>44641</v>
          </cell>
          <cell r="M1413">
            <v>114.75</v>
          </cell>
          <cell r="P1413">
            <v>0.65</v>
          </cell>
        </row>
        <row r="1414">
          <cell r="A1414" t="str">
            <v>B&amp;P-040-51207</v>
          </cell>
          <cell r="G1414" t="str">
            <v>IDESP</v>
          </cell>
          <cell r="L1414">
            <v>45509</v>
          </cell>
          <cell r="M1414">
            <v>953.5</v>
          </cell>
          <cell r="P1414">
            <v>1.05</v>
          </cell>
        </row>
        <row r="1415">
          <cell r="A1415" t="str">
            <v>B&amp;P-040-51208</v>
          </cell>
          <cell r="G1415" t="str">
            <v>IDESP</v>
          </cell>
          <cell r="L1415">
            <v>45979</v>
          </cell>
          <cell r="M1415">
            <v>1415</v>
          </cell>
          <cell r="P1415">
            <v>1.23</v>
          </cell>
        </row>
        <row r="1416">
          <cell r="A1416" t="str">
            <v>B&amp;P-040-51209</v>
          </cell>
          <cell r="G1416" t="str">
            <v>IDESP</v>
          </cell>
          <cell r="L1416">
            <v>45996</v>
          </cell>
          <cell r="M1416">
            <v>1470</v>
          </cell>
          <cell r="P1416">
            <v>1.5620000000000001</v>
          </cell>
        </row>
        <row r="1417">
          <cell r="A1417" t="str">
            <v>B&amp;P-040-51210</v>
          </cell>
          <cell r="G1417" t="str">
            <v>IDESP</v>
          </cell>
          <cell r="L1417">
            <v>45996</v>
          </cell>
          <cell r="M1417">
            <v>1470</v>
          </cell>
          <cell r="P1417">
            <v>1.954</v>
          </cell>
        </row>
        <row r="1418">
          <cell r="A1418" t="str">
            <v>B&amp;P-040-51215</v>
          </cell>
          <cell r="G1418" t="str">
            <v xml:space="preserve">INSI </v>
          </cell>
          <cell r="L1418">
            <v>45860</v>
          </cell>
          <cell r="M1418">
            <v>1300</v>
          </cell>
          <cell r="P1418">
            <v>3.57</v>
          </cell>
        </row>
        <row r="1419">
          <cell r="A1419" t="str">
            <v>B&amp;P-040-51217</v>
          </cell>
          <cell r="G1419" t="str">
            <v>IDESP</v>
          </cell>
          <cell r="L1419">
            <v>44974</v>
          </cell>
          <cell r="M1419">
            <v>198.5</v>
          </cell>
          <cell r="P1419">
            <v>4.3470000000000004</v>
          </cell>
        </row>
        <row r="1420">
          <cell r="A1420" t="str">
            <v>B&amp;P-040-51310</v>
          </cell>
          <cell r="G1420" t="str">
            <v>IDESP</v>
          </cell>
          <cell r="L1420">
            <v>41017</v>
          </cell>
          <cell r="M1420">
            <v>4.41</v>
          </cell>
          <cell r="P1420">
            <v>3.66</v>
          </cell>
        </row>
        <row r="1421">
          <cell r="A1421" t="str">
            <v>B&amp;P-040-51315</v>
          </cell>
          <cell r="G1421" t="str">
            <v>IDESP</v>
          </cell>
          <cell r="L1421">
            <v>42654</v>
          </cell>
          <cell r="M1421">
            <v>15.49</v>
          </cell>
          <cell r="P1421">
            <v>8.67</v>
          </cell>
        </row>
        <row r="1422">
          <cell r="A1422" t="str">
            <v>B&amp;P-040-5205-2RS</v>
          </cell>
          <cell r="G1422" t="str">
            <v>IDESP</v>
          </cell>
          <cell r="L1422">
            <v>45124</v>
          </cell>
          <cell r="M1422">
            <v>277</v>
          </cell>
          <cell r="P1422">
            <v>1.62</v>
          </cell>
        </row>
        <row r="1423">
          <cell r="A1423" t="str">
            <v>B&amp;P-040-5205-2RST</v>
          </cell>
          <cell r="G1423" t="str">
            <v>IPFAP</v>
          </cell>
          <cell r="L1423">
            <v>45894</v>
          </cell>
          <cell r="M1423">
            <v>1335</v>
          </cell>
          <cell r="P1423">
            <v>1.6199999999999999</v>
          </cell>
        </row>
        <row r="1424">
          <cell r="A1424" t="str">
            <v>B&amp;P-040-5210-2RS-C3</v>
          </cell>
          <cell r="G1424" t="str">
            <v>IDESP</v>
          </cell>
          <cell r="L1424">
            <v>45163</v>
          </cell>
          <cell r="M1424">
            <v>365.5</v>
          </cell>
          <cell r="P1424">
            <v>4.5129999999999999</v>
          </cell>
        </row>
        <row r="1425">
          <cell r="A1425" t="str">
            <v>B&amp;P-040-7207-B-TN</v>
          </cell>
          <cell r="G1425" t="str">
            <v>IDESP</v>
          </cell>
          <cell r="L1425">
            <v>45587</v>
          </cell>
          <cell r="M1425">
            <v>1004.5</v>
          </cell>
          <cell r="P1425">
            <v>1.62</v>
          </cell>
        </row>
        <row r="1426">
          <cell r="A1426" t="str">
            <v>B&amp;P-040-7209-B-TN</v>
          </cell>
          <cell r="G1426" t="str">
            <v>IDESP</v>
          </cell>
          <cell r="L1426">
            <v>45587</v>
          </cell>
          <cell r="M1426">
            <v>1004.5</v>
          </cell>
          <cell r="P1426">
            <v>2.5099999999999998</v>
          </cell>
        </row>
        <row r="1427">
          <cell r="A1427" t="str">
            <v>B&amp;P-040-81212</v>
          </cell>
          <cell r="G1427" t="str">
            <v>IDESP</v>
          </cell>
          <cell r="L1427">
            <v>45322</v>
          </cell>
          <cell r="M1427">
            <v>845</v>
          </cell>
          <cell r="P1427">
            <v>8.35</v>
          </cell>
        </row>
        <row r="1428">
          <cell r="A1428" t="str">
            <v>B&amp;P-040-BP-23005-MM</v>
          </cell>
          <cell r="G1428" t="str">
            <v>IPFAP</v>
          </cell>
          <cell r="L1428">
            <v>45425</v>
          </cell>
          <cell r="M1428">
            <v>901.5</v>
          </cell>
          <cell r="P1428">
            <v>73.599999999999994</v>
          </cell>
        </row>
        <row r="1429">
          <cell r="A1429" t="str">
            <v>B&amp;P-040-BP-23005-ST</v>
          </cell>
          <cell r="G1429" t="str">
            <v>IPFAP</v>
          </cell>
          <cell r="L1429">
            <v>45427</v>
          </cell>
          <cell r="M1429">
            <v>904</v>
          </cell>
          <cell r="P1429">
            <v>73.396460176991141</v>
          </cell>
        </row>
        <row r="1430">
          <cell r="A1430" t="str">
            <v>B&amp;P-041-1635-2RLD</v>
          </cell>
          <cell r="G1430" t="str">
            <v>IDESP</v>
          </cell>
          <cell r="L1430">
            <v>44988</v>
          </cell>
          <cell r="M1430">
            <v>205</v>
          </cell>
          <cell r="P1430">
            <v>1.1200000000000001</v>
          </cell>
        </row>
        <row r="1431">
          <cell r="A1431" t="str">
            <v>B&amp;P-041-5206-2RST</v>
          </cell>
          <cell r="G1431" t="str">
            <v>IDESP</v>
          </cell>
          <cell r="L1431">
            <v>45378</v>
          </cell>
          <cell r="M1431">
            <v>875.5</v>
          </cell>
          <cell r="P1431">
            <v>3.59</v>
          </cell>
        </row>
        <row r="1432">
          <cell r="A1432" t="str">
            <v>B&amp;P-041-6013</v>
          </cell>
          <cell r="G1432" t="str">
            <v>IDESP</v>
          </cell>
          <cell r="L1432">
            <v>42915</v>
          </cell>
          <cell r="M1432">
            <v>16.68</v>
          </cell>
          <cell r="P1432">
            <v>1.6178999999999999</v>
          </cell>
        </row>
        <row r="1433">
          <cell r="A1433" t="str">
            <v>B&amp;P-041-6013-2RST-22</v>
          </cell>
          <cell r="G1433" t="str">
            <v>IDESP</v>
          </cell>
          <cell r="L1433">
            <v>45776</v>
          </cell>
          <cell r="M1433">
            <v>1190</v>
          </cell>
          <cell r="P1433">
            <v>4.694</v>
          </cell>
        </row>
        <row r="1434">
          <cell r="A1434" t="str">
            <v>B&amp;P-041-608-2RS</v>
          </cell>
          <cell r="G1434" t="str">
            <v>IDESP</v>
          </cell>
          <cell r="L1434">
            <v>45951</v>
          </cell>
          <cell r="M1434">
            <v>1495</v>
          </cell>
          <cell r="P1434">
            <v>0.215</v>
          </cell>
        </row>
        <row r="1435">
          <cell r="A1435" t="str">
            <v>B&amp;P-041-6207-2RST-NR</v>
          </cell>
          <cell r="G1435" t="str">
            <v xml:space="preserve">INAC </v>
          </cell>
          <cell r="L1435">
            <v>43374</v>
          </cell>
          <cell r="M1435">
            <v>42.1</v>
          </cell>
          <cell r="P1435">
            <v>2.6128266033254155</v>
          </cell>
        </row>
        <row r="1436">
          <cell r="A1436" t="str">
            <v>B&amp;P-041-6209-2RS</v>
          </cell>
          <cell r="G1436" t="str">
            <v xml:space="preserve">INAC </v>
          </cell>
          <cell r="L1436">
            <v>43426</v>
          </cell>
          <cell r="M1436">
            <v>37.1</v>
          </cell>
          <cell r="P1436">
            <v>4.2048517520215629</v>
          </cell>
        </row>
        <row r="1437">
          <cell r="A1437" t="str">
            <v>B&amp;P-041-625-2Z-C3P62</v>
          </cell>
          <cell r="G1437" t="str">
            <v>IDESP</v>
          </cell>
          <cell r="L1437">
            <v>45628</v>
          </cell>
          <cell r="M1437">
            <v>1031</v>
          </cell>
          <cell r="P1437">
            <v>0.23</v>
          </cell>
        </row>
        <row r="1438">
          <cell r="A1438" t="str">
            <v>B&amp;P-041-629-2RLD</v>
          </cell>
          <cell r="G1438" t="str">
            <v>IDESP</v>
          </cell>
          <cell r="L1438">
            <v>45951</v>
          </cell>
          <cell r="M1438">
            <v>1495</v>
          </cell>
          <cell r="P1438">
            <v>0.27100000000000002</v>
          </cell>
        </row>
        <row r="1439">
          <cell r="A1439" t="str">
            <v>B&amp;P-041-6802-2RS</v>
          </cell>
          <cell r="G1439" t="str">
            <v>VPPRT</v>
          </cell>
          <cell r="L1439">
            <v>45561</v>
          </cell>
          <cell r="M1439">
            <v>987</v>
          </cell>
          <cell r="P1439">
            <v>0.24959999999999999</v>
          </cell>
        </row>
        <row r="1440">
          <cell r="A1440" t="str">
            <v>B&amp;P-041-6803-2RS</v>
          </cell>
          <cell r="G1440" t="str">
            <v xml:space="preserve">INSI </v>
          </cell>
          <cell r="L1440">
            <v>45909</v>
          </cell>
          <cell r="M1440">
            <v>1425</v>
          </cell>
          <cell r="P1440">
            <v>0.35</v>
          </cell>
        </row>
        <row r="1441">
          <cell r="A1441" t="str">
            <v>B&amp;P-041-6804-2RS</v>
          </cell>
          <cell r="G1441" t="str">
            <v>IDESP</v>
          </cell>
          <cell r="L1441">
            <v>45776</v>
          </cell>
          <cell r="M1441">
            <v>1190</v>
          </cell>
          <cell r="P1441">
            <v>0.39</v>
          </cell>
        </row>
        <row r="1442">
          <cell r="A1442" t="str">
            <v>B&amp;P-041-6805-2RLD-5</v>
          </cell>
          <cell r="G1442" t="str">
            <v>IDESP</v>
          </cell>
          <cell r="L1442">
            <v>45020</v>
          </cell>
          <cell r="M1442">
            <v>216.5</v>
          </cell>
          <cell r="P1442">
            <v>0.71</v>
          </cell>
        </row>
        <row r="1443">
          <cell r="A1443" t="str">
            <v>B&amp;P-041-6805-2RS</v>
          </cell>
          <cell r="G1443" t="str">
            <v>IDESP</v>
          </cell>
          <cell r="L1443">
            <v>45776</v>
          </cell>
          <cell r="M1443">
            <v>1190</v>
          </cell>
          <cell r="P1443">
            <v>0.41899999999999998</v>
          </cell>
        </row>
        <row r="1444">
          <cell r="A1444" t="str">
            <v>B&amp;P-041-6806-2RS</v>
          </cell>
          <cell r="G1444" t="str">
            <v>IDESP</v>
          </cell>
          <cell r="L1444">
            <v>45776</v>
          </cell>
          <cell r="M1444">
            <v>1190</v>
          </cell>
          <cell r="P1444">
            <v>0.58199999999999996</v>
          </cell>
        </row>
        <row r="1445">
          <cell r="A1445" t="str">
            <v>B&amp;P-041-6907-2RLDC3P</v>
          </cell>
          <cell r="G1445" t="str">
            <v>IDESP</v>
          </cell>
          <cell r="L1445">
            <v>45807</v>
          </cell>
          <cell r="M1445">
            <v>1195</v>
          </cell>
          <cell r="P1445">
            <v>1.0940000000000001</v>
          </cell>
        </row>
        <row r="1446">
          <cell r="A1446" t="str">
            <v>B&amp;P-041-7004-C</v>
          </cell>
          <cell r="G1446" t="str">
            <v>INCOU</v>
          </cell>
          <cell r="L1446">
            <v>42310</v>
          </cell>
          <cell r="M1446">
            <v>9.61</v>
          </cell>
          <cell r="P1446">
            <v>12</v>
          </cell>
        </row>
        <row r="1447">
          <cell r="A1447" t="str">
            <v>B&amp;P-041-BP-13008-A1</v>
          </cell>
          <cell r="G1447" t="str">
            <v>IPFAP</v>
          </cell>
          <cell r="L1447">
            <v>42048</v>
          </cell>
          <cell r="M1447">
            <v>8.7100000000000009</v>
          </cell>
          <cell r="P1447">
            <v>9.2300574052812845</v>
          </cell>
        </row>
        <row r="1448">
          <cell r="A1448" t="str">
            <v>B&amp;P-041-BP-13008-A2</v>
          </cell>
          <cell r="G1448" t="str">
            <v>VPRet</v>
          </cell>
          <cell r="L1448">
            <v>42075</v>
          </cell>
          <cell r="M1448">
            <v>8.81</v>
          </cell>
          <cell r="P1448">
            <v>4.0025879682179335</v>
          </cell>
        </row>
        <row r="1449">
          <cell r="A1449" t="str">
            <v>B&amp;P-041-BP-13008-B1</v>
          </cell>
          <cell r="G1449" t="str">
            <v>InRet</v>
          </cell>
          <cell r="L1449">
            <v>41873</v>
          </cell>
          <cell r="M1449">
            <v>8.36</v>
          </cell>
          <cell r="P1449">
            <v>9.223863636363637</v>
          </cell>
        </row>
        <row r="1450">
          <cell r="A1450" t="str">
            <v>B&amp;P-041-BP-13008-B2</v>
          </cell>
          <cell r="G1450" t="str">
            <v>IPFAP</v>
          </cell>
          <cell r="L1450">
            <v>42100</v>
          </cell>
          <cell r="M1450">
            <v>8.86</v>
          </cell>
          <cell r="P1450">
            <v>4.5346613995485336</v>
          </cell>
        </row>
        <row r="1451">
          <cell r="A1451" t="str">
            <v>B&amp;P-041-BP-13009</v>
          </cell>
          <cell r="G1451" t="str">
            <v xml:space="preserve">CR   </v>
          </cell>
          <cell r="L1451">
            <v>43126.69902777778</v>
          </cell>
          <cell r="M1451">
            <v>19.86</v>
          </cell>
          <cell r="P1451">
            <v>2.2443101711983888</v>
          </cell>
        </row>
        <row r="1452">
          <cell r="A1452" t="str">
            <v>B&amp;P-041-BP-13009-5</v>
          </cell>
          <cell r="G1452" t="str">
            <v xml:space="preserve">CR   </v>
          </cell>
          <cell r="L1452">
            <v>43126.69902777778</v>
          </cell>
          <cell r="M1452">
            <v>19.86</v>
          </cell>
          <cell r="P1452">
            <v>1.3239677744209466</v>
          </cell>
        </row>
        <row r="1453">
          <cell r="A1453" t="str">
            <v>B&amp;P-041-BP-13021</v>
          </cell>
          <cell r="G1453" t="str">
            <v>vpret</v>
          </cell>
          <cell r="L1453">
            <v>45142</v>
          </cell>
          <cell r="M1453">
            <v>290</v>
          </cell>
          <cell r="P1453">
            <v>18.445086206896551</v>
          </cell>
        </row>
        <row r="1454">
          <cell r="A1454" t="str">
            <v>B&amp;P-041-F490306</v>
          </cell>
          <cell r="G1454" t="str">
            <v>vpret</v>
          </cell>
          <cell r="L1454">
            <v>45768</v>
          </cell>
          <cell r="M1454">
            <v>1160</v>
          </cell>
          <cell r="P1454">
            <v>1.9070267241379308</v>
          </cell>
        </row>
        <row r="1455">
          <cell r="A1455" t="str">
            <v>B&amp;P-041-HD00-2RS</v>
          </cell>
          <cell r="G1455" t="str">
            <v>IDESP</v>
          </cell>
          <cell r="L1455">
            <v>43462</v>
          </cell>
          <cell r="M1455">
            <v>39.299999999999997</v>
          </cell>
          <cell r="P1455">
            <v>0.30130000000000001</v>
          </cell>
        </row>
        <row r="1456">
          <cell r="A1456" t="str">
            <v>B&amp;P-041-HD01-2RLD</v>
          </cell>
          <cell r="G1456" t="str">
            <v>VPPRT</v>
          </cell>
          <cell r="L1456">
            <v>45909</v>
          </cell>
          <cell r="M1456">
            <v>1425</v>
          </cell>
          <cell r="P1456">
            <v>0.3831</v>
          </cell>
        </row>
        <row r="1457">
          <cell r="A1457" t="str">
            <v>B&amp;P-041-HD01-2RS</v>
          </cell>
          <cell r="G1457" t="str">
            <v>IDESP</v>
          </cell>
          <cell r="L1457">
            <v>45628</v>
          </cell>
          <cell r="M1457">
            <v>1031</v>
          </cell>
          <cell r="P1457">
            <v>0.38200000000000001</v>
          </cell>
        </row>
        <row r="1458">
          <cell r="A1458" t="str">
            <v>B&amp;P-041-HD03-2RS</v>
          </cell>
          <cell r="G1458" t="str">
            <v>VPPRT</v>
          </cell>
          <cell r="L1458">
            <v>45133</v>
          </cell>
          <cell r="M1458">
            <v>283.5</v>
          </cell>
          <cell r="P1458">
            <v>0.54900000000000004</v>
          </cell>
        </row>
        <row r="1459">
          <cell r="A1459" t="str">
            <v>B&amp;P-041-HD03-2RST</v>
          </cell>
          <cell r="G1459" t="str">
            <v>IDESP</v>
          </cell>
          <cell r="L1459">
            <v>45352</v>
          </cell>
          <cell r="M1459">
            <v>861</v>
          </cell>
          <cell r="P1459">
            <v>0.89900000000000002</v>
          </cell>
        </row>
        <row r="1460">
          <cell r="A1460" t="str">
            <v>B&amp;P-041-HD04-2RS</v>
          </cell>
          <cell r="G1460" t="str">
            <v>VPPRT</v>
          </cell>
          <cell r="L1460">
            <v>45635</v>
          </cell>
          <cell r="M1460">
            <v>1035</v>
          </cell>
          <cell r="P1460">
            <v>0.77380000000000004</v>
          </cell>
        </row>
        <row r="1461">
          <cell r="A1461" t="str">
            <v>B&amp;P-041-HD05-2RS</v>
          </cell>
          <cell r="G1461" t="str">
            <v>VPPRT</v>
          </cell>
          <cell r="L1461">
            <v>45635</v>
          </cell>
          <cell r="M1461">
            <v>1035</v>
          </cell>
          <cell r="P1461">
            <v>1.1128</v>
          </cell>
        </row>
        <row r="1462">
          <cell r="A1462" t="str">
            <v>B&amp;P-041-HD06-2RS</v>
          </cell>
          <cell r="G1462" t="str">
            <v>VPPRT</v>
          </cell>
          <cell r="L1462">
            <v>45635</v>
          </cell>
          <cell r="M1462">
            <v>1035</v>
          </cell>
          <cell r="P1462">
            <v>1.5653999999999999</v>
          </cell>
        </row>
        <row r="1463">
          <cell r="A1463" t="str">
            <v>B&amp;P-041-HD06-2RST</v>
          </cell>
          <cell r="G1463" t="str">
            <v xml:space="preserve">INSI </v>
          </cell>
          <cell r="L1463">
            <v>45860</v>
          </cell>
          <cell r="M1463">
            <v>1300</v>
          </cell>
          <cell r="P1463">
            <v>1.782</v>
          </cell>
        </row>
        <row r="1464">
          <cell r="A1464" t="str">
            <v>B&amp;P-041-HD06-2RST1</v>
          </cell>
          <cell r="G1464" t="str">
            <v>IDESP</v>
          </cell>
          <cell r="L1464">
            <v>45352</v>
          </cell>
          <cell r="M1464">
            <v>861</v>
          </cell>
          <cell r="P1464">
            <v>1.782</v>
          </cell>
        </row>
        <row r="1465">
          <cell r="A1465" t="str">
            <v>B&amp;P-041-HD07-2RS</v>
          </cell>
          <cell r="G1465" t="str">
            <v>VPPRT</v>
          </cell>
          <cell r="L1465">
            <v>45559</v>
          </cell>
          <cell r="M1465">
            <v>985.5</v>
          </cell>
          <cell r="P1465">
            <v>2.1196999999999999</v>
          </cell>
        </row>
        <row r="1466">
          <cell r="A1466" t="str">
            <v>B&amp;P-041-HD07-2RST</v>
          </cell>
          <cell r="G1466" t="str">
            <v>IDESP</v>
          </cell>
          <cell r="L1466">
            <v>43319</v>
          </cell>
          <cell r="M1466">
            <v>27.9</v>
          </cell>
          <cell r="P1466">
            <v>3.18</v>
          </cell>
        </row>
        <row r="1467">
          <cell r="A1467" t="str">
            <v>B&amp;P-041-HD07-D</v>
          </cell>
          <cell r="G1467" t="str">
            <v>VPPRT</v>
          </cell>
          <cell r="L1467">
            <v>45119</v>
          </cell>
          <cell r="M1467">
            <v>275</v>
          </cell>
          <cell r="P1467">
            <v>2.048</v>
          </cell>
        </row>
        <row r="1468">
          <cell r="A1468" t="str">
            <v>B&amp;P-041-HD08-2RST</v>
          </cell>
          <cell r="G1468" t="str">
            <v>IDESP</v>
          </cell>
          <cell r="L1468">
            <v>43985</v>
          </cell>
          <cell r="M1468">
            <v>70.5</v>
          </cell>
          <cell r="P1468">
            <v>3.202</v>
          </cell>
        </row>
        <row r="1469">
          <cell r="A1469" t="str">
            <v>B&amp;P-041-HD09-2RLD</v>
          </cell>
          <cell r="G1469" t="str">
            <v>IDESP</v>
          </cell>
          <cell r="L1469">
            <v>42979</v>
          </cell>
          <cell r="M1469">
            <v>17.66</v>
          </cell>
          <cell r="P1469">
            <v>5.68</v>
          </cell>
        </row>
        <row r="1470">
          <cell r="A1470" t="str">
            <v>B&amp;P-041-HD09-2RS</v>
          </cell>
          <cell r="G1470" t="str">
            <v>IDESP</v>
          </cell>
          <cell r="L1470">
            <v>45992</v>
          </cell>
          <cell r="M1470">
            <v>1475</v>
          </cell>
          <cell r="P1470">
            <v>3.754</v>
          </cell>
        </row>
        <row r="1471">
          <cell r="A1471" t="str">
            <v>B&amp;P-041-HD10-2RS</v>
          </cell>
          <cell r="G1471" t="str">
            <v>IDESP</v>
          </cell>
          <cell r="L1471">
            <v>45554</v>
          </cell>
          <cell r="M1471">
            <v>982</v>
          </cell>
          <cell r="P1471">
            <v>4.71</v>
          </cell>
        </row>
        <row r="1472">
          <cell r="A1472" t="str">
            <v>B&amp;P-041-HD12-2RS</v>
          </cell>
          <cell r="G1472" t="str">
            <v xml:space="preserve">INSI </v>
          </cell>
          <cell r="L1472">
            <v>45909</v>
          </cell>
          <cell r="M1472">
            <v>1425</v>
          </cell>
          <cell r="P1472">
            <v>7.39</v>
          </cell>
        </row>
        <row r="1473">
          <cell r="A1473" t="str">
            <v>B&amp;P-041-LS00-2RLD</v>
          </cell>
          <cell r="G1473" t="str">
            <v>VPPRT</v>
          </cell>
          <cell r="L1473">
            <v>45814</v>
          </cell>
          <cell r="M1473">
            <v>1205</v>
          </cell>
          <cell r="P1473">
            <v>0.249</v>
          </cell>
        </row>
        <row r="1474">
          <cell r="A1474" t="str">
            <v>B&amp;P-041-LS00-2RS</v>
          </cell>
          <cell r="G1474" t="str">
            <v>VPPRT</v>
          </cell>
          <cell r="L1474">
            <v>45516</v>
          </cell>
          <cell r="M1474">
            <v>957.5</v>
          </cell>
          <cell r="P1474">
            <v>0.21060000000000001</v>
          </cell>
        </row>
        <row r="1475">
          <cell r="A1475" t="str">
            <v>B&amp;P-041-LS01-2RLD</v>
          </cell>
          <cell r="G1475" t="str">
            <v>VPPRT</v>
          </cell>
          <cell r="L1475">
            <v>45979</v>
          </cell>
          <cell r="M1475">
            <v>1415</v>
          </cell>
          <cell r="P1475">
            <v>0.27379999999999999</v>
          </cell>
        </row>
        <row r="1476">
          <cell r="A1476" t="str">
            <v>B&amp;P-041-LS01-2RS</v>
          </cell>
          <cell r="G1476" t="str">
            <v>VPPRT</v>
          </cell>
          <cell r="L1476">
            <v>45516</v>
          </cell>
          <cell r="M1476">
            <v>957.5</v>
          </cell>
          <cell r="P1476">
            <v>0.24149999999999999</v>
          </cell>
        </row>
        <row r="1477">
          <cell r="A1477" t="str">
            <v>B&amp;P-041-LS02-2RLD</v>
          </cell>
          <cell r="G1477" t="str">
            <v>VPPRT</v>
          </cell>
          <cell r="L1477">
            <v>45979</v>
          </cell>
          <cell r="M1477">
            <v>1415</v>
          </cell>
          <cell r="P1477">
            <v>0.29770000000000002</v>
          </cell>
        </row>
        <row r="1478">
          <cell r="A1478" t="str">
            <v>B&amp;P-041-LS02-2RS</v>
          </cell>
          <cell r="G1478" t="str">
            <v>IDESP</v>
          </cell>
          <cell r="L1478">
            <v>45554</v>
          </cell>
          <cell r="M1478">
            <v>982</v>
          </cell>
          <cell r="P1478">
            <v>0.27500000000000002</v>
          </cell>
        </row>
        <row r="1479">
          <cell r="A1479" t="str">
            <v>B&amp;P-041-LS03-2RLD</v>
          </cell>
          <cell r="G1479" t="str">
            <v>VPPRT</v>
          </cell>
          <cell r="L1479">
            <v>45979</v>
          </cell>
          <cell r="M1479">
            <v>1415</v>
          </cell>
          <cell r="P1479">
            <v>0.34499999999999997</v>
          </cell>
        </row>
        <row r="1480">
          <cell r="A1480" t="str">
            <v>B&amp;P-041-LS03-2RST</v>
          </cell>
          <cell r="G1480" t="str">
            <v>IDESP</v>
          </cell>
          <cell r="L1480">
            <v>45205</v>
          </cell>
          <cell r="M1480">
            <v>365.5</v>
          </cell>
          <cell r="P1480">
            <v>0.48</v>
          </cell>
        </row>
        <row r="1481">
          <cell r="A1481" t="str">
            <v>B&amp;P-041-LS04-2RLD</v>
          </cell>
          <cell r="G1481" t="str">
            <v>VPPRT</v>
          </cell>
          <cell r="L1481">
            <v>45979</v>
          </cell>
          <cell r="M1481">
            <v>1415</v>
          </cell>
          <cell r="P1481">
            <v>0.44500000000000001</v>
          </cell>
        </row>
        <row r="1482">
          <cell r="A1482" t="str">
            <v>B&amp;P-041-LS04-2RS</v>
          </cell>
          <cell r="G1482" t="str">
            <v>VPPRT</v>
          </cell>
          <cell r="L1482">
            <v>45516</v>
          </cell>
          <cell r="M1482">
            <v>957.5</v>
          </cell>
          <cell r="P1482">
            <v>0.4138</v>
          </cell>
        </row>
        <row r="1483">
          <cell r="A1483" t="str">
            <v>B&amp;P-041-LS04-2RST</v>
          </cell>
          <cell r="G1483" t="str">
            <v>IDESP</v>
          </cell>
          <cell r="L1483">
            <v>45951</v>
          </cell>
          <cell r="M1483">
            <v>1495</v>
          </cell>
          <cell r="P1483">
            <v>0.61499999999999999</v>
          </cell>
        </row>
        <row r="1484">
          <cell r="A1484" t="str">
            <v>B&amp;P-041-LS05-2RLD</v>
          </cell>
          <cell r="G1484" t="str">
            <v>vpret</v>
          </cell>
          <cell r="L1484">
            <v>45902</v>
          </cell>
          <cell r="M1484">
            <v>1385</v>
          </cell>
          <cell r="P1484">
            <v>0.54331046931407945</v>
          </cell>
        </row>
        <row r="1485">
          <cell r="A1485" t="str">
            <v>B&amp;P-041-LS05-2RST</v>
          </cell>
          <cell r="G1485" t="str">
            <v>vpret</v>
          </cell>
          <cell r="L1485">
            <v>45889</v>
          </cell>
          <cell r="M1485">
            <v>1310</v>
          </cell>
          <cell r="P1485">
            <v>0.59370763358778622</v>
          </cell>
        </row>
        <row r="1486">
          <cell r="A1486" t="str">
            <v>B&amp;P-041-LS05-D</v>
          </cell>
          <cell r="G1486" t="str">
            <v>vpret</v>
          </cell>
          <cell r="L1486">
            <v>45917</v>
          </cell>
          <cell r="M1486">
            <v>1480</v>
          </cell>
          <cell r="P1486">
            <v>0.33462837837837839</v>
          </cell>
        </row>
        <row r="1487">
          <cell r="A1487" t="str">
            <v>B&amp;P-041-LS05-ZZ</v>
          </cell>
          <cell r="G1487" t="str">
            <v>vpret</v>
          </cell>
          <cell r="L1487">
            <v>45042</v>
          </cell>
          <cell r="M1487">
            <v>226.5</v>
          </cell>
          <cell r="P1487">
            <v>0.64792494481236196</v>
          </cell>
        </row>
        <row r="1488">
          <cell r="A1488" t="str">
            <v>B&amp;P-041-LS06-2RS</v>
          </cell>
          <cell r="G1488" t="str">
            <v>VPPRT</v>
          </cell>
          <cell r="L1488">
            <v>45559</v>
          </cell>
          <cell r="M1488">
            <v>985.5</v>
          </cell>
          <cell r="P1488">
            <v>0.68379999999999996</v>
          </cell>
        </row>
        <row r="1489">
          <cell r="A1489" t="str">
            <v>B&amp;P-041-LS06-2RST</v>
          </cell>
          <cell r="G1489" t="str">
            <v>IDESP</v>
          </cell>
          <cell r="L1489">
            <v>45205</v>
          </cell>
          <cell r="M1489">
            <v>365.5</v>
          </cell>
          <cell r="P1489">
            <v>0.76800000000000002</v>
          </cell>
        </row>
        <row r="1490">
          <cell r="A1490" t="str">
            <v>B&amp;P-041-LS06-D</v>
          </cell>
          <cell r="G1490" t="str">
            <v>VPPRT</v>
          </cell>
          <cell r="L1490">
            <v>45133</v>
          </cell>
          <cell r="M1490">
            <v>283.5</v>
          </cell>
          <cell r="P1490">
            <v>0.57999999999999996</v>
          </cell>
        </row>
        <row r="1491">
          <cell r="A1491" t="str">
            <v>B&amp;P-041-LS07-2RST</v>
          </cell>
          <cell r="G1491" t="str">
            <v>IDESP</v>
          </cell>
          <cell r="L1491">
            <v>45205</v>
          </cell>
          <cell r="M1491">
            <v>365.5</v>
          </cell>
          <cell r="P1491">
            <v>1.59</v>
          </cell>
        </row>
        <row r="1492">
          <cell r="A1492" t="str">
            <v>B&amp;P-041-LS09-2RST</v>
          </cell>
          <cell r="G1492" t="str">
            <v>IDESP</v>
          </cell>
          <cell r="L1492">
            <v>42979</v>
          </cell>
          <cell r="M1492">
            <v>17.66</v>
          </cell>
          <cell r="P1492">
            <v>2.0099999999999998</v>
          </cell>
        </row>
        <row r="1493">
          <cell r="A1493" t="str">
            <v>B&amp;P-041-LS10-2RS</v>
          </cell>
          <cell r="G1493" t="str">
            <v>IDESP</v>
          </cell>
          <cell r="L1493">
            <v>45979</v>
          </cell>
          <cell r="M1493">
            <v>1415</v>
          </cell>
          <cell r="P1493">
            <v>1.4930000000000001</v>
          </cell>
        </row>
        <row r="1494">
          <cell r="A1494" t="str">
            <v>B&amp;P-041-LS10-2RSTX</v>
          </cell>
          <cell r="G1494" t="str">
            <v>IDESP</v>
          </cell>
          <cell r="L1494">
            <v>44750</v>
          </cell>
          <cell r="M1494">
            <v>132.25</v>
          </cell>
          <cell r="P1494">
            <v>3.8650000000000002</v>
          </cell>
        </row>
        <row r="1495">
          <cell r="A1495" t="str">
            <v>B&amp;P-041-LS11-2RS</v>
          </cell>
          <cell r="G1495" t="str">
            <v>VPPRT</v>
          </cell>
          <cell r="L1495">
            <v>45516</v>
          </cell>
          <cell r="M1495">
            <v>957.5</v>
          </cell>
          <cell r="P1495">
            <v>1.8823000000000001</v>
          </cell>
        </row>
        <row r="1496">
          <cell r="A1496" t="str">
            <v>B&amp;P-041-LS11-D</v>
          </cell>
          <cell r="G1496" t="str">
            <v>VPPRT</v>
          </cell>
          <cell r="L1496">
            <v>45119</v>
          </cell>
          <cell r="M1496">
            <v>275</v>
          </cell>
          <cell r="P1496">
            <v>1.7422</v>
          </cell>
        </row>
        <row r="1497">
          <cell r="A1497" t="str">
            <v>B&amp;P-041-LS12</v>
          </cell>
          <cell r="G1497" t="str">
            <v>VPPRT</v>
          </cell>
          <cell r="L1497">
            <v>45168</v>
          </cell>
          <cell r="M1497">
            <v>365.5</v>
          </cell>
          <cell r="P1497">
            <v>2.66</v>
          </cell>
        </row>
        <row r="1498">
          <cell r="A1498" t="str">
            <v>B&amp;P-041-LS12-2RLD</v>
          </cell>
          <cell r="G1498" t="str">
            <v>VPPRT</v>
          </cell>
          <cell r="L1498">
            <v>44461</v>
          </cell>
          <cell r="M1498">
            <v>103.75</v>
          </cell>
          <cell r="P1498">
            <v>2.9984000000000002</v>
          </cell>
        </row>
        <row r="1499">
          <cell r="A1499" t="str">
            <v>B&amp;P-041-LS12-2RS</v>
          </cell>
          <cell r="G1499" t="str">
            <v>IDESP</v>
          </cell>
          <cell r="L1499">
            <v>45958</v>
          </cell>
          <cell r="M1499">
            <v>1460</v>
          </cell>
          <cell r="P1499">
            <v>2.78</v>
          </cell>
        </row>
        <row r="1500">
          <cell r="A1500" t="str">
            <v>B&amp;P-041-LS13-2RS</v>
          </cell>
          <cell r="G1500" t="str">
            <v xml:space="preserve">INSI </v>
          </cell>
          <cell r="L1500">
            <v>45944</v>
          </cell>
          <cell r="M1500">
            <v>1375</v>
          </cell>
          <cell r="P1500">
            <v>2.3719999999999999</v>
          </cell>
        </row>
        <row r="1501">
          <cell r="A1501" t="str">
            <v>B&amp;P-041-LS14-2RS</v>
          </cell>
          <cell r="G1501" t="str">
            <v>IDESP</v>
          </cell>
          <cell r="L1501">
            <v>44750</v>
          </cell>
          <cell r="M1501">
            <v>132.25</v>
          </cell>
          <cell r="P1501">
            <v>3.23</v>
          </cell>
        </row>
        <row r="1502">
          <cell r="A1502" t="str">
            <v>B&amp;P-041-LS16-2RS</v>
          </cell>
          <cell r="G1502" t="str">
            <v xml:space="preserve">INSI </v>
          </cell>
          <cell r="L1502">
            <v>46003</v>
          </cell>
          <cell r="M1502">
            <v>1460</v>
          </cell>
          <cell r="P1502">
            <v>3.93</v>
          </cell>
        </row>
        <row r="1503">
          <cell r="A1503" t="str">
            <v>B&amp;P-041-LS17-2RS</v>
          </cell>
          <cell r="G1503" t="str">
            <v xml:space="preserve">INSI </v>
          </cell>
          <cell r="L1503">
            <v>45909</v>
          </cell>
          <cell r="M1503">
            <v>1425</v>
          </cell>
          <cell r="P1503">
            <v>4.5999999999999996</v>
          </cell>
        </row>
        <row r="1504">
          <cell r="A1504" t="str">
            <v>B&amp;P-041-LS18-2RS</v>
          </cell>
          <cell r="G1504" t="str">
            <v>IDESP</v>
          </cell>
          <cell r="L1504">
            <v>44783</v>
          </cell>
          <cell r="M1504">
            <v>140</v>
          </cell>
          <cell r="P1504">
            <v>5.69</v>
          </cell>
        </row>
        <row r="1505">
          <cell r="A1505" t="str">
            <v>B&amp;P-041-LS19-2RS</v>
          </cell>
          <cell r="G1505" t="str">
            <v>IDESP</v>
          </cell>
          <cell r="L1505">
            <v>45979</v>
          </cell>
          <cell r="M1505">
            <v>1415</v>
          </cell>
          <cell r="P1505">
            <v>6.7554999999999996</v>
          </cell>
        </row>
        <row r="1506">
          <cell r="A1506" t="str">
            <v>B&amp;P-041-LS19-2RSTX</v>
          </cell>
          <cell r="G1506" t="str">
            <v>IDESP</v>
          </cell>
          <cell r="L1506">
            <v>45722</v>
          </cell>
          <cell r="M1506">
            <v>1084.5</v>
          </cell>
          <cell r="P1506">
            <v>9.07</v>
          </cell>
        </row>
        <row r="1507">
          <cell r="A1507" t="str">
            <v>B&amp;P-041-LS26-2RS</v>
          </cell>
          <cell r="G1507" t="str">
            <v>VPPRT</v>
          </cell>
          <cell r="L1507">
            <v>45561</v>
          </cell>
          <cell r="M1507">
            <v>987</v>
          </cell>
          <cell r="P1507">
            <v>17.7242</v>
          </cell>
        </row>
        <row r="1508">
          <cell r="A1508" t="str">
            <v>B&amp;P-041-LS28-2RS</v>
          </cell>
          <cell r="G1508" t="str">
            <v>VPPRT</v>
          </cell>
          <cell r="L1508">
            <v>45561</v>
          </cell>
          <cell r="M1508">
            <v>987</v>
          </cell>
          <cell r="P1508">
            <v>19.909700000000001</v>
          </cell>
        </row>
        <row r="1509">
          <cell r="A1509" t="str">
            <v>B&amp;P-041-MS00-2RLD</v>
          </cell>
          <cell r="G1509" t="str">
            <v>VPPRT</v>
          </cell>
          <cell r="L1509">
            <v>45979</v>
          </cell>
          <cell r="M1509">
            <v>1415</v>
          </cell>
          <cell r="P1509">
            <v>0.28499999999999998</v>
          </cell>
        </row>
        <row r="1510">
          <cell r="A1510" t="str">
            <v>B&amp;P-041-MS00-2RS</v>
          </cell>
          <cell r="G1510" t="str">
            <v>VPPRT</v>
          </cell>
          <cell r="L1510">
            <v>45635</v>
          </cell>
          <cell r="M1510">
            <v>1035</v>
          </cell>
          <cell r="P1510">
            <v>0.26519999999999999</v>
          </cell>
        </row>
        <row r="1511">
          <cell r="A1511" t="str">
            <v>B&amp;P-041-MS00-2RST</v>
          </cell>
          <cell r="G1511" t="str">
            <v>IDESP</v>
          </cell>
          <cell r="L1511">
            <v>45628</v>
          </cell>
          <cell r="M1511">
            <v>1031</v>
          </cell>
          <cell r="P1511">
            <v>0.1011</v>
          </cell>
        </row>
        <row r="1512">
          <cell r="A1512" t="str">
            <v>B&amp;P-041-MS01-2RLD</v>
          </cell>
          <cell r="G1512" t="str">
            <v>VPPRT</v>
          </cell>
          <cell r="L1512">
            <v>45909</v>
          </cell>
          <cell r="M1512">
            <v>1425</v>
          </cell>
          <cell r="P1512">
            <v>0.24890000000000001</v>
          </cell>
        </row>
        <row r="1513">
          <cell r="A1513" t="str">
            <v>B&amp;P-041-MS01-2RS</v>
          </cell>
          <cell r="G1513" t="str">
            <v>VPPRT</v>
          </cell>
          <cell r="L1513">
            <v>45516</v>
          </cell>
          <cell r="M1513">
            <v>957.5</v>
          </cell>
          <cell r="P1513">
            <v>0.25929999999999997</v>
          </cell>
        </row>
        <row r="1514">
          <cell r="A1514" t="str">
            <v>B&amp;P-041-MS01-2RST</v>
          </cell>
          <cell r="G1514" t="str">
            <v>IDESP</v>
          </cell>
          <cell r="L1514">
            <v>45205</v>
          </cell>
          <cell r="M1514">
            <v>365.5</v>
          </cell>
          <cell r="P1514">
            <v>0.44</v>
          </cell>
        </row>
        <row r="1515">
          <cell r="A1515" t="str">
            <v>B&amp;P-041-MS02-2RLD</v>
          </cell>
          <cell r="G1515" t="str">
            <v>VPPRT</v>
          </cell>
          <cell r="L1515">
            <v>45979</v>
          </cell>
          <cell r="M1515">
            <v>1415</v>
          </cell>
          <cell r="P1515">
            <v>0.30940000000000001</v>
          </cell>
        </row>
        <row r="1516">
          <cell r="A1516" t="str">
            <v>B&amp;P-041-MS02-2RS</v>
          </cell>
          <cell r="G1516" t="str">
            <v>VPPRT</v>
          </cell>
          <cell r="L1516">
            <v>45511</v>
          </cell>
          <cell r="M1516">
            <v>954.5</v>
          </cell>
          <cell r="P1516">
            <v>0.30409999999999998</v>
          </cell>
        </row>
        <row r="1517">
          <cell r="A1517" t="str">
            <v>B&amp;P-041-MS02-ZZ</v>
          </cell>
          <cell r="G1517" t="str">
            <v>IDESP</v>
          </cell>
          <cell r="L1517">
            <v>44930</v>
          </cell>
          <cell r="M1517">
            <v>185.75</v>
          </cell>
          <cell r="P1517">
            <v>0.38400000000000001</v>
          </cell>
        </row>
        <row r="1518">
          <cell r="A1518" t="str">
            <v>B&amp;P-041-MS03-2RLD</v>
          </cell>
          <cell r="G1518" t="str">
            <v>VPPRT</v>
          </cell>
          <cell r="L1518">
            <v>45979</v>
          </cell>
          <cell r="M1518">
            <v>1415</v>
          </cell>
          <cell r="P1518">
            <v>0.378</v>
          </cell>
        </row>
        <row r="1519">
          <cell r="A1519" t="str">
            <v>B&amp;P-041-MS03-2RS</v>
          </cell>
          <cell r="G1519" t="str">
            <v>VPPRT</v>
          </cell>
          <cell r="L1519">
            <v>45007</v>
          </cell>
          <cell r="M1519">
            <v>211.75</v>
          </cell>
          <cell r="P1519">
            <v>0.375</v>
          </cell>
        </row>
        <row r="1520">
          <cell r="A1520" t="str">
            <v>B&amp;P-041-MS03-2RST</v>
          </cell>
          <cell r="G1520" t="str">
            <v>IDESP</v>
          </cell>
          <cell r="L1520">
            <v>45377</v>
          </cell>
          <cell r="M1520">
            <v>875</v>
          </cell>
          <cell r="P1520">
            <v>0.54500000000000004</v>
          </cell>
        </row>
        <row r="1521">
          <cell r="A1521" t="str">
            <v>B&amp;P-041-MS03-2RST-C0</v>
          </cell>
          <cell r="G1521" t="str">
            <v>vpret</v>
          </cell>
          <cell r="L1521">
            <v>43847</v>
          </cell>
          <cell r="M1521">
            <v>63</v>
          </cell>
          <cell r="P1521">
            <v>0.41616968253968251</v>
          </cell>
        </row>
        <row r="1522">
          <cell r="A1522" t="str">
            <v>B&amp;P-041-MS03-2RST-C3</v>
          </cell>
          <cell r="G1522" t="str">
            <v>VPRet</v>
          </cell>
          <cell r="L1522">
            <v>42573</v>
          </cell>
          <cell r="M1522">
            <v>15.26</v>
          </cell>
          <cell r="P1522">
            <v>0.68224731323722154</v>
          </cell>
        </row>
        <row r="1523">
          <cell r="A1523" t="str">
            <v>B&amp;P-041-MS03-2RSTX</v>
          </cell>
          <cell r="G1523" t="str">
            <v>IDESP</v>
          </cell>
          <cell r="L1523">
            <v>44901</v>
          </cell>
          <cell r="M1523">
            <v>175.75</v>
          </cell>
          <cell r="P1523">
            <v>0.74</v>
          </cell>
        </row>
        <row r="1524">
          <cell r="A1524" t="str">
            <v>B&amp;P-041-MS03-D-C0</v>
          </cell>
          <cell r="G1524" t="str">
            <v xml:space="preserve">INAC </v>
          </cell>
          <cell r="L1524">
            <v>42262</v>
          </cell>
          <cell r="M1524">
            <v>9.41</v>
          </cell>
          <cell r="P1524">
            <v>0.62486716259298614</v>
          </cell>
        </row>
        <row r="1525">
          <cell r="A1525" t="str">
            <v>B&amp;P-041-MS03-D-C3</v>
          </cell>
          <cell r="G1525" t="str">
            <v>vpret</v>
          </cell>
          <cell r="L1525">
            <v>45174</v>
          </cell>
          <cell r="M1525">
            <v>365.5</v>
          </cell>
          <cell r="P1525">
            <v>0.36920109439124488</v>
          </cell>
        </row>
        <row r="1526">
          <cell r="A1526" t="str">
            <v>B&amp;P-041-MS04-2RLD</v>
          </cell>
          <cell r="G1526" t="str">
            <v>VPPRT</v>
          </cell>
          <cell r="L1526">
            <v>45979</v>
          </cell>
          <cell r="M1526">
            <v>1415</v>
          </cell>
          <cell r="P1526">
            <v>0.52</v>
          </cell>
        </row>
        <row r="1527">
          <cell r="A1527" t="str">
            <v>B&amp;P-041-MS04-2RLD-C3</v>
          </cell>
          <cell r="G1527" t="str">
            <v>IPFAP</v>
          </cell>
          <cell r="L1527">
            <v>43957</v>
          </cell>
          <cell r="M1527">
            <v>68.75</v>
          </cell>
          <cell r="P1527">
            <v>0.46635636363636362</v>
          </cell>
        </row>
        <row r="1528">
          <cell r="A1528" t="str">
            <v>B&amp;P-041-MS04-2RS</v>
          </cell>
          <cell r="G1528" t="str">
            <v>VPPRT</v>
          </cell>
          <cell r="L1528">
            <v>45007</v>
          </cell>
          <cell r="M1528">
            <v>211.75</v>
          </cell>
          <cell r="P1528">
            <v>0.52080000000000004</v>
          </cell>
        </row>
        <row r="1529">
          <cell r="A1529" t="str">
            <v>B&amp;P-041-MS04-2RST</v>
          </cell>
          <cell r="G1529" t="str">
            <v>IDESP</v>
          </cell>
          <cell r="L1529">
            <v>45951</v>
          </cell>
          <cell r="M1529">
            <v>1495</v>
          </cell>
          <cell r="P1529">
            <v>0.61399999999999999</v>
          </cell>
        </row>
        <row r="1530">
          <cell r="A1530" t="str">
            <v>B&amp;P-041-MS04-2RSTX</v>
          </cell>
          <cell r="G1530" t="str">
            <v>IDESP</v>
          </cell>
          <cell r="L1530">
            <v>44901</v>
          </cell>
          <cell r="M1530">
            <v>175.75</v>
          </cell>
          <cell r="P1530">
            <v>0.91</v>
          </cell>
        </row>
        <row r="1531">
          <cell r="A1531" t="str">
            <v>B&amp;P-041-MS05-1RST</v>
          </cell>
          <cell r="G1531" t="str">
            <v>IPFAP</v>
          </cell>
          <cell r="L1531">
            <v>42933</v>
          </cell>
          <cell r="M1531">
            <v>17.2</v>
          </cell>
          <cell r="P1531">
            <v>0.70950000000000002</v>
          </cell>
        </row>
        <row r="1532">
          <cell r="A1532" t="str">
            <v>B&amp;P-041-MS05-2RLD</v>
          </cell>
          <cell r="G1532" t="str">
            <v>VPPRT</v>
          </cell>
          <cell r="L1532">
            <v>45953</v>
          </cell>
          <cell r="M1532">
            <v>1515</v>
          </cell>
          <cell r="P1532">
            <v>0.82099999999999995</v>
          </cell>
        </row>
        <row r="1533">
          <cell r="A1533" t="str">
            <v>B&amp;P-041-MS05-2RS</v>
          </cell>
          <cell r="G1533" t="str">
            <v>VPPRT</v>
          </cell>
          <cell r="L1533">
            <v>45635</v>
          </cell>
          <cell r="M1533">
            <v>1035</v>
          </cell>
          <cell r="P1533">
            <v>0.83360000000000001</v>
          </cell>
        </row>
        <row r="1534">
          <cell r="A1534" t="str">
            <v>B&amp;P-041-MS05-2RST</v>
          </cell>
          <cell r="G1534" t="str">
            <v>IDESP</v>
          </cell>
          <cell r="L1534">
            <v>45951</v>
          </cell>
          <cell r="M1534">
            <v>1495</v>
          </cell>
          <cell r="P1534">
            <v>0.86399999999999999</v>
          </cell>
        </row>
        <row r="1535">
          <cell r="A1535" t="str">
            <v>B&amp;P-041-MS05-2RSTX</v>
          </cell>
          <cell r="G1535" t="str">
            <v>IDESP</v>
          </cell>
          <cell r="L1535">
            <v>44901</v>
          </cell>
          <cell r="M1535">
            <v>175.75</v>
          </cell>
          <cell r="P1535">
            <v>1.1000000000000001</v>
          </cell>
        </row>
        <row r="1536">
          <cell r="A1536" t="str">
            <v>B&amp;P-041-MS06-2RLD</v>
          </cell>
          <cell r="G1536" t="str">
            <v>VPPRT</v>
          </cell>
          <cell r="L1536">
            <v>45909</v>
          </cell>
          <cell r="M1536">
            <v>1425</v>
          </cell>
          <cell r="P1536">
            <v>1.1249</v>
          </cell>
        </row>
        <row r="1537">
          <cell r="A1537" t="str">
            <v>B&amp;P-041-MS06-2RS</v>
          </cell>
          <cell r="G1537" t="str">
            <v>VPPRT</v>
          </cell>
          <cell r="L1537">
            <v>45559</v>
          </cell>
          <cell r="M1537">
            <v>985.5</v>
          </cell>
          <cell r="P1537">
            <v>0.90149999999999997</v>
          </cell>
        </row>
        <row r="1538">
          <cell r="A1538" t="str">
            <v>B&amp;P-041-MS06-2RST</v>
          </cell>
          <cell r="G1538" t="str">
            <v>IDESP</v>
          </cell>
          <cell r="L1538">
            <v>45377</v>
          </cell>
          <cell r="M1538">
            <v>875</v>
          </cell>
          <cell r="P1538">
            <v>1.032</v>
          </cell>
        </row>
        <row r="1539">
          <cell r="A1539" t="str">
            <v>B&amp;P-041-MS06-2RSTX</v>
          </cell>
          <cell r="G1539" t="str">
            <v>IDESP</v>
          </cell>
          <cell r="L1539">
            <v>44901</v>
          </cell>
          <cell r="M1539">
            <v>175.75</v>
          </cell>
          <cell r="P1539">
            <v>1.24</v>
          </cell>
        </row>
        <row r="1540">
          <cell r="A1540" t="str">
            <v>B&amp;P-041-MS06-D-C3</v>
          </cell>
          <cell r="G1540" t="str">
            <v>vpret</v>
          </cell>
          <cell r="L1540">
            <v>45924</v>
          </cell>
          <cell r="M1540">
            <v>1385</v>
          </cell>
          <cell r="P1540">
            <v>1.1352469314079423</v>
          </cell>
        </row>
        <row r="1541">
          <cell r="A1541" t="str">
            <v>B&amp;P-041-MS07-2RLD</v>
          </cell>
          <cell r="G1541" t="str">
            <v>VPPRT</v>
          </cell>
          <cell r="L1541">
            <v>45848</v>
          </cell>
          <cell r="M1541">
            <v>1275</v>
          </cell>
          <cell r="P1541">
            <v>1.323</v>
          </cell>
        </row>
        <row r="1542">
          <cell r="A1542" t="str">
            <v>B&amp;P-041-MS07-2RLD-K</v>
          </cell>
          <cell r="G1542" t="str">
            <v xml:space="preserve">CR   </v>
          </cell>
          <cell r="L1542">
            <v>43585.433738425927</v>
          </cell>
          <cell r="M1542">
            <v>45.3</v>
          </cell>
          <cell r="P1542">
            <v>1.37</v>
          </cell>
        </row>
        <row r="1543">
          <cell r="A1543" t="str">
            <v>B&amp;P-041-MS07-2RS</v>
          </cell>
          <cell r="G1543" t="str">
            <v>VPPRT</v>
          </cell>
          <cell r="L1543">
            <v>45119</v>
          </cell>
          <cell r="M1543">
            <v>275</v>
          </cell>
          <cell r="P1543">
            <v>1.3133999999999999</v>
          </cell>
        </row>
        <row r="1544">
          <cell r="A1544" t="str">
            <v>B&amp;P-041-MS07-2RST</v>
          </cell>
          <cell r="G1544" t="str">
            <v>VPPRT</v>
          </cell>
          <cell r="L1544">
            <v>45153</v>
          </cell>
          <cell r="M1544">
            <v>365.5</v>
          </cell>
          <cell r="P1544">
            <v>2.9860000000000002</v>
          </cell>
        </row>
        <row r="1545">
          <cell r="A1545" t="str">
            <v>B&amp;P-041-MS07-2RST1</v>
          </cell>
          <cell r="G1545" t="str">
            <v>vpret</v>
          </cell>
          <cell r="L1545">
            <v>45834</v>
          </cell>
          <cell r="M1545">
            <v>1205</v>
          </cell>
          <cell r="P1545">
            <v>1.7146132780082988</v>
          </cell>
        </row>
        <row r="1546">
          <cell r="A1546" t="str">
            <v>B&amp;P-041-MS07-2RSTX</v>
          </cell>
          <cell r="G1546" t="str">
            <v>VPPRT</v>
          </cell>
          <cell r="L1546">
            <v>45146</v>
          </cell>
          <cell r="M1546">
            <v>293</v>
          </cell>
          <cell r="P1546">
            <v>2.9860000000000002</v>
          </cell>
        </row>
        <row r="1547">
          <cell r="A1547" t="str">
            <v>B&amp;P-041-MS07-D-C3</v>
          </cell>
          <cell r="G1547" t="str">
            <v>VPPRT</v>
          </cell>
          <cell r="L1547">
            <v>45635</v>
          </cell>
          <cell r="M1547">
            <v>1035</v>
          </cell>
          <cell r="P1547">
            <v>1.1856</v>
          </cell>
        </row>
        <row r="1548">
          <cell r="A1548" t="str">
            <v>B&amp;P-041-MS08-2RS</v>
          </cell>
          <cell r="G1548" t="str">
            <v>VPPRT</v>
          </cell>
          <cell r="L1548">
            <v>45959</v>
          </cell>
          <cell r="M1548">
            <v>1495</v>
          </cell>
          <cell r="P1548">
            <v>1.6621999999999999</v>
          </cell>
        </row>
        <row r="1549">
          <cell r="A1549" t="str">
            <v>B&amp;P-041-MS08-2RST</v>
          </cell>
          <cell r="G1549" t="str">
            <v>IDESP</v>
          </cell>
          <cell r="L1549">
            <v>43620</v>
          </cell>
          <cell r="M1549">
            <v>45.9</v>
          </cell>
          <cell r="P1549">
            <v>1.982</v>
          </cell>
        </row>
        <row r="1550">
          <cell r="A1550" t="str">
            <v>B&amp;P-041-MS08-2RSTX</v>
          </cell>
          <cell r="G1550" t="str">
            <v>vpret</v>
          </cell>
          <cell r="L1550">
            <v>45894</v>
          </cell>
          <cell r="M1550">
            <v>1335</v>
          </cell>
          <cell r="P1550">
            <v>1.9282209737827716</v>
          </cell>
        </row>
        <row r="1551">
          <cell r="A1551" t="str">
            <v>B&amp;P-041-MS08-D</v>
          </cell>
          <cell r="G1551" t="str">
            <v>VPPRT</v>
          </cell>
          <cell r="L1551">
            <v>45119</v>
          </cell>
          <cell r="M1551">
            <v>275</v>
          </cell>
          <cell r="P1551">
            <v>1.4750000000000001</v>
          </cell>
        </row>
        <row r="1552">
          <cell r="A1552" t="str">
            <v>B&amp;P-041-MS09-2RS</v>
          </cell>
          <cell r="G1552" t="str">
            <v>IDESP</v>
          </cell>
          <cell r="L1552">
            <v>45958</v>
          </cell>
          <cell r="M1552">
            <v>1460</v>
          </cell>
          <cell r="P1552">
            <v>1.93</v>
          </cell>
        </row>
        <row r="1553">
          <cell r="A1553" t="str">
            <v>B&amp;P-041-MS09-2RST</v>
          </cell>
          <cell r="G1553" t="str">
            <v xml:space="preserve">CR   </v>
          </cell>
          <cell r="L1553">
            <v>43126.69902777778</v>
          </cell>
          <cell r="M1553">
            <v>19.86</v>
          </cell>
          <cell r="P1553">
            <v>1.7013091641490432</v>
          </cell>
        </row>
        <row r="1554">
          <cell r="A1554" t="str">
            <v>B&amp;P-041-MS09-2RSTK</v>
          </cell>
          <cell r="G1554" t="str">
            <v>IDESP</v>
          </cell>
          <cell r="L1554">
            <v>43525</v>
          </cell>
          <cell r="M1554">
            <v>40.1</v>
          </cell>
          <cell r="P1554">
            <v>3.11</v>
          </cell>
        </row>
        <row r="1555">
          <cell r="A1555" t="str">
            <v>B&amp;P-041-MS09-2RSTX</v>
          </cell>
          <cell r="G1555" t="str">
            <v>IDESP</v>
          </cell>
          <cell r="L1555">
            <v>45020</v>
          </cell>
          <cell r="M1555">
            <v>216.5</v>
          </cell>
          <cell r="P1555">
            <v>3.976</v>
          </cell>
        </row>
        <row r="1556">
          <cell r="A1556" t="str">
            <v>B&amp;P-041-MS10-2RLD</v>
          </cell>
          <cell r="G1556" t="str">
            <v>IDESP</v>
          </cell>
          <cell r="L1556">
            <v>42947</v>
          </cell>
          <cell r="M1556">
            <v>18.100000000000001</v>
          </cell>
          <cell r="P1556">
            <v>3</v>
          </cell>
        </row>
        <row r="1557">
          <cell r="A1557" t="str">
            <v>B&amp;P-041-MS10-2RS</v>
          </cell>
          <cell r="G1557" t="str">
            <v xml:space="preserve">INSI </v>
          </cell>
          <cell r="L1557">
            <v>45861</v>
          </cell>
          <cell r="M1557">
            <v>1275</v>
          </cell>
          <cell r="P1557">
            <v>2.7021000000000002</v>
          </cell>
        </row>
        <row r="1558">
          <cell r="A1558" t="str">
            <v>B&amp;P-041-MS10-2RST</v>
          </cell>
          <cell r="G1558" t="str">
            <v>IDESP</v>
          </cell>
          <cell r="L1558">
            <v>42979</v>
          </cell>
          <cell r="M1558">
            <v>17.66</v>
          </cell>
          <cell r="P1558">
            <v>3.4</v>
          </cell>
        </row>
        <row r="1559">
          <cell r="A1559" t="str">
            <v>B&amp;P-041-MS10-2RSTK</v>
          </cell>
          <cell r="G1559" t="str">
            <v>IDESP</v>
          </cell>
          <cell r="L1559">
            <v>42979</v>
          </cell>
          <cell r="M1559">
            <v>17.66</v>
          </cell>
          <cell r="P1559">
            <v>3.54</v>
          </cell>
        </row>
        <row r="1560">
          <cell r="A1560" t="str">
            <v>B&amp;P-041-MS10-2RSTX</v>
          </cell>
          <cell r="G1560" t="str">
            <v>IDESP</v>
          </cell>
          <cell r="L1560">
            <v>45722</v>
          </cell>
          <cell r="M1560">
            <v>1084.5</v>
          </cell>
          <cell r="P1560">
            <v>3.36</v>
          </cell>
        </row>
        <row r="1561">
          <cell r="A1561" t="str">
            <v>B&amp;P-041-MS11-2RS</v>
          </cell>
          <cell r="G1561" t="str">
            <v>IDESP</v>
          </cell>
          <cell r="L1561">
            <v>45554</v>
          </cell>
          <cell r="M1561">
            <v>982</v>
          </cell>
          <cell r="P1561">
            <v>2.806</v>
          </cell>
        </row>
        <row r="1562">
          <cell r="A1562" t="str">
            <v>B&amp;P-041-MS11-D</v>
          </cell>
          <cell r="G1562" t="str">
            <v>VPPRT</v>
          </cell>
          <cell r="L1562">
            <v>45134</v>
          </cell>
          <cell r="M1562">
            <v>284</v>
          </cell>
          <cell r="P1562">
            <v>2.552</v>
          </cell>
        </row>
        <row r="1563">
          <cell r="A1563" t="str">
            <v>B&amp;P-041-MS12-2RS</v>
          </cell>
          <cell r="G1563" t="str">
            <v>VPPRT</v>
          </cell>
          <cell r="L1563">
            <v>45119</v>
          </cell>
          <cell r="M1563">
            <v>275</v>
          </cell>
          <cell r="P1563">
            <v>3.4209000000000001</v>
          </cell>
        </row>
        <row r="1564">
          <cell r="A1564" t="str">
            <v>B&amp;P-041-MS13</v>
          </cell>
          <cell r="G1564" t="str">
            <v>IDESP</v>
          </cell>
          <cell r="L1564">
            <v>41379</v>
          </cell>
          <cell r="M1564">
            <v>5.15</v>
          </cell>
          <cell r="P1564">
            <v>5.07</v>
          </cell>
        </row>
        <row r="1565">
          <cell r="A1565" t="str">
            <v>B&amp;P-041-MS14-2RS</v>
          </cell>
          <cell r="G1565" t="str">
            <v xml:space="preserve">INSI </v>
          </cell>
          <cell r="L1565">
            <v>45909</v>
          </cell>
          <cell r="M1565">
            <v>1425</v>
          </cell>
          <cell r="P1565">
            <v>4.79</v>
          </cell>
        </row>
        <row r="1566">
          <cell r="A1566" t="str">
            <v>B&amp;P-041-MS16-2RS</v>
          </cell>
          <cell r="G1566" t="str">
            <v>VPPRT</v>
          </cell>
          <cell r="L1566">
            <v>45516</v>
          </cell>
          <cell r="M1566">
            <v>957.5</v>
          </cell>
          <cell r="P1566">
            <v>7.4577</v>
          </cell>
        </row>
        <row r="1567">
          <cell r="A1567" t="str">
            <v>B&amp;P-041-R4A-2RS-CO</v>
          </cell>
          <cell r="G1567" t="str">
            <v>INCOU</v>
          </cell>
          <cell r="L1567">
            <v>41928</v>
          </cell>
          <cell r="M1567">
            <v>8.48</v>
          </cell>
          <cell r="P1567">
            <v>0.3</v>
          </cell>
        </row>
        <row r="1568">
          <cell r="A1568" t="str">
            <v>B&amp;P-041-SS-MS04-2RS</v>
          </cell>
          <cell r="G1568" t="str">
            <v>IDESP</v>
          </cell>
          <cell r="L1568">
            <v>45587</v>
          </cell>
          <cell r="M1568">
            <v>1004.5</v>
          </cell>
          <cell r="P1568">
            <v>1.95</v>
          </cell>
        </row>
        <row r="1569">
          <cell r="A1569" t="str">
            <v>B&amp;P-041-TS04-2RS</v>
          </cell>
          <cell r="G1569" t="str">
            <v>VPPRT</v>
          </cell>
          <cell r="L1569">
            <v>45561</v>
          </cell>
          <cell r="M1569">
            <v>987</v>
          </cell>
          <cell r="P1569">
            <v>0.4289</v>
          </cell>
        </row>
        <row r="1570">
          <cell r="A1570" t="str">
            <v>B&amp;P-041-TS05-2RS</v>
          </cell>
          <cell r="G1570" t="str">
            <v>IDESP</v>
          </cell>
          <cell r="L1570">
            <v>45776</v>
          </cell>
          <cell r="M1570">
            <v>1190</v>
          </cell>
          <cell r="P1570">
            <v>0.52500000000000002</v>
          </cell>
        </row>
        <row r="1571">
          <cell r="A1571" t="str">
            <v>B&amp;P-041-TS06-2RS</v>
          </cell>
          <cell r="G1571" t="str">
            <v>VPPRT</v>
          </cell>
          <cell r="L1571">
            <v>45561</v>
          </cell>
          <cell r="M1571">
            <v>987</v>
          </cell>
          <cell r="P1571">
            <v>0.53920000000000001</v>
          </cell>
        </row>
        <row r="1572">
          <cell r="A1572" t="str">
            <v>B&amp;P-041-TS06-ZZ</v>
          </cell>
          <cell r="G1572" t="str">
            <v>IDESP</v>
          </cell>
          <cell r="L1572">
            <v>42613</v>
          </cell>
          <cell r="M1572">
            <v>15.36</v>
          </cell>
          <cell r="P1572">
            <v>0.64500000000000002</v>
          </cell>
        </row>
        <row r="1573">
          <cell r="A1573" t="str">
            <v>B&amp;P-042-21308-CW33C3</v>
          </cell>
          <cell r="G1573" t="str">
            <v>IDESP</v>
          </cell>
          <cell r="L1573">
            <v>45744</v>
          </cell>
          <cell r="M1573">
            <v>1091.75</v>
          </cell>
          <cell r="P1573">
            <v>7.96</v>
          </cell>
        </row>
        <row r="1574">
          <cell r="A1574" t="str">
            <v>B&amp;P-042-21308CKW33C3</v>
          </cell>
          <cell r="G1574" t="str">
            <v>IDESP</v>
          </cell>
          <cell r="L1574">
            <v>45322</v>
          </cell>
          <cell r="M1574">
            <v>845</v>
          </cell>
          <cell r="P1574">
            <v>7.95</v>
          </cell>
        </row>
        <row r="1575">
          <cell r="A1575" t="str">
            <v>B&amp;P-042-22205-CW33C3</v>
          </cell>
          <cell r="G1575" t="str">
            <v>IDESP</v>
          </cell>
          <cell r="L1575">
            <v>45744</v>
          </cell>
          <cell r="M1575">
            <v>1091.75</v>
          </cell>
          <cell r="P1575">
            <v>4.12</v>
          </cell>
        </row>
        <row r="1576">
          <cell r="A1576" t="str">
            <v>B&amp;P-042-22206-CKW33C</v>
          </cell>
          <cell r="G1576" t="str">
            <v>IDESP</v>
          </cell>
          <cell r="L1576">
            <v>45979</v>
          </cell>
          <cell r="M1576">
            <v>1415</v>
          </cell>
          <cell r="P1576">
            <v>4.67</v>
          </cell>
        </row>
        <row r="1577">
          <cell r="A1577" t="str">
            <v>B&amp;P-042-22207-CW33C3</v>
          </cell>
          <cell r="G1577" t="str">
            <v>IDESP</v>
          </cell>
          <cell r="L1577">
            <v>44783</v>
          </cell>
          <cell r="M1577">
            <v>140</v>
          </cell>
          <cell r="P1577">
            <v>5.57</v>
          </cell>
        </row>
        <row r="1578">
          <cell r="A1578" t="str">
            <v>B&amp;P-042-22207CKW33C3</v>
          </cell>
          <cell r="G1578" t="str">
            <v>IDESP</v>
          </cell>
          <cell r="L1578">
            <v>45979</v>
          </cell>
          <cell r="M1578">
            <v>1415</v>
          </cell>
          <cell r="P1578">
            <v>5.67</v>
          </cell>
        </row>
        <row r="1579">
          <cell r="A1579" t="str">
            <v>B&amp;P-042-22208-CW33C3</v>
          </cell>
          <cell r="G1579" t="str">
            <v>IDESP</v>
          </cell>
          <cell r="L1579">
            <v>45322</v>
          </cell>
          <cell r="M1579">
            <v>845</v>
          </cell>
          <cell r="P1579">
            <v>5.83</v>
          </cell>
        </row>
        <row r="1580">
          <cell r="A1580" t="str">
            <v>B&amp;P-042-22208CKW33C3</v>
          </cell>
          <cell r="G1580" t="str">
            <v>IDESP</v>
          </cell>
          <cell r="L1580">
            <v>45322</v>
          </cell>
          <cell r="M1580">
            <v>845</v>
          </cell>
          <cell r="P1580">
            <v>5.83</v>
          </cell>
        </row>
        <row r="1581">
          <cell r="A1581" t="str">
            <v>B&amp;P-042-22209-CW33C3</v>
          </cell>
          <cell r="G1581" t="str">
            <v>IDESP</v>
          </cell>
          <cell r="L1581">
            <v>44783</v>
          </cell>
          <cell r="M1581">
            <v>140</v>
          </cell>
          <cell r="P1581">
            <v>6.3</v>
          </cell>
        </row>
        <row r="1582">
          <cell r="A1582" t="str">
            <v>B&amp;P-042-22209CKW33C3</v>
          </cell>
          <cell r="G1582" t="str">
            <v>IDESP</v>
          </cell>
          <cell r="L1582">
            <v>45322</v>
          </cell>
          <cell r="M1582">
            <v>845</v>
          </cell>
          <cell r="P1582">
            <v>6.3</v>
          </cell>
        </row>
        <row r="1583">
          <cell r="A1583" t="str">
            <v>B&amp;P-042-22210CKW33C3</v>
          </cell>
          <cell r="G1583" t="str">
            <v>IDESP</v>
          </cell>
          <cell r="L1583">
            <v>45322</v>
          </cell>
          <cell r="M1583">
            <v>845</v>
          </cell>
          <cell r="P1583">
            <v>5.97</v>
          </cell>
        </row>
        <row r="1584">
          <cell r="A1584" t="str">
            <v>B&amp;P-042-22211-CW33C3</v>
          </cell>
          <cell r="G1584" t="str">
            <v>IDESP</v>
          </cell>
          <cell r="L1584">
            <v>45744</v>
          </cell>
          <cell r="M1584">
            <v>1091.75</v>
          </cell>
          <cell r="P1584">
            <v>6.87</v>
          </cell>
        </row>
        <row r="1585">
          <cell r="A1585" t="str">
            <v>B&amp;P-042-22211CKW33C3</v>
          </cell>
          <cell r="G1585" t="str">
            <v>IDESP</v>
          </cell>
          <cell r="L1585">
            <v>45744</v>
          </cell>
          <cell r="M1585">
            <v>1091.75</v>
          </cell>
          <cell r="P1585">
            <v>6.87</v>
          </cell>
        </row>
        <row r="1586">
          <cell r="A1586" t="str">
            <v>B&amp;P-042-22212CKW33C3</v>
          </cell>
          <cell r="G1586" t="str">
            <v>IDESP</v>
          </cell>
          <cell r="L1586">
            <v>44974</v>
          </cell>
          <cell r="M1586">
            <v>198.5</v>
          </cell>
          <cell r="P1586">
            <v>8.11</v>
          </cell>
        </row>
        <row r="1587">
          <cell r="A1587" t="str">
            <v>B&amp;P-042-22213CKW33C3</v>
          </cell>
          <cell r="G1587" t="str">
            <v>IDESP</v>
          </cell>
          <cell r="L1587">
            <v>45744</v>
          </cell>
          <cell r="M1587">
            <v>1091.75</v>
          </cell>
          <cell r="P1587">
            <v>10.35</v>
          </cell>
        </row>
        <row r="1588">
          <cell r="A1588" t="str">
            <v>B&amp;P-042-22213CW33C3</v>
          </cell>
          <cell r="G1588" t="str">
            <v>IDESP</v>
          </cell>
          <cell r="L1588">
            <v>45744</v>
          </cell>
          <cell r="M1588">
            <v>1091.75</v>
          </cell>
          <cell r="P1588">
            <v>10.35</v>
          </cell>
        </row>
        <row r="1589">
          <cell r="A1589" t="str">
            <v>B&amp;P-042-22215-CW33C3</v>
          </cell>
          <cell r="G1589" t="str">
            <v>IDESP</v>
          </cell>
          <cell r="L1589">
            <v>45744</v>
          </cell>
          <cell r="M1589">
            <v>1091.75</v>
          </cell>
          <cell r="P1589">
            <v>12.78</v>
          </cell>
        </row>
        <row r="1590">
          <cell r="A1590" t="str">
            <v>B&amp;P-042-22216CKW33C3</v>
          </cell>
          <cell r="G1590" t="str">
            <v>IDESP</v>
          </cell>
          <cell r="L1590">
            <v>45322</v>
          </cell>
          <cell r="M1590">
            <v>845</v>
          </cell>
          <cell r="P1590">
            <v>14.56</v>
          </cell>
        </row>
        <row r="1591">
          <cell r="A1591" t="str">
            <v>B&amp;P-042-22217CKW33C3</v>
          </cell>
          <cell r="G1591" t="str">
            <v>IDESP</v>
          </cell>
          <cell r="L1591">
            <v>45322</v>
          </cell>
          <cell r="M1591">
            <v>845</v>
          </cell>
          <cell r="P1591">
            <v>17.79</v>
          </cell>
        </row>
        <row r="1592">
          <cell r="A1592" t="str">
            <v>B&amp;P-042-22220-CKW33C</v>
          </cell>
          <cell r="G1592" t="str">
            <v>IDESP</v>
          </cell>
          <cell r="L1592">
            <v>45744</v>
          </cell>
          <cell r="M1592">
            <v>1091.75</v>
          </cell>
          <cell r="P1592">
            <v>21.52</v>
          </cell>
        </row>
        <row r="1593">
          <cell r="A1593" t="str">
            <v>B&amp;P-042-22222-CKW33C</v>
          </cell>
          <cell r="G1593" t="str">
            <v>IDESP</v>
          </cell>
          <cell r="L1593">
            <v>45509</v>
          </cell>
          <cell r="M1593">
            <v>953.5</v>
          </cell>
          <cell r="P1593">
            <v>29.14</v>
          </cell>
        </row>
        <row r="1594">
          <cell r="A1594" t="str">
            <v>B&amp;P-042-22222-CW33C3</v>
          </cell>
          <cell r="G1594" t="str">
            <v>IDESP</v>
          </cell>
          <cell r="L1594">
            <v>45744</v>
          </cell>
          <cell r="M1594">
            <v>1091.75</v>
          </cell>
          <cell r="P1594">
            <v>29.14</v>
          </cell>
        </row>
        <row r="1595">
          <cell r="A1595" t="str">
            <v>B&amp;P-042-22309CKW33C3</v>
          </cell>
          <cell r="G1595" t="str">
            <v>IDESP</v>
          </cell>
          <cell r="L1595">
            <v>45509</v>
          </cell>
          <cell r="M1595">
            <v>953.5</v>
          </cell>
          <cell r="P1595">
            <v>8.6999999999999993</v>
          </cell>
        </row>
        <row r="1596">
          <cell r="A1596" t="str">
            <v>B&amp;P-042-22310-CW33C3</v>
          </cell>
          <cell r="G1596" t="str">
            <v>IDESP</v>
          </cell>
          <cell r="L1596">
            <v>45744</v>
          </cell>
          <cell r="M1596">
            <v>1091.75</v>
          </cell>
          <cell r="P1596">
            <v>8.9499999999999993</v>
          </cell>
        </row>
        <row r="1597">
          <cell r="A1597" t="str">
            <v>B&amp;P-042-22310CKW33C3</v>
          </cell>
          <cell r="G1597" t="str">
            <v>IDESP</v>
          </cell>
          <cell r="L1597">
            <v>45509</v>
          </cell>
          <cell r="M1597">
            <v>953.5</v>
          </cell>
          <cell r="P1597">
            <v>9.49</v>
          </cell>
        </row>
        <row r="1598">
          <cell r="A1598" t="str">
            <v>B&amp;P-042-22314-CW33C3</v>
          </cell>
          <cell r="G1598" t="str">
            <v>IDESP</v>
          </cell>
          <cell r="L1598">
            <v>45744</v>
          </cell>
          <cell r="M1598">
            <v>1091.75</v>
          </cell>
          <cell r="P1598">
            <v>20.23</v>
          </cell>
        </row>
        <row r="1599">
          <cell r="A1599" t="str">
            <v>B&amp;P-042-22317CW33C3</v>
          </cell>
          <cell r="G1599" t="str">
            <v>IDESP</v>
          </cell>
          <cell r="L1599">
            <v>45509</v>
          </cell>
          <cell r="M1599">
            <v>953.5</v>
          </cell>
          <cell r="P1599">
            <v>31.63</v>
          </cell>
        </row>
        <row r="1600">
          <cell r="A1600" t="str">
            <v>B&amp;P-045-BP-19001-01</v>
          </cell>
          <cell r="G1600" t="str">
            <v>IDESP</v>
          </cell>
          <cell r="L1600">
            <v>45112</v>
          </cell>
          <cell r="M1600">
            <v>270.5</v>
          </cell>
          <cell r="P1600">
            <v>0.50900000000000001</v>
          </cell>
        </row>
        <row r="1601">
          <cell r="A1601" t="str">
            <v>B&amp;P-045-PF-5-Z</v>
          </cell>
          <cell r="G1601" t="str">
            <v>IDESP</v>
          </cell>
          <cell r="L1601">
            <v>44932</v>
          </cell>
          <cell r="M1601">
            <v>185.75</v>
          </cell>
          <cell r="P1601">
            <v>0.8</v>
          </cell>
        </row>
        <row r="1602">
          <cell r="A1602" t="str">
            <v>B&amp;P-045-PF-6-Z</v>
          </cell>
          <cell r="G1602" t="str">
            <v>IDESP</v>
          </cell>
          <cell r="L1602">
            <v>45352</v>
          </cell>
          <cell r="M1602">
            <v>861</v>
          </cell>
          <cell r="P1602">
            <v>1.0720000000000001</v>
          </cell>
        </row>
        <row r="1603">
          <cell r="A1603" t="str">
            <v>B&amp;P-045-PF-7-Z</v>
          </cell>
          <cell r="G1603" t="str">
            <v>IDESP</v>
          </cell>
          <cell r="L1603">
            <v>45628</v>
          </cell>
          <cell r="M1603">
            <v>1031</v>
          </cell>
          <cell r="P1603">
            <v>1.42</v>
          </cell>
        </row>
        <row r="1604">
          <cell r="A1604" t="str">
            <v>B&amp;P-045-PFD-5-Z</v>
          </cell>
          <cell r="G1604" t="str">
            <v>IDESP</v>
          </cell>
          <cell r="L1604">
            <v>45216</v>
          </cell>
          <cell r="M1604">
            <v>365.5</v>
          </cell>
          <cell r="P1604">
            <v>0.92069999999999996</v>
          </cell>
        </row>
        <row r="1605">
          <cell r="A1605" t="str">
            <v>B&amp;P-045-PFF-10-Z</v>
          </cell>
          <cell r="G1605" t="str">
            <v>IDESP</v>
          </cell>
          <cell r="L1605">
            <v>45020</v>
          </cell>
          <cell r="M1605">
            <v>216.5</v>
          </cell>
          <cell r="P1605">
            <v>3.23</v>
          </cell>
        </row>
        <row r="1606">
          <cell r="A1606" t="str">
            <v>B&amp;P-045-PFF-11-Z</v>
          </cell>
          <cell r="G1606" t="str">
            <v>IDESP</v>
          </cell>
          <cell r="L1606">
            <v>45916</v>
          </cell>
          <cell r="M1606">
            <v>1475</v>
          </cell>
          <cell r="P1606">
            <v>3.22</v>
          </cell>
        </row>
        <row r="1607">
          <cell r="A1607" t="str">
            <v>B&amp;P-045-PFF-8-Z</v>
          </cell>
          <cell r="G1607" t="str">
            <v>IDESP</v>
          </cell>
          <cell r="L1607">
            <v>45979</v>
          </cell>
          <cell r="M1607">
            <v>1415</v>
          </cell>
          <cell r="P1607">
            <v>2.44</v>
          </cell>
        </row>
        <row r="1608">
          <cell r="A1608" t="str">
            <v>B&amp;P-045-PFF-9-Z</v>
          </cell>
          <cell r="G1608" t="str">
            <v>IDESP</v>
          </cell>
          <cell r="L1608">
            <v>45903</v>
          </cell>
          <cell r="M1608">
            <v>1375</v>
          </cell>
          <cell r="P1608">
            <v>2.9</v>
          </cell>
        </row>
        <row r="1609">
          <cell r="A1609" t="str">
            <v>B&amp;P-045-PFL-4-Z</v>
          </cell>
          <cell r="G1609" t="str">
            <v>IDESP</v>
          </cell>
          <cell r="L1609">
            <v>43437</v>
          </cell>
          <cell r="M1609">
            <v>38.6</v>
          </cell>
          <cell r="P1609">
            <v>0.45</v>
          </cell>
        </row>
        <row r="1610">
          <cell r="A1610" t="str">
            <v>B&amp;P-045-PFL-5-Z</v>
          </cell>
          <cell r="G1610" t="str">
            <v>IDESP</v>
          </cell>
          <cell r="L1610">
            <v>45628</v>
          </cell>
          <cell r="M1610">
            <v>1031</v>
          </cell>
          <cell r="P1610">
            <v>0.63</v>
          </cell>
        </row>
        <row r="1611">
          <cell r="A1611" t="str">
            <v>B&amp;P-045-PFL-6-Z</v>
          </cell>
          <cell r="G1611" t="str">
            <v>IDESP</v>
          </cell>
          <cell r="L1611">
            <v>45352</v>
          </cell>
          <cell r="M1611">
            <v>861</v>
          </cell>
          <cell r="P1611">
            <v>0.86</v>
          </cell>
        </row>
        <row r="1612">
          <cell r="A1612" t="str">
            <v>B&amp;P-045-PFL-8-Z</v>
          </cell>
          <cell r="G1612" t="str">
            <v>IDESP</v>
          </cell>
          <cell r="L1612">
            <v>44932</v>
          </cell>
          <cell r="M1612">
            <v>185.75</v>
          </cell>
          <cell r="P1612">
            <v>1.79</v>
          </cell>
        </row>
        <row r="1613">
          <cell r="A1613" t="str">
            <v>B&amp;P-045-PFM-5-Z</v>
          </cell>
          <cell r="G1613" t="str">
            <v>IDESP</v>
          </cell>
          <cell r="L1613">
            <v>45996</v>
          </cell>
          <cell r="M1613">
            <v>1470</v>
          </cell>
          <cell r="P1613">
            <v>0.84</v>
          </cell>
        </row>
        <row r="1614">
          <cell r="A1614" t="str">
            <v>B&amp;P-045-PFT-4-Z</v>
          </cell>
          <cell r="G1614" t="str">
            <v>IDESP</v>
          </cell>
          <cell r="L1614">
            <v>44708</v>
          </cell>
          <cell r="M1614">
            <v>124.25</v>
          </cell>
          <cell r="P1614">
            <v>0.69</v>
          </cell>
        </row>
        <row r="1615">
          <cell r="A1615" t="str">
            <v>B&amp;P-045-PFT-5-Z</v>
          </cell>
          <cell r="G1615" t="str">
            <v>IDESP</v>
          </cell>
          <cell r="L1615">
            <v>45163</v>
          </cell>
          <cell r="M1615">
            <v>365.5</v>
          </cell>
          <cell r="P1615">
            <v>0.75</v>
          </cell>
        </row>
        <row r="1616">
          <cell r="A1616" t="str">
            <v>B&amp;P-045-PFT-6-Z</v>
          </cell>
          <cell r="G1616" t="str">
            <v>IDESP</v>
          </cell>
          <cell r="L1616">
            <v>45891</v>
          </cell>
          <cell r="M1616">
            <v>1325</v>
          </cell>
          <cell r="P1616">
            <v>1.8759999999999999</v>
          </cell>
        </row>
        <row r="1617">
          <cell r="A1617" t="str">
            <v>B&amp;P-045-PP-5-Z</v>
          </cell>
          <cell r="G1617" t="str">
            <v>IPFAB</v>
          </cell>
          <cell r="L1617">
            <v>42347</v>
          </cell>
          <cell r="M1617">
            <v>9.81</v>
          </cell>
          <cell r="P1617">
            <v>0.43</v>
          </cell>
        </row>
        <row r="1618">
          <cell r="A1618" t="str">
            <v>B&amp;P-046-6204-2RS-RC</v>
          </cell>
          <cell r="G1618" t="str">
            <v>vpret</v>
          </cell>
          <cell r="L1618">
            <v>45082</v>
          </cell>
          <cell r="M1618">
            <v>250.5</v>
          </cell>
          <cell r="P1618">
            <v>1.1511896207584831</v>
          </cell>
        </row>
        <row r="1619">
          <cell r="A1619" t="str">
            <v>B&amp;P-046-AFH207783</v>
          </cell>
          <cell r="G1619" t="str">
            <v>IPFAP</v>
          </cell>
          <cell r="L1619">
            <v>45953</v>
          </cell>
          <cell r="M1619">
            <v>1515</v>
          </cell>
          <cell r="P1619">
            <v>69</v>
          </cell>
        </row>
        <row r="1620">
          <cell r="A1620" t="str">
            <v>B&amp;P-046-AH231479</v>
          </cell>
          <cell r="G1620" t="str">
            <v>IPFAP</v>
          </cell>
          <cell r="L1620">
            <v>45953</v>
          </cell>
          <cell r="M1620">
            <v>1515</v>
          </cell>
          <cell r="P1620">
            <v>99.28</v>
          </cell>
        </row>
        <row r="1621">
          <cell r="A1621" t="str">
            <v>B&amp;P-046-ASLLF205-14R</v>
          </cell>
          <cell r="G1621" t="str">
            <v>vpret</v>
          </cell>
          <cell r="L1621">
            <v>45943</v>
          </cell>
          <cell r="M1621">
            <v>1450</v>
          </cell>
          <cell r="P1621">
            <v>3.3916551724137927</v>
          </cell>
        </row>
        <row r="1622">
          <cell r="A1622" t="str">
            <v>B&amp;P-046-FHF205-16G</v>
          </cell>
          <cell r="G1622" t="str">
            <v>vpret</v>
          </cell>
          <cell r="L1622">
            <v>44566</v>
          </cell>
          <cell r="M1622">
            <v>108</v>
          </cell>
          <cell r="P1622">
            <v>4.3959814814814813</v>
          </cell>
        </row>
        <row r="1623">
          <cell r="A1623" t="str">
            <v>B&amp;P-046-FHF206-20G</v>
          </cell>
          <cell r="G1623" t="str">
            <v>vpret</v>
          </cell>
          <cell r="L1623">
            <v>44566</v>
          </cell>
          <cell r="M1623">
            <v>108</v>
          </cell>
          <cell r="P1623">
            <v>5.4661111111111111</v>
          </cell>
        </row>
        <row r="1624">
          <cell r="A1624" t="str">
            <v>B&amp;P-046-FHFD205-16</v>
          </cell>
          <cell r="G1624" t="str">
            <v>vpret</v>
          </cell>
          <cell r="L1624">
            <v>44664</v>
          </cell>
          <cell r="M1624">
            <v>117.75</v>
          </cell>
          <cell r="P1624">
            <v>3.0533333333333332</v>
          </cell>
        </row>
        <row r="1625">
          <cell r="A1625" t="str">
            <v>B&amp;P-046-FHLP205-16</v>
          </cell>
          <cell r="G1625" t="str">
            <v>vpret</v>
          </cell>
          <cell r="L1625">
            <v>44648</v>
          </cell>
          <cell r="M1625">
            <v>115.5</v>
          </cell>
          <cell r="P1625">
            <v>3.8761471861471861</v>
          </cell>
        </row>
        <row r="1626">
          <cell r="A1626" t="str">
            <v>B&amp;P-046-FHP208-24G</v>
          </cell>
          <cell r="G1626" t="str">
            <v>vpret</v>
          </cell>
          <cell r="L1626">
            <v>44648</v>
          </cell>
          <cell r="M1626">
            <v>115.5</v>
          </cell>
          <cell r="P1626">
            <v>8.7000000000000011</v>
          </cell>
        </row>
        <row r="1627">
          <cell r="A1627" t="str">
            <v>B&amp;P-046-HCFS210-31</v>
          </cell>
          <cell r="G1627" t="str">
            <v>vpret</v>
          </cell>
          <cell r="L1627">
            <v>44859</v>
          </cell>
          <cell r="M1627">
            <v>161</v>
          </cell>
          <cell r="P1627">
            <v>8.4899068322981375</v>
          </cell>
        </row>
        <row r="1628">
          <cell r="A1628" t="str">
            <v>B&amp;P-046-HCFTS205-16</v>
          </cell>
          <cell r="G1628" t="str">
            <v>vpret</v>
          </cell>
          <cell r="L1628">
            <v>44638</v>
          </cell>
          <cell r="M1628">
            <v>114.5</v>
          </cell>
          <cell r="P1628">
            <v>3.6974235807860265</v>
          </cell>
        </row>
        <row r="1629">
          <cell r="A1629" t="str">
            <v>B&amp;P-046-HCFTS206-20</v>
          </cell>
          <cell r="G1629" t="str">
            <v>vpret</v>
          </cell>
          <cell r="L1629">
            <v>45309</v>
          </cell>
          <cell r="M1629">
            <v>838.25</v>
          </cell>
          <cell r="P1629">
            <v>5.0015377274082908</v>
          </cell>
        </row>
        <row r="1630">
          <cell r="A1630" t="str">
            <v>B&amp;P-046-HCP207-20G</v>
          </cell>
          <cell r="G1630" t="str">
            <v>vpret</v>
          </cell>
          <cell r="L1630">
            <v>44655</v>
          </cell>
          <cell r="M1630">
            <v>116.25</v>
          </cell>
          <cell r="P1630">
            <v>7.3482580645161288</v>
          </cell>
        </row>
        <row r="1631">
          <cell r="A1631" t="str">
            <v>B&amp;P-046-HCP207-22G</v>
          </cell>
          <cell r="G1631" t="str">
            <v>vpret</v>
          </cell>
          <cell r="L1631">
            <v>44656</v>
          </cell>
          <cell r="M1631">
            <v>116.75</v>
          </cell>
          <cell r="P1631">
            <v>7.1581584582441113</v>
          </cell>
        </row>
        <row r="1632">
          <cell r="A1632" t="str">
            <v>B&amp;P-046-HCP209-28</v>
          </cell>
          <cell r="G1632" t="str">
            <v>vpret</v>
          </cell>
          <cell r="L1632">
            <v>44648</v>
          </cell>
          <cell r="M1632">
            <v>115.5</v>
          </cell>
          <cell r="P1632">
            <v>9.8539393939393953</v>
          </cell>
        </row>
        <row r="1633">
          <cell r="A1633" t="str">
            <v>B&amp;P-046-HCP210-31-HA</v>
          </cell>
          <cell r="G1633" t="str">
            <v>vpret</v>
          </cell>
          <cell r="L1633">
            <v>45203</v>
          </cell>
          <cell r="M1633">
            <v>365.5</v>
          </cell>
          <cell r="P1633">
            <v>12.219999999999999</v>
          </cell>
        </row>
        <row r="1634">
          <cell r="A1634" t="str">
            <v>B&amp;P-046-HCP211-32G</v>
          </cell>
          <cell r="G1634" t="str">
            <v>vpret</v>
          </cell>
          <cell r="L1634">
            <v>44664</v>
          </cell>
          <cell r="M1634">
            <v>117.75</v>
          </cell>
          <cell r="P1634">
            <v>17.903057324840766</v>
          </cell>
        </row>
        <row r="1635">
          <cell r="A1635" t="str">
            <v>B&amp;P-046-UCF205-16G</v>
          </cell>
          <cell r="G1635" t="str">
            <v>vpret</v>
          </cell>
          <cell r="L1635">
            <v>44643</v>
          </cell>
          <cell r="M1635">
            <v>115.25</v>
          </cell>
          <cell r="P1635">
            <v>3.3927982646420825</v>
          </cell>
        </row>
        <row r="1636">
          <cell r="A1636" t="str">
            <v>B&amp;P-046-UCF211-32G</v>
          </cell>
          <cell r="G1636" t="str">
            <v>vpret</v>
          </cell>
          <cell r="L1636">
            <v>44643</v>
          </cell>
          <cell r="M1636">
            <v>115.25</v>
          </cell>
          <cell r="P1636">
            <v>15.363852494577007</v>
          </cell>
        </row>
        <row r="1637">
          <cell r="A1637" t="str">
            <v>B&amp;P-047-84195972</v>
          </cell>
          <cell r="G1637" t="str">
            <v>vpret</v>
          </cell>
          <cell r="L1637">
            <v>45961</v>
          </cell>
          <cell r="M1637">
            <v>1465</v>
          </cell>
          <cell r="P1637">
            <v>3.7217802047781574</v>
          </cell>
        </row>
        <row r="1638">
          <cell r="A1638" t="str">
            <v>B&amp;P-047-ACL-205-25MM</v>
          </cell>
          <cell r="G1638" t="str">
            <v>IDESP</v>
          </cell>
          <cell r="L1638">
            <v>45876</v>
          </cell>
          <cell r="M1638">
            <v>1345</v>
          </cell>
          <cell r="P1638">
            <v>2.4</v>
          </cell>
        </row>
        <row r="1639">
          <cell r="A1639" t="str">
            <v>B&amp;P-047-ACL-207-22</v>
          </cell>
          <cell r="G1639" t="str">
            <v xml:space="preserve">CR   </v>
          </cell>
          <cell r="L1639">
            <v>43126.69902777778</v>
          </cell>
          <cell r="M1639">
            <v>19.86</v>
          </cell>
          <cell r="P1639">
            <v>0.68272910372608253</v>
          </cell>
        </row>
        <row r="1640">
          <cell r="A1640" t="str">
            <v>B&amp;P-047-ACL-208-40mm</v>
          </cell>
          <cell r="G1640" t="str">
            <v>VPPRT</v>
          </cell>
          <cell r="L1640">
            <v>45953</v>
          </cell>
          <cell r="M1640">
            <v>1515</v>
          </cell>
          <cell r="P1640">
            <v>4.4932999999999996</v>
          </cell>
        </row>
        <row r="1641">
          <cell r="A1641" t="str">
            <v>B&amp;P-047-ACL-209-28</v>
          </cell>
          <cell r="G1641" t="str">
            <v>VPPRT</v>
          </cell>
          <cell r="L1641">
            <v>45589</v>
          </cell>
          <cell r="M1641">
            <v>1005</v>
          </cell>
          <cell r="P1641">
            <v>5.6676000000000002</v>
          </cell>
        </row>
        <row r="1642">
          <cell r="A1642" t="str">
            <v>B&amp;P-047-ACL-209-45DG</v>
          </cell>
          <cell r="G1642" t="str">
            <v>IDESP</v>
          </cell>
          <cell r="L1642">
            <v>44274</v>
          </cell>
          <cell r="M1642">
            <v>96.5</v>
          </cell>
          <cell r="P1642">
            <v>7.2</v>
          </cell>
        </row>
        <row r="1643">
          <cell r="A1643" t="str">
            <v>B&amp;P-047-ACL-210-50mm</v>
          </cell>
          <cell r="G1643" t="str">
            <v>VPRet</v>
          </cell>
          <cell r="L1643">
            <v>42481</v>
          </cell>
          <cell r="M1643">
            <v>14.68</v>
          </cell>
          <cell r="P1643">
            <v>7.8876798365122616</v>
          </cell>
        </row>
        <row r="1644">
          <cell r="A1644" t="str">
            <v>B&amp;P-047-ACL204-20RG</v>
          </cell>
          <cell r="G1644" t="str">
            <v>VPPRT</v>
          </cell>
          <cell r="L1644">
            <v>45589</v>
          </cell>
          <cell r="M1644">
            <v>1005</v>
          </cell>
          <cell r="P1644">
            <v>2.1960999999999999</v>
          </cell>
        </row>
        <row r="1645">
          <cell r="A1645" t="str">
            <v>B&amp;P-047-ACL205-14RG</v>
          </cell>
          <cell r="G1645" t="str">
            <v>VPPRT</v>
          </cell>
          <cell r="L1645">
            <v>45560</v>
          </cell>
          <cell r="M1645">
            <v>986</v>
          </cell>
          <cell r="P1645">
            <v>2.2088999999999999</v>
          </cell>
        </row>
        <row r="1646">
          <cell r="A1646" t="str">
            <v>B&amp;P-047-ACL205-16RG</v>
          </cell>
          <cell r="G1646" t="str">
            <v>VPPRT</v>
          </cell>
          <cell r="L1646">
            <v>45848</v>
          </cell>
          <cell r="M1646">
            <v>1275</v>
          </cell>
          <cell r="P1646">
            <v>2.0078</v>
          </cell>
        </row>
        <row r="1647">
          <cell r="A1647" t="str">
            <v>B&amp;P-047-ACL206-18RG</v>
          </cell>
          <cell r="G1647" t="str">
            <v>VPPRT</v>
          </cell>
          <cell r="L1647">
            <v>45953</v>
          </cell>
          <cell r="M1647">
            <v>1515</v>
          </cell>
          <cell r="P1647">
            <v>2.9184000000000001</v>
          </cell>
        </row>
        <row r="1648">
          <cell r="A1648" t="str">
            <v>B&amp;P-047-ACL206-19RG</v>
          </cell>
          <cell r="G1648" t="str">
            <v>VPPRT</v>
          </cell>
          <cell r="L1648">
            <v>44650</v>
          </cell>
          <cell r="M1648">
            <v>115.75</v>
          </cell>
          <cell r="P1648">
            <v>3.9275000000000002</v>
          </cell>
        </row>
        <row r="1649">
          <cell r="A1649" t="str">
            <v>B&amp;P-047-ACL206-30RG</v>
          </cell>
          <cell r="G1649" t="str">
            <v>VPPRT</v>
          </cell>
          <cell r="L1649">
            <v>45511</v>
          </cell>
          <cell r="M1649">
            <v>954.5</v>
          </cell>
          <cell r="P1649">
            <v>3.0167999999999999</v>
          </cell>
        </row>
        <row r="1650">
          <cell r="A1650" t="str">
            <v>B&amp;P-047-ACL206-30RR1</v>
          </cell>
          <cell r="G1650" t="str">
            <v>VPPRT</v>
          </cell>
          <cell r="L1650">
            <v>45141</v>
          </cell>
          <cell r="M1650">
            <v>288.5</v>
          </cell>
          <cell r="P1650">
            <v>2.3877999999999999</v>
          </cell>
        </row>
        <row r="1651">
          <cell r="A1651" t="str">
            <v>B&amp;P-047-ACL207-20RG</v>
          </cell>
          <cell r="G1651" t="str">
            <v>IDESP</v>
          </cell>
          <cell r="L1651">
            <v>45876</v>
          </cell>
          <cell r="M1651">
            <v>1345</v>
          </cell>
          <cell r="P1651">
            <v>4.09</v>
          </cell>
        </row>
        <row r="1652">
          <cell r="A1652" t="str">
            <v>B&amp;P-047-ACL207-23RG</v>
          </cell>
          <cell r="G1652" t="str">
            <v>VPPRT</v>
          </cell>
          <cell r="L1652">
            <v>45936</v>
          </cell>
          <cell r="M1652">
            <v>1450</v>
          </cell>
          <cell r="P1652">
            <v>3.8420000000000001</v>
          </cell>
        </row>
        <row r="1653">
          <cell r="A1653" t="str">
            <v>B&amp;P-047-ACL207-35RR1</v>
          </cell>
          <cell r="G1653" t="str">
            <v>VPPRT</v>
          </cell>
          <cell r="L1653">
            <v>45153</v>
          </cell>
          <cell r="M1653">
            <v>365.5</v>
          </cell>
          <cell r="P1653">
            <v>3.4881000000000002</v>
          </cell>
        </row>
        <row r="1654">
          <cell r="A1654" t="str">
            <v>B&amp;P-047-ACL208-24RG</v>
          </cell>
          <cell r="G1654" t="str">
            <v>IDESP</v>
          </cell>
          <cell r="L1654">
            <v>43250</v>
          </cell>
          <cell r="M1654">
            <v>25.4</v>
          </cell>
          <cell r="P1654">
            <v>5.2729999999999997</v>
          </cell>
        </row>
        <row r="1655">
          <cell r="A1655" t="str">
            <v>B&amp;P-047-ACLR205-14R</v>
          </cell>
          <cell r="G1655" t="str">
            <v>VPPRT</v>
          </cell>
          <cell r="L1655">
            <v>45511</v>
          </cell>
          <cell r="M1655">
            <v>954.5</v>
          </cell>
          <cell r="P1655">
            <v>1.966</v>
          </cell>
        </row>
        <row r="1656">
          <cell r="A1656" t="str">
            <v>B&amp;P-047-ACLR206-20RR</v>
          </cell>
          <cell r="G1656" t="str">
            <v>VPPRT</v>
          </cell>
          <cell r="L1656">
            <v>45146</v>
          </cell>
          <cell r="M1656">
            <v>293</v>
          </cell>
          <cell r="P1656">
            <v>2.5783</v>
          </cell>
        </row>
        <row r="1657">
          <cell r="A1657" t="str">
            <v>B&amp;P-047-ACLR208-24RR</v>
          </cell>
          <cell r="G1657" t="str">
            <v>VPPRT</v>
          </cell>
          <cell r="L1657">
            <v>45953</v>
          </cell>
          <cell r="M1657">
            <v>1515</v>
          </cell>
          <cell r="P1657">
            <v>5.1180000000000003</v>
          </cell>
        </row>
        <row r="1658">
          <cell r="A1658" t="str">
            <v>B&amp;P-047-ACLR208-40RG</v>
          </cell>
          <cell r="G1658" t="str">
            <v>VPPRT</v>
          </cell>
          <cell r="L1658">
            <v>45848</v>
          </cell>
          <cell r="M1658">
            <v>1275</v>
          </cell>
          <cell r="P1658">
            <v>4.6900000000000004</v>
          </cell>
        </row>
        <row r="1659">
          <cell r="A1659" t="str">
            <v>B&amp;P-047-ASL-205-14RG</v>
          </cell>
          <cell r="G1659" t="str">
            <v>VPPRT</v>
          </cell>
          <cell r="L1659">
            <v>45931</v>
          </cell>
          <cell r="M1659">
            <v>1400</v>
          </cell>
          <cell r="P1659">
            <v>1.88</v>
          </cell>
        </row>
        <row r="1660">
          <cell r="A1660" t="str">
            <v>B&amp;P-047-ASL-205-25MM</v>
          </cell>
          <cell r="G1660" t="str">
            <v>VPPRT</v>
          </cell>
          <cell r="L1660">
            <v>45153</v>
          </cell>
          <cell r="M1660">
            <v>365.5</v>
          </cell>
          <cell r="P1660">
            <v>1.7150000000000001</v>
          </cell>
        </row>
        <row r="1661">
          <cell r="A1661" t="str">
            <v>B&amp;P-047-ASL-207-35MM</v>
          </cell>
          <cell r="G1661" t="str">
            <v>VPPRT</v>
          </cell>
          <cell r="L1661">
            <v>45589</v>
          </cell>
          <cell r="M1661">
            <v>1005</v>
          </cell>
          <cell r="P1661">
            <v>3.3685</v>
          </cell>
        </row>
        <row r="1662">
          <cell r="A1662" t="str">
            <v>B&amp;P-047-ASL206-30RG</v>
          </cell>
          <cell r="G1662" t="str">
            <v>vpret</v>
          </cell>
          <cell r="L1662">
            <v>46003</v>
          </cell>
          <cell r="M1662">
            <v>1460</v>
          </cell>
          <cell r="P1662">
            <v>2.914919863013699</v>
          </cell>
        </row>
        <row r="1663">
          <cell r="A1663" t="str">
            <v>B&amp;P-047-ASL206-30RR</v>
          </cell>
          <cell r="G1663" t="str">
            <v>VPPRT</v>
          </cell>
          <cell r="L1663">
            <v>45511</v>
          </cell>
          <cell r="M1663">
            <v>954.5</v>
          </cell>
          <cell r="P1663">
            <v>2.6534</v>
          </cell>
        </row>
        <row r="1664">
          <cell r="A1664" t="str">
            <v>B&amp;P-047-BP-13014-A</v>
          </cell>
          <cell r="G1664" t="str">
            <v xml:space="preserve">INAC </v>
          </cell>
          <cell r="L1664">
            <v>44761</v>
          </cell>
          <cell r="M1664">
            <v>135.25</v>
          </cell>
          <cell r="P1664">
            <v>12.205619223659889</v>
          </cell>
        </row>
        <row r="1665">
          <cell r="A1665" t="str">
            <v>B&amp;P-047-BP-13014-B</v>
          </cell>
          <cell r="G1665" t="str">
            <v>IPFAP</v>
          </cell>
          <cell r="L1665">
            <v>44132</v>
          </cell>
          <cell r="M1665">
            <v>83.5</v>
          </cell>
          <cell r="P1665">
            <v>4.3999999999999995</v>
          </cell>
        </row>
        <row r="1666">
          <cell r="A1666" t="str">
            <v>B&amp;P-047-BP-18011</v>
          </cell>
          <cell r="G1666" t="str">
            <v>IDESP</v>
          </cell>
          <cell r="L1666">
            <v>45322</v>
          </cell>
          <cell r="M1666">
            <v>845</v>
          </cell>
          <cell r="P1666">
            <v>11.21</v>
          </cell>
        </row>
        <row r="1667">
          <cell r="A1667" t="str">
            <v>B&amp;P-047-BP-24003</v>
          </cell>
          <cell r="G1667" t="str">
            <v>vpret</v>
          </cell>
          <cell r="L1667">
            <v>45917</v>
          </cell>
          <cell r="M1667">
            <v>1480</v>
          </cell>
          <cell r="P1667">
            <v>6.7761304054054055</v>
          </cell>
        </row>
        <row r="1668">
          <cell r="A1668" t="str">
            <v>B&amp;P-047-ECL-204-20DG</v>
          </cell>
          <cell r="G1668" t="str">
            <v>VPPRT</v>
          </cell>
          <cell r="L1668">
            <v>45511</v>
          </cell>
          <cell r="M1668">
            <v>954.5</v>
          </cell>
          <cell r="P1668">
            <v>1.8122</v>
          </cell>
        </row>
        <row r="1669">
          <cell r="A1669" t="str">
            <v>B&amp;P-047-ECL-205-14DG</v>
          </cell>
          <cell r="G1669" t="str">
            <v>VPPRT</v>
          </cell>
          <cell r="L1669">
            <v>45511</v>
          </cell>
          <cell r="M1669">
            <v>954.5</v>
          </cell>
          <cell r="P1669">
            <v>1.8599000000000001</v>
          </cell>
        </row>
        <row r="1670">
          <cell r="A1670" t="str">
            <v>B&amp;P-047-ECL-205-25DG</v>
          </cell>
          <cell r="G1670" t="str">
            <v>vpret</v>
          </cell>
          <cell r="L1670">
            <v>46003</v>
          </cell>
          <cell r="M1670">
            <v>1460</v>
          </cell>
          <cell r="P1670">
            <v>2.3151999999999999</v>
          </cell>
        </row>
        <row r="1671">
          <cell r="A1671" t="str">
            <v>B&amp;P-047-ECL-206-19DG</v>
          </cell>
          <cell r="G1671" t="str">
            <v xml:space="preserve">CR   </v>
          </cell>
          <cell r="L1671">
            <v>43126.69902777778</v>
          </cell>
          <cell r="M1671">
            <v>19.86</v>
          </cell>
          <cell r="P1671">
            <v>1.2042799597180263</v>
          </cell>
        </row>
        <row r="1672">
          <cell r="A1672" t="str">
            <v>B&amp;P-047-ECL-206-30DG</v>
          </cell>
          <cell r="G1672" t="str">
            <v>VPPRT</v>
          </cell>
          <cell r="L1672">
            <v>45953</v>
          </cell>
          <cell r="M1672">
            <v>1515</v>
          </cell>
          <cell r="P1672">
            <v>2.3227000000000002</v>
          </cell>
        </row>
        <row r="1673">
          <cell r="A1673" t="str">
            <v>B&amp;P-047-ECL-207-35DG</v>
          </cell>
          <cell r="G1673" t="str">
            <v>VPPRT</v>
          </cell>
          <cell r="L1673">
            <v>46007</v>
          </cell>
          <cell r="M1673">
            <v>1465</v>
          </cell>
          <cell r="P1673">
            <v>3.34</v>
          </cell>
        </row>
        <row r="1674">
          <cell r="A1674" t="str">
            <v>B&amp;P-047-ECL-208-40DG</v>
          </cell>
          <cell r="G1674" t="str">
            <v>VPPRT</v>
          </cell>
          <cell r="L1674">
            <v>44677</v>
          </cell>
          <cell r="M1674">
            <v>119.5</v>
          </cell>
          <cell r="P1674">
            <v>4.6467000000000001</v>
          </cell>
        </row>
        <row r="1675">
          <cell r="A1675" t="str">
            <v>B&amp;P-047-ECL-209-45DG</v>
          </cell>
          <cell r="G1675" t="str">
            <v>VPPRT</v>
          </cell>
          <cell r="L1675">
            <v>44746</v>
          </cell>
          <cell r="M1675">
            <v>130.25</v>
          </cell>
          <cell r="P1675">
            <v>5.77</v>
          </cell>
        </row>
        <row r="1676">
          <cell r="A1676" t="str">
            <v>B&amp;P-047-ECL-210-50DG</v>
          </cell>
          <cell r="G1676" t="str">
            <v>VPPRT</v>
          </cell>
          <cell r="L1676">
            <v>46007</v>
          </cell>
          <cell r="M1676">
            <v>1465</v>
          </cell>
          <cell r="P1676">
            <v>6.5152999999999999</v>
          </cell>
        </row>
        <row r="1677">
          <cell r="A1677" t="str">
            <v>B&amp;P-047-ECL-211-55DG</v>
          </cell>
          <cell r="G1677" t="str">
            <v>IDESP</v>
          </cell>
          <cell r="L1677">
            <v>45876</v>
          </cell>
          <cell r="M1677">
            <v>1345</v>
          </cell>
          <cell r="P1677">
            <v>9.83</v>
          </cell>
        </row>
        <row r="1678">
          <cell r="A1678" t="str">
            <v>B&amp;P-047-ECL-212-60DG</v>
          </cell>
          <cell r="G1678" t="str">
            <v>IDESP</v>
          </cell>
          <cell r="L1678">
            <v>45509</v>
          </cell>
          <cell r="M1678">
            <v>953.5</v>
          </cell>
          <cell r="P1678">
            <v>8.4949999999999992</v>
          </cell>
        </row>
        <row r="1679">
          <cell r="A1679" t="str">
            <v>B&amp;P-047-ECL-310-50</v>
          </cell>
          <cell r="G1679" t="str">
            <v>IDESP</v>
          </cell>
          <cell r="L1679">
            <v>42362</v>
          </cell>
          <cell r="M1679">
            <v>13.42</v>
          </cell>
          <cell r="P1679">
            <v>18.190000000000001</v>
          </cell>
        </row>
        <row r="1680">
          <cell r="A1680" t="str">
            <v>B&amp;P-047-ECL-311-32-R</v>
          </cell>
          <cell r="G1680" t="str">
            <v>IDESP</v>
          </cell>
          <cell r="L1680">
            <v>45587</v>
          </cell>
          <cell r="M1680">
            <v>1004.5</v>
          </cell>
          <cell r="P1680">
            <v>15.05</v>
          </cell>
        </row>
        <row r="1681">
          <cell r="A1681" t="str">
            <v>B&amp;P-047-ECL205-16DD</v>
          </cell>
          <cell r="G1681" t="str">
            <v xml:space="preserve">CR   </v>
          </cell>
          <cell r="L1681">
            <v>45789.610335648147</v>
          </cell>
          <cell r="M1681">
            <v>1150</v>
          </cell>
          <cell r="P1681">
            <v>2.2599999999999998</v>
          </cell>
        </row>
        <row r="1682">
          <cell r="A1682" t="str">
            <v>B&amp;P-047-ECL205-16DG</v>
          </cell>
          <cell r="G1682" t="str">
            <v>vpret</v>
          </cell>
          <cell r="L1682">
            <v>46003</v>
          </cell>
          <cell r="M1682">
            <v>1460</v>
          </cell>
          <cell r="P1682">
            <v>2.2810000000000001</v>
          </cell>
        </row>
        <row r="1683">
          <cell r="A1683" t="str">
            <v>B&amp;P-047-ECL205-25</v>
          </cell>
          <cell r="G1683" t="str">
            <v xml:space="preserve">INAC </v>
          </cell>
          <cell r="L1683">
            <v>41969</v>
          </cell>
          <cell r="M1683">
            <v>8.5399999999999991</v>
          </cell>
          <cell r="P1683">
            <v>3.8044496487119446</v>
          </cell>
        </row>
        <row r="1684">
          <cell r="A1684" t="str">
            <v>B&amp;P-047-ECL206-18DG</v>
          </cell>
          <cell r="G1684" t="str">
            <v>VPPRT</v>
          </cell>
          <cell r="L1684">
            <v>45589</v>
          </cell>
          <cell r="M1684">
            <v>1005</v>
          </cell>
          <cell r="P1684">
            <v>3.8197000000000001</v>
          </cell>
        </row>
        <row r="1685">
          <cell r="A1685" t="str">
            <v>B&amp;P-047-ECL206-20DG</v>
          </cell>
          <cell r="G1685" t="str">
            <v>VPPRT</v>
          </cell>
          <cell r="L1685">
            <v>45153</v>
          </cell>
          <cell r="M1685">
            <v>365.5</v>
          </cell>
          <cell r="P1685">
            <v>2.8306</v>
          </cell>
        </row>
        <row r="1686">
          <cell r="A1686" t="str">
            <v>B&amp;P-047-ECL206-20TG</v>
          </cell>
          <cell r="G1686" t="str">
            <v>VPPRT</v>
          </cell>
          <cell r="L1686">
            <v>45281</v>
          </cell>
          <cell r="M1686">
            <v>823.5</v>
          </cell>
          <cell r="P1686">
            <v>2.968</v>
          </cell>
        </row>
        <row r="1687">
          <cell r="A1687" t="str">
            <v>B&amp;P-047-ECL207-20DG</v>
          </cell>
          <cell r="G1687" t="str">
            <v>IPFAP</v>
          </cell>
          <cell r="L1687">
            <v>45938</v>
          </cell>
          <cell r="M1687">
            <v>1455</v>
          </cell>
          <cell r="P1687">
            <v>4.4985567010309273</v>
          </cell>
        </row>
        <row r="1688">
          <cell r="A1688" t="str">
            <v>B&amp;P-047-ECL207-23DG</v>
          </cell>
          <cell r="G1688" t="str">
            <v>IPFAP</v>
          </cell>
          <cell r="L1688">
            <v>44777</v>
          </cell>
          <cell r="M1688">
            <v>138.75</v>
          </cell>
          <cell r="P1688">
            <v>4.1899999999999995</v>
          </cell>
        </row>
        <row r="1689">
          <cell r="A1689" t="str">
            <v>B&amp;P-047-ECL207-35DD</v>
          </cell>
          <cell r="G1689" t="str">
            <v>VPPRT</v>
          </cell>
          <cell r="L1689">
            <v>46007</v>
          </cell>
          <cell r="M1689">
            <v>1465</v>
          </cell>
          <cell r="P1689">
            <v>3.34</v>
          </cell>
        </row>
        <row r="1690">
          <cell r="A1690" t="str">
            <v>B&amp;P-047-ECL207-35MM</v>
          </cell>
          <cell r="G1690" t="str">
            <v>IPFAP</v>
          </cell>
          <cell r="L1690">
            <v>44329</v>
          </cell>
          <cell r="M1690">
            <v>99</v>
          </cell>
          <cell r="P1690">
            <v>4.2727272727272725</v>
          </cell>
        </row>
        <row r="1691">
          <cell r="A1691" t="str">
            <v>B&amp;P-047-ECL208-24DG</v>
          </cell>
          <cell r="G1691" t="str">
            <v>VPPRT</v>
          </cell>
          <cell r="L1691">
            <v>45153</v>
          </cell>
          <cell r="M1691">
            <v>365.5</v>
          </cell>
          <cell r="P1691">
            <v>5.3007</v>
          </cell>
        </row>
        <row r="1692">
          <cell r="A1692" t="str">
            <v>B&amp;P-047-ECL209-27DG</v>
          </cell>
          <cell r="G1692" t="str">
            <v>VPPRT</v>
          </cell>
          <cell r="L1692">
            <v>45153</v>
          </cell>
          <cell r="M1692">
            <v>365.5</v>
          </cell>
          <cell r="P1692">
            <v>5.0023</v>
          </cell>
        </row>
        <row r="1693">
          <cell r="A1693" t="str">
            <v>B&amp;P-047-ECL209-28DG</v>
          </cell>
          <cell r="G1693" t="str">
            <v>VPPRT</v>
          </cell>
          <cell r="L1693">
            <v>45589</v>
          </cell>
          <cell r="M1693">
            <v>1005</v>
          </cell>
          <cell r="P1693">
            <v>5.1646000000000001</v>
          </cell>
        </row>
        <row r="1694">
          <cell r="A1694" t="str">
            <v>B&amp;P-047-ECL210-31TPL</v>
          </cell>
          <cell r="G1694" t="str">
            <v>VPPRT</v>
          </cell>
          <cell r="L1694">
            <v>45168</v>
          </cell>
          <cell r="M1694">
            <v>365.5</v>
          </cell>
          <cell r="P1694">
            <v>6.39</v>
          </cell>
        </row>
        <row r="1695">
          <cell r="A1695" t="str">
            <v>B&amp;P-047-ECL210-31TT</v>
          </cell>
          <cell r="G1695" t="str">
            <v>IPFAP</v>
          </cell>
          <cell r="L1695">
            <v>45189</v>
          </cell>
          <cell r="M1695">
            <v>365.5</v>
          </cell>
          <cell r="P1695">
            <v>6.3500000000000005</v>
          </cell>
        </row>
        <row r="1696">
          <cell r="A1696" t="str">
            <v>B&amp;P-047-ECL210-32DG</v>
          </cell>
          <cell r="G1696" t="str">
            <v>VPPRT</v>
          </cell>
          <cell r="L1696">
            <v>45153</v>
          </cell>
          <cell r="M1696">
            <v>365.5</v>
          </cell>
          <cell r="P1696">
            <v>6.0876000000000001</v>
          </cell>
        </row>
        <row r="1697">
          <cell r="A1697" t="str">
            <v>B&amp;P-047-ECL210-50D-3</v>
          </cell>
          <cell r="G1697" t="str">
            <v>VPPRT</v>
          </cell>
          <cell r="L1697">
            <v>45153</v>
          </cell>
          <cell r="M1697">
            <v>365.5</v>
          </cell>
          <cell r="P1697">
            <v>6.5267999999999997</v>
          </cell>
        </row>
        <row r="1698">
          <cell r="A1698" t="str">
            <v>B&amp;P-047-ECL211-35D</v>
          </cell>
          <cell r="G1698" t="str">
            <v>IDESP</v>
          </cell>
          <cell r="L1698">
            <v>45587</v>
          </cell>
          <cell r="M1698">
            <v>1004.5</v>
          </cell>
          <cell r="P1698">
            <v>10.94</v>
          </cell>
        </row>
        <row r="1699">
          <cell r="A1699" t="str">
            <v>B&amp;P-047-ECL212-39D</v>
          </cell>
          <cell r="G1699" t="str">
            <v>IDESP</v>
          </cell>
          <cell r="L1699">
            <v>45996</v>
          </cell>
          <cell r="M1699">
            <v>1470</v>
          </cell>
          <cell r="P1699">
            <v>12.94</v>
          </cell>
        </row>
        <row r="1700">
          <cell r="A1700" t="str">
            <v>B&amp;P-047-ECL305-25DG</v>
          </cell>
          <cell r="G1700" t="str">
            <v>VPPRT</v>
          </cell>
          <cell r="L1700">
            <v>45589</v>
          </cell>
          <cell r="M1700">
            <v>1005</v>
          </cell>
          <cell r="P1700">
            <v>4.6977000000000002</v>
          </cell>
        </row>
        <row r="1701">
          <cell r="A1701" t="str">
            <v>B&amp;P-047-ECL306-30DG</v>
          </cell>
          <cell r="G1701" t="str">
            <v>IDESP</v>
          </cell>
          <cell r="L1701">
            <v>45656</v>
          </cell>
          <cell r="M1701">
            <v>1051</v>
          </cell>
          <cell r="P1701">
            <v>4.09</v>
          </cell>
        </row>
        <row r="1702">
          <cell r="A1702" t="str">
            <v>B&amp;P-047-ECL307-35DG</v>
          </cell>
          <cell r="G1702" t="str">
            <v>IDESP</v>
          </cell>
          <cell r="L1702">
            <v>45656</v>
          </cell>
          <cell r="M1702">
            <v>1051</v>
          </cell>
          <cell r="P1702">
            <v>4.96</v>
          </cell>
        </row>
        <row r="1703">
          <cell r="A1703" t="str">
            <v>B&amp;P-047-ECL308-40DG</v>
          </cell>
          <cell r="G1703" t="str">
            <v>VPPRT</v>
          </cell>
          <cell r="L1703">
            <v>45589</v>
          </cell>
          <cell r="M1703">
            <v>1005</v>
          </cell>
          <cell r="P1703">
            <v>8.2050000000000001</v>
          </cell>
        </row>
        <row r="1704">
          <cell r="A1704" t="str">
            <v>B&amp;P-047-ECLR205-16D</v>
          </cell>
          <cell r="G1704" t="str">
            <v>VPRet</v>
          </cell>
          <cell r="L1704">
            <v>42962</v>
          </cell>
          <cell r="M1704">
            <v>17.53</v>
          </cell>
          <cell r="P1704">
            <v>2.7948721620079864</v>
          </cell>
        </row>
        <row r="1705">
          <cell r="A1705" t="str">
            <v>B&amp;P-047-F-204</v>
          </cell>
          <cell r="G1705" t="str">
            <v>IDESP</v>
          </cell>
          <cell r="L1705">
            <v>45300</v>
          </cell>
          <cell r="M1705">
            <v>833.5</v>
          </cell>
          <cell r="P1705">
            <v>1.46</v>
          </cell>
        </row>
        <row r="1706">
          <cell r="A1706" t="str">
            <v>B&amp;P-047-F-205</v>
          </cell>
          <cell r="G1706" t="str">
            <v>IDESP</v>
          </cell>
          <cell r="L1706">
            <v>45440</v>
          </cell>
          <cell r="M1706">
            <v>911.5</v>
          </cell>
          <cell r="P1706">
            <v>1.73</v>
          </cell>
        </row>
        <row r="1707">
          <cell r="A1707" t="str">
            <v>B&amp;P-047-F-205-H</v>
          </cell>
          <cell r="G1707" t="str">
            <v>IDESP</v>
          </cell>
          <cell r="L1707">
            <v>44610</v>
          </cell>
          <cell r="M1707">
            <v>112</v>
          </cell>
          <cell r="P1707">
            <v>1.69</v>
          </cell>
        </row>
        <row r="1708">
          <cell r="A1708" t="str">
            <v>B&amp;P-047-F-205-PBT</v>
          </cell>
          <cell r="G1708" t="str">
            <v>IDESP</v>
          </cell>
          <cell r="L1708">
            <v>42027</v>
          </cell>
          <cell r="M1708">
            <v>8.65</v>
          </cell>
          <cell r="P1708">
            <v>4.04</v>
          </cell>
        </row>
        <row r="1709">
          <cell r="A1709" t="str">
            <v>B&amp;P-047-F-206</v>
          </cell>
          <cell r="G1709" t="str">
            <v>IDESP</v>
          </cell>
          <cell r="L1709">
            <v>45835</v>
          </cell>
          <cell r="M1709">
            <v>1205</v>
          </cell>
          <cell r="P1709">
            <v>2.2440000000000002</v>
          </cell>
        </row>
        <row r="1710">
          <cell r="A1710" t="str">
            <v>B&amp;P-047-F-207</v>
          </cell>
          <cell r="G1710" t="str">
            <v>IDESP</v>
          </cell>
          <cell r="L1710">
            <v>45951</v>
          </cell>
          <cell r="M1710">
            <v>1495</v>
          </cell>
          <cell r="P1710">
            <v>2.68</v>
          </cell>
        </row>
        <row r="1711">
          <cell r="A1711" t="str">
            <v>B&amp;P-047-F-207-M</v>
          </cell>
          <cell r="G1711" t="str">
            <v>vpret</v>
          </cell>
          <cell r="L1711">
            <v>45663</v>
          </cell>
          <cell r="M1711">
            <v>1055</v>
          </cell>
          <cell r="P1711">
            <v>2.6736492890995258</v>
          </cell>
        </row>
        <row r="1712">
          <cell r="A1712" t="str">
            <v>B&amp;P-047-F-208</v>
          </cell>
          <cell r="G1712" t="str">
            <v>IDESP</v>
          </cell>
          <cell r="L1712">
            <v>45807</v>
          </cell>
          <cell r="M1712">
            <v>1195</v>
          </cell>
          <cell r="P1712">
            <v>3.1920000000000002</v>
          </cell>
        </row>
        <row r="1713">
          <cell r="A1713" t="str">
            <v>B&amp;P-047-F-209</v>
          </cell>
          <cell r="G1713" t="str">
            <v>IDESP</v>
          </cell>
          <cell r="L1713">
            <v>45903</v>
          </cell>
          <cell r="M1713">
            <v>1375</v>
          </cell>
          <cell r="P1713">
            <v>3.86</v>
          </cell>
        </row>
        <row r="1714">
          <cell r="A1714" t="str">
            <v>B&amp;P-047-F-209-3</v>
          </cell>
          <cell r="G1714" t="str">
            <v>IDESP</v>
          </cell>
          <cell r="L1714">
            <v>44930</v>
          </cell>
          <cell r="M1714">
            <v>185.75</v>
          </cell>
          <cell r="P1714">
            <v>11.16</v>
          </cell>
        </row>
        <row r="1715">
          <cell r="A1715" t="str">
            <v>B&amp;P-047-F-209-A</v>
          </cell>
          <cell r="G1715" t="str">
            <v>IDESP</v>
          </cell>
          <cell r="L1715">
            <v>44930</v>
          </cell>
          <cell r="M1715">
            <v>185.75</v>
          </cell>
          <cell r="P1715">
            <v>7.17</v>
          </cell>
        </row>
        <row r="1716">
          <cell r="A1716" t="str">
            <v>B&amp;P-047-F-209-M</v>
          </cell>
          <cell r="G1716" t="str">
            <v xml:space="preserve">CR   </v>
          </cell>
          <cell r="L1716">
            <v>43126.69902777778</v>
          </cell>
          <cell r="M1716">
            <v>19.86</v>
          </cell>
          <cell r="P1716">
            <v>2.3665659617321251</v>
          </cell>
        </row>
        <row r="1717">
          <cell r="A1717" t="str">
            <v>B&amp;P-047-F-210</v>
          </cell>
          <cell r="G1717" t="str">
            <v>IDESP</v>
          </cell>
          <cell r="L1717">
            <v>45628</v>
          </cell>
          <cell r="M1717">
            <v>1031</v>
          </cell>
          <cell r="P1717">
            <v>4.5199999999999996</v>
          </cell>
        </row>
        <row r="1718">
          <cell r="A1718" t="str">
            <v>B&amp;P-047-F-210-C</v>
          </cell>
          <cell r="G1718" t="str">
            <v>IDESP</v>
          </cell>
          <cell r="L1718">
            <v>45628</v>
          </cell>
          <cell r="M1718">
            <v>1031</v>
          </cell>
          <cell r="P1718">
            <v>4.5199999999999996</v>
          </cell>
        </row>
        <row r="1719">
          <cell r="A1719" t="str">
            <v>B&amp;P-047-F-211</v>
          </cell>
          <cell r="G1719" t="str">
            <v>IDESP</v>
          </cell>
          <cell r="L1719">
            <v>45714</v>
          </cell>
          <cell r="M1719">
            <v>1081</v>
          </cell>
          <cell r="P1719">
            <v>5.15</v>
          </cell>
        </row>
        <row r="1720">
          <cell r="A1720" t="str">
            <v>B&amp;P-047-F-211-M</v>
          </cell>
          <cell r="G1720" t="str">
            <v>vpret</v>
          </cell>
          <cell r="L1720">
            <v>45820</v>
          </cell>
          <cell r="M1720">
            <v>1200</v>
          </cell>
          <cell r="P1720">
            <v>5.15</v>
          </cell>
        </row>
        <row r="1721">
          <cell r="A1721" t="str">
            <v>B&amp;P-047-F-212</v>
          </cell>
          <cell r="G1721" t="str">
            <v>IDESP</v>
          </cell>
          <cell r="L1721">
            <v>45951</v>
          </cell>
          <cell r="M1721">
            <v>1495</v>
          </cell>
          <cell r="P1721">
            <v>7.56</v>
          </cell>
        </row>
        <row r="1722">
          <cell r="A1722" t="str">
            <v>B&amp;P-047-F-213</v>
          </cell>
          <cell r="G1722" t="str">
            <v>IDESP</v>
          </cell>
          <cell r="L1722">
            <v>44818</v>
          </cell>
          <cell r="M1722">
            <v>149</v>
          </cell>
          <cell r="P1722">
            <v>8.93</v>
          </cell>
        </row>
        <row r="1723">
          <cell r="A1723" t="str">
            <v>B&amp;P-047-F-215</v>
          </cell>
          <cell r="G1723" t="str">
            <v>IDESP</v>
          </cell>
          <cell r="L1723">
            <v>43441</v>
          </cell>
          <cell r="M1723">
            <v>38.6</v>
          </cell>
          <cell r="P1723">
            <v>8.1300000000000008</v>
          </cell>
        </row>
        <row r="1724">
          <cell r="A1724" t="str">
            <v>B&amp;P-047-F-216</v>
          </cell>
          <cell r="G1724" t="str">
            <v>IDESP</v>
          </cell>
          <cell r="L1724">
            <v>45839</v>
          </cell>
          <cell r="M1724">
            <v>1215</v>
          </cell>
          <cell r="P1724">
            <v>13.63</v>
          </cell>
        </row>
        <row r="1725">
          <cell r="A1725" t="str">
            <v>B&amp;P-047-F-217</v>
          </cell>
          <cell r="G1725" t="str">
            <v>IDESP</v>
          </cell>
          <cell r="L1725">
            <v>43441</v>
          </cell>
          <cell r="M1725">
            <v>38.6</v>
          </cell>
          <cell r="P1725">
            <v>11</v>
          </cell>
        </row>
        <row r="1726">
          <cell r="A1726" t="str">
            <v>B&amp;P-047-F-218</v>
          </cell>
          <cell r="G1726" t="str">
            <v>IDESP</v>
          </cell>
          <cell r="L1726">
            <v>43441</v>
          </cell>
          <cell r="M1726">
            <v>38.6</v>
          </cell>
          <cell r="P1726">
            <v>12.7</v>
          </cell>
        </row>
        <row r="1727">
          <cell r="A1727" t="str">
            <v>B&amp;P-047-F3X-204</v>
          </cell>
          <cell r="G1727" t="str">
            <v>IDESP</v>
          </cell>
          <cell r="L1727">
            <v>43398</v>
          </cell>
          <cell r="M1727">
            <v>37.9</v>
          </cell>
          <cell r="P1727">
            <v>2.04</v>
          </cell>
        </row>
        <row r="1728">
          <cell r="A1728" t="str">
            <v>B&amp;P-047-F3X-206</v>
          </cell>
          <cell r="G1728" t="str">
            <v>IPFAB</v>
          </cell>
          <cell r="L1728">
            <v>42782</v>
          </cell>
          <cell r="M1728">
            <v>15.8</v>
          </cell>
          <cell r="P1728">
            <v>1.335</v>
          </cell>
        </row>
        <row r="1729">
          <cell r="A1729" t="str">
            <v>B&amp;P-047-F3X-207</v>
          </cell>
          <cell r="G1729" t="str">
            <v>IPFAB</v>
          </cell>
          <cell r="L1729">
            <v>42782</v>
          </cell>
          <cell r="M1729">
            <v>15.8</v>
          </cell>
          <cell r="P1729">
            <v>1.605</v>
          </cell>
        </row>
        <row r="1730">
          <cell r="A1730" t="str">
            <v>B&amp;P-047-F4X-208</v>
          </cell>
          <cell r="G1730" t="str">
            <v>vpret</v>
          </cell>
          <cell r="L1730">
            <v>46000</v>
          </cell>
          <cell r="M1730">
            <v>1460</v>
          </cell>
          <cell r="P1730">
            <v>8.5646438356164385</v>
          </cell>
        </row>
        <row r="1731">
          <cell r="A1731" t="str">
            <v>B&amp;P-047-FB-205</v>
          </cell>
          <cell r="G1731" t="str">
            <v>IDESP</v>
          </cell>
          <cell r="L1731">
            <v>41946</v>
          </cell>
          <cell r="M1731">
            <v>8.5</v>
          </cell>
          <cell r="P1731">
            <v>1.99</v>
          </cell>
        </row>
        <row r="1732">
          <cell r="A1732" t="str">
            <v>B&amp;P-047-FB-206</v>
          </cell>
          <cell r="G1732" t="str">
            <v>IDESP</v>
          </cell>
          <cell r="L1732">
            <v>45628</v>
          </cell>
          <cell r="M1732">
            <v>1031</v>
          </cell>
          <cell r="P1732">
            <v>2.2909999999999999</v>
          </cell>
        </row>
        <row r="1733">
          <cell r="A1733" t="str">
            <v>B&amp;P-047-FB-207</v>
          </cell>
          <cell r="G1733" t="str">
            <v>IDESP</v>
          </cell>
          <cell r="L1733">
            <v>45440</v>
          </cell>
          <cell r="M1733">
            <v>911.5</v>
          </cell>
          <cell r="P1733">
            <v>2.72</v>
          </cell>
        </row>
        <row r="1734">
          <cell r="A1734" t="str">
            <v>B&amp;P-047-FB-208-HA</v>
          </cell>
          <cell r="G1734" t="str">
            <v>IDESP</v>
          </cell>
          <cell r="L1734">
            <v>45408</v>
          </cell>
          <cell r="M1734">
            <v>893</v>
          </cell>
          <cell r="P1734">
            <v>3.59</v>
          </cell>
        </row>
        <row r="1735">
          <cell r="A1735" t="str">
            <v>B&amp;P-047-FB-209</v>
          </cell>
          <cell r="G1735" t="str">
            <v>IDESP</v>
          </cell>
          <cell r="L1735">
            <v>45839</v>
          </cell>
          <cell r="M1735">
            <v>1215</v>
          </cell>
          <cell r="P1735">
            <v>3.7789999999999999</v>
          </cell>
        </row>
        <row r="1736">
          <cell r="A1736" t="str">
            <v>B&amp;P-047-FB-210</v>
          </cell>
          <cell r="G1736" t="str">
            <v>IDESP</v>
          </cell>
          <cell r="L1736">
            <v>45440</v>
          </cell>
          <cell r="M1736">
            <v>911.5</v>
          </cell>
          <cell r="P1736">
            <v>4.7699999999999996</v>
          </cell>
        </row>
        <row r="1737">
          <cell r="A1737" t="str">
            <v>B&amp;P-047-FB-211</v>
          </cell>
          <cell r="G1737" t="str">
            <v>IDESP</v>
          </cell>
          <cell r="L1737">
            <v>44986</v>
          </cell>
          <cell r="M1737">
            <v>204</v>
          </cell>
          <cell r="P1737">
            <v>6.14</v>
          </cell>
        </row>
        <row r="1738">
          <cell r="A1738" t="str">
            <v>B&amp;P-047-FC-205</v>
          </cell>
          <cell r="G1738" t="str">
            <v>IDESP</v>
          </cell>
          <cell r="L1738">
            <v>45300</v>
          </cell>
          <cell r="M1738">
            <v>833.5</v>
          </cell>
          <cell r="P1738">
            <v>2.63</v>
          </cell>
        </row>
        <row r="1739">
          <cell r="A1739" t="str">
            <v>B&amp;P-047-FC-206</v>
          </cell>
          <cell r="G1739" t="str">
            <v>IDESP</v>
          </cell>
          <cell r="L1739">
            <v>44818</v>
          </cell>
          <cell r="M1739">
            <v>149</v>
          </cell>
          <cell r="P1739">
            <v>3.1</v>
          </cell>
        </row>
        <row r="1740">
          <cell r="A1740" t="str">
            <v>B&amp;P-047-FC-207</v>
          </cell>
          <cell r="G1740" t="str">
            <v>IDESP</v>
          </cell>
          <cell r="L1740">
            <v>45839</v>
          </cell>
          <cell r="M1740">
            <v>1215</v>
          </cell>
          <cell r="P1740">
            <v>3.7</v>
          </cell>
        </row>
        <row r="1741">
          <cell r="A1741" t="str">
            <v>B&amp;P-047-FC-207-M</v>
          </cell>
          <cell r="G1741" t="str">
            <v>vpret</v>
          </cell>
          <cell r="L1741">
            <v>44273</v>
          </cell>
          <cell r="M1741">
            <v>96.25</v>
          </cell>
          <cell r="P1741">
            <v>9.6623376623376629</v>
          </cell>
        </row>
        <row r="1742">
          <cell r="A1742" t="str">
            <v>B&amp;P-047-FC-208</v>
          </cell>
          <cell r="G1742" t="str">
            <v>IDESP</v>
          </cell>
          <cell r="L1742">
            <v>45408</v>
          </cell>
          <cell r="M1742">
            <v>893</v>
          </cell>
          <cell r="P1742">
            <v>3.93</v>
          </cell>
        </row>
        <row r="1743">
          <cell r="A1743" t="str">
            <v>B&amp;P-047-FC-209</v>
          </cell>
          <cell r="G1743" t="str">
            <v>IDESP</v>
          </cell>
          <cell r="L1743">
            <v>45440</v>
          </cell>
          <cell r="M1743">
            <v>911.5</v>
          </cell>
          <cell r="P1743">
            <v>6.07</v>
          </cell>
        </row>
        <row r="1744">
          <cell r="A1744" t="str">
            <v>B&amp;P-047-FC-212</v>
          </cell>
          <cell r="G1744" t="str">
            <v>IDESP</v>
          </cell>
          <cell r="L1744">
            <v>44944</v>
          </cell>
          <cell r="M1744">
            <v>189.25</v>
          </cell>
          <cell r="P1744">
            <v>10.41</v>
          </cell>
        </row>
        <row r="1745">
          <cell r="A1745" t="str">
            <v>B&amp;P-047-FD-203</v>
          </cell>
          <cell r="G1745" t="str">
            <v>IDESP</v>
          </cell>
          <cell r="L1745">
            <v>43871</v>
          </cell>
          <cell r="M1745">
            <v>63</v>
          </cell>
          <cell r="P1745">
            <v>1.18</v>
          </cell>
        </row>
        <row r="1746">
          <cell r="A1746" t="str">
            <v>B&amp;P-047-FD-204</v>
          </cell>
          <cell r="G1746" t="str">
            <v>IDESP</v>
          </cell>
          <cell r="L1746">
            <v>44818</v>
          </cell>
          <cell r="M1746">
            <v>149</v>
          </cell>
          <cell r="P1746">
            <v>1.23</v>
          </cell>
        </row>
        <row r="1747">
          <cell r="A1747" t="str">
            <v>B&amp;P-047-FD-204-XH</v>
          </cell>
          <cell r="G1747" t="str">
            <v>IDESP</v>
          </cell>
          <cell r="L1747">
            <v>42102</v>
          </cell>
          <cell r="M1747">
            <v>8.86</v>
          </cell>
          <cell r="P1747">
            <v>0.95</v>
          </cell>
        </row>
        <row r="1748">
          <cell r="A1748" t="str">
            <v>B&amp;P-047-FD-205</v>
          </cell>
          <cell r="G1748" t="str">
            <v>IDESP</v>
          </cell>
          <cell r="L1748">
            <v>45628</v>
          </cell>
          <cell r="M1748">
            <v>1031</v>
          </cell>
          <cell r="P1748">
            <v>1.42</v>
          </cell>
        </row>
        <row r="1749">
          <cell r="A1749" t="str">
            <v>B&amp;P-047-FD-205-C</v>
          </cell>
          <cell r="G1749" t="str">
            <v>vpret</v>
          </cell>
          <cell r="L1749">
            <v>46001</v>
          </cell>
          <cell r="M1749">
            <v>1465</v>
          </cell>
          <cell r="P1749">
            <v>0.98155631399317411</v>
          </cell>
        </row>
        <row r="1750">
          <cell r="A1750" t="str">
            <v>B&amp;P-047-FD-206</v>
          </cell>
          <cell r="G1750" t="str">
            <v>IDESP</v>
          </cell>
          <cell r="L1750">
            <v>45408</v>
          </cell>
          <cell r="M1750">
            <v>893</v>
          </cell>
          <cell r="P1750">
            <v>1.76</v>
          </cell>
        </row>
        <row r="1751">
          <cell r="A1751" t="str">
            <v>B&amp;P-047-FD-207</v>
          </cell>
          <cell r="G1751" t="str">
            <v>IDESP</v>
          </cell>
          <cell r="L1751">
            <v>45440</v>
          </cell>
          <cell r="M1751">
            <v>911.5</v>
          </cell>
          <cell r="P1751">
            <v>2.13</v>
          </cell>
        </row>
        <row r="1752">
          <cell r="A1752" t="str">
            <v>B&amp;P-047-FS-210-4G</v>
          </cell>
          <cell r="G1752" t="str">
            <v>IDESP</v>
          </cell>
          <cell r="L1752">
            <v>44610</v>
          </cell>
          <cell r="M1752">
            <v>112</v>
          </cell>
          <cell r="P1752">
            <v>5.8</v>
          </cell>
        </row>
        <row r="1753">
          <cell r="A1753" t="str">
            <v>B&amp;P-047-FT-204</v>
          </cell>
          <cell r="G1753" t="str">
            <v>IDESP</v>
          </cell>
          <cell r="L1753">
            <v>44986</v>
          </cell>
          <cell r="M1753">
            <v>204</v>
          </cell>
          <cell r="P1753">
            <v>1.35</v>
          </cell>
        </row>
        <row r="1754">
          <cell r="A1754" t="str">
            <v>B&amp;P-047-FT-205-H</v>
          </cell>
          <cell r="G1754" t="str">
            <v>IDESP</v>
          </cell>
          <cell r="L1754">
            <v>45300</v>
          </cell>
          <cell r="M1754">
            <v>833.5</v>
          </cell>
          <cell r="P1754">
            <v>1.39</v>
          </cell>
        </row>
        <row r="1755">
          <cell r="A1755" t="str">
            <v>B&amp;P-047-FT-206</v>
          </cell>
          <cell r="G1755" t="str">
            <v>IPFAP</v>
          </cell>
          <cell r="L1755">
            <v>45799</v>
          </cell>
          <cell r="M1755">
            <v>1160</v>
          </cell>
          <cell r="P1755">
            <v>1.1159999999999999</v>
          </cell>
        </row>
        <row r="1756">
          <cell r="A1756" t="str">
            <v>B&amp;P-047-FT-208</v>
          </cell>
          <cell r="G1756" t="str">
            <v>IDESP</v>
          </cell>
          <cell r="L1756">
            <v>42801</v>
          </cell>
          <cell r="M1756">
            <v>15.83</v>
          </cell>
          <cell r="P1756">
            <v>2.6</v>
          </cell>
        </row>
        <row r="1757">
          <cell r="A1757" t="str">
            <v>B&amp;P-047-FT-210</v>
          </cell>
          <cell r="G1757" t="str">
            <v>IDESP</v>
          </cell>
          <cell r="L1757">
            <v>45440</v>
          </cell>
          <cell r="M1757">
            <v>911.5</v>
          </cell>
          <cell r="P1757">
            <v>3.9</v>
          </cell>
        </row>
        <row r="1758">
          <cell r="A1758" t="str">
            <v>B&amp;P-047-FTS-205-HA</v>
          </cell>
          <cell r="G1758" t="str">
            <v>IDESP</v>
          </cell>
          <cell r="L1758">
            <v>44610</v>
          </cell>
          <cell r="M1758">
            <v>112</v>
          </cell>
          <cell r="P1758">
            <v>1.83</v>
          </cell>
        </row>
        <row r="1759">
          <cell r="A1759" t="str">
            <v>B&amp;P-047-FTS-206-4G</v>
          </cell>
          <cell r="G1759" t="str">
            <v>IDESP</v>
          </cell>
          <cell r="L1759">
            <v>45300</v>
          </cell>
          <cell r="M1759">
            <v>833.5</v>
          </cell>
          <cell r="P1759">
            <v>2.0499999999999998</v>
          </cell>
        </row>
        <row r="1760">
          <cell r="A1760" t="str">
            <v>B&amp;P-047-HA-204</v>
          </cell>
          <cell r="G1760" t="str">
            <v>IDESP</v>
          </cell>
          <cell r="L1760">
            <v>42298</v>
          </cell>
          <cell r="M1760">
            <v>9.5500000000000007</v>
          </cell>
          <cell r="P1760">
            <v>1.47</v>
          </cell>
        </row>
        <row r="1761">
          <cell r="A1761" t="str">
            <v>B&amp;P-047-HA-207</v>
          </cell>
          <cell r="G1761" t="str">
            <v>IDESP</v>
          </cell>
          <cell r="L1761">
            <v>45979</v>
          </cell>
          <cell r="M1761">
            <v>1415</v>
          </cell>
          <cell r="P1761">
            <v>2.23</v>
          </cell>
        </row>
        <row r="1762">
          <cell r="A1762" t="str">
            <v>B&amp;P-047-HA-208</v>
          </cell>
          <cell r="G1762" t="str">
            <v>IDESP</v>
          </cell>
          <cell r="L1762">
            <v>45835</v>
          </cell>
          <cell r="M1762">
            <v>1205</v>
          </cell>
          <cell r="P1762">
            <v>3.25</v>
          </cell>
        </row>
        <row r="1763">
          <cell r="A1763" t="str">
            <v>B&amp;P-047-HA-209</v>
          </cell>
          <cell r="G1763" t="str">
            <v>IDESP</v>
          </cell>
          <cell r="L1763">
            <v>45979</v>
          </cell>
          <cell r="M1763">
            <v>1415</v>
          </cell>
          <cell r="P1763">
            <v>3.49</v>
          </cell>
        </row>
        <row r="1764">
          <cell r="A1764" t="str">
            <v>B&amp;P-047-HA-210</v>
          </cell>
          <cell r="G1764" t="str">
            <v>IDESP</v>
          </cell>
          <cell r="L1764">
            <v>45714</v>
          </cell>
          <cell r="M1764">
            <v>1081</v>
          </cell>
          <cell r="P1764">
            <v>5.09</v>
          </cell>
        </row>
        <row r="1765">
          <cell r="A1765" t="str">
            <v>B&amp;P-047-HA-211</v>
          </cell>
          <cell r="G1765" t="str">
            <v>IDESP</v>
          </cell>
          <cell r="L1765">
            <v>45628</v>
          </cell>
          <cell r="M1765">
            <v>1031</v>
          </cell>
          <cell r="P1765">
            <v>9.3659999999999997</v>
          </cell>
        </row>
        <row r="1766">
          <cell r="A1766" t="str">
            <v>B&amp;P-047-LF-203</v>
          </cell>
          <cell r="G1766" t="str">
            <v>IDESP</v>
          </cell>
          <cell r="L1766">
            <v>44818</v>
          </cell>
          <cell r="M1766">
            <v>149</v>
          </cell>
          <cell r="P1766">
            <v>1.26</v>
          </cell>
        </row>
        <row r="1767">
          <cell r="A1767" t="str">
            <v>B&amp;P-047-LF-205</v>
          </cell>
          <cell r="G1767" t="str">
            <v>IDESP</v>
          </cell>
          <cell r="L1767">
            <v>45903</v>
          </cell>
          <cell r="M1767">
            <v>1375</v>
          </cell>
          <cell r="P1767">
            <v>1.5</v>
          </cell>
        </row>
        <row r="1768">
          <cell r="A1768" t="str">
            <v>B&amp;P-047-LF-206</v>
          </cell>
          <cell r="G1768" t="str">
            <v>IDESP</v>
          </cell>
          <cell r="L1768">
            <v>45300</v>
          </cell>
          <cell r="M1768">
            <v>833.5</v>
          </cell>
          <cell r="P1768">
            <v>1.92</v>
          </cell>
        </row>
        <row r="1769">
          <cell r="A1769" t="str">
            <v>B&amp;P-047-LF-207</v>
          </cell>
          <cell r="G1769" t="str">
            <v>IDESP</v>
          </cell>
          <cell r="L1769">
            <v>45951</v>
          </cell>
          <cell r="M1769">
            <v>1495</v>
          </cell>
          <cell r="P1769">
            <v>2.76</v>
          </cell>
        </row>
        <row r="1770">
          <cell r="A1770" t="str">
            <v>B&amp;P-047-LP-205-4G</v>
          </cell>
          <cell r="G1770" t="str">
            <v>IDESP</v>
          </cell>
          <cell r="L1770">
            <v>44610</v>
          </cell>
          <cell r="M1770">
            <v>112</v>
          </cell>
          <cell r="P1770">
            <v>1.79</v>
          </cell>
        </row>
        <row r="1771">
          <cell r="A1771" t="str">
            <v>B&amp;P-047-P-206-PBT</v>
          </cell>
          <cell r="G1771" t="str">
            <v>IDESP</v>
          </cell>
          <cell r="L1771">
            <v>42027</v>
          </cell>
          <cell r="M1771">
            <v>8.65</v>
          </cell>
          <cell r="P1771">
            <v>4.63</v>
          </cell>
        </row>
        <row r="1772">
          <cell r="A1772" t="str">
            <v>B&amp;P-047-PA-205</v>
          </cell>
          <cell r="G1772" t="str">
            <v>IDESP</v>
          </cell>
          <cell r="L1772">
            <v>42102</v>
          </cell>
          <cell r="M1772">
            <v>8.86</v>
          </cell>
          <cell r="P1772">
            <v>1.99</v>
          </cell>
        </row>
        <row r="1773">
          <cell r="A1773" t="str">
            <v>B&amp;P-047-PA-206</v>
          </cell>
          <cell r="G1773" t="str">
            <v>IDESP</v>
          </cell>
          <cell r="L1773">
            <v>43279</v>
          </cell>
          <cell r="M1773">
            <v>27.9</v>
          </cell>
          <cell r="P1773">
            <v>2.02</v>
          </cell>
        </row>
        <row r="1774">
          <cell r="A1774" t="str">
            <v>B&amp;P-047-PA-208</v>
          </cell>
          <cell r="G1774" t="str">
            <v>IDESP</v>
          </cell>
          <cell r="L1774">
            <v>43279</v>
          </cell>
          <cell r="M1774">
            <v>27.9</v>
          </cell>
          <cell r="P1774">
            <v>3.12</v>
          </cell>
        </row>
        <row r="1775">
          <cell r="A1775" t="str">
            <v>B&amp;P-047-PA-209</v>
          </cell>
          <cell r="G1775" t="str">
            <v>IDESP</v>
          </cell>
          <cell r="L1775">
            <v>45992</v>
          </cell>
          <cell r="M1775">
            <v>1475</v>
          </cell>
          <cell r="P1775">
            <v>3.99</v>
          </cell>
        </row>
        <row r="1776">
          <cell r="A1776" t="str">
            <v>B&amp;P-047-PE-204</v>
          </cell>
          <cell r="G1776" t="str">
            <v>IDESP</v>
          </cell>
          <cell r="L1776">
            <v>45903</v>
          </cell>
          <cell r="M1776">
            <v>1375</v>
          </cell>
          <cell r="P1776">
            <v>1.98</v>
          </cell>
        </row>
        <row r="1777">
          <cell r="A1777" t="str">
            <v>B&amp;P-047-PE-205</v>
          </cell>
          <cell r="G1777" t="str">
            <v>IDESP</v>
          </cell>
          <cell r="L1777">
            <v>44944</v>
          </cell>
          <cell r="M1777">
            <v>189.25</v>
          </cell>
          <cell r="P1777">
            <v>2.29</v>
          </cell>
        </row>
        <row r="1778">
          <cell r="A1778" t="str">
            <v>B&amp;P-047-PE-206</v>
          </cell>
          <cell r="G1778" t="str">
            <v>IDESP</v>
          </cell>
          <cell r="L1778">
            <v>45807</v>
          </cell>
          <cell r="M1778">
            <v>1195</v>
          </cell>
          <cell r="P1778">
            <v>3.44</v>
          </cell>
        </row>
        <row r="1779">
          <cell r="A1779" t="str">
            <v>B&amp;P-047-PE-207</v>
          </cell>
          <cell r="G1779" t="str">
            <v>IDESP</v>
          </cell>
          <cell r="L1779">
            <v>45835</v>
          </cell>
          <cell r="M1779">
            <v>1205</v>
          </cell>
          <cell r="P1779">
            <v>3.54</v>
          </cell>
        </row>
        <row r="1780">
          <cell r="A1780" t="str">
            <v>B&amp;P-047-PE-207-HAR</v>
          </cell>
          <cell r="G1780" t="str">
            <v>IDESP</v>
          </cell>
          <cell r="L1780">
            <v>44610</v>
          </cell>
          <cell r="M1780">
            <v>112</v>
          </cell>
          <cell r="P1780">
            <v>3.5</v>
          </cell>
        </row>
        <row r="1781">
          <cell r="A1781" t="str">
            <v>B&amp;P-047-PE-208</v>
          </cell>
          <cell r="G1781" t="str">
            <v>IDESP</v>
          </cell>
          <cell r="L1781">
            <v>45903</v>
          </cell>
          <cell r="M1781">
            <v>1375</v>
          </cell>
          <cell r="P1781">
            <v>4.43</v>
          </cell>
        </row>
        <row r="1782">
          <cell r="A1782" t="str">
            <v>B&amp;P-047-PE-208-HAR</v>
          </cell>
          <cell r="G1782" t="str">
            <v>IDESP</v>
          </cell>
          <cell r="L1782">
            <v>44610</v>
          </cell>
          <cell r="M1782">
            <v>112</v>
          </cell>
          <cell r="P1782">
            <v>4.07</v>
          </cell>
        </row>
        <row r="1783">
          <cell r="A1783" t="str">
            <v>B&amp;P-047-PE-209</v>
          </cell>
          <cell r="G1783" t="str">
            <v>IDESP</v>
          </cell>
          <cell r="L1783">
            <v>45903</v>
          </cell>
          <cell r="M1783">
            <v>1375</v>
          </cell>
          <cell r="P1783">
            <v>5.19</v>
          </cell>
        </row>
        <row r="1784">
          <cell r="A1784" t="str">
            <v>B&amp;P-047-PE-209-4G</v>
          </cell>
          <cell r="G1784" t="str">
            <v>IDESP</v>
          </cell>
          <cell r="L1784">
            <v>44610</v>
          </cell>
          <cell r="M1784">
            <v>112</v>
          </cell>
          <cell r="P1784">
            <v>4.58</v>
          </cell>
        </row>
        <row r="1785">
          <cell r="A1785" t="str">
            <v>B&amp;P-047-PE-210</v>
          </cell>
          <cell r="G1785" t="str">
            <v>IDESP</v>
          </cell>
          <cell r="L1785">
            <v>45807</v>
          </cell>
          <cell r="M1785">
            <v>1195</v>
          </cell>
          <cell r="P1785">
            <v>6.17</v>
          </cell>
        </row>
        <row r="1786">
          <cell r="A1786" t="str">
            <v>B&amp;P-047-PE-210-4G</v>
          </cell>
          <cell r="G1786" t="str">
            <v>IDESP</v>
          </cell>
          <cell r="L1786">
            <v>44610</v>
          </cell>
          <cell r="M1786">
            <v>112</v>
          </cell>
          <cell r="P1786">
            <v>5.8</v>
          </cell>
        </row>
        <row r="1787">
          <cell r="A1787" t="str">
            <v>B&amp;P-047-PE-210-HAR</v>
          </cell>
          <cell r="G1787" t="str">
            <v>IDESP</v>
          </cell>
          <cell r="L1787">
            <v>45190</v>
          </cell>
          <cell r="M1787">
            <v>365.5</v>
          </cell>
          <cell r="P1787">
            <v>5.83</v>
          </cell>
        </row>
        <row r="1788">
          <cell r="A1788" t="str">
            <v>B&amp;P-047-PE-211</v>
          </cell>
          <cell r="G1788" t="str">
            <v>IDESP</v>
          </cell>
          <cell r="L1788">
            <v>45408</v>
          </cell>
          <cell r="M1788">
            <v>893</v>
          </cell>
          <cell r="P1788">
            <v>7.32</v>
          </cell>
        </row>
        <row r="1789">
          <cell r="A1789" t="str">
            <v>B&amp;P-047-PE-211-HT</v>
          </cell>
          <cell r="G1789" t="str">
            <v>IDESP</v>
          </cell>
          <cell r="L1789">
            <v>44610</v>
          </cell>
          <cell r="M1789">
            <v>112</v>
          </cell>
          <cell r="P1789">
            <v>8.07</v>
          </cell>
        </row>
        <row r="1790">
          <cell r="A1790" t="str">
            <v>B&amp;P-047-PE-212</v>
          </cell>
          <cell r="G1790" t="str">
            <v>IDESP</v>
          </cell>
          <cell r="L1790">
            <v>45408</v>
          </cell>
          <cell r="M1790">
            <v>893</v>
          </cell>
          <cell r="P1790">
            <v>9.0399999999999991</v>
          </cell>
        </row>
        <row r="1791">
          <cell r="A1791" t="str">
            <v>B&amp;P-047-PE-214</v>
          </cell>
          <cell r="G1791" t="str">
            <v>IDESP</v>
          </cell>
          <cell r="L1791">
            <v>44973</v>
          </cell>
          <cell r="M1791">
            <v>198.25</v>
          </cell>
          <cell r="P1791">
            <v>12.63</v>
          </cell>
        </row>
        <row r="1792">
          <cell r="A1792" t="str">
            <v>B&amp;P-047-PE-216</v>
          </cell>
          <cell r="G1792" t="str">
            <v>IDESP</v>
          </cell>
          <cell r="L1792">
            <v>44988</v>
          </cell>
          <cell r="M1792">
            <v>205</v>
          </cell>
          <cell r="P1792">
            <v>17.3</v>
          </cell>
        </row>
        <row r="1793">
          <cell r="A1793" t="str">
            <v>B&amp;P-047-PE-218</v>
          </cell>
          <cell r="G1793" t="str">
            <v>IDESP</v>
          </cell>
          <cell r="L1793">
            <v>42716</v>
          </cell>
          <cell r="M1793">
            <v>16.170000000000002</v>
          </cell>
          <cell r="P1793">
            <v>23.045000000000002</v>
          </cell>
        </row>
        <row r="1794">
          <cell r="A1794" t="str">
            <v>B&amp;P-047-SAB-204-20DG</v>
          </cell>
          <cell r="G1794" t="str">
            <v>VPPRT</v>
          </cell>
          <cell r="L1794">
            <v>45510</v>
          </cell>
          <cell r="M1794">
            <v>954</v>
          </cell>
          <cell r="P1794">
            <v>1.3871</v>
          </cell>
        </row>
        <row r="1795">
          <cell r="A1795" t="str">
            <v>B&amp;P-047-SAB-205-25DG</v>
          </cell>
          <cell r="G1795" t="str">
            <v>VPPRT</v>
          </cell>
          <cell r="L1795">
            <v>45953</v>
          </cell>
          <cell r="M1795">
            <v>1515</v>
          </cell>
          <cell r="P1795">
            <v>2.06</v>
          </cell>
        </row>
        <row r="1796">
          <cell r="A1796" t="str">
            <v>B&amp;P-047-SAB-206-20DG</v>
          </cell>
          <cell r="G1796" t="str">
            <v xml:space="preserve">CR   </v>
          </cell>
          <cell r="L1796">
            <v>43126.69902777778</v>
          </cell>
          <cell r="M1796">
            <v>19.86</v>
          </cell>
          <cell r="P1796">
            <v>1.1127391742195367</v>
          </cell>
        </row>
        <row r="1797">
          <cell r="A1797" t="str">
            <v>B&amp;P-047-SAB-206-30DG</v>
          </cell>
          <cell r="G1797" t="str">
            <v>VPPRT</v>
          </cell>
          <cell r="L1797">
            <v>45931</v>
          </cell>
          <cell r="M1797">
            <v>1400</v>
          </cell>
          <cell r="P1797">
            <v>2.2566999999999999</v>
          </cell>
        </row>
        <row r="1798">
          <cell r="A1798" t="str">
            <v>B&amp;P-047-SAB-207-35DG</v>
          </cell>
          <cell r="G1798" t="str">
            <v>VPPRT</v>
          </cell>
          <cell r="L1798">
            <v>45880</v>
          </cell>
          <cell r="M1798">
            <v>1335</v>
          </cell>
          <cell r="P1798">
            <v>3.2945000000000002</v>
          </cell>
        </row>
        <row r="1799">
          <cell r="A1799" t="str">
            <v>B&amp;P-047-SAB-208-40DG</v>
          </cell>
          <cell r="G1799" t="str">
            <v>VPPRT</v>
          </cell>
          <cell r="L1799">
            <v>45904</v>
          </cell>
          <cell r="M1799">
            <v>1375</v>
          </cell>
          <cell r="P1799">
            <v>4.2987000000000002</v>
          </cell>
        </row>
        <row r="1800">
          <cell r="A1800" t="str">
            <v>B&amp;P-047-SAB-209-45DG</v>
          </cell>
          <cell r="G1800" t="str">
            <v>VPPRT</v>
          </cell>
          <cell r="L1800">
            <v>45904</v>
          </cell>
          <cell r="M1800">
            <v>1375</v>
          </cell>
          <cell r="P1800">
            <v>5.4217000000000004</v>
          </cell>
        </row>
        <row r="1801">
          <cell r="A1801" t="str">
            <v>B&amp;P-047-SAB-210-50DG</v>
          </cell>
          <cell r="G1801" t="str">
            <v>VPPRT</v>
          </cell>
          <cell r="L1801">
            <v>46007</v>
          </cell>
          <cell r="M1801">
            <v>1465</v>
          </cell>
          <cell r="P1801">
            <v>6.1174999999999997</v>
          </cell>
        </row>
        <row r="1802">
          <cell r="A1802" t="str">
            <v>B&amp;P-047-SAB-211-55DG</v>
          </cell>
          <cell r="G1802" t="str">
            <v>VPPRT</v>
          </cell>
          <cell r="L1802">
            <v>44613</v>
          </cell>
          <cell r="M1802">
            <v>112</v>
          </cell>
          <cell r="P1802">
            <v>9.0297999999999998</v>
          </cell>
        </row>
        <row r="1803">
          <cell r="A1803" t="str">
            <v>B&amp;P-047-SAB-212-60DG</v>
          </cell>
          <cell r="G1803" t="str">
            <v>IDESP</v>
          </cell>
          <cell r="L1803">
            <v>44887</v>
          </cell>
          <cell r="M1803">
            <v>169.25</v>
          </cell>
          <cell r="P1803">
            <v>9.5500000000000007</v>
          </cell>
        </row>
        <row r="1804">
          <cell r="A1804" t="str">
            <v>B&amp;P-047-SAB-213-65DG</v>
          </cell>
          <cell r="G1804" t="str">
            <v>IDESP</v>
          </cell>
          <cell r="L1804">
            <v>45587</v>
          </cell>
          <cell r="M1804">
            <v>1004.5</v>
          </cell>
          <cell r="P1804">
            <v>12.42</v>
          </cell>
        </row>
        <row r="1805">
          <cell r="A1805" t="str">
            <v>B&amp;P-047-SAB-214-70DG</v>
          </cell>
          <cell r="G1805" t="str">
            <v>IDESP</v>
          </cell>
          <cell r="L1805">
            <v>45996</v>
          </cell>
          <cell r="M1805">
            <v>1470</v>
          </cell>
          <cell r="P1805">
            <v>15.84</v>
          </cell>
        </row>
        <row r="1806">
          <cell r="A1806" t="str">
            <v>B&amp;P-047-SAB-216-80DG</v>
          </cell>
          <cell r="G1806" t="str">
            <v>IDESP</v>
          </cell>
          <cell r="L1806">
            <v>45587</v>
          </cell>
          <cell r="M1806">
            <v>1004.5</v>
          </cell>
          <cell r="P1806">
            <v>18.670000000000002</v>
          </cell>
        </row>
        <row r="1807">
          <cell r="A1807" t="str">
            <v>B&amp;P-047-SAB-218-90DG</v>
          </cell>
          <cell r="G1807" t="str">
            <v>IDESP</v>
          </cell>
          <cell r="L1807">
            <v>45587</v>
          </cell>
          <cell r="M1807">
            <v>1004.5</v>
          </cell>
          <cell r="P1807">
            <v>24.32</v>
          </cell>
        </row>
        <row r="1808">
          <cell r="A1808" t="str">
            <v>B&amp;P-047-SAB204-12DG</v>
          </cell>
          <cell r="G1808" t="str">
            <v xml:space="preserve">INAC </v>
          </cell>
          <cell r="L1808">
            <v>45845</v>
          </cell>
          <cell r="M1808">
            <v>1260</v>
          </cell>
          <cell r="P1808">
            <v>5.8668412698412702</v>
          </cell>
        </row>
        <row r="1809">
          <cell r="A1809" t="str">
            <v>B&amp;P-047-SAB205-14DG</v>
          </cell>
          <cell r="G1809" t="str">
            <v>VPPRT</v>
          </cell>
          <cell r="L1809">
            <v>45146</v>
          </cell>
          <cell r="M1809">
            <v>293</v>
          </cell>
          <cell r="P1809">
            <v>1.76</v>
          </cell>
        </row>
        <row r="1810">
          <cell r="A1810" t="str">
            <v>B&amp;P-047-SAB205-25</v>
          </cell>
          <cell r="G1810" t="str">
            <v>IPFAP</v>
          </cell>
          <cell r="L1810">
            <v>43689</v>
          </cell>
          <cell r="M1810">
            <v>46.2</v>
          </cell>
          <cell r="P1810">
            <v>1.574891774891775</v>
          </cell>
        </row>
        <row r="1811">
          <cell r="A1811" t="str">
            <v>B&amp;P-047-SAB207-20DD</v>
          </cell>
          <cell r="G1811" t="str">
            <v>VPPRT</v>
          </cell>
          <cell r="L1811">
            <v>45510</v>
          </cell>
          <cell r="M1811">
            <v>954</v>
          </cell>
          <cell r="P1811">
            <v>3.4436</v>
          </cell>
        </row>
        <row r="1812">
          <cell r="A1812" t="str">
            <v>B&amp;P-047-SAB207-3</v>
          </cell>
          <cell r="G1812" t="str">
            <v>vpret</v>
          </cell>
          <cell r="L1812">
            <v>45771</v>
          </cell>
          <cell r="M1812">
            <v>1170</v>
          </cell>
          <cell r="P1812">
            <v>3.4012555555555557</v>
          </cell>
        </row>
        <row r="1813">
          <cell r="A1813" t="str">
            <v>B&amp;P-047-SAB207-35-C3</v>
          </cell>
          <cell r="G1813" t="str">
            <v>IPFAP</v>
          </cell>
          <cell r="L1813">
            <v>42467</v>
          </cell>
          <cell r="M1813">
            <v>15.08</v>
          </cell>
          <cell r="P1813">
            <v>2.4843368700265249</v>
          </cell>
        </row>
        <row r="1814">
          <cell r="A1814" t="str">
            <v>B&amp;P-047-SAB207-35DD</v>
          </cell>
          <cell r="G1814" t="str">
            <v>VPPRT</v>
          </cell>
          <cell r="L1814">
            <v>44461</v>
          </cell>
          <cell r="M1814">
            <v>103.75</v>
          </cell>
          <cell r="P1814">
            <v>3.6076999999999999</v>
          </cell>
        </row>
        <row r="1815">
          <cell r="A1815" t="str">
            <v>B&amp;P-047-SAB207-P</v>
          </cell>
          <cell r="G1815" t="str">
            <v>IDESP</v>
          </cell>
          <cell r="L1815">
            <v>45776</v>
          </cell>
          <cell r="M1815">
            <v>1190</v>
          </cell>
          <cell r="P1815">
            <v>3.91</v>
          </cell>
        </row>
        <row r="1816">
          <cell r="A1816" t="str">
            <v>B&amp;P-047-SAB208-24DG</v>
          </cell>
          <cell r="G1816" t="str">
            <v>IDESP</v>
          </cell>
          <cell r="L1816">
            <v>43287</v>
          </cell>
          <cell r="M1816">
            <v>28.5</v>
          </cell>
          <cell r="P1816">
            <v>4.4980000000000002</v>
          </cell>
        </row>
        <row r="1817">
          <cell r="A1817" t="str">
            <v>B&amp;P-047-SAB208-3</v>
          </cell>
          <cell r="G1817" t="str">
            <v>IPFAP</v>
          </cell>
          <cell r="L1817">
            <v>45222</v>
          </cell>
          <cell r="M1817">
            <v>365.5</v>
          </cell>
          <cell r="P1817">
            <v>3.8787999999999996</v>
          </cell>
        </row>
        <row r="1818">
          <cell r="A1818" t="str">
            <v>B&amp;P-047-SAB208-40DD</v>
          </cell>
          <cell r="G1818" t="str">
            <v>VPPRT</v>
          </cell>
          <cell r="L1818">
            <v>44461</v>
          </cell>
          <cell r="M1818">
            <v>103.75</v>
          </cell>
          <cell r="P1818">
            <v>4.0218999999999996</v>
          </cell>
        </row>
        <row r="1819">
          <cell r="A1819" t="str">
            <v>B&amp;P-047-SAB209-28DG</v>
          </cell>
          <cell r="G1819" t="str">
            <v>VPPRT</v>
          </cell>
          <cell r="L1819">
            <v>46007</v>
          </cell>
          <cell r="M1819">
            <v>1465</v>
          </cell>
          <cell r="P1819">
            <v>5.6359000000000004</v>
          </cell>
        </row>
        <row r="1820">
          <cell r="A1820" t="str">
            <v>B&amp;P-047-SAB209-3</v>
          </cell>
          <cell r="G1820" t="str">
            <v>vpret</v>
          </cell>
          <cell r="L1820">
            <v>44825</v>
          </cell>
          <cell r="M1820">
            <v>150.5</v>
          </cell>
          <cell r="P1820">
            <v>5.2185249169435215</v>
          </cell>
        </row>
        <row r="1821">
          <cell r="A1821" t="str">
            <v>B&amp;P-047-SFC-72-M</v>
          </cell>
          <cell r="G1821" t="str">
            <v>IDESP</v>
          </cell>
          <cell r="L1821">
            <v>44988</v>
          </cell>
          <cell r="M1821">
            <v>205</v>
          </cell>
          <cell r="P1821">
            <v>5.45</v>
          </cell>
        </row>
        <row r="1822">
          <cell r="A1822" t="str">
            <v>B&amp;P-047-SFC-80-M</v>
          </cell>
          <cell r="G1822" t="str">
            <v>IDESP</v>
          </cell>
          <cell r="L1822">
            <v>44979</v>
          </cell>
          <cell r="M1822">
            <v>199.25</v>
          </cell>
          <cell r="P1822">
            <v>6.42</v>
          </cell>
        </row>
        <row r="1823">
          <cell r="A1823" t="str">
            <v>B&amp;P-047-SFC-85-M</v>
          </cell>
          <cell r="G1823" t="str">
            <v>IDESP</v>
          </cell>
          <cell r="L1823">
            <v>45996</v>
          </cell>
          <cell r="M1823">
            <v>1470</v>
          </cell>
          <cell r="P1823">
            <v>6.73</v>
          </cell>
        </row>
        <row r="1824">
          <cell r="A1824" t="str">
            <v>B&amp;P-047-SP205-AL</v>
          </cell>
          <cell r="G1824" t="str">
            <v>IDESP</v>
          </cell>
          <cell r="L1824">
            <v>45839</v>
          </cell>
          <cell r="M1824">
            <v>1215</v>
          </cell>
          <cell r="P1824">
            <v>5.75</v>
          </cell>
        </row>
        <row r="1825">
          <cell r="A1825" t="str">
            <v>B&amp;P-047-SS-UC-205-25</v>
          </cell>
          <cell r="G1825" t="str">
            <v>IDESP</v>
          </cell>
          <cell r="L1825">
            <v>45839</v>
          </cell>
          <cell r="M1825">
            <v>1215</v>
          </cell>
          <cell r="P1825">
            <v>3.65</v>
          </cell>
        </row>
        <row r="1826">
          <cell r="A1826" t="str">
            <v>B&amp;P-047-SS-UC-206-30</v>
          </cell>
          <cell r="G1826" t="str">
            <v>IDESP</v>
          </cell>
          <cell r="L1826">
            <v>42027</v>
          </cell>
          <cell r="M1826">
            <v>8.65</v>
          </cell>
          <cell r="P1826">
            <v>7.99</v>
          </cell>
        </row>
        <row r="1827">
          <cell r="A1827" t="str">
            <v>B&amp;P-047-STC204</v>
          </cell>
          <cell r="G1827" t="str">
            <v>IPFAB</v>
          </cell>
          <cell r="L1827">
            <v>41435</v>
          </cell>
          <cell r="M1827">
            <v>5.3</v>
          </cell>
          <cell r="P1827">
            <v>0.2198</v>
          </cell>
        </row>
        <row r="1828">
          <cell r="A1828" t="str">
            <v>B&amp;P-047-T-204</v>
          </cell>
          <cell r="G1828" t="str">
            <v>IDESP</v>
          </cell>
          <cell r="L1828">
            <v>42716</v>
          </cell>
          <cell r="M1828">
            <v>16.170000000000002</v>
          </cell>
          <cell r="P1828">
            <v>1.617</v>
          </cell>
        </row>
        <row r="1829">
          <cell r="A1829" t="str">
            <v>B&amp;P-047-T-205</v>
          </cell>
          <cell r="G1829" t="str">
            <v>IDESP</v>
          </cell>
          <cell r="L1829">
            <v>43196</v>
          </cell>
          <cell r="M1829">
            <v>20.5</v>
          </cell>
          <cell r="P1829">
            <v>1.37</v>
          </cell>
        </row>
        <row r="1830">
          <cell r="A1830" t="str">
            <v>B&amp;P-047-T-205-13</v>
          </cell>
          <cell r="G1830" t="str">
            <v>IDESP</v>
          </cell>
          <cell r="L1830">
            <v>45839</v>
          </cell>
          <cell r="M1830">
            <v>1215</v>
          </cell>
          <cell r="P1830">
            <v>2.08</v>
          </cell>
        </row>
        <row r="1831">
          <cell r="A1831" t="str">
            <v>B&amp;P-047-T-206</v>
          </cell>
          <cell r="G1831" t="str">
            <v>IDESP</v>
          </cell>
          <cell r="L1831">
            <v>45408</v>
          </cell>
          <cell r="M1831">
            <v>893</v>
          </cell>
          <cell r="P1831">
            <v>2.71</v>
          </cell>
        </row>
        <row r="1832">
          <cell r="A1832" t="str">
            <v>B&amp;P-047-T-208</v>
          </cell>
          <cell r="G1832" t="str">
            <v>IDESP</v>
          </cell>
          <cell r="L1832">
            <v>45979</v>
          </cell>
          <cell r="M1832">
            <v>1415</v>
          </cell>
          <cell r="P1832">
            <v>3.03</v>
          </cell>
        </row>
        <row r="1833">
          <cell r="A1833" t="str">
            <v>B&amp;P-047-T-209</v>
          </cell>
          <cell r="G1833" t="str">
            <v>IDESP</v>
          </cell>
          <cell r="L1833">
            <v>45587</v>
          </cell>
          <cell r="M1833">
            <v>1004.5</v>
          </cell>
          <cell r="P1833">
            <v>4.5199999999999996</v>
          </cell>
        </row>
        <row r="1834">
          <cell r="A1834" t="str">
            <v>B&amp;P-047-T-210</v>
          </cell>
          <cell r="G1834" t="str">
            <v>IDESP</v>
          </cell>
          <cell r="L1834">
            <v>45979</v>
          </cell>
          <cell r="M1834">
            <v>1415</v>
          </cell>
          <cell r="P1834">
            <v>4.09</v>
          </cell>
        </row>
        <row r="1835">
          <cell r="A1835" t="str">
            <v>B&amp;P-047-UC216-80MDBL</v>
          </cell>
          <cell r="G1835" t="str">
            <v>IDESP</v>
          </cell>
          <cell r="L1835">
            <v>42800</v>
          </cell>
          <cell r="M1835">
            <v>15.81</v>
          </cell>
          <cell r="P1835">
            <v>23.22</v>
          </cell>
        </row>
        <row r="1836">
          <cell r="A1836" t="str">
            <v>B&amp;P-047-UK-207</v>
          </cell>
          <cell r="G1836" t="str">
            <v>VPPRT</v>
          </cell>
          <cell r="L1836">
            <v>45511</v>
          </cell>
          <cell r="M1836">
            <v>954.5</v>
          </cell>
          <cell r="P1836">
            <v>3.1934</v>
          </cell>
        </row>
        <row r="1837">
          <cell r="A1837" t="str">
            <v>B&amp;P-047-UK-209</v>
          </cell>
          <cell r="G1837" t="str">
            <v>VPPRT</v>
          </cell>
          <cell r="L1837">
            <v>45511</v>
          </cell>
          <cell r="M1837">
            <v>954.5</v>
          </cell>
          <cell r="P1837">
            <v>4.0258000000000003</v>
          </cell>
        </row>
        <row r="1838">
          <cell r="A1838" t="str">
            <v>B&amp;P-048-203-KPP51</v>
          </cell>
          <cell r="G1838" t="str">
            <v>IDESP</v>
          </cell>
          <cell r="L1838">
            <v>45776</v>
          </cell>
          <cell r="M1838">
            <v>1190</v>
          </cell>
          <cell r="P1838">
            <v>1.6</v>
          </cell>
        </row>
        <row r="1839">
          <cell r="A1839" t="str">
            <v>B&amp;P-048-203-KRR2</v>
          </cell>
          <cell r="G1839" t="str">
            <v>VPPRT</v>
          </cell>
          <cell r="L1839">
            <v>44608</v>
          </cell>
          <cell r="M1839">
            <v>112</v>
          </cell>
          <cell r="P1839">
            <v>0.88770000000000004</v>
          </cell>
        </row>
        <row r="1840">
          <cell r="A1840" t="str">
            <v>B&amp;P-048-203-KRR3-E2</v>
          </cell>
          <cell r="G1840" t="str">
            <v>IDESP</v>
          </cell>
          <cell r="L1840">
            <v>45835</v>
          </cell>
          <cell r="M1840">
            <v>1205</v>
          </cell>
          <cell r="P1840">
            <v>1.57</v>
          </cell>
        </row>
        <row r="1841">
          <cell r="A1841" t="str">
            <v>B&amp;P-048-203-KRR5</v>
          </cell>
          <cell r="G1841" t="str">
            <v>IDESP</v>
          </cell>
          <cell r="L1841">
            <v>45776</v>
          </cell>
          <cell r="M1841">
            <v>1190</v>
          </cell>
          <cell r="P1841">
            <v>1.06</v>
          </cell>
        </row>
        <row r="1842">
          <cell r="A1842" t="str">
            <v>B&amp;P-048-204-JY3</v>
          </cell>
          <cell r="G1842" t="str">
            <v>IDESP</v>
          </cell>
          <cell r="L1842">
            <v>45593</v>
          </cell>
          <cell r="M1842">
            <v>1007.5</v>
          </cell>
          <cell r="P1842">
            <v>1.6366000000000001</v>
          </cell>
        </row>
        <row r="1843">
          <cell r="A1843" t="str">
            <v>B&amp;P-048-204-KRR2</v>
          </cell>
          <cell r="G1843" t="str">
            <v>IDESP</v>
          </cell>
          <cell r="L1843">
            <v>45996</v>
          </cell>
          <cell r="M1843">
            <v>1470</v>
          </cell>
          <cell r="P1843">
            <v>1.58</v>
          </cell>
        </row>
        <row r="1844">
          <cell r="A1844" t="str">
            <v>B&amp;P-048-204-KRRB2</v>
          </cell>
          <cell r="G1844" t="str">
            <v xml:space="preserve">CR   </v>
          </cell>
          <cell r="L1844">
            <v>44309.373136574075</v>
          </cell>
          <cell r="M1844">
            <v>98.25</v>
          </cell>
          <cell r="P1844">
            <v>1.63</v>
          </cell>
        </row>
        <row r="1845">
          <cell r="A1845" t="str">
            <v>B&amp;P-048-204-KYY2</v>
          </cell>
          <cell r="G1845" t="str">
            <v>IDESP</v>
          </cell>
          <cell r="L1845">
            <v>45944</v>
          </cell>
          <cell r="M1845">
            <v>1375</v>
          </cell>
          <cell r="P1845">
            <v>1.7</v>
          </cell>
        </row>
        <row r="1846">
          <cell r="A1846" t="str">
            <v>B&amp;P-048-204-KYY7</v>
          </cell>
          <cell r="G1846" t="str">
            <v>VPPRT</v>
          </cell>
          <cell r="L1846">
            <v>45119</v>
          </cell>
          <cell r="M1846">
            <v>275</v>
          </cell>
          <cell r="P1846">
            <v>1.9159999999999999</v>
          </cell>
        </row>
        <row r="1847">
          <cell r="A1847" t="str">
            <v>B&amp;P-048-204-PY3</v>
          </cell>
          <cell r="G1847" t="str">
            <v>VPPRT</v>
          </cell>
          <cell r="L1847">
            <v>45140</v>
          </cell>
          <cell r="M1847">
            <v>287.5</v>
          </cell>
          <cell r="P1847">
            <v>1.59</v>
          </cell>
        </row>
        <row r="1848">
          <cell r="A1848" t="str">
            <v>B&amp;P-048-204-RP7</v>
          </cell>
          <cell r="G1848" t="str">
            <v>VPPRT</v>
          </cell>
          <cell r="L1848">
            <v>45511</v>
          </cell>
          <cell r="M1848">
            <v>954.5</v>
          </cell>
          <cell r="P1848">
            <v>1.8065</v>
          </cell>
        </row>
        <row r="1849">
          <cell r="A1849" t="str">
            <v>B&amp;P-048-205-GP</v>
          </cell>
          <cell r="G1849" t="str">
            <v>VPPRT</v>
          </cell>
          <cell r="L1849">
            <v>45132</v>
          </cell>
          <cell r="M1849">
            <v>283.5</v>
          </cell>
          <cell r="P1849">
            <v>2</v>
          </cell>
        </row>
        <row r="1850">
          <cell r="A1850" t="str">
            <v>B&amp;P-048-205-KPPB9</v>
          </cell>
          <cell r="G1850" t="str">
            <v>VPRet</v>
          </cell>
          <cell r="L1850">
            <v>42261</v>
          </cell>
          <cell r="M1850">
            <v>9.4</v>
          </cell>
          <cell r="P1850">
            <v>3.5669276595744677</v>
          </cell>
        </row>
        <row r="1851">
          <cell r="A1851" t="str">
            <v>B&amp;P-048-205-KRR2</v>
          </cell>
          <cell r="G1851" t="str">
            <v>IDESP</v>
          </cell>
          <cell r="L1851">
            <v>45733</v>
          </cell>
          <cell r="M1851">
            <v>1088</v>
          </cell>
          <cell r="P1851">
            <v>1.68</v>
          </cell>
        </row>
        <row r="1852">
          <cell r="A1852" t="str">
            <v>B&amp;P-048-205-KYR2</v>
          </cell>
          <cell r="G1852" t="str">
            <v>IDESP</v>
          </cell>
          <cell r="L1852">
            <v>45733</v>
          </cell>
          <cell r="M1852">
            <v>1088</v>
          </cell>
          <cell r="P1852">
            <v>1.68</v>
          </cell>
        </row>
        <row r="1853">
          <cell r="A1853" t="str">
            <v>B&amp;P-048-205-KYY5</v>
          </cell>
          <cell r="G1853" t="str">
            <v>IDESP</v>
          </cell>
          <cell r="L1853">
            <v>45733</v>
          </cell>
          <cell r="M1853">
            <v>1088</v>
          </cell>
          <cell r="P1853">
            <v>1.7</v>
          </cell>
        </row>
        <row r="1854">
          <cell r="A1854" t="str">
            <v>B&amp;P-048-205-KYYB5</v>
          </cell>
          <cell r="G1854" t="str">
            <v>IDESP</v>
          </cell>
          <cell r="L1854">
            <v>45993</v>
          </cell>
          <cell r="M1854">
            <v>1475</v>
          </cell>
          <cell r="P1854">
            <v>1.78</v>
          </cell>
        </row>
        <row r="1855">
          <cell r="A1855" t="str">
            <v>B&amp;P-048-205-KYYB7</v>
          </cell>
          <cell r="G1855" t="str">
            <v>IDESP</v>
          </cell>
          <cell r="L1855">
            <v>45628</v>
          </cell>
          <cell r="M1855">
            <v>1031</v>
          </cell>
          <cell r="P1855">
            <v>1.8859999999999999</v>
          </cell>
        </row>
        <row r="1856">
          <cell r="A1856" t="str">
            <v>B&amp;P-048-205-PP9</v>
          </cell>
          <cell r="G1856" t="str">
            <v>VPPRT</v>
          </cell>
          <cell r="L1856">
            <v>45055</v>
          </cell>
          <cell r="M1856">
            <v>236</v>
          </cell>
          <cell r="P1856">
            <v>2.1694</v>
          </cell>
        </row>
        <row r="1857">
          <cell r="A1857" t="str">
            <v>B&amp;P-048-205-PPB7</v>
          </cell>
          <cell r="G1857" t="str">
            <v>VPPRT</v>
          </cell>
          <cell r="L1857">
            <v>44910</v>
          </cell>
          <cell r="M1857">
            <v>178.5</v>
          </cell>
          <cell r="P1857">
            <v>1.998</v>
          </cell>
        </row>
        <row r="1858">
          <cell r="A1858" t="str">
            <v>B&amp;P-048-205KRP2-6PF</v>
          </cell>
          <cell r="G1858" t="str">
            <v>IDESP</v>
          </cell>
          <cell r="L1858">
            <v>45835</v>
          </cell>
          <cell r="M1858">
            <v>1205</v>
          </cell>
          <cell r="P1858">
            <v>3.02</v>
          </cell>
        </row>
        <row r="1859">
          <cell r="A1859" t="str">
            <v>B&amp;P-048-206-K14</v>
          </cell>
          <cell r="G1859" t="str">
            <v>IDESP</v>
          </cell>
          <cell r="L1859">
            <v>45509</v>
          </cell>
          <cell r="M1859">
            <v>953.5</v>
          </cell>
          <cell r="P1859">
            <v>2.12</v>
          </cell>
        </row>
        <row r="1860">
          <cell r="A1860" t="str">
            <v>B&amp;P-048-206-KRRB6</v>
          </cell>
          <cell r="G1860" t="str">
            <v>IDESP</v>
          </cell>
          <cell r="L1860">
            <v>44887</v>
          </cell>
          <cell r="M1860">
            <v>169.25</v>
          </cell>
          <cell r="P1860">
            <v>2.61</v>
          </cell>
        </row>
        <row r="1861">
          <cell r="A1861" t="str">
            <v>B&amp;P-048-206KPP16</v>
          </cell>
          <cell r="G1861" t="str">
            <v>VPPRT</v>
          </cell>
          <cell r="L1861">
            <v>45140</v>
          </cell>
          <cell r="M1861">
            <v>287.5</v>
          </cell>
          <cell r="P1861">
            <v>2.7050000000000001</v>
          </cell>
        </row>
        <row r="1862">
          <cell r="A1862" t="str">
            <v>B&amp;P-048-207-KPPB55</v>
          </cell>
          <cell r="G1862" t="str">
            <v>IDESP</v>
          </cell>
          <cell r="L1862">
            <v>45216</v>
          </cell>
          <cell r="M1862">
            <v>365.5</v>
          </cell>
          <cell r="P1862">
            <v>3.774</v>
          </cell>
        </row>
        <row r="1863">
          <cell r="A1863" t="str">
            <v>B&amp;P-048-207-KRRB12</v>
          </cell>
          <cell r="G1863" t="str">
            <v>IPFAP</v>
          </cell>
          <cell r="L1863">
            <v>45960</v>
          </cell>
          <cell r="M1863">
            <v>1460</v>
          </cell>
          <cell r="P1863">
            <v>3.73</v>
          </cell>
        </row>
        <row r="1864">
          <cell r="A1864" t="str">
            <v>B&amp;P-048-207-KRRB17</v>
          </cell>
          <cell r="G1864" t="str">
            <v>VPPRT</v>
          </cell>
          <cell r="L1864">
            <v>44677</v>
          </cell>
          <cell r="M1864">
            <v>119.5</v>
          </cell>
          <cell r="P1864">
            <v>3.48</v>
          </cell>
        </row>
        <row r="1865">
          <cell r="A1865" t="str">
            <v>B&amp;P-048-207-KRRB19</v>
          </cell>
          <cell r="G1865" t="str">
            <v>VPPRT</v>
          </cell>
          <cell r="L1865">
            <v>44564</v>
          </cell>
          <cell r="M1865">
            <v>107.75</v>
          </cell>
          <cell r="P1865">
            <v>3.91</v>
          </cell>
        </row>
        <row r="1866">
          <cell r="A1866" t="str">
            <v>B&amp;P-048-207-KRRB9</v>
          </cell>
          <cell r="G1866" t="str">
            <v>IDESP</v>
          </cell>
          <cell r="L1866">
            <v>45916</v>
          </cell>
          <cell r="M1866">
            <v>1475</v>
          </cell>
          <cell r="P1866">
            <v>3.48</v>
          </cell>
        </row>
        <row r="1867">
          <cell r="A1867" t="str">
            <v>B&amp;P-048-207-KYYB2</v>
          </cell>
          <cell r="G1867" t="str">
            <v>IDESP</v>
          </cell>
          <cell r="L1867">
            <v>45216</v>
          </cell>
          <cell r="M1867">
            <v>365.5</v>
          </cell>
          <cell r="P1867">
            <v>3.7469999999999999</v>
          </cell>
        </row>
        <row r="1868">
          <cell r="A1868" t="str">
            <v>B&amp;P-048-208-KRR4</v>
          </cell>
          <cell r="G1868" t="str">
            <v>IDESP</v>
          </cell>
          <cell r="L1868">
            <v>44630</v>
          </cell>
          <cell r="M1868">
            <v>114</v>
          </cell>
          <cell r="P1868">
            <v>3.79</v>
          </cell>
        </row>
        <row r="1869">
          <cell r="A1869" t="str">
            <v>B&amp;P-048-208KPPB52</v>
          </cell>
          <cell r="G1869" t="str">
            <v>IDESP</v>
          </cell>
          <cell r="L1869">
            <v>45876</v>
          </cell>
          <cell r="M1869">
            <v>1345</v>
          </cell>
          <cell r="P1869">
            <v>4.4800000000000004</v>
          </cell>
        </row>
        <row r="1870">
          <cell r="A1870" t="str">
            <v>B&amp;P-048-209-KYYB2</v>
          </cell>
          <cell r="G1870" t="str">
            <v>IDESP</v>
          </cell>
          <cell r="L1870">
            <v>45216</v>
          </cell>
          <cell r="M1870">
            <v>365.5</v>
          </cell>
          <cell r="P1870">
            <v>5.2149999999999999</v>
          </cell>
        </row>
        <row r="1871">
          <cell r="A1871" t="str">
            <v>B&amp;P-048-210-PP20</v>
          </cell>
          <cell r="G1871" t="str">
            <v>VPPRT</v>
          </cell>
          <cell r="L1871">
            <v>44657</v>
          </cell>
          <cell r="M1871">
            <v>116.75</v>
          </cell>
          <cell r="P1871">
            <v>6.6981000000000002</v>
          </cell>
        </row>
        <row r="1872">
          <cell r="A1872" t="str">
            <v>B&amp;P-048-210-PPB20</v>
          </cell>
          <cell r="G1872" t="str">
            <v>IDESP</v>
          </cell>
          <cell r="L1872">
            <v>45996</v>
          </cell>
          <cell r="M1872">
            <v>1470</v>
          </cell>
          <cell r="P1872">
            <v>7.24</v>
          </cell>
        </row>
        <row r="1873">
          <cell r="A1873" t="str">
            <v>B&amp;P-048-210KRRB52</v>
          </cell>
          <cell r="G1873" t="str">
            <v>IDESP</v>
          </cell>
          <cell r="L1873">
            <v>43892</v>
          </cell>
          <cell r="M1873">
            <v>64</v>
          </cell>
          <cell r="P1873">
            <v>8.68</v>
          </cell>
        </row>
        <row r="1874">
          <cell r="A1874" t="str">
            <v>B&amp;P-048-51206</v>
          </cell>
          <cell r="G1874" t="str">
            <v>IDESP</v>
          </cell>
          <cell r="L1874">
            <v>45996</v>
          </cell>
          <cell r="M1874">
            <v>1470</v>
          </cell>
          <cell r="P1874">
            <v>0.64900000000000002</v>
          </cell>
        </row>
        <row r="1875">
          <cell r="A1875" t="str">
            <v>B&amp;P-048-5203-KYY2</v>
          </cell>
          <cell r="G1875" t="str">
            <v>IDESP</v>
          </cell>
          <cell r="L1875">
            <v>45944</v>
          </cell>
          <cell r="M1875">
            <v>1375</v>
          </cell>
          <cell r="P1875">
            <v>2.2599999999999998</v>
          </cell>
        </row>
        <row r="1876">
          <cell r="A1876" t="str">
            <v>B&amp;P-048-5203-KYY5</v>
          </cell>
          <cell r="G1876" t="str">
            <v>IDESP</v>
          </cell>
          <cell r="L1876">
            <v>45722</v>
          </cell>
          <cell r="M1876">
            <v>1084.5</v>
          </cell>
          <cell r="P1876">
            <v>2.33</v>
          </cell>
        </row>
        <row r="1877">
          <cell r="A1877" t="str">
            <v>B&amp;P-048-5203-KYY9</v>
          </cell>
          <cell r="G1877" t="str">
            <v>IDESP</v>
          </cell>
          <cell r="L1877">
            <v>45230</v>
          </cell>
          <cell r="M1877">
            <v>365.5</v>
          </cell>
          <cell r="P1877">
            <v>2.1800000000000002</v>
          </cell>
        </row>
        <row r="1878">
          <cell r="A1878" t="str">
            <v>B&amp;P-048-5203-KYY9-A</v>
          </cell>
          <cell r="G1878" t="str">
            <v>vpret</v>
          </cell>
          <cell r="L1878">
            <v>45855</v>
          </cell>
          <cell r="M1878">
            <v>1275</v>
          </cell>
          <cell r="P1878">
            <v>2.0774117647058823</v>
          </cell>
        </row>
        <row r="1879">
          <cell r="A1879" t="str">
            <v>B&amp;P-048-5204-KPP3</v>
          </cell>
          <cell r="G1879" t="str">
            <v>IDESP</v>
          </cell>
          <cell r="L1879">
            <v>45230</v>
          </cell>
          <cell r="M1879">
            <v>365.5</v>
          </cell>
          <cell r="P1879">
            <v>3.41</v>
          </cell>
        </row>
        <row r="1880">
          <cell r="A1880" t="str">
            <v>B&amp;P-048-5207-KRRB19</v>
          </cell>
          <cell r="G1880" t="str">
            <v>IDESP</v>
          </cell>
          <cell r="L1880">
            <v>45378</v>
          </cell>
          <cell r="M1880">
            <v>875.5</v>
          </cell>
          <cell r="P1880">
            <v>5.67</v>
          </cell>
        </row>
        <row r="1881">
          <cell r="A1881" t="str">
            <v>B&amp;P-048-5209-KRRB2</v>
          </cell>
          <cell r="G1881" t="str">
            <v>IDESP</v>
          </cell>
          <cell r="L1881">
            <v>45378</v>
          </cell>
          <cell r="M1881">
            <v>875.5</v>
          </cell>
          <cell r="P1881">
            <v>6.89</v>
          </cell>
        </row>
        <row r="1882">
          <cell r="A1882" t="str">
            <v>B&amp;P-048-59190</v>
          </cell>
          <cell r="G1882" t="str">
            <v>IDESP</v>
          </cell>
          <cell r="L1882">
            <v>45378</v>
          </cell>
          <cell r="M1882">
            <v>875.5</v>
          </cell>
          <cell r="P1882">
            <v>2.94</v>
          </cell>
        </row>
        <row r="1883">
          <cell r="A1883" t="str">
            <v>B&amp;P-048-59190-16</v>
          </cell>
          <cell r="G1883" t="str">
            <v>IDESP</v>
          </cell>
          <cell r="L1883">
            <v>45230</v>
          </cell>
          <cell r="M1883">
            <v>365.5</v>
          </cell>
          <cell r="P1883">
            <v>3.07</v>
          </cell>
        </row>
        <row r="1884">
          <cell r="A1884" t="str">
            <v>B&amp;P-048-59190-E</v>
          </cell>
          <cell r="G1884" t="str">
            <v>VPRet</v>
          </cell>
          <cell r="L1884">
            <v>42228</v>
          </cell>
          <cell r="M1884">
            <v>9.27</v>
          </cell>
          <cell r="P1884">
            <v>2.8300000000000005</v>
          </cell>
        </row>
        <row r="1885">
          <cell r="A1885" t="str">
            <v>B&amp;P-048-59196</v>
          </cell>
          <cell r="G1885" t="str">
            <v xml:space="preserve">INAC </v>
          </cell>
          <cell r="L1885">
            <v>45616</v>
          </cell>
          <cell r="M1885">
            <v>1022.5</v>
          </cell>
          <cell r="P1885">
            <v>3.2800000000000002</v>
          </cell>
        </row>
        <row r="1886">
          <cell r="A1886" t="str">
            <v>B&amp;P-048-59196-20</v>
          </cell>
          <cell r="G1886" t="str">
            <v>IDESP</v>
          </cell>
          <cell r="L1886">
            <v>45378</v>
          </cell>
          <cell r="M1886">
            <v>875.5</v>
          </cell>
          <cell r="P1886">
            <v>2.98</v>
          </cell>
        </row>
        <row r="1887">
          <cell r="A1887" t="str">
            <v>B&amp;P-048-AG-1235-B</v>
          </cell>
          <cell r="G1887" t="str">
            <v>IDESP</v>
          </cell>
          <cell r="L1887">
            <v>45944</v>
          </cell>
          <cell r="M1887">
            <v>1375</v>
          </cell>
          <cell r="P1887">
            <v>1.96</v>
          </cell>
        </row>
        <row r="1888">
          <cell r="A1888" t="str">
            <v>B&amp;P-048-AG-1235-PPZ9</v>
          </cell>
          <cell r="G1888" t="str">
            <v>VPPRT</v>
          </cell>
          <cell r="L1888">
            <v>45119</v>
          </cell>
          <cell r="M1888">
            <v>275</v>
          </cell>
          <cell r="P1888">
            <v>2.16</v>
          </cell>
        </row>
        <row r="1889">
          <cell r="A1889" t="str">
            <v>B&amp;P-048-AG-2565-CHS</v>
          </cell>
          <cell r="G1889" t="str">
            <v>vpret</v>
          </cell>
          <cell r="L1889">
            <v>46008</v>
          </cell>
          <cell r="M1889">
            <v>1480</v>
          </cell>
          <cell r="P1889">
            <v>6.3529729729729727</v>
          </cell>
        </row>
        <row r="1890">
          <cell r="A1890" t="str">
            <v>B&amp;P-048-AG-3565-CH</v>
          </cell>
          <cell r="G1890" t="str">
            <v>IDESP</v>
          </cell>
          <cell r="L1890">
            <v>41942</v>
          </cell>
          <cell r="M1890">
            <v>8.5</v>
          </cell>
          <cell r="P1890">
            <v>7.89</v>
          </cell>
        </row>
        <row r="1891">
          <cell r="A1891" t="str">
            <v>B&amp;P-048-AG205KRP2-4P</v>
          </cell>
          <cell r="G1891" t="str">
            <v>VPPRT</v>
          </cell>
          <cell r="L1891">
            <v>44918</v>
          </cell>
          <cell r="M1891">
            <v>180.5</v>
          </cell>
          <cell r="P1891">
            <v>1.94</v>
          </cell>
        </row>
        <row r="1892">
          <cell r="A1892" t="str">
            <v>B&amp;P-048-AG59205SB</v>
          </cell>
          <cell r="G1892" t="str">
            <v>IDESP</v>
          </cell>
          <cell r="L1892">
            <v>45216</v>
          </cell>
          <cell r="M1892">
            <v>365.5</v>
          </cell>
          <cell r="P1892">
            <v>12.48</v>
          </cell>
        </row>
        <row r="1893">
          <cell r="A1893" t="str">
            <v>B&amp;P-048-AG59205SBI</v>
          </cell>
          <cell r="G1893" t="str">
            <v>IDESP</v>
          </cell>
          <cell r="L1893">
            <v>45216</v>
          </cell>
          <cell r="M1893">
            <v>365.5</v>
          </cell>
          <cell r="P1893">
            <v>12.48</v>
          </cell>
        </row>
        <row r="1894">
          <cell r="A1894" t="str">
            <v>B&amp;P-048-BB203-KRR2FD</v>
          </cell>
          <cell r="G1894" t="str">
            <v>IDESP</v>
          </cell>
          <cell r="L1894">
            <v>45903</v>
          </cell>
          <cell r="M1894">
            <v>1375</v>
          </cell>
          <cell r="P1894">
            <v>1.1299999999999999</v>
          </cell>
        </row>
        <row r="1895">
          <cell r="A1895" t="str">
            <v>B&amp;P-048-BB205KRP2</v>
          </cell>
          <cell r="G1895" t="str">
            <v>IDESP</v>
          </cell>
          <cell r="L1895">
            <v>44932</v>
          </cell>
          <cell r="M1895">
            <v>185.75</v>
          </cell>
          <cell r="P1895">
            <v>1.94</v>
          </cell>
        </row>
        <row r="1896">
          <cell r="A1896" t="str">
            <v>B&amp;P-048-BP-12011-01</v>
          </cell>
          <cell r="G1896" t="str">
            <v>IDESP</v>
          </cell>
          <cell r="L1896">
            <v>45408</v>
          </cell>
          <cell r="M1896">
            <v>893</v>
          </cell>
          <cell r="P1896">
            <v>5.59</v>
          </cell>
        </row>
        <row r="1897">
          <cell r="A1897" t="str">
            <v>B&amp;P-048-BP-18013</v>
          </cell>
          <cell r="G1897" t="str">
            <v>IDESP</v>
          </cell>
          <cell r="L1897">
            <v>45230</v>
          </cell>
          <cell r="M1897">
            <v>365.5</v>
          </cell>
          <cell r="P1897">
            <v>5.66</v>
          </cell>
        </row>
        <row r="1898">
          <cell r="A1898" t="str">
            <v>B&amp;P-048-BP-23002</v>
          </cell>
          <cell r="G1898" t="str">
            <v>IDESP</v>
          </cell>
          <cell r="L1898">
            <v>45408</v>
          </cell>
          <cell r="M1898">
            <v>893</v>
          </cell>
          <cell r="P1898">
            <v>5.25</v>
          </cell>
        </row>
        <row r="1899">
          <cell r="A1899" t="str">
            <v>B&amp;P-048-BP-24005</v>
          </cell>
          <cell r="G1899" t="str">
            <v>IDESP</v>
          </cell>
          <cell r="L1899">
            <v>45835</v>
          </cell>
          <cell r="M1899">
            <v>1205</v>
          </cell>
          <cell r="P1899">
            <v>3.91</v>
          </cell>
        </row>
        <row r="1900">
          <cell r="A1900" t="str">
            <v>B&amp;P-048-CF5202-2RST-</v>
          </cell>
          <cell r="G1900" t="str">
            <v>IDESP</v>
          </cell>
          <cell r="L1900">
            <v>45944</v>
          </cell>
          <cell r="M1900">
            <v>1375</v>
          </cell>
          <cell r="P1900">
            <v>1.92</v>
          </cell>
        </row>
        <row r="1901">
          <cell r="A1901" t="str">
            <v>B&amp;P-048-CKZ13</v>
          </cell>
          <cell r="G1901" t="str">
            <v>INMUE</v>
          </cell>
          <cell r="L1901">
            <v>41320</v>
          </cell>
          <cell r="M1901">
            <v>5.01</v>
          </cell>
          <cell r="P1901">
            <v>0.19960079840319361</v>
          </cell>
        </row>
        <row r="1902">
          <cell r="A1902" t="str">
            <v>B&amp;P-048-DTR-1742-FM</v>
          </cell>
          <cell r="G1902" t="str">
            <v>IDESP</v>
          </cell>
          <cell r="L1902">
            <v>45322</v>
          </cell>
          <cell r="M1902">
            <v>845</v>
          </cell>
          <cell r="P1902">
            <v>5.7</v>
          </cell>
        </row>
        <row r="1903">
          <cell r="A1903" t="str">
            <v>B&amp;P-048-DTR-3060-FM</v>
          </cell>
          <cell r="G1903" t="str">
            <v>IDESP</v>
          </cell>
          <cell r="L1903">
            <v>45377</v>
          </cell>
          <cell r="M1903">
            <v>875</v>
          </cell>
          <cell r="P1903">
            <v>4.3</v>
          </cell>
        </row>
        <row r="1904">
          <cell r="A1904" t="str">
            <v>B&amp;P-048-DTR1645-RD</v>
          </cell>
          <cell r="G1904" t="str">
            <v>INCOU</v>
          </cell>
          <cell r="L1904">
            <v>45876</v>
          </cell>
          <cell r="M1904">
            <v>1345</v>
          </cell>
          <cell r="P1904">
            <v>5.73</v>
          </cell>
        </row>
        <row r="1905">
          <cell r="A1905" t="str">
            <v>B&amp;P-048-DTR2047-TPL</v>
          </cell>
          <cell r="G1905" t="str">
            <v>vpret</v>
          </cell>
          <cell r="L1905">
            <v>45936</v>
          </cell>
          <cell r="M1905">
            <v>1450</v>
          </cell>
          <cell r="P1905">
            <v>7.4714586206896554</v>
          </cell>
        </row>
        <row r="1906">
          <cell r="A1906" t="str">
            <v>B&amp;P-048-DTR3565-FM</v>
          </cell>
          <cell r="G1906" t="str">
            <v>IDESP</v>
          </cell>
          <cell r="L1906">
            <v>45807</v>
          </cell>
          <cell r="M1906">
            <v>1195</v>
          </cell>
          <cell r="P1906">
            <v>5.24</v>
          </cell>
        </row>
        <row r="1907">
          <cell r="A1907" t="str">
            <v>B&amp;P-048-F4903062-06</v>
          </cell>
          <cell r="G1907" t="str">
            <v>IPFAP</v>
          </cell>
          <cell r="L1907">
            <v>41915</v>
          </cell>
          <cell r="M1907">
            <v>8.41</v>
          </cell>
          <cell r="P1907">
            <v>8.3234244946492275</v>
          </cell>
        </row>
        <row r="1908">
          <cell r="A1908" t="str">
            <v>B&amp;P-048-FC-210</v>
          </cell>
          <cell r="G1908" t="str">
            <v>IDESP</v>
          </cell>
          <cell r="L1908">
            <v>45628</v>
          </cell>
          <cell r="M1908">
            <v>1031</v>
          </cell>
          <cell r="P1908">
            <v>6.12</v>
          </cell>
        </row>
        <row r="1909">
          <cell r="A1909" t="str">
            <v>B&amp;P-048-FD211-112SQ</v>
          </cell>
          <cell r="G1909" t="str">
            <v>IDESP</v>
          </cell>
          <cell r="L1909">
            <v>45835</v>
          </cell>
          <cell r="M1909">
            <v>1205</v>
          </cell>
          <cell r="P1909">
            <v>11.49</v>
          </cell>
        </row>
        <row r="1910">
          <cell r="A1910" t="str">
            <v>B&amp;P-048-FDECL211-55</v>
          </cell>
          <cell r="G1910" t="str">
            <v>IDESP</v>
          </cell>
          <cell r="L1910">
            <v>45916</v>
          </cell>
          <cell r="M1910">
            <v>1475</v>
          </cell>
          <cell r="P1910">
            <v>11.65</v>
          </cell>
        </row>
        <row r="1911">
          <cell r="A1911" t="str">
            <v>B&amp;P-048-G-207-KYY2</v>
          </cell>
          <cell r="G1911" t="str">
            <v>IDESP</v>
          </cell>
          <cell r="L1911">
            <v>45216</v>
          </cell>
          <cell r="M1911">
            <v>365.5</v>
          </cell>
          <cell r="P1911">
            <v>3.7519999999999998</v>
          </cell>
        </row>
        <row r="1912">
          <cell r="A1912" t="str">
            <v>B&amp;P-048-G-209-KYYB2</v>
          </cell>
          <cell r="G1912" t="str">
            <v xml:space="preserve">CR   </v>
          </cell>
          <cell r="L1912">
            <v>44309.373136574075</v>
          </cell>
          <cell r="M1912">
            <v>98.25</v>
          </cell>
          <cell r="P1912">
            <v>4.96</v>
          </cell>
        </row>
        <row r="1913">
          <cell r="A1913" t="str">
            <v>B&amp;P-048-G-210-KPPB2</v>
          </cell>
          <cell r="G1913" t="str">
            <v>VPPRT</v>
          </cell>
          <cell r="L1913">
            <v>44677</v>
          </cell>
          <cell r="M1913">
            <v>119.5</v>
          </cell>
          <cell r="P1913">
            <v>6.71</v>
          </cell>
        </row>
        <row r="1914">
          <cell r="A1914" t="str">
            <v>B&amp;P-048-G-5209-KRRB2</v>
          </cell>
          <cell r="G1914" t="str">
            <v xml:space="preserve">CR   </v>
          </cell>
          <cell r="L1914">
            <v>43126.701226851852</v>
          </cell>
          <cell r="M1914">
            <v>19.86</v>
          </cell>
          <cell r="P1914">
            <v>4.5125881168177244</v>
          </cell>
        </row>
        <row r="1915">
          <cell r="A1915" t="str">
            <v>B&amp;P-048-G-5209-KYYB5</v>
          </cell>
          <cell r="G1915" t="str">
            <v xml:space="preserve">CR   </v>
          </cell>
          <cell r="L1915">
            <v>43004.447326388887</v>
          </cell>
          <cell r="M1915">
            <v>17.600000000000001</v>
          </cell>
          <cell r="P1915">
            <v>2.8414772727272726</v>
          </cell>
        </row>
        <row r="1916">
          <cell r="A1916" t="str">
            <v>B&amp;P-048-G205-KYYB5</v>
          </cell>
          <cell r="G1916" t="str">
            <v>vpret</v>
          </cell>
          <cell r="L1916">
            <v>44501</v>
          </cell>
          <cell r="M1916">
            <v>105</v>
          </cell>
          <cell r="P1916">
            <v>1.8180761904761904</v>
          </cell>
        </row>
        <row r="1917">
          <cell r="A1917" t="str">
            <v>B&amp;P-048-GW-208-PPB22</v>
          </cell>
          <cell r="G1917" t="str">
            <v>IDESP</v>
          </cell>
          <cell r="L1917">
            <v>45628</v>
          </cell>
          <cell r="M1917">
            <v>1031</v>
          </cell>
          <cell r="P1917">
            <v>5.13</v>
          </cell>
        </row>
        <row r="1918">
          <cell r="A1918" t="str">
            <v>B&amp;P-048-GW211-PP17</v>
          </cell>
          <cell r="G1918" t="str">
            <v>VPPRT</v>
          </cell>
          <cell r="L1918">
            <v>45141</v>
          </cell>
          <cell r="M1918">
            <v>288.5</v>
          </cell>
          <cell r="P1918">
            <v>8.4139999999999997</v>
          </cell>
        </row>
        <row r="1919">
          <cell r="A1919" t="str">
            <v>B&amp;P-048-GW211-PP25</v>
          </cell>
          <cell r="G1919" t="str">
            <v>VPPRT</v>
          </cell>
          <cell r="L1919">
            <v>45055</v>
          </cell>
          <cell r="M1919">
            <v>236</v>
          </cell>
          <cell r="P1919">
            <v>9.0167000000000002</v>
          </cell>
        </row>
        <row r="1920">
          <cell r="A1920" t="str">
            <v>B&amp;P-048-GW211-PP27</v>
          </cell>
          <cell r="G1920" t="str">
            <v>VPPRT</v>
          </cell>
          <cell r="L1920">
            <v>45140</v>
          </cell>
          <cell r="M1920">
            <v>287.5</v>
          </cell>
          <cell r="P1920">
            <v>8.3740000000000006</v>
          </cell>
        </row>
        <row r="1921">
          <cell r="A1921" t="str">
            <v>B&amp;P-048-GW211-PPB3</v>
          </cell>
          <cell r="G1921" t="str">
            <v>VPPRT</v>
          </cell>
          <cell r="L1921">
            <v>45140</v>
          </cell>
          <cell r="M1921">
            <v>287.5</v>
          </cell>
          <cell r="P1921">
            <v>7.7880000000000003</v>
          </cell>
        </row>
        <row r="1922">
          <cell r="A1922" t="str">
            <v>B&amp;P-048-GW211PP3</v>
          </cell>
          <cell r="G1922" t="str">
            <v>VPPRT</v>
          </cell>
          <cell r="L1922">
            <v>45140</v>
          </cell>
          <cell r="M1922">
            <v>287.5</v>
          </cell>
          <cell r="P1922">
            <v>8.7379999999999995</v>
          </cell>
        </row>
        <row r="1923">
          <cell r="A1923" t="str">
            <v>B&amp;P-048-J91-B</v>
          </cell>
          <cell r="G1923" t="str">
            <v>IDESP</v>
          </cell>
          <cell r="L1923">
            <v>45230</v>
          </cell>
          <cell r="M1923">
            <v>365.5</v>
          </cell>
          <cell r="P1923">
            <v>3.41</v>
          </cell>
        </row>
        <row r="1924">
          <cell r="A1924" t="str">
            <v>B&amp;P-048-J91-C</v>
          </cell>
          <cell r="G1924" t="str">
            <v>IDESP</v>
          </cell>
          <cell r="L1924">
            <v>45230</v>
          </cell>
          <cell r="M1924">
            <v>365.5</v>
          </cell>
          <cell r="P1924">
            <v>3.46</v>
          </cell>
        </row>
        <row r="1925">
          <cell r="A1925" t="str">
            <v>B&amp;P-048-NTBS1613-RST</v>
          </cell>
          <cell r="G1925" t="str">
            <v>vpret</v>
          </cell>
          <cell r="L1925">
            <v>45527</v>
          </cell>
          <cell r="M1925">
            <v>964</v>
          </cell>
          <cell r="P1925">
            <v>11.478464730290456</v>
          </cell>
        </row>
        <row r="1926">
          <cell r="A1926" t="str">
            <v>B&amp;P-048-ORAE-30-2RST</v>
          </cell>
          <cell r="G1926" t="str">
            <v>IDESP</v>
          </cell>
          <cell r="L1926">
            <v>44796</v>
          </cell>
          <cell r="M1926">
            <v>143.5</v>
          </cell>
          <cell r="P1926">
            <v>2.2000000000000002</v>
          </cell>
        </row>
        <row r="1927">
          <cell r="A1927" t="str">
            <v>B&amp;P-048-ORAE-35-2RST</v>
          </cell>
          <cell r="G1927" t="str">
            <v>IDESP</v>
          </cell>
          <cell r="L1927">
            <v>44796</v>
          </cell>
          <cell r="M1927">
            <v>143.5</v>
          </cell>
          <cell r="P1927">
            <v>2.5099999999999998</v>
          </cell>
        </row>
        <row r="1928">
          <cell r="A1928" t="str">
            <v>B&amp;P-048-SAB5207-35</v>
          </cell>
          <cell r="G1928" t="str">
            <v>IDESP</v>
          </cell>
          <cell r="L1928">
            <v>45378</v>
          </cell>
          <cell r="M1928">
            <v>875.5</v>
          </cell>
          <cell r="P1928">
            <v>5.24</v>
          </cell>
        </row>
        <row r="1929">
          <cell r="A1929" t="str">
            <v>B&amp;P-048-SAB5209-3</v>
          </cell>
          <cell r="G1929" t="str">
            <v>vpret</v>
          </cell>
          <cell r="L1929">
            <v>45989</v>
          </cell>
          <cell r="M1929">
            <v>1475</v>
          </cell>
          <cell r="P1929">
            <v>7.6773911864406781</v>
          </cell>
        </row>
        <row r="1930">
          <cell r="A1930" t="str">
            <v>B&amp;P-048-SAB5209-45RR</v>
          </cell>
          <cell r="G1930" t="str">
            <v>IDESP</v>
          </cell>
          <cell r="L1930">
            <v>44753</v>
          </cell>
          <cell r="M1930">
            <v>133.25</v>
          </cell>
          <cell r="P1930">
            <v>6.54</v>
          </cell>
        </row>
        <row r="1931">
          <cell r="A1931" t="str">
            <v>B&amp;P-048-SBX6209-2RSK</v>
          </cell>
          <cell r="G1931" t="str">
            <v>IDESP</v>
          </cell>
          <cell r="L1931">
            <v>42800</v>
          </cell>
          <cell r="M1931">
            <v>15.81</v>
          </cell>
          <cell r="P1931">
            <v>6.0389999999999997</v>
          </cell>
        </row>
        <row r="1932">
          <cell r="A1932" t="str">
            <v>B&amp;P-048-SER-25MM</v>
          </cell>
          <cell r="G1932" t="str">
            <v>IDESP</v>
          </cell>
          <cell r="L1932">
            <v>42310</v>
          </cell>
          <cell r="M1932">
            <v>9.61</v>
          </cell>
          <cell r="P1932">
            <v>2.056</v>
          </cell>
        </row>
        <row r="1933">
          <cell r="A1933" t="str">
            <v>B&amp;P-048-SER-47</v>
          </cell>
          <cell r="G1933" t="str">
            <v>IDESP</v>
          </cell>
          <cell r="L1933">
            <v>44853</v>
          </cell>
          <cell r="M1933">
            <v>159</v>
          </cell>
          <cell r="P1933">
            <v>23.1</v>
          </cell>
        </row>
        <row r="1934">
          <cell r="A1934" t="str">
            <v>B&amp;P-048-SER-51</v>
          </cell>
          <cell r="G1934" t="str">
            <v>IDESP</v>
          </cell>
          <cell r="L1934">
            <v>44974</v>
          </cell>
          <cell r="M1934">
            <v>198.5</v>
          </cell>
          <cell r="P1934">
            <v>33.119999999999997</v>
          </cell>
        </row>
        <row r="1935">
          <cell r="A1935" t="str">
            <v>B&amp;P-048-UK-208</v>
          </cell>
          <cell r="G1935" t="str">
            <v>VPPRT</v>
          </cell>
          <cell r="L1935">
            <v>45589</v>
          </cell>
          <cell r="M1935">
            <v>1005</v>
          </cell>
          <cell r="P1935">
            <v>3.6936</v>
          </cell>
        </row>
        <row r="1936">
          <cell r="A1936" t="str">
            <v>B&amp;P-048-W-208-PP21-N</v>
          </cell>
          <cell r="G1936" t="str">
            <v>VPPRT</v>
          </cell>
          <cell r="L1936">
            <v>44615</v>
          </cell>
          <cell r="M1936">
            <v>112.5</v>
          </cell>
          <cell r="P1936">
            <v>4.4031000000000002</v>
          </cell>
        </row>
        <row r="1937">
          <cell r="A1937" t="str">
            <v>B&amp;P-048-W-208-YYB22</v>
          </cell>
          <cell r="G1937" t="str">
            <v>INSI$</v>
          </cell>
          <cell r="L1937">
            <v>45960</v>
          </cell>
          <cell r="M1937">
            <v>1460</v>
          </cell>
          <cell r="P1937">
            <v>4.5600000000000005</v>
          </cell>
        </row>
        <row r="1938">
          <cell r="A1938" t="str">
            <v>B&amp;P-048-W-211KRRB50</v>
          </cell>
          <cell r="G1938" t="str">
            <v>IDESP</v>
          </cell>
          <cell r="L1938">
            <v>45216</v>
          </cell>
          <cell r="M1938">
            <v>365.5</v>
          </cell>
          <cell r="P1938">
            <v>8.7959999999999994</v>
          </cell>
        </row>
        <row r="1939">
          <cell r="A1939" t="str">
            <v>B&amp;P-048-W208-PP5</v>
          </cell>
          <cell r="G1939" t="str">
            <v>VPPRT</v>
          </cell>
          <cell r="L1939">
            <v>45055</v>
          </cell>
          <cell r="M1939">
            <v>236</v>
          </cell>
          <cell r="P1939">
            <v>5.1571999999999996</v>
          </cell>
        </row>
        <row r="1940">
          <cell r="A1940" t="str">
            <v>B&amp;P-048-W208-PP6</v>
          </cell>
          <cell r="G1940" t="str">
            <v>VPPRT</v>
          </cell>
          <cell r="L1940">
            <v>45140</v>
          </cell>
          <cell r="M1940">
            <v>287.5</v>
          </cell>
          <cell r="P1940">
            <v>5.7937000000000003</v>
          </cell>
        </row>
        <row r="1941">
          <cell r="A1941" t="str">
            <v>B&amp;P-048-W208-PPB12</v>
          </cell>
          <cell r="G1941" t="str">
            <v>VPPRT</v>
          </cell>
          <cell r="L1941">
            <v>45055</v>
          </cell>
          <cell r="M1941">
            <v>236</v>
          </cell>
          <cell r="P1941">
            <v>5.4703999999999997</v>
          </cell>
        </row>
        <row r="1942">
          <cell r="A1942" t="str">
            <v>B&amp;P-048-W208-PPB6</v>
          </cell>
          <cell r="G1942" t="str">
            <v>VPPRT</v>
          </cell>
          <cell r="L1942">
            <v>45140</v>
          </cell>
          <cell r="M1942">
            <v>287.5</v>
          </cell>
          <cell r="P1942">
            <v>5.7206999999999999</v>
          </cell>
        </row>
        <row r="1943">
          <cell r="A1943" t="str">
            <v>B&amp;P-048-W208KPP53</v>
          </cell>
          <cell r="G1943" t="str">
            <v>IDESP</v>
          </cell>
          <cell r="L1943">
            <v>44796</v>
          </cell>
          <cell r="M1943">
            <v>143.5</v>
          </cell>
          <cell r="P1943">
            <v>5.43</v>
          </cell>
        </row>
        <row r="1944">
          <cell r="A1944" t="str">
            <v>B&amp;P-048-W208KRRB6</v>
          </cell>
          <cell r="G1944" t="str">
            <v>IDESP</v>
          </cell>
          <cell r="L1944">
            <v>44887</v>
          </cell>
          <cell r="M1944">
            <v>169.25</v>
          </cell>
          <cell r="P1944">
            <v>5.03</v>
          </cell>
        </row>
        <row r="1945">
          <cell r="A1945" t="str">
            <v>B&amp;P-048-W208PPB16</v>
          </cell>
          <cell r="G1945" t="str">
            <v>VPPRT</v>
          </cell>
          <cell r="L1945">
            <v>44677</v>
          </cell>
          <cell r="M1945">
            <v>119.5</v>
          </cell>
          <cell r="P1945">
            <v>4.7198000000000002</v>
          </cell>
        </row>
        <row r="1946">
          <cell r="A1946" t="str">
            <v>B&amp;P-048-W208PPB5</v>
          </cell>
          <cell r="G1946" t="str">
            <v>VPPRT</v>
          </cell>
          <cell r="L1946">
            <v>44910</v>
          </cell>
          <cell r="M1946">
            <v>178.5</v>
          </cell>
          <cell r="P1946">
            <v>5.13</v>
          </cell>
        </row>
        <row r="1947">
          <cell r="A1947" t="str">
            <v>B&amp;P-048-W209-YYB2</v>
          </cell>
          <cell r="G1947" t="str">
            <v>IDESP</v>
          </cell>
          <cell r="L1947">
            <v>45628</v>
          </cell>
          <cell r="M1947">
            <v>1031</v>
          </cell>
          <cell r="P1947">
            <v>5.87</v>
          </cell>
        </row>
        <row r="1948">
          <cell r="A1948" t="str">
            <v>B&amp;P-048-W210-PP4</v>
          </cell>
          <cell r="G1948" t="str">
            <v>IDESP</v>
          </cell>
          <cell r="L1948">
            <v>45628</v>
          </cell>
          <cell r="M1948">
            <v>1031</v>
          </cell>
          <cell r="P1948">
            <v>7.24</v>
          </cell>
        </row>
        <row r="1949">
          <cell r="A1949" t="str">
            <v>B&amp;P-048-W59190-TS</v>
          </cell>
          <cell r="G1949" t="str">
            <v>IDESP</v>
          </cell>
          <cell r="L1949">
            <v>45378</v>
          </cell>
          <cell r="M1949">
            <v>875.5</v>
          </cell>
          <cell r="P1949">
            <v>4.4032</v>
          </cell>
        </row>
        <row r="1950">
          <cell r="A1950" t="str">
            <v>B&amp;P-050-02872-820</v>
          </cell>
          <cell r="G1950" t="str">
            <v xml:space="preserve">CR   </v>
          </cell>
          <cell r="L1950">
            <v>41547.999988425923</v>
          </cell>
          <cell r="M1950">
            <v>5.79</v>
          </cell>
          <cell r="P1950">
            <v>2.1675302245250432</v>
          </cell>
        </row>
        <row r="1951">
          <cell r="A1951" t="str">
            <v>B&amp;P-050-104949-911</v>
          </cell>
          <cell r="G1951" t="str">
            <v xml:space="preserve">CR   </v>
          </cell>
          <cell r="L1951">
            <v>41547.999988425923</v>
          </cell>
          <cell r="M1951">
            <v>5.79</v>
          </cell>
          <cell r="P1951">
            <v>2.2020725388601035</v>
          </cell>
        </row>
        <row r="1952">
          <cell r="A1952" t="str">
            <v>B&amp;P-050-11749-710</v>
          </cell>
          <cell r="G1952" t="str">
            <v xml:space="preserve">INSI </v>
          </cell>
          <cell r="L1952">
            <v>41970</v>
          </cell>
          <cell r="M1952">
            <v>8.5399999999999991</v>
          </cell>
          <cell r="P1952">
            <v>0.52690000000000003</v>
          </cell>
        </row>
        <row r="1953">
          <cell r="A1953" t="str">
            <v>B&amp;P-050-12649-610</v>
          </cell>
          <cell r="G1953" t="str">
            <v>IPFAB</v>
          </cell>
          <cell r="L1953">
            <v>41353</v>
          </cell>
          <cell r="M1953">
            <v>5.0999999999999996</v>
          </cell>
          <cell r="P1953">
            <v>1.25</v>
          </cell>
        </row>
        <row r="1954">
          <cell r="A1954" t="str">
            <v>B&amp;P-050-12749-10</v>
          </cell>
          <cell r="G1954" t="str">
            <v xml:space="preserve">CR   </v>
          </cell>
          <cell r="L1954">
            <v>41547.999988425923</v>
          </cell>
          <cell r="M1954">
            <v>5.79</v>
          </cell>
          <cell r="P1954">
            <v>1.0794473229706389</v>
          </cell>
        </row>
        <row r="1955">
          <cell r="A1955" t="str">
            <v>B&amp;P-050-212049-011</v>
          </cell>
          <cell r="G1955" t="str">
            <v xml:space="preserve">CR   </v>
          </cell>
          <cell r="L1955">
            <v>41547.999988425923</v>
          </cell>
          <cell r="M1955">
            <v>5.79</v>
          </cell>
          <cell r="P1955">
            <v>6.5630397236614852</v>
          </cell>
        </row>
        <row r="1956">
          <cell r="A1956" t="str">
            <v>B&amp;P-050-29749-710</v>
          </cell>
          <cell r="G1956" t="str">
            <v xml:space="preserve">CR   </v>
          </cell>
          <cell r="L1956">
            <v>41547.999988425923</v>
          </cell>
          <cell r="M1956">
            <v>5.79</v>
          </cell>
          <cell r="P1956">
            <v>1.4939550949913645</v>
          </cell>
        </row>
        <row r="1957">
          <cell r="A1957" t="str">
            <v>B&amp;P-050-30204-MX</v>
          </cell>
          <cell r="G1957" t="str">
            <v xml:space="preserve">INAC </v>
          </cell>
          <cell r="L1957">
            <v>42313</v>
          </cell>
          <cell r="M1957">
            <v>9.6300000000000008</v>
          </cell>
          <cell r="P1957">
            <v>3.2710280373831773</v>
          </cell>
        </row>
        <row r="1958">
          <cell r="A1958" t="str">
            <v>B&amp;P-050-30213</v>
          </cell>
          <cell r="G1958" t="str">
            <v>INDEV</v>
          </cell>
          <cell r="L1958">
            <v>41443</v>
          </cell>
          <cell r="M1958">
            <v>5.34</v>
          </cell>
          <cell r="P1958">
            <v>0.18726591760299627</v>
          </cell>
        </row>
        <row r="1959">
          <cell r="A1959" t="str">
            <v>B&amp;P-050-368A-362A</v>
          </cell>
          <cell r="G1959" t="str">
            <v>IPFAB</v>
          </cell>
          <cell r="L1959">
            <v>41339</v>
          </cell>
          <cell r="M1959">
            <v>5.0599999999999996</v>
          </cell>
          <cell r="P1959">
            <v>3.87</v>
          </cell>
        </row>
        <row r="1960">
          <cell r="A1960" t="str">
            <v>B&amp;P-050-37431-625</v>
          </cell>
          <cell r="G1960" t="str">
            <v xml:space="preserve">INAC </v>
          </cell>
          <cell r="L1960">
            <v>43147</v>
          </cell>
          <cell r="M1960">
            <v>20.07</v>
          </cell>
          <cell r="P1960">
            <v>34.286497259591428</v>
          </cell>
        </row>
        <row r="1961">
          <cell r="A1961" t="str">
            <v>B&amp;P-050-387A-382A</v>
          </cell>
          <cell r="G1961" t="str">
            <v>IPFAB</v>
          </cell>
          <cell r="L1961">
            <v>41339</v>
          </cell>
          <cell r="M1961">
            <v>5.0599999999999996</v>
          </cell>
          <cell r="P1961">
            <v>4.0999999999999996</v>
          </cell>
        </row>
        <row r="1962">
          <cell r="A1962" t="str">
            <v>B&amp;P-050-3T-12010</v>
          </cell>
          <cell r="G1962" t="str">
            <v>IDESP</v>
          </cell>
          <cell r="L1962">
            <v>42360</v>
          </cell>
          <cell r="M1962">
            <v>13.57</v>
          </cell>
          <cell r="P1962">
            <v>2.84</v>
          </cell>
        </row>
        <row r="1963">
          <cell r="A1963" t="str">
            <v>B&amp;P-050-3T-12080</v>
          </cell>
          <cell r="G1963" t="str">
            <v>IDESP</v>
          </cell>
          <cell r="L1963">
            <v>42360</v>
          </cell>
          <cell r="M1963">
            <v>13.57</v>
          </cell>
          <cell r="P1963">
            <v>7.1890000000000001</v>
          </cell>
        </row>
        <row r="1964">
          <cell r="A1964" t="str">
            <v>B&amp;P-050-44649-610</v>
          </cell>
          <cell r="G1964" t="str">
            <v xml:space="preserve">CR   </v>
          </cell>
          <cell r="L1964">
            <v>41547.999988425923</v>
          </cell>
          <cell r="M1964">
            <v>5.79</v>
          </cell>
          <cell r="P1964">
            <v>1.0552677029360968</v>
          </cell>
        </row>
        <row r="1965">
          <cell r="A1965" t="str">
            <v>B&amp;P-050-45449-410</v>
          </cell>
          <cell r="G1965" t="str">
            <v xml:space="preserve">CR   </v>
          </cell>
          <cell r="L1965">
            <v>41547.999988425923</v>
          </cell>
          <cell r="M1965">
            <v>5.79</v>
          </cell>
          <cell r="P1965">
            <v>1.0794473229706389</v>
          </cell>
        </row>
        <row r="1966">
          <cell r="A1966" t="str">
            <v>B&amp;P-050-580-572</v>
          </cell>
          <cell r="G1966" t="str">
            <v>IPFAB</v>
          </cell>
          <cell r="L1966">
            <v>41339</v>
          </cell>
          <cell r="M1966">
            <v>5.0599999999999996</v>
          </cell>
          <cell r="P1966">
            <v>9.0299999999999994</v>
          </cell>
        </row>
        <row r="1967">
          <cell r="A1967" t="str">
            <v>B&amp;P-050-67048-010</v>
          </cell>
          <cell r="G1967" t="str">
            <v xml:space="preserve">INSI </v>
          </cell>
          <cell r="L1967">
            <v>41970</v>
          </cell>
          <cell r="M1967">
            <v>8.5399999999999991</v>
          </cell>
          <cell r="P1967">
            <v>1.25</v>
          </cell>
        </row>
        <row r="1968">
          <cell r="A1968" t="str">
            <v>B&amp;P-050-68145-11</v>
          </cell>
          <cell r="G1968" t="str">
            <v>INDEV</v>
          </cell>
          <cell r="L1968">
            <v>41711</v>
          </cell>
          <cell r="M1968">
            <v>7.9</v>
          </cell>
          <cell r="P1968">
            <v>0.89240506329113922</v>
          </cell>
        </row>
        <row r="1969">
          <cell r="A1969" t="str">
            <v>B&amp;P-050-BBT-329013</v>
          </cell>
          <cell r="G1969" t="str">
            <v>INDEV</v>
          </cell>
          <cell r="L1969">
            <v>41744</v>
          </cell>
          <cell r="M1969">
            <v>8.0500000000000007</v>
          </cell>
          <cell r="P1969">
            <v>1.0124223602484472</v>
          </cell>
        </row>
        <row r="1970">
          <cell r="A1970" t="str">
            <v>B&amp;P-050-HM-518445-41</v>
          </cell>
          <cell r="G1970" t="str">
            <v>IPFAB</v>
          </cell>
          <cell r="L1970">
            <v>41866</v>
          </cell>
          <cell r="M1970">
            <v>8.27</v>
          </cell>
          <cell r="P1970">
            <v>9.3010999999999999</v>
          </cell>
        </row>
        <row r="1971">
          <cell r="A1971" t="str">
            <v>B&amp;P-050-HM-803146/10</v>
          </cell>
          <cell r="G1971" t="str">
            <v>vpret</v>
          </cell>
          <cell r="L1971">
            <v>44382</v>
          </cell>
          <cell r="M1971">
            <v>100.75</v>
          </cell>
          <cell r="P1971">
            <v>1.982531017369727</v>
          </cell>
        </row>
        <row r="1972">
          <cell r="A1972" t="str">
            <v>B&amp;P-050-SET-10</v>
          </cell>
          <cell r="G1972" t="str">
            <v>IPFAP</v>
          </cell>
          <cell r="L1972">
            <v>42502</v>
          </cell>
          <cell r="M1972">
            <v>14.54</v>
          </cell>
          <cell r="P1972">
            <v>2.84</v>
          </cell>
        </row>
        <row r="1973">
          <cell r="A1973" t="str">
            <v>B&amp;P-050-SET-80</v>
          </cell>
          <cell r="G1973" t="str">
            <v>IPFAP</v>
          </cell>
          <cell r="L1973">
            <v>43397</v>
          </cell>
          <cell r="M1973">
            <v>37.5</v>
          </cell>
          <cell r="P1973">
            <v>7.1889999999999992</v>
          </cell>
        </row>
        <row r="1974">
          <cell r="A1974" t="str">
            <v>B&amp;P-050-TB-2146W39</v>
          </cell>
          <cell r="G1974" t="str">
            <v>INCOU</v>
          </cell>
          <cell r="L1974">
            <v>41555</v>
          </cell>
          <cell r="M1974">
            <v>5.82</v>
          </cell>
          <cell r="P1974">
            <v>12.55</v>
          </cell>
        </row>
        <row r="1975">
          <cell r="A1975" t="str">
            <v>B&amp;P-051-H-207</v>
          </cell>
          <cell r="G1975" t="str">
            <v>IDESP</v>
          </cell>
          <cell r="L1975">
            <v>45112</v>
          </cell>
          <cell r="M1975">
            <v>270.5</v>
          </cell>
          <cell r="P1975">
            <v>1.02</v>
          </cell>
        </row>
        <row r="1976">
          <cell r="A1976" t="str">
            <v>B&amp;P-051-H-208</v>
          </cell>
          <cell r="G1976" t="str">
            <v>IDESP</v>
          </cell>
          <cell r="L1976">
            <v>45979</v>
          </cell>
          <cell r="M1976">
            <v>1415</v>
          </cell>
          <cell r="P1976">
            <v>1.282</v>
          </cell>
        </row>
        <row r="1977">
          <cell r="A1977" t="str">
            <v>B&amp;P-051-H-209</v>
          </cell>
          <cell r="G1977" t="str">
            <v>IDESP</v>
          </cell>
          <cell r="L1977">
            <v>42059</v>
          </cell>
          <cell r="M1977">
            <v>8.73</v>
          </cell>
          <cell r="P1977">
            <v>1.21</v>
          </cell>
        </row>
        <row r="1978">
          <cell r="A1978" t="str">
            <v>B&amp;P-051-H-2308</v>
          </cell>
          <cell r="G1978" t="str">
            <v>IDESP</v>
          </cell>
          <cell r="L1978">
            <v>45979</v>
          </cell>
          <cell r="M1978">
            <v>1415</v>
          </cell>
          <cell r="P1978">
            <v>1.55</v>
          </cell>
        </row>
        <row r="1979">
          <cell r="A1979" t="str">
            <v>B&amp;P-051-H-2310</v>
          </cell>
          <cell r="G1979" t="str">
            <v>IDESP</v>
          </cell>
          <cell r="L1979">
            <v>45979</v>
          </cell>
          <cell r="M1979">
            <v>1415</v>
          </cell>
          <cell r="P1979">
            <v>2.0499999999999998</v>
          </cell>
        </row>
        <row r="1980">
          <cell r="A1980" t="str">
            <v>B&amp;P-051-H-2311</v>
          </cell>
          <cell r="G1980" t="str">
            <v>INSI$</v>
          </cell>
          <cell r="L1980">
            <v>45586</v>
          </cell>
          <cell r="M1980">
            <v>1004</v>
          </cell>
          <cell r="P1980">
            <v>2.3079999999999998</v>
          </cell>
        </row>
        <row r="1981">
          <cell r="A1981" t="str">
            <v>B&amp;P-051-H-2313</v>
          </cell>
          <cell r="G1981" t="str">
            <v>IDESP</v>
          </cell>
          <cell r="L1981">
            <v>45112</v>
          </cell>
          <cell r="M1981">
            <v>270.5</v>
          </cell>
          <cell r="P1981">
            <v>3.1930000000000001</v>
          </cell>
        </row>
        <row r="1982">
          <cell r="A1982" t="str">
            <v>B&amp;P-051-H-306</v>
          </cell>
          <cell r="G1982" t="str">
            <v>IDESP</v>
          </cell>
          <cell r="L1982">
            <v>45979</v>
          </cell>
          <cell r="M1982">
            <v>1415</v>
          </cell>
          <cell r="P1982">
            <v>0.99</v>
          </cell>
        </row>
        <row r="1983">
          <cell r="A1983" t="str">
            <v>B&amp;P-051-H-307</v>
          </cell>
          <cell r="G1983" t="str">
            <v>IDESP</v>
          </cell>
          <cell r="L1983">
            <v>45979</v>
          </cell>
          <cell r="M1983">
            <v>1415</v>
          </cell>
          <cell r="P1983">
            <v>1.2609999999999999</v>
          </cell>
        </row>
        <row r="1984">
          <cell r="A1984" t="str">
            <v>B&amp;P-051-H-308</v>
          </cell>
          <cell r="G1984" t="str">
            <v>IDESP</v>
          </cell>
          <cell r="L1984">
            <v>45979</v>
          </cell>
          <cell r="M1984">
            <v>1415</v>
          </cell>
          <cell r="P1984">
            <v>1.407</v>
          </cell>
        </row>
        <row r="1985">
          <cell r="A1985" t="str">
            <v>B&amp;P-051-H-309</v>
          </cell>
          <cell r="G1985" t="str">
            <v>IDESP</v>
          </cell>
          <cell r="L1985">
            <v>45979</v>
          </cell>
          <cell r="M1985">
            <v>1415</v>
          </cell>
          <cell r="P1985">
            <v>1.54</v>
          </cell>
        </row>
        <row r="1986">
          <cell r="A1986" t="str">
            <v>B&amp;P-051-H-310</v>
          </cell>
          <cell r="G1986" t="str">
            <v>IDESP</v>
          </cell>
          <cell r="L1986">
            <v>45979</v>
          </cell>
          <cell r="M1986">
            <v>1415</v>
          </cell>
          <cell r="P1986">
            <v>1.7</v>
          </cell>
        </row>
        <row r="1987">
          <cell r="A1987" t="str">
            <v>B&amp;P-051-H-311</v>
          </cell>
          <cell r="G1987" t="str">
            <v>IDESP</v>
          </cell>
          <cell r="L1987">
            <v>45979</v>
          </cell>
          <cell r="M1987">
            <v>1415</v>
          </cell>
          <cell r="P1987">
            <v>1.92</v>
          </cell>
        </row>
        <row r="1988">
          <cell r="A1988" t="str">
            <v>B&amp;P-051-H-312</v>
          </cell>
          <cell r="G1988" t="str">
            <v>IDESP</v>
          </cell>
          <cell r="L1988">
            <v>45979</v>
          </cell>
          <cell r="M1988">
            <v>1415</v>
          </cell>
          <cell r="P1988">
            <v>2.19</v>
          </cell>
        </row>
        <row r="1989">
          <cell r="A1989" t="str">
            <v>B&amp;P-051-H-313</v>
          </cell>
          <cell r="G1989" t="str">
            <v>IDESP</v>
          </cell>
          <cell r="L1989">
            <v>45979</v>
          </cell>
          <cell r="M1989">
            <v>1415</v>
          </cell>
          <cell r="P1989">
            <v>2.54</v>
          </cell>
        </row>
        <row r="1990">
          <cell r="A1990" t="str">
            <v>B&amp;P-051-H-314</v>
          </cell>
          <cell r="G1990" t="str">
            <v>IDESP</v>
          </cell>
          <cell r="L1990">
            <v>45979</v>
          </cell>
          <cell r="M1990">
            <v>1415</v>
          </cell>
          <cell r="P1990">
            <v>3.24</v>
          </cell>
        </row>
        <row r="1991">
          <cell r="A1991" t="str">
            <v>B&amp;P-051-H-315</v>
          </cell>
          <cell r="G1991" t="str">
            <v>IDESP</v>
          </cell>
          <cell r="L1991">
            <v>45979</v>
          </cell>
          <cell r="M1991">
            <v>1415</v>
          </cell>
          <cell r="P1991">
            <v>3.5819999999999999</v>
          </cell>
        </row>
        <row r="1992">
          <cell r="A1992" t="str">
            <v>B&amp;P-051-H-316</v>
          </cell>
          <cell r="G1992" t="str">
            <v>IDESP</v>
          </cell>
          <cell r="L1992">
            <v>45079</v>
          </cell>
          <cell r="M1992">
            <v>249.5</v>
          </cell>
          <cell r="P1992">
            <v>5.12</v>
          </cell>
        </row>
        <row r="1993">
          <cell r="A1993" t="str">
            <v>B&amp;P-051-H-317</v>
          </cell>
          <cell r="G1993" t="str">
            <v>IDESP</v>
          </cell>
          <cell r="L1993">
            <v>45979</v>
          </cell>
          <cell r="M1993">
            <v>1415</v>
          </cell>
          <cell r="P1993">
            <v>5.64</v>
          </cell>
        </row>
        <row r="1994">
          <cell r="A1994" t="str">
            <v>B&amp;P-051-H-320</v>
          </cell>
          <cell r="G1994" t="str">
            <v>IDESP</v>
          </cell>
          <cell r="L1994">
            <v>45979</v>
          </cell>
          <cell r="M1994">
            <v>1415</v>
          </cell>
          <cell r="P1994">
            <v>8.93</v>
          </cell>
        </row>
        <row r="1995">
          <cell r="A1995" t="str">
            <v>B&amp;P-051-H-322</v>
          </cell>
          <cell r="G1995" t="str">
            <v>IDESP</v>
          </cell>
          <cell r="L1995">
            <v>45979</v>
          </cell>
          <cell r="M1995">
            <v>1415</v>
          </cell>
          <cell r="P1995">
            <v>9.3800000000000008</v>
          </cell>
        </row>
        <row r="1996">
          <cell r="A1996" t="str">
            <v>B&amp;P-052-20179</v>
          </cell>
          <cell r="G1996" t="str">
            <v>VPRet</v>
          </cell>
          <cell r="L1996">
            <v>42608</v>
          </cell>
          <cell r="M1996">
            <v>15.23</v>
          </cell>
          <cell r="P1996">
            <v>0.37</v>
          </cell>
        </row>
        <row r="1997">
          <cell r="A1997" t="str">
            <v>B&amp;P-052-20180</v>
          </cell>
          <cell r="G1997" t="str">
            <v>IDESP</v>
          </cell>
          <cell r="L1997">
            <v>42131</v>
          </cell>
          <cell r="M1997">
            <v>8.9499999999999993</v>
          </cell>
          <cell r="P1997">
            <v>0.37</v>
          </cell>
        </row>
        <row r="1998">
          <cell r="A1998" t="str">
            <v>B&amp;P-052-AG590026-03</v>
          </cell>
          <cell r="G1998" t="str">
            <v>IDESP</v>
          </cell>
          <cell r="L1998">
            <v>45020</v>
          </cell>
          <cell r="M1998">
            <v>216.5</v>
          </cell>
          <cell r="P1998">
            <v>1.23</v>
          </cell>
        </row>
        <row r="1999">
          <cell r="A1999" t="str">
            <v>B&amp;P-052-AG590026-03Z</v>
          </cell>
          <cell r="G1999" t="str">
            <v>InRet</v>
          </cell>
          <cell r="L1999">
            <v>44622</v>
          </cell>
          <cell r="M1999">
            <v>112.5</v>
          </cell>
          <cell r="P1999">
            <v>6.7288888888888898E-2</v>
          </cell>
        </row>
        <row r="2000">
          <cell r="A2000" t="str">
            <v>B&amp;P-052-AG59205-02L</v>
          </cell>
          <cell r="G2000" t="str">
            <v>IDESP</v>
          </cell>
          <cell r="L2000">
            <v>45216</v>
          </cell>
          <cell r="M2000">
            <v>365.5</v>
          </cell>
          <cell r="P2000">
            <v>0.5</v>
          </cell>
        </row>
        <row r="2001">
          <cell r="A2001" t="str">
            <v>B&amp;P-052-AG59205-02R</v>
          </cell>
          <cell r="G2001" t="str">
            <v>IDESP</v>
          </cell>
          <cell r="L2001">
            <v>45216</v>
          </cell>
          <cell r="M2001">
            <v>365.5</v>
          </cell>
          <cell r="P2001">
            <v>0.5</v>
          </cell>
        </row>
        <row r="2002">
          <cell r="A2002" t="str">
            <v>B&amp;P-052-AG59517-03</v>
          </cell>
          <cell r="G2002" t="str">
            <v>vpret</v>
          </cell>
          <cell r="L2002">
            <v>45603</v>
          </cell>
          <cell r="M2002">
            <v>1014</v>
          </cell>
          <cell r="P2002">
            <v>3.3527071005917159</v>
          </cell>
        </row>
        <row r="2003">
          <cell r="A2003" t="str">
            <v>B&amp;P-052-AG59520-03</v>
          </cell>
          <cell r="G2003" t="str">
            <v>IPFAP</v>
          </cell>
          <cell r="L2003">
            <v>45484</v>
          </cell>
          <cell r="M2003">
            <v>937.5</v>
          </cell>
          <cell r="P2003">
            <v>0.16</v>
          </cell>
        </row>
        <row r="2004">
          <cell r="A2004" t="str">
            <v>B&amp;P-052-BUJ-MG206RR3</v>
          </cell>
          <cell r="G2004" t="str">
            <v xml:space="preserve">CR   </v>
          </cell>
          <cell r="L2004">
            <v>43126.701226851852</v>
          </cell>
          <cell r="M2004">
            <v>19.86</v>
          </cell>
          <cell r="P2004">
            <v>6.8630412890231626E-2</v>
          </cell>
        </row>
        <row r="2005">
          <cell r="A2005" t="str">
            <v>B&amp;P-053-020-DTR2549</v>
          </cell>
          <cell r="G2005" t="str">
            <v>IDESP</v>
          </cell>
          <cell r="L2005">
            <v>45628</v>
          </cell>
          <cell r="M2005">
            <v>1031</v>
          </cell>
          <cell r="P2005">
            <v>1.57</v>
          </cell>
        </row>
        <row r="2006">
          <cell r="A2006" t="str">
            <v>B&amp;P-053-30213</v>
          </cell>
          <cell r="G2006" t="str">
            <v xml:space="preserve">INAC </v>
          </cell>
          <cell r="L2006">
            <v>40995</v>
          </cell>
          <cell r="M2006">
            <v>4.3899999999999997</v>
          </cell>
          <cell r="P2006">
            <v>5.6719817767653762</v>
          </cell>
        </row>
        <row r="2007">
          <cell r="A2007" t="str">
            <v>B&amp;P-053-32-X</v>
          </cell>
          <cell r="G2007" t="str">
            <v>IDESP</v>
          </cell>
          <cell r="L2007">
            <v>42360</v>
          </cell>
          <cell r="M2007">
            <v>13.57</v>
          </cell>
          <cell r="P2007">
            <v>0.56999999999999995</v>
          </cell>
        </row>
        <row r="2008">
          <cell r="A2008" t="str">
            <v>B&amp;P-053-3TX-12001</v>
          </cell>
          <cell r="G2008" t="str">
            <v>IDESP</v>
          </cell>
          <cell r="L2008">
            <v>41975</v>
          </cell>
          <cell r="M2008">
            <v>8.5500000000000007</v>
          </cell>
          <cell r="P2008">
            <v>0.47</v>
          </cell>
        </row>
        <row r="2009">
          <cell r="A2009" t="str">
            <v>B&amp;P-053-3TX-12003</v>
          </cell>
          <cell r="G2009" t="str">
            <v>IDESP</v>
          </cell>
          <cell r="L2009">
            <v>41326</v>
          </cell>
          <cell r="M2009">
            <v>5.0199999999999996</v>
          </cell>
          <cell r="P2009">
            <v>0.57999999999999996</v>
          </cell>
        </row>
        <row r="2010">
          <cell r="A2010" t="str">
            <v>B&amp;P-053-3TX-12004</v>
          </cell>
          <cell r="G2010" t="str">
            <v>IDESP</v>
          </cell>
          <cell r="L2010">
            <v>41309</v>
          </cell>
          <cell r="M2010">
            <v>4.99</v>
          </cell>
          <cell r="P2010">
            <v>0.51</v>
          </cell>
        </row>
        <row r="2011">
          <cell r="A2011" t="str">
            <v>B&amp;P-053-3TX-12006</v>
          </cell>
          <cell r="G2011" t="str">
            <v>IDESP</v>
          </cell>
          <cell r="L2011">
            <v>42769</v>
          </cell>
          <cell r="M2011">
            <v>16.09</v>
          </cell>
          <cell r="P2011">
            <v>0.86099999999999999</v>
          </cell>
        </row>
        <row r="2012">
          <cell r="A2012" t="str">
            <v>B&amp;P-053-3TX-12008</v>
          </cell>
          <cell r="G2012" t="str">
            <v>IDESP</v>
          </cell>
          <cell r="L2012">
            <v>41326</v>
          </cell>
          <cell r="M2012">
            <v>5.0199999999999996</v>
          </cell>
          <cell r="P2012">
            <v>0.51</v>
          </cell>
        </row>
        <row r="2013">
          <cell r="A2013" t="str">
            <v>B&amp;P-053-3TX-12010</v>
          </cell>
          <cell r="G2013" t="str">
            <v>IDESP</v>
          </cell>
          <cell r="L2013">
            <v>41347</v>
          </cell>
          <cell r="M2013">
            <v>5.08</v>
          </cell>
          <cell r="P2013">
            <v>1.81</v>
          </cell>
        </row>
        <row r="2014">
          <cell r="A2014" t="str">
            <v>B&amp;P-053-3TX-12012</v>
          </cell>
          <cell r="G2014" t="str">
            <v>IDESP</v>
          </cell>
          <cell r="L2014">
            <v>41975</v>
          </cell>
          <cell r="M2014">
            <v>8.5500000000000007</v>
          </cell>
          <cell r="P2014">
            <v>0.55000000000000004</v>
          </cell>
        </row>
        <row r="2015">
          <cell r="A2015" t="str">
            <v>B&amp;P-053-3TX-12024</v>
          </cell>
          <cell r="G2015" t="str">
            <v>IDESP</v>
          </cell>
          <cell r="L2015">
            <v>41309</v>
          </cell>
          <cell r="M2015">
            <v>4.99</v>
          </cell>
          <cell r="P2015">
            <v>0.51</v>
          </cell>
        </row>
        <row r="2016">
          <cell r="A2016" t="str">
            <v>B&amp;P-053-3TX-12047</v>
          </cell>
          <cell r="G2016" t="str">
            <v>IDESP</v>
          </cell>
          <cell r="L2016">
            <v>42769</v>
          </cell>
          <cell r="M2016">
            <v>16.09</v>
          </cell>
          <cell r="P2016">
            <v>1.554</v>
          </cell>
        </row>
        <row r="2017">
          <cell r="A2017" t="str">
            <v>B&amp;P-053-3TX-12050</v>
          </cell>
          <cell r="G2017" t="str">
            <v>IDESP</v>
          </cell>
          <cell r="L2017">
            <v>41347</v>
          </cell>
          <cell r="M2017">
            <v>5.08</v>
          </cell>
          <cell r="P2017">
            <v>1.23</v>
          </cell>
        </row>
        <row r="2018">
          <cell r="A2018" t="str">
            <v>B&amp;P-053-3TX-12057</v>
          </cell>
          <cell r="G2018" t="str">
            <v>IDESP</v>
          </cell>
          <cell r="L2018">
            <v>41309</v>
          </cell>
          <cell r="M2018">
            <v>4.99</v>
          </cell>
          <cell r="P2018">
            <v>1.84</v>
          </cell>
        </row>
        <row r="2019">
          <cell r="A2019" t="str">
            <v>B&amp;P-053-3TX-12070</v>
          </cell>
          <cell r="G2019" t="str">
            <v>IDESP</v>
          </cell>
          <cell r="L2019">
            <v>41326</v>
          </cell>
          <cell r="M2019">
            <v>5.0199999999999996</v>
          </cell>
          <cell r="P2019">
            <v>0.72</v>
          </cell>
        </row>
        <row r="2020">
          <cell r="A2020" t="str">
            <v>B&amp;P-053-3TX-12074</v>
          </cell>
          <cell r="G2020" t="str">
            <v>IDESP</v>
          </cell>
          <cell r="L2020">
            <v>41309</v>
          </cell>
          <cell r="M2020">
            <v>4.99</v>
          </cell>
          <cell r="P2020">
            <v>2.11</v>
          </cell>
        </row>
        <row r="2021">
          <cell r="A2021" t="str">
            <v>B&amp;P-053-3TX-12080</v>
          </cell>
          <cell r="G2021" t="str">
            <v>IDESP</v>
          </cell>
          <cell r="L2021">
            <v>41347</v>
          </cell>
          <cell r="M2021">
            <v>5.08</v>
          </cell>
          <cell r="P2021">
            <v>2.04</v>
          </cell>
        </row>
        <row r="2022">
          <cell r="A2022" t="str">
            <v>B&amp;P-053-3TX-12107</v>
          </cell>
          <cell r="G2022" t="str">
            <v>IDESP</v>
          </cell>
          <cell r="L2022">
            <v>42769</v>
          </cell>
          <cell r="M2022">
            <v>16.09</v>
          </cell>
          <cell r="P2022">
            <v>1.4490000000000001</v>
          </cell>
        </row>
        <row r="2023">
          <cell r="A2023" t="str">
            <v>B&amp;P-053-3TX-12201</v>
          </cell>
          <cell r="G2023" t="str">
            <v>IDESP</v>
          </cell>
          <cell r="L2023">
            <v>41309</v>
          </cell>
          <cell r="M2023">
            <v>4.99</v>
          </cell>
          <cell r="P2023">
            <v>1.8</v>
          </cell>
        </row>
        <row r="2024">
          <cell r="A2024" t="str">
            <v>B&amp;P-053-3TX-12401</v>
          </cell>
          <cell r="G2024" t="str">
            <v>IDESP</v>
          </cell>
          <cell r="L2024">
            <v>41309</v>
          </cell>
          <cell r="M2024">
            <v>4.99</v>
          </cell>
          <cell r="P2024">
            <v>3.28</v>
          </cell>
        </row>
        <row r="2025">
          <cell r="A2025" t="str">
            <v>B&amp;P-053-3TX-12413</v>
          </cell>
          <cell r="G2025" t="str">
            <v>IDESP</v>
          </cell>
          <cell r="L2025">
            <v>41975</v>
          </cell>
          <cell r="M2025">
            <v>8.5500000000000007</v>
          </cell>
          <cell r="P2025">
            <v>2.15</v>
          </cell>
        </row>
        <row r="2026">
          <cell r="A2026" t="str">
            <v>B&amp;P-053-3TX-14123</v>
          </cell>
          <cell r="G2026" t="str">
            <v>IDESP</v>
          </cell>
          <cell r="L2026">
            <v>42059</v>
          </cell>
          <cell r="M2026">
            <v>8.73</v>
          </cell>
          <cell r="P2026">
            <v>0.74</v>
          </cell>
        </row>
        <row r="2027">
          <cell r="A2027" t="str">
            <v>B&amp;P-053-3TX-14149</v>
          </cell>
          <cell r="G2027" t="str">
            <v>IDESP</v>
          </cell>
          <cell r="L2027">
            <v>42769</v>
          </cell>
          <cell r="M2027">
            <v>16.09</v>
          </cell>
          <cell r="P2027">
            <v>0.97299999999999998</v>
          </cell>
        </row>
        <row r="2028">
          <cell r="A2028" t="str">
            <v>B&amp;P-053-3TX-14314</v>
          </cell>
          <cell r="G2028" t="str">
            <v>IDESP</v>
          </cell>
          <cell r="L2028">
            <v>42059</v>
          </cell>
          <cell r="M2028">
            <v>8.73</v>
          </cell>
          <cell r="P2028">
            <v>1.07</v>
          </cell>
        </row>
        <row r="2029">
          <cell r="A2029" t="str">
            <v>B&amp;P-053-3TX-14349</v>
          </cell>
          <cell r="G2029" t="str">
            <v>IDESP</v>
          </cell>
          <cell r="L2029">
            <v>42059</v>
          </cell>
          <cell r="M2029">
            <v>8.73</v>
          </cell>
          <cell r="P2029">
            <v>1.07</v>
          </cell>
        </row>
        <row r="2030">
          <cell r="A2030" t="str">
            <v>B&amp;P-053-3TX-29013</v>
          </cell>
          <cell r="G2030" t="str">
            <v>IDESP</v>
          </cell>
          <cell r="L2030">
            <v>41326</v>
          </cell>
          <cell r="M2030">
            <v>5.0199999999999996</v>
          </cell>
          <cell r="P2030">
            <v>0.73</v>
          </cell>
        </row>
        <row r="2031">
          <cell r="A2031" t="str">
            <v>B&amp;P-053-3TX-74910</v>
          </cell>
          <cell r="G2031" t="str">
            <v>IDESP</v>
          </cell>
          <cell r="L2031">
            <v>41326</v>
          </cell>
          <cell r="M2031">
            <v>5.0199999999999996</v>
          </cell>
          <cell r="P2031">
            <v>0.57999999999999996</v>
          </cell>
        </row>
        <row r="2032">
          <cell r="A2032" t="str">
            <v>B&amp;P-053-HM-518445</v>
          </cell>
          <cell r="G2032" t="str">
            <v xml:space="preserve">INAC </v>
          </cell>
          <cell r="L2032">
            <v>45090</v>
          </cell>
          <cell r="M2032">
            <v>255.5</v>
          </cell>
          <cell r="P2032">
            <v>6.6234833659491192</v>
          </cell>
        </row>
        <row r="2033">
          <cell r="A2033" t="str">
            <v>B&amp;P-053-HM-803146</v>
          </cell>
          <cell r="G2033" t="str">
            <v>INPE$</v>
          </cell>
          <cell r="L2033">
            <v>41796</v>
          </cell>
          <cell r="M2033">
            <v>8.15</v>
          </cell>
          <cell r="P2033">
            <v>6.7067484662576682</v>
          </cell>
        </row>
        <row r="2034">
          <cell r="A2034" t="str">
            <v>B&amp;P-053-TBX-2146W39</v>
          </cell>
          <cell r="G2034" t="str">
            <v>IDESP</v>
          </cell>
          <cell r="L2034">
            <v>42733</v>
          </cell>
          <cell r="M2034">
            <v>16.079999999999998</v>
          </cell>
          <cell r="P2034">
            <v>9.6161999999999992</v>
          </cell>
        </row>
        <row r="2035">
          <cell r="A2035" t="str">
            <v>B&amp;P-053-TCX-1845</v>
          </cell>
          <cell r="G2035" t="str">
            <v>IDESP</v>
          </cell>
          <cell r="L2035">
            <v>45488</v>
          </cell>
          <cell r="M2035">
            <v>940</v>
          </cell>
          <cell r="P2035">
            <v>4.72</v>
          </cell>
        </row>
        <row r="2036">
          <cell r="A2036" t="str">
            <v>B&amp;P-053-TCX203</v>
          </cell>
          <cell r="G2036" t="str">
            <v>IDESP</v>
          </cell>
          <cell r="L2036">
            <v>44008</v>
          </cell>
          <cell r="M2036">
            <v>73</v>
          </cell>
          <cell r="P2036">
            <v>0.45579999999999998</v>
          </cell>
        </row>
        <row r="2037">
          <cell r="A2037" t="str">
            <v>B&amp;P-053-TCX204</v>
          </cell>
          <cell r="G2037" t="str">
            <v>IDESP</v>
          </cell>
          <cell r="L2037">
            <v>44008</v>
          </cell>
          <cell r="M2037">
            <v>73</v>
          </cell>
          <cell r="P2037">
            <v>0.45229999999999998</v>
          </cell>
        </row>
        <row r="2038">
          <cell r="A2038" t="str">
            <v>B&amp;P-053-TCX205</v>
          </cell>
          <cell r="G2038" t="str">
            <v>IDESP</v>
          </cell>
          <cell r="L2038">
            <v>44008</v>
          </cell>
          <cell r="M2038">
            <v>73</v>
          </cell>
          <cell r="P2038">
            <v>0.48199999999999998</v>
          </cell>
        </row>
        <row r="2039">
          <cell r="A2039" t="str">
            <v>B&amp;P-053-TCX206</v>
          </cell>
          <cell r="G2039" t="str">
            <v>IDESP</v>
          </cell>
          <cell r="L2039">
            <v>44008</v>
          </cell>
          <cell r="M2039">
            <v>73</v>
          </cell>
          <cell r="P2039">
            <v>0.54669999999999996</v>
          </cell>
        </row>
        <row r="2040">
          <cell r="A2040" t="str">
            <v>B&amp;P-053-TCX207</v>
          </cell>
          <cell r="G2040" t="str">
            <v>IDESP</v>
          </cell>
          <cell r="L2040">
            <v>43369</v>
          </cell>
          <cell r="M2040">
            <v>38.700000000000003</v>
          </cell>
          <cell r="P2040">
            <v>0.65200000000000002</v>
          </cell>
        </row>
        <row r="2041">
          <cell r="A2041" t="str">
            <v>B&amp;P-053-TCX208</v>
          </cell>
          <cell r="G2041" t="str">
            <v>IDESP</v>
          </cell>
          <cell r="L2041">
            <v>44008</v>
          </cell>
          <cell r="M2041">
            <v>73</v>
          </cell>
          <cell r="P2041">
            <v>0.62360000000000004</v>
          </cell>
        </row>
        <row r="2042">
          <cell r="A2042" t="str">
            <v>B&amp;P-053-TCX209</v>
          </cell>
          <cell r="G2042" t="str">
            <v>IDESP</v>
          </cell>
          <cell r="L2042">
            <v>44008</v>
          </cell>
          <cell r="M2042">
            <v>73</v>
          </cell>
          <cell r="P2042">
            <v>0.87109999999999999</v>
          </cell>
        </row>
        <row r="2043">
          <cell r="A2043" t="str">
            <v>B&amp;P-053-TCX210</v>
          </cell>
          <cell r="G2043" t="str">
            <v>IDESP</v>
          </cell>
          <cell r="L2043">
            <v>44008</v>
          </cell>
          <cell r="M2043">
            <v>73</v>
          </cell>
          <cell r="P2043">
            <v>0.97</v>
          </cell>
        </row>
        <row r="2044">
          <cell r="A2044" t="str">
            <v>B&amp;P-053-TCX211</v>
          </cell>
          <cell r="G2044" t="str">
            <v>IDESP</v>
          </cell>
          <cell r="L2044">
            <v>43369</v>
          </cell>
          <cell r="M2044">
            <v>38.700000000000003</v>
          </cell>
          <cell r="P2044">
            <v>1.0696000000000001</v>
          </cell>
        </row>
        <row r="2045">
          <cell r="A2045" t="str">
            <v>B&amp;P-053-TCX212</v>
          </cell>
          <cell r="G2045" t="str">
            <v>IDESP</v>
          </cell>
          <cell r="L2045">
            <v>43283</v>
          </cell>
          <cell r="M2045">
            <v>29.4</v>
          </cell>
          <cell r="P2045">
            <v>1.3661000000000001</v>
          </cell>
        </row>
        <row r="2046">
          <cell r="A2046" t="str">
            <v>B&amp;P-053-TCX213</v>
          </cell>
          <cell r="G2046" t="str">
            <v>IDESP</v>
          </cell>
          <cell r="L2046">
            <v>42887</v>
          </cell>
          <cell r="M2046">
            <v>16.37</v>
          </cell>
          <cell r="P2046">
            <v>3.2227000000000001</v>
          </cell>
        </row>
        <row r="2047">
          <cell r="A2047" t="str">
            <v>B&amp;P-053-TCX213-MX</v>
          </cell>
          <cell r="G2047" t="str">
            <v>IDESP</v>
          </cell>
          <cell r="L2047">
            <v>42303</v>
          </cell>
          <cell r="M2047">
            <v>9.57</v>
          </cell>
          <cell r="P2047">
            <v>3.19</v>
          </cell>
        </row>
        <row r="2048">
          <cell r="A2048" t="str">
            <v>B&amp;P-053-TCX214</v>
          </cell>
          <cell r="G2048" t="str">
            <v>IDESP</v>
          </cell>
          <cell r="L2048">
            <v>41512</v>
          </cell>
          <cell r="M2048">
            <v>5.62</v>
          </cell>
          <cell r="P2048">
            <v>1.95</v>
          </cell>
        </row>
        <row r="2049">
          <cell r="A2049" t="str">
            <v>B&amp;P-053-TCX216</v>
          </cell>
          <cell r="G2049" t="str">
            <v>IDESP</v>
          </cell>
          <cell r="L2049">
            <v>42598</v>
          </cell>
          <cell r="M2049">
            <v>15.04</v>
          </cell>
          <cell r="P2049">
            <v>2.75</v>
          </cell>
        </row>
        <row r="2050">
          <cell r="A2050" t="str">
            <v>B&amp;P-053-TCX306</v>
          </cell>
          <cell r="G2050" t="str">
            <v xml:space="preserve">CR   </v>
          </cell>
          <cell r="L2050">
            <v>41908.495520833334</v>
          </cell>
          <cell r="M2050">
            <v>8.41</v>
          </cell>
          <cell r="P2050">
            <v>2.4979904875148633</v>
          </cell>
        </row>
        <row r="2051">
          <cell r="A2051" t="str">
            <v>B&amp;P-053-TCX307</v>
          </cell>
          <cell r="G2051" t="str">
            <v>INPE$</v>
          </cell>
          <cell r="L2051">
            <v>41796</v>
          </cell>
          <cell r="M2051">
            <v>8.15</v>
          </cell>
          <cell r="P2051">
            <v>3.0650306748466258</v>
          </cell>
        </row>
        <row r="2052">
          <cell r="A2052" t="str">
            <v>B&amp;P-053-TCX309</v>
          </cell>
          <cell r="G2052" t="str">
            <v>IDESP</v>
          </cell>
          <cell r="L2052">
            <v>42598</v>
          </cell>
          <cell r="M2052">
            <v>15.04</v>
          </cell>
          <cell r="P2052">
            <v>1.262</v>
          </cell>
        </row>
        <row r="2053">
          <cell r="A2053" t="str">
            <v>B&amp;P-053-TCX310</v>
          </cell>
          <cell r="G2053" t="str">
            <v>IDESP</v>
          </cell>
          <cell r="L2053">
            <v>43369</v>
          </cell>
          <cell r="M2053">
            <v>38.700000000000003</v>
          </cell>
          <cell r="P2053">
            <v>1.5842000000000001</v>
          </cell>
        </row>
        <row r="2054">
          <cell r="A2054" t="str">
            <v>B&amp;P-053-TCX311-MX</v>
          </cell>
          <cell r="G2054" t="str">
            <v>IDESP</v>
          </cell>
          <cell r="L2054">
            <v>42303</v>
          </cell>
          <cell r="M2054">
            <v>9.57</v>
          </cell>
          <cell r="P2054">
            <v>4.6900000000000004</v>
          </cell>
        </row>
        <row r="2055">
          <cell r="A2055" t="str">
            <v>B&amp;P-053-TDX005-MX</v>
          </cell>
          <cell r="G2055" t="str">
            <v>IDESP</v>
          </cell>
          <cell r="L2055">
            <v>42303</v>
          </cell>
          <cell r="M2055">
            <v>9.57</v>
          </cell>
          <cell r="P2055">
            <v>1.01</v>
          </cell>
        </row>
        <row r="2056">
          <cell r="A2056" t="str">
            <v>B&amp;P-053-TDX006</v>
          </cell>
          <cell r="G2056" t="str">
            <v xml:space="preserve">INSI </v>
          </cell>
          <cell r="L2056">
            <v>42523</v>
          </cell>
          <cell r="M2056">
            <v>14.33</v>
          </cell>
          <cell r="P2056">
            <v>0.45</v>
          </cell>
        </row>
        <row r="2057">
          <cell r="A2057" t="str">
            <v>B&amp;P-053-TDX007</v>
          </cell>
          <cell r="G2057" t="str">
            <v xml:space="preserve">INAC </v>
          </cell>
          <cell r="L2057">
            <v>41333</v>
          </cell>
          <cell r="M2057">
            <v>5.04</v>
          </cell>
          <cell r="P2057">
            <v>2.2162698412698414</v>
          </cell>
        </row>
        <row r="2058">
          <cell r="A2058" t="str">
            <v>B&amp;P-053-TDX008</v>
          </cell>
          <cell r="G2058" t="str">
            <v>IDESP</v>
          </cell>
          <cell r="L2058">
            <v>43158</v>
          </cell>
          <cell r="M2058">
            <v>20.420000000000002</v>
          </cell>
          <cell r="P2058">
            <v>0.61029999999999995</v>
          </cell>
        </row>
        <row r="2059">
          <cell r="A2059" t="str">
            <v>B&amp;P-053-TDX009</v>
          </cell>
          <cell r="G2059" t="str">
            <v>IDESP</v>
          </cell>
          <cell r="L2059">
            <v>42957</v>
          </cell>
          <cell r="M2059">
            <v>18.04</v>
          </cell>
          <cell r="P2059">
            <v>1.9139999999999999</v>
          </cell>
        </row>
        <row r="2060">
          <cell r="A2060" t="str">
            <v>B&amp;P-053-TDX010</v>
          </cell>
          <cell r="G2060" t="str">
            <v>IDESP</v>
          </cell>
          <cell r="L2060">
            <v>43369</v>
          </cell>
          <cell r="M2060">
            <v>38.700000000000003</v>
          </cell>
          <cell r="P2060">
            <v>1.113</v>
          </cell>
        </row>
        <row r="2061">
          <cell r="A2061" t="str">
            <v>B&amp;P-053-TDX206</v>
          </cell>
          <cell r="G2061" t="str">
            <v>IDESP</v>
          </cell>
          <cell r="L2061">
            <v>43369</v>
          </cell>
          <cell r="M2061">
            <v>38.700000000000003</v>
          </cell>
          <cell r="P2061">
            <v>0.5806</v>
          </cell>
        </row>
        <row r="2062">
          <cell r="A2062" t="str">
            <v>B&amp;P-053-TDX207</v>
          </cell>
          <cell r="G2062" t="str">
            <v>IDESP</v>
          </cell>
          <cell r="L2062">
            <v>42853</v>
          </cell>
          <cell r="M2062">
            <v>15.78</v>
          </cell>
          <cell r="P2062">
            <v>0.80300000000000005</v>
          </cell>
        </row>
        <row r="2063">
          <cell r="A2063" t="str">
            <v>B&amp;P-053-TDX207-MX</v>
          </cell>
          <cell r="G2063" t="str">
            <v>IDESP</v>
          </cell>
          <cell r="L2063">
            <v>42229</v>
          </cell>
          <cell r="M2063">
            <v>9.27</v>
          </cell>
          <cell r="P2063">
            <v>1.62</v>
          </cell>
        </row>
        <row r="2064">
          <cell r="A2064" t="str">
            <v>B&amp;P-053-TDX208</v>
          </cell>
          <cell r="G2064" t="str">
            <v>IDESP</v>
          </cell>
          <cell r="L2064">
            <v>43369</v>
          </cell>
          <cell r="M2064">
            <v>38.700000000000003</v>
          </cell>
          <cell r="P2064">
            <v>0.9022</v>
          </cell>
        </row>
        <row r="2065">
          <cell r="A2065" t="str">
            <v>B&amp;P-053-TDX209</v>
          </cell>
          <cell r="G2065" t="str">
            <v>IDESP</v>
          </cell>
          <cell r="L2065">
            <v>43369</v>
          </cell>
          <cell r="M2065">
            <v>38.700000000000003</v>
          </cell>
          <cell r="P2065">
            <v>0.97940000000000005</v>
          </cell>
        </row>
        <row r="2066">
          <cell r="A2066" t="str">
            <v>B&amp;P-053-TDX210</v>
          </cell>
          <cell r="G2066" t="str">
            <v>IDESP</v>
          </cell>
          <cell r="L2066">
            <v>42101</v>
          </cell>
          <cell r="M2066">
            <v>8.86</v>
          </cell>
          <cell r="P2066">
            <v>1</v>
          </cell>
        </row>
        <row r="2067">
          <cell r="A2067" t="str">
            <v>B&amp;P-053-TDX211</v>
          </cell>
          <cell r="G2067" t="str">
            <v>IDESP</v>
          </cell>
          <cell r="L2067">
            <v>43369</v>
          </cell>
          <cell r="M2067">
            <v>38.700000000000003</v>
          </cell>
          <cell r="P2067">
            <v>1.6136999999999999</v>
          </cell>
        </row>
        <row r="2068">
          <cell r="A2068" t="str">
            <v>B&amp;P-053-TDX212</v>
          </cell>
          <cell r="G2068" t="str">
            <v>IDESP</v>
          </cell>
          <cell r="L2068">
            <v>42104</v>
          </cell>
          <cell r="M2068">
            <v>8.8699999999999992</v>
          </cell>
          <cell r="P2068">
            <v>1.96</v>
          </cell>
        </row>
        <row r="2069">
          <cell r="A2069" t="str">
            <v>B&amp;P-053-TDX213</v>
          </cell>
          <cell r="G2069" t="str">
            <v>IDESP</v>
          </cell>
          <cell r="L2069">
            <v>41694</v>
          </cell>
          <cell r="M2069">
            <v>7.87</v>
          </cell>
          <cell r="P2069">
            <v>2.339</v>
          </cell>
        </row>
        <row r="2070">
          <cell r="A2070" t="str">
            <v>B&amp;P-053-TDX214</v>
          </cell>
          <cell r="G2070" t="str">
            <v>IDESP</v>
          </cell>
          <cell r="L2070">
            <v>42677</v>
          </cell>
          <cell r="M2070">
            <v>15.25</v>
          </cell>
          <cell r="P2070">
            <v>2.4700000000000002</v>
          </cell>
        </row>
        <row r="2071">
          <cell r="A2071" t="str">
            <v>B&amp;P-053-TDX215-MX</v>
          </cell>
          <cell r="G2071" t="str">
            <v>IDESP</v>
          </cell>
          <cell r="L2071">
            <v>42303</v>
          </cell>
          <cell r="M2071">
            <v>9.57</v>
          </cell>
          <cell r="P2071">
            <v>5.55</v>
          </cell>
        </row>
        <row r="2072">
          <cell r="A2072" t="str">
            <v>B&amp;P-053-TDX216</v>
          </cell>
          <cell r="G2072" t="str">
            <v>IDESP</v>
          </cell>
          <cell r="L2072">
            <v>41757</v>
          </cell>
          <cell r="M2072">
            <v>8.0500000000000007</v>
          </cell>
          <cell r="P2072">
            <v>3.4079999999999999</v>
          </cell>
        </row>
        <row r="2073">
          <cell r="A2073" t="str">
            <v>B&amp;P-053-TDX217</v>
          </cell>
          <cell r="G2073" t="str">
            <v xml:space="preserve">INAC </v>
          </cell>
          <cell r="L2073">
            <v>41066</v>
          </cell>
          <cell r="M2073">
            <v>4.49</v>
          </cell>
          <cell r="P2073">
            <v>13.599109131403118</v>
          </cell>
        </row>
        <row r="2074">
          <cell r="A2074" t="str">
            <v>B&amp;P-053-TDX218</v>
          </cell>
          <cell r="G2074" t="str">
            <v>IDESP</v>
          </cell>
          <cell r="L2074">
            <v>42733</v>
          </cell>
          <cell r="M2074">
            <v>16.079999999999998</v>
          </cell>
          <cell r="P2074">
            <v>3.2</v>
          </cell>
        </row>
        <row r="2075">
          <cell r="A2075" t="str">
            <v>B&amp;P-053-TDX310</v>
          </cell>
          <cell r="G2075" t="str">
            <v>IDESP</v>
          </cell>
          <cell r="L2075">
            <v>42598</v>
          </cell>
          <cell r="M2075">
            <v>15.04</v>
          </cell>
          <cell r="P2075">
            <v>4.5869999999999997</v>
          </cell>
        </row>
        <row r="2076">
          <cell r="A2076" t="str">
            <v>B&amp;P-053-TTX110</v>
          </cell>
          <cell r="G2076" t="str">
            <v>IDESP</v>
          </cell>
          <cell r="L2076">
            <v>42887</v>
          </cell>
          <cell r="M2076">
            <v>16.37</v>
          </cell>
          <cell r="P2076">
            <v>4.7409999999999997</v>
          </cell>
        </row>
        <row r="2077">
          <cell r="A2077" t="str">
            <v>B&amp;P-053-TX1845</v>
          </cell>
          <cell r="G2077" t="str">
            <v>IDESP</v>
          </cell>
          <cell r="L2077">
            <v>43892</v>
          </cell>
          <cell r="M2077">
            <v>64</v>
          </cell>
          <cell r="P2077">
            <v>2.62</v>
          </cell>
        </row>
        <row r="2078">
          <cell r="A2078" t="str">
            <v>B&amp;P-053-X-30203</v>
          </cell>
          <cell r="G2078" t="str">
            <v>IPFAP</v>
          </cell>
          <cell r="L2078">
            <v>42114</v>
          </cell>
          <cell r="M2078">
            <v>8.9</v>
          </cell>
          <cell r="P2078">
            <v>0.73407865168539321</v>
          </cell>
        </row>
        <row r="2079">
          <cell r="A2079" t="str">
            <v>B&amp;P-053-X-30204</v>
          </cell>
          <cell r="G2079" t="str">
            <v xml:space="preserve">CR   </v>
          </cell>
          <cell r="L2079">
            <v>43126.701226851852</v>
          </cell>
          <cell r="M2079">
            <v>19.86</v>
          </cell>
          <cell r="P2079">
            <v>0.33383685800604229</v>
          </cell>
        </row>
        <row r="2080">
          <cell r="A2080" t="str">
            <v>B&amp;P-053-X-30204-MX</v>
          </cell>
          <cell r="G2080" t="str">
            <v xml:space="preserve">INSI </v>
          </cell>
          <cell r="L2080">
            <v>41799</v>
          </cell>
          <cell r="M2080">
            <v>8.16</v>
          </cell>
          <cell r="P2080">
            <v>1.2144999999999999</v>
          </cell>
        </row>
        <row r="2081">
          <cell r="A2081" t="str">
            <v>B&amp;P-053-X-30205</v>
          </cell>
          <cell r="G2081" t="str">
            <v>IDESP</v>
          </cell>
          <cell r="L2081">
            <v>44781</v>
          </cell>
          <cell r="M2081">
            <v>138.75</v>
          </cell>
          <cell r="P2081">
            <v>0.82389999999999997</v>
          </cell>
        </row>
        <row r="2082">
          <cell r="A2082" t="str">
            <v>B&amp;P-053-X-30205-MX</v>
          </cell>
          <cell r="G2082" t="str">
            <v>VPRet</v>
          </cell>
          <cell r="L2082">
            <v>41914</v>
          </cell>
          <cell r="M2082">
            <v>8.41</v>
          </cell>
          <cell r="P2082">
            <v>1.2250059453032105</v>
          </cell>
        </row>
        <row r="2083">
          <cell r="A2083" t="str">
            <v>B&amp;P-053-X-30206</v>
          </cell>
          <cell r="G2083" t="str">
            <v>IDESP</v>
          </cell>
          <cell r="L2083">
            <v>45488</v>
          </cell>
          <cell r="M2083">
            <v>940</v>
          </cell>
          <cell r="P2083">
            <v>0.74</v>
          </cell>
        </row>
        <row r="2084">
          <cell r="A2084" t="str">
            <v>B&amp;P-053-X-30207</v>
          </cell>
          <cell r="G2084" t="str">
            <v>IDESP</v>
          </cell>
          <cell r="L2084">
            <v>45230</v>
          </cell>
          <cell r="M2084">
            <v>365.5</v>
          </cell>
          <cell r="P2084">
            <v>1.2669999999999999</v>
          </cell>
        </row>
        <row r="2085">
          <cell r="A2085" t="str">
            <v>B&amp;P-053-X-30207-37</v>
          </cell>
          <cell r="G2085" t="str">
            <v xml:space="preserve">INAC </v>
          </cell>
          <cell r="L2085">
            <v>41284</v>
          </cell>
          <cell r="M2085">
            <v>4.9400000000000004</v>
          </cell>
          <cell r="P2085">
            <v>2.3603238866396761</v>
          </cell>
        </row>
        <row r="2086">
          <cell r="A2086" t="str">
            <v>B&amp;P-053-X-30208</v>
          </cell>
          <cell r="G2086" t="str">
            <v>IDESP</v>
          </cell>
          <cell r="L2086">
            <v>44860</v>
          </cell>
          <cell r="M2086">
            <v>161.5</v>
          </cell>
          <cell r="P2086">
            <v>1.5785</v>
          </cell>
        </row>
        <row r="2087">
          <cell r="A2087" t="str">
            <v>B&amp;P-053-X-30209</v>
          </cell>
          <cell r="G2087" t="str">
            <v>IDESP</v>
          </cell>
          <cell r="L2087">
            <v>44860</v>
          </cell>
          <cell r="M2087">
            <v>161.5</v>
          </cell>
          <cell r="P2087">
            <v>1.7556</v>
          </cell>
        </row>
        <row r="2088">
          <cell r="A2088" t="str">
            <v>B&amp;P-053-X-30210</v>
          </cell>
          <cell r="G2088" t="str">
            <v xml:space="preserve">CR   </v>
          </cell>
          <cell r="L2088">
            <v>45245.378611111111</v>
          </cell>
          <cell r="M2088">
            <v>365.5</v>
          </cell>
          <cell r="P2088">
            <v>0.6</v>
          </cell>
        </row>
        <row r="2089">
          <cell r="A2089" t="str">
            <v>B&amp;P-053-X-30211</v>
          </cell>
          <cell r="G2089" t="str">
            <v xml:space="preserve">INSI </v>
          </cell>
          <cell r="L2089">
            <v>42894</v>
          </cell>
          <cell r="M2089">
            <v>16.239999999999998</v>
          </cell>
          <cell r="P2089">
            <v>1.0548</v>
          </cell>
        </row>
        <row r="2090">
          <cell r="A2090" t="str">
            <v>B&amp;P-053-X-30212</v>
          </cell>
          <cell r="G2090" t="str">
            <v>IDESP</v>
          </cell>
          <cell r="L2090">
            <v>44781</v>
          </cell>
          <cell r="M2090">
            <v>138.75</v>
          </cell>
          <cell r="P2090">
            <v>2.5640999999999998</v>
          </cell>
        </row>
        <row r="2091">
          <cell r="A2091" t="str">
            <v>B&amp;P-053-X-30213</v>
          </cell>
          <cell r="G2091" t="str">
            <v>IDESP</v>
          </cell>
          <cell r="L2091">
            <v>43369</v>
          </cell>
          <cell r="M2091">
            <v>38.700000000000003</v>
          </cell>
          <cell r="P2091">
            <v>3.1049000000000002</v>
          </cell>
        </row>
        <row r="2092">
          <cell r="A2092" t="str">
            <v>B&amp;P-053-X-30214</v>
          </cell>
          <cell r="G2092" t="str">
            <v xml:space="preserve">INAC </v>
          </cell>
          <cell r="L2092">
            <v>42199</v>
          </cell>
          <cell r="M2092">
            <v>9.17</v>
          </cell>
          <cell r="P2092">
            <v>9.5692475463467837</v>
          </cell>
        </row>
        <row r="2093">
          <cell r="A2093" t="str">
            <v>B&amp;P-053-X-30217</v>
          </cell>
          <cell r="G2093" t="str">
            <v>IDESP</v>
          </cell>
          <cell r="L2093">
            <v>42677</v>
          </cell>
          <cell r="M2093">
            <v>15.25</v>
          </cell>
          <cell r="P2093">
            <v>5.2709999999999999</v>
          </cell>
        </row>
        <row r="2094">
          <cell r="A2094" t="str">
            <v>B&amp;P-053-X-30218</v>
          </cell>
          <cell r="G2094" t="str">
            <v>IDESP</v>
          </cell>
          <cell r="L2094">
            <v>42677</v>
          </cell>
          <cell r="M2094">
            <v>15.25</v>
          </cell>
          <cell r="P2094">
            <v>6.3280000000000003</v>
          </cell>
        </row>
        <row r="2095">
          <cell r="A2095" t="str">
            <v>B&amp;P-053-X-30219</v>
          </cell>
          <cell r="G2095" t="str">
            <v>IDESP</v>
          </cell>
          <cell r="L2095">
            <v>42677</v>
          </cell>
          <cell r="M2095">
            <v>15.25</v>
          </cell>
          <cell r="P2095">
            <v>7.3150000000000004</v>
          </cell>
        </row>
        <row r="2096">
          <cell r="A2096" t="str">
            <v>B&amp;P-053-X-30220</v>
          </cell>
          <cell r="G2096" t="str">
            <v>IDESP</v>
          </cell>
          <cell r="L2096">
            <v>42677</v>
          </cell>
          <cell r="M2096">
            <v>15.25</v>
          </cell>
          <cell r="P2096">
            <v>8.8759999999999994</v>
          </cell>
        </row>
        <row r="2097">
          <cell r="A2097" t="str">
            <v>B&amp;P-053-X-30306</v>
          </cell>
          <cell r="G2097" t="str">
            <v>IDESP</v>
          </cell>
          <cell r="L2097">
            <v>43369</v>
          </cell>
          <cell r="M2097">
            <v>38.700000000000003</v>
          </cell>
          <cell r="P2097">
            <v>1.2869999999999999</v>
          </cell>
        </row>
        <row r="2098">
          <cell r="A2098" t="str">
            <v>B&amp;P-053-X-30307</v>
          </cell>
          <cell r="G2098" t="str">
            <v>IDESP</v>
          </cell>
          <cell r="L2098">
            <v>43369</v>
          </cell>
          <cell r="M2098">
            <v>38.700000000000003</v>
          </cell>
          <cell r="P2098">
            <v>1.5604</v>
          </cell>
        </row>
        <row r="2099">
          <cell r="A2099" t="str">
            <v>B&amp;P-053-X-31308</v>
          </cell>
          <cell r="G2099" t="str">
            <v>IDESP</v>
          </cell>
          <cell r="L2099">
            <v>44781</v>
          </cell>
          <cell r="M2099">
            <v>138.75</v>
          </cell>
          <cell r="P2099">
            <v>2.5487000000000002</v>
          </cell>
        </row>
        <row r="2100">
          <cell r="A2100" t="str">
            <v>B&amp;P-053-X-320-32X</v>
          </cell>
          <cell r="G2100" t="str">
            <v>IDESP</v>
          </cell>
          <cell r="L2100">
            <v>45007</v>
          </cell>
          <cell r="M2100">
            <v>211.75</v>
          </cell>
          <cell r="P2100">
            <v>0.96599999999999997</v>
          </cell>
        </row>
        <row r="2101">
          <cell r="A2101" t="str">
            <v>B&amp;P-053-X-32005</v>
          </cell>
          <cell r="G2101" t="str">
            <v>IDESP</v>
          </cell>
          <cell r="L2101">
            <v>44781</v>
          </cell>
          <cell r="M2101">
            <v>138.75</v>
          </cell>
          <cell r="P2101">
            <v>0.80079999999999996</v>
          </cell>
        </row>
        <row r="2102">
          <cell r="A2102" t="str">
            <v>B&amp;P-053-X-32007</v>
          </cell>
          <cell r="G2102" t="str">
            <v xml:space="preserve">INAC </v>
          </cell>
          <cell r="L2102">
            <v>40876</v>
          </cell>
          <cell r="M2102">
            <v>4.28</v>
          </cell>
          <cell r="P2102">
            <v>4.0303738317757007</v>
          </cell>
        </row>
        <row r="2103">
          <cell r="A2103" t="str">
            <v>B&amp;P-053-X-32008</v>
          </cell>
          <cell r="G2103" t="str">
            <v>IDESP</v>
          </cell>
          <cell r="L2103">
            <v>45488</v>
          </cell>
          <cell r="M2103">
            <v>940</v>
          </cell>
          <cell r="P2103">
            <v>1</v>
          </cell>
        </row>
        <row r="2104">
          <cell r="A2104" t="str">
            <v>B&amp;P-053-X-32009</v>
          </cell>
          <cell r="G2104" t="str">
            <v>IPFAP</v>
          </cell>
          <cell r="L2104">
            <v>42156</v>
          </cell>
          <cell r="M2104">
            <v>9.02</v>
          </cell>
          <cell r="P2104">
            <v>2.041019955654102</v>
          </cell>
        </row>
        <row r="2105">
          <cell r="A2105" t="str">
            <v>B&amp;P-053-X-32010</v>
          </cell>
          <cell r="G2105" t="str">
            <v>IDESP</v>
          </cell>
          <cell r="L2105">
            <v>43713</v>
          </cell>
          <cell r="M2105">
            <v>57</v>
          </cell>
          <cell r="P2105">
            <v>1.456</v>
          </cell>
        </row>
        <row r="2106">
          <cell r="A2106" t="str">
            <v>B&amp;P-053-X-32010-MX</v>
          </cell>
          <cell r="G2106" t="str">
            <v>VPRet</v>
          </cell>
          <cell r="L2106">
            <v>42697</v>
          </cell>
          <cell r="M2106">
            <v>15.62</v>
          </cell>
          <cell r="P2106">
            <v>1.6999</v>
          </cell>
        </row>
        <row r="2107">
          <cell r="A2107" t="str">
            <v>B&amp;P-053-X-32011</v>
          </cell>
          <cell r="G2107" t="str">
            <v>IDESP</v>
          </cell>
          <cell r="L2107">
            <v>45951</v>
          </cell>
          <cell r="M2107">
            <v>1495</v>
          </cell>
          <cell r="P2107">
            <v>1.4</v>
          </cell>
        </row>
        <row r="2108">
          <cell r="A2108" t="str">
            <v>B&amp;P-053-X-32012</v>
          </cell>
          <cell r="G2108" t="str">
            <v>IDESP</v>
          </cell>
          <cell r="L2108">
            <v>43546</v>
          </cell>
          <cell r="M2108">
            <v>42</v>
          </cell>
          <cell r="P2108">
            <v>2.464</v>
          </cell>
        </row>
        <row r="2109">
          <cell r="A2109" t="str">
            <v>B&amp;P-053-X-32013</v>
          </cell>
          <cell r="G2109" t="str">
            <v>IDESP</v>
          </cell>
          <cell r="L2109">
            <v>45488</v>
          </cell>
          <cell r="M2109">
            <v>940</v>
          </cell>
          <cell r="P2109">
            <v>1.89</v>
          </cell>
        </row>
        <row r="2110">
          <cell r="A2110" t="str">
            <v>B&amp;P-053-X-32014</v>
          </cell>
          <cell r="G2110" t="str">
            <v>IDESP</v>
          </cell>
          <cell r="L2110">
            <v>43283</v>
          </cell>
          <cell r="M2110">
            <v>29.4</v>
          </cell>
          <cell r="P2110">
            <v>2.968</v>
          </cell>
        </row>
        <row r="2111">
          <cell r="A2111" t="str">
            <v>B&amp;P-053-X-32016</v>
          </cell>
          <cell r="G2111" t="str">
            <v>IDESP</v>
          </cell>
          <cell r="L2111">
            <v>42677</v>
          </cell>
          <cell r="M2111">
            <v>15.25</v>
          </cell>
          <cell r="P2111">
            <v>4.2140000000000004</v>
          </cell>
        </row>
        <row r="2112">
          <cell r="A2112" t="str">
            <v>B&amp;P-053-X-32205</v>
          </cell>
          <cell r="G2112" t="str">
            <v xml:space="preserve">INAC </v>
          </cell>
          <cell r="L2112">
            <v>42199</v>
          </cell>
          <cell r="M2112">
            <v>9.17</v>
          </cell>
          <cell r="P2112">
            <v>1.6793893129770994</v>
          </cell>
        </row>
        <row r="2113">
          <cell r="A2113" t="str">
            <v>B&amp;P-053-X-32206</v>
          </cell>
          <cell r="G2113" t="str">
            <v>IDESP</v>
          </cell>
          <cell r="L2113">
            <v>45007</v>
          </cell>
          <cell r="M2113">
            <v>211.75</v>
          </cell>
          <cell r="P2113">
            <v>1.0640000000000001</v>
          </cell>
        </row>
        <row r="2114">
          <cell r="A2114" t="str">
            <v>B&amp;P-053-X-32207</v>
          </cell>
          <cell r="G2114" t="str">
            <v>IDESP</v>
          </cell>
          <cell r="L2114">
            <v>45012</v>
          </cell>
          <cell r="M2114">
            <v>212.5</v>
          </cell>
          <cell r="P2114">
            <v>1.4350000000000001</v>
          </cell>
        </row>
        <row r="2115">
          <cell r="A2115" t="str">
            <v>B&amp;P-053-X-32208</v>
          </cell>
          <cell r="G2115" t="str">
            <v>IDESP</v>
          </cell>
          <cell r="L2115">
            <v>45007</v>
          </cell>
          <cell r="M2115">
            <v>211.75</v>
          </cell>
          <cell r="P2115">
            <v>1.631</v>
          </cell>
        </row>
        <row r="2116">
          <cell r="A2116" t="str">
            <v>B&amp;P-053-X-32208-MX</v>
          </cell>
          <cell r="G2116" t="str">
            <v>INDEV</v>
          </cell>
          <cell r="L2116">
            <v>41613</v>
          </cell>
          <cell r="M2116">
            <v>6.2</v>
          </cell>
          <cell r="P2116">
            <v>2.1381935483870969</v>
          </cell>
        </row>
        <row r="2117">
          <cell r="A2117" t="str">
            <v>B&amp;P-053-X-32209</v>
          </cell>
          <cell r="G2117" t="str">
            <v>IDESP</v>
          </cell>
          <cell r="L2117">
            <v>45488</v>
          </cell>
          <cell r="M2117">
            <v>940</v>
          </cell>
          <cell r="P2117">
            <v>1.59</v>
          </cell>
        </row>
        <row r="2118">
          <cell r="A2118" t="str">
            <v>B&amp;P-053-X-32210</v>
          </cell>
          <cell r="G2118" t="str">
            <v>IDESP</v>
          </cell>
          <cell r="L2118">
            <v>43369</v>
          </cell>
          <cell r="M2118">
            <v>38.700000000000003</v>
          </cell>
          <cell r="P2118">
            <v>1.9371</v>
          </cell>
        </row>
        <row r="2119">
          <cell r="A2119" t="str">
            <v>B&amp;P-053-X-32211</v>
          </cell>
          <cell r="G2119" t="str">
            <v>IDESP</v>
          </cell>
          <cell r="L2119">
            <v>43553</v>
          </cell>
          <cell r="M2119">
            <v>44.6</v>
          </cell>
          <cell r="P2119">
            <v>2.02</v>
          </cell>
        </row>
        <row r="2120">
          <cell r="A2120" t="str">
            <v>B&amp;P-053-X-32212</v>
          </cell>
          <cell r="G2120" t="str">
            <v>VPRet</v>
          </cell>
          <cell r="L2120">
            <v>41710</v>
          </cell>
          <cell r="M2120">
            <v>7.89</v>
          </cell>
          <cell r="P2120">
            <v>3.3359695817490493</v>
          </cell>
        </row>
        <row r="2121">
          <cell r="A2121" t="str">
            <v>B&amp;P-053-X-32213</v>
          </cell>
          <cell r="G2121" t="str">
            <v xml:space="preserve">CR   </v>
          </cell>
          <cell r="L2121">
            <v>43126.701226851852</v>
          </cell>
          <cell r="M2121">
            <v>19.86</v>
          </cell>
          <cell r="P2121">
            <v>3.2069486404833838</v>
          </cell>
        </row>
        <row r="2122">
          <cell r="A2122" t="str">
            <v>B&amp;P-053-X-32214</v>
          </cell>
          <cell r="G2122" t="str">
            <v>IDESP</v>
          </cell>
          <cell r="L2122">
            <v>43369</v>
          </cell>
          <cell r="M2122">
            <v>38.700000000000003</v>
          </cell>
          <cell r="P2122">
            <v>4.97</v>
          </cell>
        </row>
        <row r="2123">
          <cell r="A2123" t="str">
            <v>B&amp;P-053-X-32216</v>
          </cell>
          <cell r="G2123" t="str">
            <v>VPRet</v>
          </cell>
          <cell r="L2123">
            <v>41820</v>
          </cell>
          <cell r="M2123">
            <v>8.16</v>
          </cell>
          <cell r="P2123">
            <v>6.4972000000000003</v>
          </cell>
        </row>
        <row r="2124">
          <cell r="A2124" t="str">
            <v>B&amp;P-053-X-32217</v>
          </cell>
          <cell r="G2124" t="str">
            <v>IDESP</v>
          </cell>
          <cell r="L2124">
            <v>42522</v>
          </cell>
          <cell r="M2124">
            <v>14.35</v>
          </cell>
          <cell r="P2124">
            <v>7.55</v>
          </cell>
        </row>
        <row r="2125">
          <cell r="A2125" t="str">
            <v>B&amp;P-053-X-32218</v>
          </cell>
          <cell r="G2125" t="str">
            <v>VPRet</v>
          </cell>
          <cell r="L2125">
            <v>41943</v>
          </cell>
          <cell r="M2125">
            <v>8.51</v>
          </cell>
          <cell r="P2125">
            <v>8.120000000000001</v>
          </cell>
        </row>
        <row r="2126">
          <cell r="A2126" t="str">
            <v>B&amp;P-053-X-32306</v>
          </cell>
          <cell r="G2126" t="str">
            <v>IDESP</v>
          </cell>
          <cell r="L2126">
            <v>42677</v>
          </cell>
          <cell r="M2126">
            <v>15.25</v>
          </cell>
          <cell r="P2126">
            <v>1.841</v>
          </cell>
        </row>
        <row r="2127">
          <cell r="A2127" t="str">
            <v>B&amp;P-053-X-32307</v>
          </cell>
          <cell r="G2127" t="str">
            <v>IDESP</v>
          </cell>
          <cell r="L2127">
            <v>42677</v>
          </cell>
          <cell r="M2127">
            <v>15.25</v>
          </cell>
          <cell r="P2127">
            <v>2.093</v>
          </cell>
        </row>
        <row r="2128">
          <cell r="A2128" t="str">
            <v>B&amp;P-053-X-32308</v>
          </cell>
          <cell r="G2128" t="str">
            <v>IDESP</v>
          </cell>
          <cell r="L2128">
            <v>45488</v>
          </cell>
          <cell r="M2128">
            <v>940</v>
          </cell>
          <cell r="P2128">
            <v>2.38</v>
          </cell>
        </row>
        <row r="2129">
          <cell r="A2129" t="str">
            <v>B&amp;P-053-X-32309</v>
          </cell>
          <cell r="G2129" t="str">
            <v>IDESP</v>
          </cell>
          <cell r="L2129">
            <v>45488</v>
          </cell>
          <cell r="M2129">
            <v>940</v>
          </cell>
          <cell r="P2129">
            <v>3</v>
          </cell>
        </row>
        <row r="2130">
          <cell r="A2130" t="str">
            <v>B&amp;P-053-X-32311</v>
          </cell>
          <cell r="G2130" t="str">
            <v>IDESP</v>
          </cell>
          <cell r="L2130">
            <v>42677</v>
          </cell>
          <cell r="M2130">
            <v>15.25</v>
          </cell>
          <cell r="P2130">
            <v>5.2569999999999997</v>
          </cell>
        </row>
        <row r="2131">
          <cell r="A2131" t="str">
            <v>B&amp;P-053-X-32312</v>
          </cell>
          <cell r="G2131" t="str">
            <v>IDESP</v>
          </cell>
          <cell r="L2131">
            <v>42677</v>
          </cell>
          <cell r="M2131">
            <v>15.25</v>
          </cell>
          <cell r="P2131">
            <v>6.4539999999999997</v>
          </cell>
        </row>
        <row r="2132">
          <cell r="A2132" t="str">
            <v>B&amp;P-053-X-32314</v>
          </cell>
          <cell r="G2132" t="str">
            <v>IDESP</v>
          </cell>
          <cell r="L2132">
            <v>43313</v>
          </cell>
          <cell r="M2132">
            <v>27.9</v>
          </cell>
          <cell r="P2132">
            <v>8.9320000000000004</v>
          </cell>
        </row>
        <row r="2133">
          <cell r="A2133" t="str">
            <v>B&amp;P-053-X-32315</v>
          </cell>
          <cell r="G2133" t="str">
            <v>IDESP</v>
          </cell>
          <cell r="L2133">
            <v>42677</v>
          </cell>
          <cell r="M2133">
            <v>15.25</v>
          </cell>
          <cell r="P2133">
            <v>11.529</v>
          </cell>
        </row>
        <row r="2134">
          <cell r="A2134" t="str">
            <v>B&amp;P-053-X-32316</v>
          </cell>
          <cell r="G2134" t="str">
            <v>IDESP</v>
          </cell>
          <cell r="L2134">
            <v>43313</v>
          </cell>
          <cell r="M2134">
            <v>27.9</v>
          </cell>
          <cell r="P2134">
            <v>13.958</v>
          </cell>
        </row>
        <row r="2135">
          <cell r="A2135" t="str">
            <v>B&amp;P-053-X-33019</v>
          </cell>
          <cell r="G2135" t="str">
            <v>IDESP</v>
          </cell>
          <cell r="L2135">
            <v>42677</v>
          </cell>
          <cell r="M2135">
            <v>15.25</v>
          </cell>
          <cell r="P2135">
            <v>7.8049999999999997</v>
          </cell>
        </row>
        <row r="2136">
          <cell r="A2136" t="str">
            <v>B&amp;P-053-X-33110</v>
          </cell>
          <cell r="G2136" t="str">
            <v>IDESP</v>
          </cell>
          <cell r="L2136">
            <v>43713</v>
          </cell>
          <cell r="M2136">
            <v>57</v>
          </cell>
          <cell r="P2136">
            <v>2.23</v>
          </cell>
        </row>
        <row r="2137">
          <cell r="A2137" t="str">
            <v>B&amp;P-053-X-33117</v>
          </cell>
          <cell r="G2137" t="str">
            <v>IDESP</v>
          </cell>
          <cell r="L2137">
            <v>43369</v>
          </cell>
          <cell r="M2137">
            <v>38.700000000000003</v>
          </cell>
          <cell r="P2137">
            <v>8.34</v>
          </cell>
        </row>
        <row r="2138">
          <cell r="A2138" t="str">
            <v>B&amp;P-053-X-33207</v>
          </cell>
          <cell r="G2138" t="str">
            <v>IDESP</v>
          </cell>
          <cell r="L2138">
            <v>45488</v>
          </cell>
          <cell r="M2138">
            <v>940</v>
          </cell>
          <cell r="P2138">
            <v>1.65</v>
          </cell>
        </row>
        <row r="2139">
          <cell r="A2139" t="str">
            <v>B&amp;P-053-X-33208</v>
          </cell>
          <cell r="G2139" t="str">
            <v>IDESP</v>
          </cell>
          <cell r="L2139">
            <v>42677</v>
          </cell>
          <cell r="M2139">
            <v>15.25</v>
          </cell>
          <cell r="P2139">
            <v>2.415</v>
          </cell>
        </row>
        <row r="2140">
          <cell r="A2140" t="str">
            <v>B&amp;P-053-X-33209</v>
          </cell>
          <cell r="G2140" t="str">
            <v>IDESP</v>
          </cell>
          <cell r="L2140">
            <v>43252</v>
          </cell>
          <cell r="M2140">
            <v>25.4</v>
          </cell>
          <cell r="P2140">
            <v>2.6320000000000001</v>
          </cell>
        </row>
        <row r="2141">
          <cell r="A2141" t="str">
            <v>B&amp;P-053-X-33210</v>
          </cell>
          <cell r="G2141" t="str">
            <v>IDESP</v>
          </cell>
          <cell r="L2141">
            <v>43252</v>
          </cell>
          <cell r="M2141">
            <v>25.4</v>
          </cell>
          <cell r="P2141">
            <v>2.9470000000000001</v>
          </cell>
        </row>
        <row r="2142">
          <cell r="A2142" t="str">
            <v>B&amp;P-053-X-33211</v>
          </cell>
          <cell r="G2142" t="str">
            <v>IDESP</v>
          </cell>
          <cell r="L2142">
            <v>43252</v>
          </cell>
          <cell r="M2142">
            <v>25.4</v>
          </cell>
          <cell r="P2142">
            <v>3.9129999999999998</v>
          </cell>
        </row>
        <row r="2143">
          <cell r="A2143" t="str">
            <v>B&amp;P-053-X-33213</v>
          </cell>
          <cell r="G2143" t="str">
            <v>IDESP</v>
          </cell>
          <cell r="L2143">
            <v>42677</v>
          </cell>
          <cell r="M2143">
            <v>15.25</v>
          </cell>
          <cell r="P2143">
            <v>5.4390000000000001</v>
          </cell>
        </row>
        <row r="2144">
          <cell r="A2144" t="str">
            <v>B&amp;P-053-X-33215</v>
          </cell>
          <cell r="G2144" t="str">
            <v>IDESP</v>
          </cell>
          <cell r="L2144">
            <v>43252</v>
          </cell>
          <cell r="M2144">
            <v>25.4</v>
          </cell>
          <cell r="P2144">
            <v>6.0339999999999998</v>
          </cell>
        </row>
        <row r="2145">
          <cell r="A2145" t="str">
            <v>B&amp;P-054-010-DTR2549</v>
          </cell>
          <cell r="G2145" t="str">
            <v>IDESP</v>
          </cell>
          <cell r="L2145">
            <v>45628</v>
          </cell>
          <cell r="M2145">
            <v>1031</v>
          </cell>
          <cell r="P2145">
            <v>2.94</v>
          </cell>
        </row>
        <row r="2146">
          <cell r="A2146" t="str">
            <v>B&amp;P-054-32-Y</v>
          </cell>
          <cell r="G2146" t="str">
            <v>IDESP</v>
          </cell>
          <cell r="L2146">
            <v>42360</v>
          </cell>
          <cell r="M2146">
            <v>13.57</v>
          </cell>
          <cell r="P2146">
            <v>0.46</v>
          </cell>
        </row>
        <row r="2147">
          <cell r="A2147" t="str">
            <v>B&amp;P-054-3TY-12001</v>
          </cell>
          <cell r="G2147" t="str">
            <v>IDESP</v>
          </cell>
          <cell r="L2147">
            <v>41975</v>
          </cell>
          <cell r="M2147">
            <v>8.5500000000000007</v>
          </cell>
          <cell r="P2147">
            <v>0.34</v>
          </cell>
        </row>
        <row r="2148">
          <cell r="A2148" t="str">
            <v>B&amp;P-054-3TY-12003</v>
          </cell>
          <cell r="G2148" t="str">
            <v>IDESP</v>
          </cell>
          <cell r="L2148">
            <v>41326</v>
          </cell>
          <cell r="M2148">
            <v>5.0199999999999996</v>
          </cell>
          <cell r="P2148">
            <v>0.33</v>
          </cell>
        </row>
        <row r="2149">
          <cell r="A2149" t="str">
            <v>B&amp;P-054-3TY-12004</v>
          </cell>
          <cell r="G2149" t="str">
            <v>IDESP</v>
          </cell>
          <cell r="L2149">
            <v>41326</v>
          </cell>
          <cell r="M2149">
            <v>5.0199999999999996</v>
          </cell>
          <cell r="P2149">
            <v>0.38</v>
          </cell>
        </row>
        <row r="2150">
          <cell r="A2150" t="str">
            <v>B&amp;P-054-3TY-12006</v>
          </cell>
          <cell r="G2150" t="str">
            <v>IDESP</v>
          </cell>
          <cell r="L2150">
            <v>42769</v>
          </cell>
          <cell r="M2150">
            <v>16.09</v>
          </cell>
          <cell r="P2150">
            <v>0.36899999999999999</v>
          </cell>
        </row>
        <row r="2151">
          <cell r="A2151" t="str">
            <v>B&amp;P-054-3TY-12008</v>
          </cell>
          <cell r="G2151" t="str">
            <v>IDESP</v>
          </cell>
          <cell r="L2151">
            <v>41326</v>
          </cell>
          <cell r="M2151">
            <v>5.0199999999999996</v>
          </cell>
          <cell r="P2151">
            <v>0.38</v>
          </cell>
        </row>
        <row r="2152">
          <cell r="A2152" t="str">
            <v>B&amp;P-054-3TY-12010</v>
          </cell>
          <cell r="G2152" t="str">
            <v>IDESP</v>
          </cell>
          <cell r="L2152">
            <v>41347</v>
          </cell>
          <cell r="M2152">
            <v>5.08</v>
          </cell>
          <cell r="P2152">
            <v>1.0900000000000001</v>
          </cell>
        </row>
        <row r="2153">
          <cell r="A2153" t="str">
            <v>B&amp;P-054-3TY-12012</v>
          </cell>
          <cell r="G2153" t="str">
            <v>IDESP</v>
          </cell>
          <cell r="L2153">
            <v>41975</v>
          </cell>
          <cell r="M2153">
            <v>8.5500000000000007</v>
          </cell>
          <cell r="P2153">
            <v>0.41</v>
          </cell>
        </row>
        <row r="2154">
          <cell r="A2154" t="str">
            <v>B&amp;P-054-3TY-12024</v>
          </cell>
          <cell r="G2154" t="str">
            <v>IDESP</v>
          </cell>
          <cell r="L2154">
            <v>41326</v>
          </cell>
          <cell r="M2154">
            <v>5.0199999999999996</v>
          </cell>
          <cell r="P2154">
            <v>0.46</v>
          </cell>
        </row>
        <row r="2155">
          <cell r="A2155" t="str">
            <v>B&amp;P-054-3TY-12047</v>
          </cell>
          <cell r="G2155" t="str">
            <v>IDESP</v>
          </cell>
          <cell r="L2155">
            <v>42769</v>
          </cell>
          <cell r="M2155">
            <v>16.09</v>
          </cell>
          <cell r="P2155">
            <v>0.66600000000000004</v>
          </cell>
        </row>
        <row r="2156">
          <cell r="A2156" t="str">
            <v>B&amp;P-054-3TY-12050</v>
          </cell>
          <cell r="G2156" t="str">
            <v>IDESP</v>
          </cell>
          <cell r="L2156">
            <v>41347</v>
          </cell>
          <cell r="M2156">
            <v>5.08</v>
          </cell>
          <cell r="P2156">
            <v>0.82</v>
          </cell>
        </row>
        <row r="2157">
          <cell r="A2157" t="str">
            <v>B&amp;P-054-3TY-12057</v>
          </cell>
          <cell r="G2157" t="str">
            <v>IDESP</v>
          </cell>
          <cell r="L2157">
            <v>41326</v>
          </cell>
          <cell r="M2157">
            <v>5.0199999999999996</v>
          </cell>
          <cell r="P2157">
            <v>1.22</v>
          </cell>
        </row>
        <row r="2158">
          <cell r="A2158" t="str">
            <v>B&amp;P-054-3TY-12070</v>
          </cell>
          <cell r="G2158" t="str">
            <v>IDESP</v>
          </cell>
          <cell r="L2158">
            <v>41326</v>
          </cell>
          <cell r="M2158">
            <v>5.0199999999999996</v>
          </cell>
          <cell r="P2158">
            <v>0.51</v>
          </cell>
        </row>
        <row r="2159">
          <cell r="A2159" t="str">
            <v>B&amp;P-054-3TY-12074</v>
          </cell>
          <cell r="G2159" t="str">
            <v>IDESP</v>
          </cell>
          <cell r="L2159">
            <v>41306</v>
          </cell>
          <cell r="M2159">
            <v>4.9800000000000004</v>
          </cell>
          <cell r="P2159">
            <v>1.21</v>
          </cell>
        </row>
        <row r="2160">
          <cell r="A2160" t="str">
            <v>B&amp;P-054-3TY-12080</v>
          </cell>
          <cell r="G2160" t="str">
            <v>IDESP</v>
          </cell>
          <cell r="L2160">
            <v>42522</v>
          </cell>
          <cell r="M2160">
            <v>14.35</v>
          </cell>
          <cell r="P2160">
            <v>1.08</v>
          </cell>
        </row>
        <row r="2161">
          <cell r="A2161" t="str">
            <v>B&amp;P-054-3TY-12107</v>
          </cell>
          <cell r="G2161" t="str">
            <v>IDESP</v>
          </cell>
          <cell r="L2161">
            <v>42769</v>
          </cell>
          <cell r="M2161">
            <v>16.09</v>
          </cell>
          <cell r="P2161">
            <v>0.621</v>
          </cell>
        </row>
        <row r="2162">
          <cell r="A2162" t="str">
            <v>B&amp;P-054-3TY-12201</v>
          </cell>
          <cell r="G2162" t="str">
            <v>IDESP</v>
          </cell>
          <cell r="L2162">
            <v>41306</v>
          </cell>
          <cell r="M2162">
            <v>4.9800000000000004</v>
          </cell>
          <cell r="P2162">
            <v>1.22</v>
          </cell>
        </row>
        <row r="2163">
          <cell r="A2163" t="str">
            <v>B&amp;P-054-3TY-12401</v>
          </cell>
          <cell r="G2163" t="str">
            <v>IDESP</v>
          </cell>
          <cell r="L2163">
            <v>41306</v>
          </cell>
          <cell r="M2163">
            <v>4.9800000000000004</v>
          </cell>
          <cell r="P2163">
            <v>2.97</v>
          </cell>
        </row>
        <row r="2164">
          <cell r="A2164" t="str">
            <v>B&amp;P-054-3TY-12413</v>
          </cell>
          <cell r="G2164" t="str">
            <v>IDESP</v>
          </cell>
          <cell r="L2164">
            <v>41975</v>
          </cell>
          <cell r="M2164">
            <v>8.5500000000000007</v>
          </cell>
          <cell r="P2164">
            <v>2.2999999999999998</v>
          </cell>
        </row>
        <row r="2165">
          <cell r="A2165" t="str">
            <v>B&amp;P-054-3TY-14123</v>
          </cell>
          <cell r="G2165" t="str">
            <v>IDESP</v>
          </cell>
          <cell r="L2165">
            <v>42074</v>
          </cell>
          <cell r="M2165">
            <v>8.8000000000000007</v>
          </cell>
          <cell r="P2165">
            <v>0.57999999999999996</v>
          </cell>
        </row>
        <row r="2166">
          <cell r="A2166" t="str">
            <v>B&amp;P-054-3TY-14149</v>
          </cell>
          <cell r="G2166" t="str">
            <v>IDESP</v>
          </cell>
          <cell r="L2166">
            <v>42769</v>
          </cell>
          <cell r="M2166">
            <v>16.09</v>
          </cell>
          <cell r="P2166">
            <v>0.41699999999999998</v>
          </cell>
        </row>
        <row r="2167">
          <cell r="A2167" t="str">
            <v>B&amp;P-054-3TY-14314</v>
          </cell>
          <cell r="G2167" t="str">
            <v>IDESP</v>
          </cell>
          <cell r="L2167">
            <v>42058</v>
          </cell>
          <cell r="M2167">
            <v>8.73</v>
          </cell>
          <cell r="P2167">
            <v>0.82</v>
          </cell>
        </row>
        <row r="2168">
          <cell r="A2168" t="str">
            <v>B&amp;P-054-3TY-14349</v>
          </cell>
          <cell r="G2168" t="str">
            <v>IDESP</v>
          </cell>
          <cell r="L2168">
            <v>42058</v>
          </cell>
          <cell r="M2168">
            <v>8.73</v>
          </cell>
          <cell r="P2168">
            <v>0.75</v>
          </cell>
        </row>
        <row r="2169">
          <cell r="A2169" t="str">
            <v>B&amp;P-054-3TY-29013</v>
          </cell>
          <cell r="G2169" t="str">
            <v>IDESP</v>
          </cell>
          <cell r="L2169">
            <v>41326</v>
          </cell>
          <cell r="M2169">
            <v>5.0199999999999996</v>
          </cell>
          <cell r="P2169">
            <v>0.5</v>
          </cell>
        </row>
        <row r="2170">
          <cell r="A2170" t="str">
            <v>B&amp;P-054-3TY-74910</v>
          </cell>
          <cell r="G2170" t="str">
            <v>IDESP</v>
          </cell>
          <cell r="L2170">
            <v>41326</v>
          </cell>
          <cell r="M2170">
            <v>5.0199999999999996</v>
          </cell>
          <cell r="P2170">
            <v>0.33</v>
          </cell>
        </row>
        <row r="2171">
          <cell r="A2171" t="str">
            <v>B&amp;P-054-HM-518410</v>
          </cell>
          <cell r="G2171" t="str">
            <v xml:space="preserve">INAC </v>
          </cell>
          <cell r="L2171">
            <v>41719</v>
          </cell>
          <cell r="M2171">
            <v>7.94</v>
          </cell>
          <cell r="P2171">
            <v>5.9924433249370272</v>
          </cell>
        </row>
        <row r="2172">
          <cell r="A2172" t="str">
            <v>B&amp;P-054-HM-803110</v>
          </cell>
          <cell r="G2172" t="str">
            <v>IDESP</v>
          </cell>
          <cell r="L2172">
            <v>41645</v>
          </cell>
          <cell r="M2172">
            <v>6.59</v>
          </cell>
          <cell r="P2172">
            <v>1.44</v>
          </cell>
        </row>
        <row r="2173">
          <cell r="A2173" t="str">
            <v>B&amp;P-054-TBY-2146W39</v>
          </cell>
          <cell r="G2173" t="str">
            <v>IDESP</v>
          </cell>
          <cell r="L2173">
            <v>42733</v>
          </cell>
          <cell r="M2173">
            <v>16.079999999999998</v>
          </cell>
          <cell r="P2173">
            <v>4.1909999999999998</v>
          </cell>
        </row>
        <row r="2174">
          <cell r="A2174" t="str">
            <v>B&amp;P-054-TCY-8410</v>
          </cell>
          <cell r="G2174" t="str">
            <v>IDESP</v>
          </cell>
          <cell r="L2174">
            <v>45488</v>
          </cell>
          <cell r="M2174">
            <v>940</v>
          </cell>
          <cell r="P2174">
            <v>2.02</v>
          </cell>
        </row>
        <row r="2175">
          <cell r="A2175" t="str">
            <v>B&amp;P-054-TCY203</v>
          </cell>
          <cell r="G2175" t="str">
            <v>IDESP</v>
          </cell>
          <cell r="L2175">
            <v>44008</v>
          </cell>
          <cell r="M2175">
            <v>73</v>
          </cell>
          <cell r="P2175">
            <v>0.31080000000000002</v>
          </cell>
        </row>
        <row r="2176">
          <cell r="A2176" t="str">
            <v>B&amp;P-054-TCY204</v>
          </cell>
          <cell r="G2176" t="str">
            <v>IDESP</v>
          </cell>
          <cell r="L2176">
            <v>44008</v>
          </cell>
          <cell r="M2176">
            <v>73</v>
          </cell>
          <cell r="P2176">
            <v>0.36609999999999998</v>
          </cell>
        </row>
        <row r="2177">
          <cell r="A2177" t="str">
            <v>B&amp;P-054-TCY205</v>
          </cell>
          <cell r="G2177" t="str">
            <v>IDESP</v>
          </cell>
          <cell r="L2177">
            <v>44781</v>
          </cell>
          <cell r="M2177">
            <v>138.75</v>
          </cell>
          <cell r="P2177">
            <v>0.35310000000000002</v>
          </cell>
        </row>
        <row r="2178">
          <cell r="A2178" t="str">
            <v>B&amp;P-054-TCY206</v>
          </cell>
          <cell r="G2178" t="str">
            <v>IDESP</v>
          </cell>
          <cell r="L2178">
            <v>45488</v>
          </cell>
          <cell r="M2178">
            <v>940</v>
          </cell>
          <cell r="P2178">
            <v>0.32</v>
          </cell>
        </row>
        <row r="2179">
          <cell r="A2179" t="str">
            <v>B&amp;P-054-TCY207</v>
          </cell>
          <cell r="G2179" t="str">
            <v>IDESP</v>
          </cell>
          <cell r="L2179">
            <v>45230</v>
          </cell>
          <cell r="M2179">
            <v>365.5</v>
          </cell>
          <cell r="P2179">
            <v>0.54300000000000004</v>
          </cell>
        </row>
        <row r="2180">
          <cell r="A2180" t="str">
            <v>B&amp;P-054-TCY208</v>
          </cell>
          <cell r="G2180" t="str">
            <v>IDESP</v>
          </cell>
          <cell r="L2180">
            <v>44860</v>
          </cell>
          <cell r="M2180">
            <v>161.5</v>
          </cell>
          <cell r="P2180">
            <v>0.67649999999999999</v>
          </cell>
        </row>
        <row r="2181">
          <cell r="A2181" t="str">
            <v>B&amp;P-054-TCY209</v>
          </cell>
          <cell r="G2181" t="str">
            <v>IDESP</v>
          </cell>
          <cell r="L2181">
            <v>44860</v>
          </cell>
          <cell r="M2181">
            <v>161.5</v>
          </cell>
          <cell r="P2181">
            <v>0.75239999999999996</v>
          </cell>
        </row>
        <row r="2182">
          <cell r="A2182" t="str">
            <v>B&amp;P-054-TCY210</v>
          </cell>
          <cell r="G2182" t="str">
            <v>IDESP</v>
          </cell>
          <cell r="L2182">
            <v>45142</v>
          </cell>
          <cell r="M2182">
            <v>290</v>
          </cell>
          <cell r="P2182">
            <v>0.80400000000000005</v>
          </cell>
        </row>
        <row r="2183">
          <cell r="A2183" t="str">
            <v>B&amp;P-054-TCY211</v>
          </cell>
          <cell r="G2183" t="str">
            <v>IDESP</v>
          </cell>
          <cell r="L2183">
            <v>43369</v>
          </cell>
          <cell r="M2183">
            <v>38.700000000000003</v>
          </cell>
          <cell r="P2183">
            <v>1.0091000000000001</v>
          </cell>
        </row>
        <row r="2184">
          <cell r="A2184" t="str">
            <v>B&amp;P-054-TCY212</v>
          </cell>
          <cell r="G2184" t="str">
            <v>IDESP</v>
          </cell>
          <cell r="L2184">
            <v>44781</v>
          </cell>
          <cell r="M2184">
            <v>138.75</v>
          </cell>
          <cell r="P2184">
            <v>1.0989</v>
          </cell>
        </row>
        <row r="2185">
          <cell r="A2185" t="str">
            <v>B&amp;P-054-TCY213</v>
          </cell>
          <cell r="G2185" t="str">
            <v>IDESP</v>
          </cell>
          <cell r="L2185">
            <v>43369</v>
          </cell>
          <cell r="M2185">
            <v>38.700000000000003</v>
          </cell>
          <cell r="P2185">
            <v>1.645</v>
          </cell>
        </row>
        <row r="2186">
          <cell r="A2186" t="str">
            <v>B&amp;P-054-TCY214</v>
          </cell>
          <cell r="G2186" t="str">
            <v>IDESP</v>
          </cell>
          <cell r="L2186">
            <v>41684</v>
          </cell>
          <cell r="M2186">
            <v>7.81</v>
          </cell>
          <cell r="P2186">
            <v>1.73</v>
          </cell>
        </row>
        <row r="2187">
          <cell r="A2187" t="str">
            <v>B&amp;P-054-TCY216</v>
          </cell>
          <cell r="G2187" t="str">
            <v>IDESP</v>
          </cell>
          <cell r="L2187">
            <v>42598</v>
          </cell>
          <cell r="M2187">
            <v>15.04</v>
          </cell>
          <cell r="P2187">
            <v>2.617</v>
          </cell>
        </row>
        <row r="2188">
          <cell r="A2188" t="str">
            <v>B&amp;P-054-TCY217</v>
          </cell>
          <cell r="G2188" t="str">
            <v>IDESP</v>
          </cell>
          <cell r="L2188">
            <v>42677</v>
          </cell>
          <cell r="M2188">
            <v>15.25</v>
          </cell>
          <cell r="P2188">
            <v>2.2589999999999999</v>
          </cell>
        </row>
        <row r="2189">
          <cell r="A2189" t="str">
            <v>B&amp;P-054-TCY218</v>
          </cell>
          <cell r="G2189" t="str">
            <v>IDESP</v>
          </cell>
          <cell r="L2189">
            <v>42677</v>
          </cell>
          <cell r="M2189">
            <v>15.25</v>
          </cell>
          <cell r="P2189">
            <v>2.7120000000000002</v>
          </cell>
        </row>
        <row r="2190">
          <cell r="A2190" t="str">
            <v>B&amp;P-054-TCY219</v>
          </cell>
          <cell r="G2190" t="str">
            <v>IDESP</v>
          </cell>
          <cell r="L2190">
            <v>42677</v>
          </cell>
          <cell r="M2190">
            <v>15.25</v>
          </cell>
          <cell r="P2190">
            <v>3.1349999999999998</v>
          </cell>
        </row>
        <row r="2191">
          <cell r="A2191" t="str">
            <v>B&amp;P-054-TCY220</v>
          </cell>
          <cell r="G2191" t="str">
            <v>IDESP</v>
          </cell>
          <cell r="L2191">
            <v>42677</v>
          </cell>
          <cell r="M2191">
            <v>15.25</v>
          </cell>
          <cell r="P2191">
            <v>3.8039999999999998</v>
          </cell>
        </row>
        <row r="2192">
          <cell r="A2192" t="str">
            <v>B&amp;P-054-TCY305</v>
          </cell>
          <cell r="G2192" t="str">
            <v>IDESP</v>
          </cell>
          <cell r="L2192">
            <v>41684</v>
          </cell>
          <cell r="M2192">
            <v>7.81</v>
          </cell>
          <cell r="P2192">
            <v>0.44</v>
          </cell>
        </row>
        <row r="2193">
          <cell r="A2193" t="str">
            <v>B&amp;P-054-TCY306</v>
          </cell>
          <cell r="G2193" t="str">
            <v>IDESP</v>
          </cell>
          <cell r="L2193">
            <v>43369</v>
          </cell>
          <cell r="M2193">
            <v>38.700000000000003</v>
          </cell>
          <cell r="P2193">
            <v>0.63300000000000001</v>
          </cell>
        </row>
        <row r="2194">
          <cell r="A2194" t="str">
            <v>B&amp;P-054-TCY307</v>
          </cell>
          <cell r="G2194" t="str">
            <v>IDESP</v>
          </cell>
          <cell r="L2194">
            <v>43369</v>
          </cell>
          <cell r="M2194">
            <v>38.700000000000003</v>
          </cell>
          <cell r="P2194">
            <v>0.73960000000000004</v>
          </cell>
        </row>
        <row r="2195">
          <cell r="A2195" t="str">
            <v>B&amp;P-054-TCY308</v>
          </cell>
          <cell r="G2195" t="str">
            <v>IDESP</v>
          </cell>
          <cell r="L2195">
            <v>41684</v>
          </cell>
          <cell r="M2195">
            <v>7.81</v>
          </cell>
          <cell r="P2195">
            <v>0.91</v>
          </cell>
        </row>
        <row r="2196">
          <cell r="A2196" t="str">
            <v>B&amp;P-054-TCY309</v>
          </cell>
          <cell r="G2196" t="str">
            <v>IDESP</v>
          </cell>
          <cell r="L2196">
            <v>42598</v>
          </cell>
          <cell r="M2196">
            <v>15.04</v>
          </cell>
          <cell r="P2196">
            <v>1.2210000000000001</v>
          </cell>
        </row>
        <row r="2197">
          <cell r="A2197" t="str">
            <v>B&amp;P-054-TCY310</v>
          </cell>
          <cell r="G2197" t="str">
            <v>IDESP</v>
          </cell>
          <cell r="L2197">
            <v>43369</v>
          </cell>
          <cell r="M2197">
            <v>38.700000000000003</v>
          </cell>
          <cell r="P2197">
            <v>1.4001999999999999</v>
          </cell>
        </row>
        <row r="2198">
          <cell r="A2198" t="str">
            <v>B&amp;P-054-TCY311</v>
          </cell>
          <cell r="G2198" t="str">
            <v>IDESP</v>
          </cell>
          <cell r="L2198">
            <v>42303</v>
          </cell>
          <cell r="M2198">
            <v>9.57</v>
          </cell>
          <cell r="P2198">
            <v>1.73</v>
          </cell>
        </row>
        <row r="2199">
          <cell r="A2199" t="str">
            <v>B&amp;P-054-TDX214</v>
          </cell>
          <cell r="G2199" t="str">
            <v>IDESP</v>
          </cell>
          <cell r="L2199">
            <v>42677</v>
          </cell>
          <cell r="M2199">
            <v>15.25</v>
          </cell>
          <cell r="P2199">
            <v>2.15</v>
          </cell>
        </row>
        <row r="2200">
          <cell r="A2200" t="str">
            <v>B&amp;P-054-TDY005</v>
          </cell>
          <cell r="G2200" t="str">
            <v>IDESP</v>
          </cell>
          <cell r="L2200">
            <v>44781</v>
          </cell>
          <cell r="M2200">
            <v>138.75</v>
          </cell>
          <cell r="P2200">
            <v>0.34320000000000001</v>
          </cell>
        </row>
        <row r="2201">
          <cell r="A2201" t="str">
            <v>B&amp;P-054-TDY006</v>
          </cell>
          <cell r="G2201" t="str">
            <v>IDESP</v>
          </cell>
          <cell r="L2201">
            <v>42184</v>
          </cell>
          <cell r="M2201">
            <v>9.11</v>
          </cell>
          <cell r="P2201">
            <v>0.41</v>
          </cell>
        </row>
        <row r="2202">
          <cell r="A2202" t="str">
            <v>B&amp;P-054-TDY007</v>
          </cell>
          <cell r="G2202" t="str">
            <v>IDESP</v>
          </cell>
          <cell r="L2202">
            <v>41003</v>
          </cell>
          <cell r="M2202">
            <v>4.4000000000000004</v>
          </cell>
          <cell r="P2202">
            <v>0.48</v>
          </cell>
        </row>
        <row r="2203">
          <cell r="A2203" t="str">
            <v>B&amp;P-054-TDY008</v>
          </cell>
          <cell r="G2203" t="str">
            <v>IDESP</v>
          </cell>
          <cell r="L2203">
            <v>45488</v>
          </cell>
          <cell r="M2203">
            <v>940</v>
          </cell>
          <cell r="P2203">
            <v>0.43</v>
          </cell>
        </row>
        <row r="2204">
          <cell r="A2204" t="str">
            <v>B&amp;P-054-TDY009</v>
          </cell>
          <cell r="G2204" t="str">
            <v>IDESP</v>
          </cell>
          <cell r="L2204">
            <v>42957</v>
          </cell>
          <cell r="M2204">
            <v>18.04</v>
          </cell>
          <cell r="P2204">
            <v>0.80389999999999995</v>
          </cell>
        </row>
        <row r="2205">
          <cell r="A2205" t="str">
            <v>B&amp;P-054-TDY010</v>
          </cell>
          <cell r="G2205" t="str">
            <v>IDESP</v>
          </cell>
          <cell r="L2205">
            <v>43713</v>
          </cell>
          <cell r="M2205">
            <v>57</v>
          </cell>
          <cell r="P2205">
            <v>0.624</v>
          </cell>
        </row>
        <row r="2206">
          <cell r="A2206" t="str">
            <v>B&amp;P-054-TDY011</v>
          </cell>
          <cell r="G2206" t="str">
            <v>IDESP</v>
          </cell>
          <cell r="L2206">
            <v>45951</v>
          </cell>
          <cell r="M2206">
            <v>1495</v>
          </cell>
          <cell r="P2206">
            <v>0.6</v>
          </cell>
        </row>
        <row r="2207">
          <cell r="A2207" t="str">
            <v>B&amp;P-054-TDY012</v>
          </cell>
          <cell r="G2207" t="str">
            <v>IDESP</v>
          </cell>
          <cell r="L2207">
            <v>43546</v>
          </cell>
          <cell r="M2207">
            <v>42</v>
          </cell>
          <cell r="P2207">
            <v>1.056</v>
          </cell>
        </row>
        <row r="2208">
          <cell r="A2208" t="str">
            <v>B&amp;P-054-TDY013</v>
          </cell>
          <cell r="G2208" t="str">
            <v>IDESP</v>
          </cell>
          <cell r="L2208">
            <v>45488</v>
          </cell>
          <cell r="M2208">
            <v>940</v>
          </cell>
          <cell r="P2208">
            <v>0.81</v>
          </cell>
        </row>
        <row r="2209">
          <cell r="A2209" t="str">
            <v>B&amp;P-054-TDY014</v>
          </cell>
          <cell r="G2209" t="str">
            <v>IDESP</v>
          </cell>
          <cell r="L2209">
            <v>43283</v>
          </cell>
          <cell r="M2209">
            <v>29.4</v>
          </cell>
          <cell r="P2209">
            <v>1.272</v>
          </cell>
        </row>
        <row r="2210">
          <cell r="A2210" t="str">
            <v>B&amp;P-054-TDY016</v>
          </cell>
          <cell r="G2210" t="str">
            <v>IDESP</v>
          </cell>
          <cell r="L2210">
            <v>42677</v>
          </cell>
          <cell r="M2210">
            <v>15.25</v>
          </cell>
          <cell r="P2210">
            <v>1.806</v>
          </cell>
        </row>
        <row r="2211">
          <cell r="A2211" t="str">
            <v>B&amp;P-054-TDY205</v>
          </cell>
          <cell r="G2211" t="str">
            <v>IDESP</v>
          </cell>
          <cell r="L2211">
            <v>41684</v>
          </cell>
          <cell r="M2211">
            <v>7.81</v>
          </cell>
          <cell r="P2211">
            <v>0.39</v>
          </cell>
        </row>
        <row r="2212">
          <cell r="A2212" t="str">
            <v>B&amp;P-054-TDY206</v>
          </cell>
          <cell r="G2212" t="str">
            <v>IDESP</v>
          </cell>
          <cell r="L2212">
            <v>45007</v>
          </cell>
          <cell r="M2212">
            <v>211.75</v>
          </cell>
          <cell r="P2212">
            <v>0.45600000000000002</v>
          </cell>
        </row>
        <row r="2213">
          <cell r="A2213" t="str">
            <v>B&amp;P-054-TDY207</v>
          </cell>
          <cell r="G2213" t="str">
            <v>IDESP</v>
          </cell>
          <cell r="L2213">
            <v>45012</v>
          </cell>
          <cell r="M2213">
            <v>212.5</v>
          </cell>
          <cell r="P2213">
            <v>0.61499999999999999</v>
          </cell>
        </row>
        <row r="2214">
          <cell r="A2214" t="str">
            <v>B&amp;P-054-TDY208</v>
          </cell>
          <cell r="G2214" t="str">
            <v>IDESP</v>
          </cell>
          <cell r="L2214">
            <v>45007</v>
          </cell>
          <cell r="M2214">
            <v>211.75</v>
          </cell>
          <cell r="P2214">
            <v>0.69899999999999995</v>
          </cell>
        </row>
        <row r="2215">
          <cell r="A2215" t="str">
            <v>B&amp;P-054-TDY209</v>
          </cell>
          <cell r="G2215" t="str">
            <v>IDESP</v>
          </cell>
          <cell r="L2215">
            <v>45488</v>
          </cell>
          <cell r="M2215">
            <v>940</v>
          </cell>
          <cell r="P2215">
            <v>0.68</v>
          </cell>
        </row>
        <row r="2216">
          <cell r="A2216" t="str">
            <v>B&amp;P-054-TDY210</v>
          </cell>
          <cell r="G2216" t="str">
            <v>IDESP</v>
          </cell>
          <cell r="L2216">
            <v>43369</v>
          </cell>
          <cell r="M2216">
            <v>38.700000000000003</v>
          </cell>
          <cell r="P2216">
            <v>0.97370000000000001</v>
          </cell>
        </row>
        <row r="2217">
          <cell r="A2217" t="str">
            <v>B&amp;P-054-TDY211</v>
          </cell>
          <cell r="G2217" t="str">
            <v>IDESP</v>
          </cell>
          <cell r="L2217">
            <v>43553</v>
          </cell>
          <cell r="M2217">
            <v>44.6</v>
          </cell>
          <cell r="P2217">
            <v>0.86</v>
          </cell>
        </row>
        <row r="2218">
          <cell r="A2218" t="str">
            <v>B&amp;P-054-TDY212</v>
          </cell>
          <cell r="G2218" t="str">
            <v>IDESP</v>
          </cell>
          <cell r="L2218">
            <v>42104</v>
          </cell>
          <cell r="M2218">
            <v>8.8699999999999992</v>
          </cell>
          <cell r="P2218">
            <v>2.12</v>
          </cell>
        </row>
        <row r="2219">
          <cell r="A2219" t="str">
            <v>B&amp;P-054-TDY213</v>
          </cell>
          <cell r="G2219" t="str">
            <v>IDESP</v>
          </cell>
          <cell r="L2219">
            <v>42957</v>
          </cell>
          <cell r="M2219">
            <v>18.04</v>
          </cell>
          <cell r="P2219">
            <v>2.4327000000000001</v>
          </cell>
        </row>
        <row r="2220">
          <cell r="A2220" t="str">
            <v>B&amp;P-054-TDY214</v>
          </cell>
          <cell r="G2220" t="str">
            <v>IDESP</v>
          </cell>
          <cell r="L2220">
            <v>43369</v>
          </cell>
          <cell r="M2220">
            <v>38.700000000000003</v>
          </cell>
          <cell r="P2220">
            <v>2.13</v>
          </cell>
        </row>
        <row r="2221">
          <cell r="A2221" t="str">
            <v>B&amp;P-054-TDY215</v>
          </cell>
          <cell r="G2221" t="str">
            <v>IDESP</v>
          </cell>
          <cell r="L2221">
            <v>42303</v>
          </cell>
          <cell r="M2221">
            <v>9.57</v>
          </cell>
          <cell r="P2221">
            <v>2.0499999999999998</v>
          </cell>
        </row>
        <row r="2222">
          <cell r="A2222" t="str">
            <v>B&amp;P-054-TDY216</v>
          </cell>
          <cell r="G2222" t="str">
            <v>IDESP</v>
          </cell>
          <cell r="L2222">
            <v>42600</v>
          </cell>
          <cell r="M2222">
            <v>15.09</v>
          </cell>
          <cell r="P2222">
            <v>2.9874999999999998</v>
          </cell>
        </row>
        <row r="2223">
          <cell r="A2223" t="str">
            <v>B&amp;P-054-TDY217</v>
          </cell>
          <cell r="G2223" t="str">
            <v>IDESP</v>
          </cell>
          <cell r="L2223">
            <v>42522</v>
          </cell>
          <cell r="M2223">
            <v>14.35</v>
          </cell>
          <cell r="P2223">
            <v>3.23</v>
          </cell>
        </row>
        <row r="2224">
          <cell r="A2224" t="str">
            <v>B&amp;P-054-TDY218</v>
          </cell>
          <cell r="G2224" t="str">
            <v>IDESP</v>
          </cell>
          <cell r="L2224">
            <v>42733</v>
          </cell>
          <cell r="M2224">
            <v>16.079999999999998</v>
          </cell>
          <cell r="P2224">
            <v>3.48</v>
          </cell>
        </row>
        <row r="2225">
          <cell r="A2225" t="str">
            <v>B&amp;P-054-TDY306</v>
          </cell>
          <cell r="G2225" t="str">
            <v>IDESP</v>
          </cell>
          <cell r="L2225">
            <v>42677</v>
          </cell>
          <cell r="M2225">
            <v>15.25</v>
          </cell>
          <cell r="P2225">
            <v>0.78900000000000003</v>
          </cell>
        </row>
        <row r="2226">
          <cell r="A2226" t="str">
            <v>B&amp;P-054-TDY307</v>
          </cell>
          <cell r="G2226" t="str">
            <v>IDESP</v>
          </cell>
          <cell r="L2226">
            <v>42677</v>
          </cell>
          <cell r="M2226">
            <v>15.25</v>
          </cell>
          <cell r="P2226">
            <v>0.89700000000000002</v>
          </cell>
        </row>
        <row r="2227">
          <cell r="A2227" t="str">
            <v>B&amp;P-054-TDY308</v>
          </cell>
          <cell r="G2227" t="str">
            <v>IDESP</v>
          </cell>
          <cell r="L2227">
            <v>45488</v>
          </cell>
          <cell r="M2227">
            <v>940</v>
          </cell>
          <cell r="P2227">
            <v>1.02</v>
          </cell>
        </row>
        <row r="2228">
          <cell r="A2228" t="str">
            <v>B&amp;P-054-TDY309</v>
          </cell>
          <cell r="G2228" t="str">
            <v>IDESP</v>
          </cell>
          <cell r="L2228">
            <v>45488</v>
          </cell>
          <cell r="M2228">
            <v>940</v>
          </cell>
          <cell r="P2228">
            <v>1.29</v>
          </cell>
        </row>
        <row r="2229">
          <cell r="A2229" t="str">
            <v>B&amp;P-054-TDY310</v>
          </cell>
          <cell r="G2229" t="str">
            <v>IDESP</v>
          </cell>
          <cell r="L2229">
            <v>42598</v>
          </cell>
          <cell r="M2229">
            <v>15.04</v>
          </cell>
          <cell r="P2229">
            <v>3.0830000000000002</v>
          </cell>
        </row>
        <row r="2230">
          <cell r="A2230" t="str">
            <v>B&amp;P-054-TDY311</v>
          </cell>
          <cell r="G2230" t="str">
            <v>IDESP</v>
          </cell>
          <cell r="L2230">
            <v>42677</v>
          </cell>
          <cell r="M2230">
            <v>15.25</v>
          </cell>
          <cell r="P2230">
            <v>2.2530000000000001</v>
          </cell>
        </row>
        <row r="2231">
          <cell r="A2231" t="str">
            <v>B&amp;P-054-TDY312</v>
          </cell>
          <cell r="G2231" t="str">
            <v>IDESP</v>
          </cell>
          <cell r="L2231">
            <v>42677</v>
          </cell>
          <cell r="M2231">
            <v>15.25</v>
          </cell>
          <cell r="P2231">
            <v>2.766</v>
          </cell>
        </row>
        <row r="2232">
          <cell r="A2232" t="str">
            <v>B&amp;P-054-TDY314</v>
          </cell>
          <cell r="G2232" t="str">
            <v>IDESP</v>
          </cell>
          <cell r="L2232">
            <v>43313</v>
          </cell>
          <cell r="M2232">
            <v>27.9</v>
          </cell>
          <cell r="P2232">
            <v>3.8279999999999998</v>
          </cell>
        </row>
        <row r="2233">
          <cell r="A2233" t="str">
            <v>B&amp;P-054-TDY315</v>
          </cell>
          <cell r="G2233" t="str">
            <v>IDESP</v>
          </cell>
          <cell r="L2233">
            <v>42677</v>
          </cell>
          <cell r="M2233">
            <v>15.25</v>
          </cell>
          <cell r="P2233">
            <v>4.9409999999999998</v>
          </cell>
        </row>
        <row r="2234">
          <cell r="A2234" t="str">
            <v>B&amp;P-054-TDY316</v>
          </cell>
          <cell r="G2234" t="str">
            <v>IDESP</v>
          </cell>
          <cell r="L2234">
            <v>43313</v>
          </cell>
          <cell r="M2234">
            <v>27.9</v>
          </cell>
          <cell r="P2234">
            <v>5.9820000000000002</v>
          </cell>
        </row>
        <row r="2235">
          <cell r="A2235" t="str">
            <v>B&amp;P-054-TTY019</v>
          </cell>
          <cell r="G2235" t="str">
            <v>IDESP</v>
          </cell>
          <cell r="L2235">
            <v>42677</v>
          </cell>
          <cell r="M2235">
            <v>15.25</v>
          </cell>
          <cell r="P2235">
            <v>3.3450000000000002</v>
          </cell>
        </row>
        <row r="2236">
          <cell r="A2236" t="str">
            <v>B&amp;P-054-TTY110</v>
          </cell>
          <cell r="G2236" t="str">
            <v>IDESP</v>
          </cell>
          <cell r="L2236">
            <v>43713</v>
          </cell>
          <cell r="M2236">
            <v>57</v>
          </cell>
          <cell r="P2236">
            <v>0.96</v>
          </cell>
        </row>
        <row r="2237">
          <cell r="A2237" t="str">
            <v>B&amp;P-054-TTY117</v>
          </cell>
          <cell r="G2237" t="str">
            <v>IDESP</v>
          </cell>
          <cell r="L2237">
            <v>43369</v>
          </cell>
          <cell r="M2237">
            <v>38.700000000000003</v>
          </cell>
          <cell r="P2237">
            <v>3.57</v>
          </cell>
        </row>
        <row r="2238">
          <cell r="A2238" t="str">
            <v>B&amp;P-054-TTY207</v>
          </cell>
          <cell r="G2238" t="str">
            <v>IDESP</v>
          </cell>
          <cell r="L2238">
            <v>45488</v>
          </cell>
          <cell r="M2238">
            <v>940</v>
          </cell>
          <cell r="P2238">
            <v>0.72</v>
          </cell>
        </row>
        <row r="2239">
          <cell r="A2239" t="str">
            <v>B&amp;P-054-TTY208</v>
          </cell>
          <cell r="G2239" t="str">
            <v>IDESP</v>
          </cell>
          <cell r="L2239">
            <v>42677</v>
          </cell>
          <cell r="M2239">
            <v>15.25</v>
          </cell>
          <cell r="P2239">
            <v>1.0349999999999999</v>
          </cell>
        </row>
        <row r="2240">
          <cell r="A2240" t="str">
            <v>B&amp;P-054-TTY209</v>
          </cell>
          <cell r="G2240" t="str">
            <v>IDESP</v>
          </cell>
          <cell r="L2240">
            <v>43252</v>
          </cell>
          <cell r="M2240">
            <v>25.4</v>
          </cell>
          <cell r="P2240">
            <v>1.1279999999999999</v>
          </cell>
        </row>
        <row r="2241">
          <cell r="A2241" t="str">
            <v>B&amp;P-054-TTY210</v>
          </cell>
          <cell r="G2241" t="str">
            <v>IDESP</v>
          </cell>
          <cell r="L2241">
            <v>43252</v>
          </cell>
          <cell r="M2241">
            <v>25.4</v>
          </cell>
          <cell r="P2241">
            <v>1.2629999999999999</v>
          </cell>
        </row>
        <row r="2242">
          <cell r="A2242" t="str">
            <v>B&amp;P-054-TTY211</v>
          </cell>
          <cell r="G2242" t="str">
            <v>IDESP</v>
          </cell>
          <cell r="L2242">
            <v>43252</v>
          </cell>
          <cell r="M2242">
            <v>25.4</v>
          </cell>
          <cell r="P2242">
            <v>1.677</v>
          </cell>
        </row>
        <row r="2243">
          <cell r="A2243" t="str">
            <v>B&amp;P-054-TTY213</v>
          </cell>
          <cell r="G2243" t="str">
            <v>IDESP</v>
          </cell>
          <cell r="L2243">
            <v>42677</v>
          </cell>
          <cell r="M2243">
            <v>15.25</v>
          </cell>
          <cell r="P2243">
            <v>2.331</v>
          </cell>
        </row>
        <row r="2244">
          <cell r="A2244" t="str">
            <v>B&amp;P-054-TTY215</v>
          </cell>
          <cell r="G2244" t="str">
            <v>IDESP</v>
          </cell>
          <cell r="L2244">
            <v>43252</v>
          </cell>
          <cell r="M2244">
            <v>25.4</v>
          </cell>
          <cell r="P2244">
            <v>2.5859999999999999</v>
          </cell>
        </row>
        <row r="2245">
          <cell r="A2245" t="str">
            <v>B&amp;P-054-TY8410</v>
          </cell>
          <cell r="G2245" t="str">
            <v>IPFAP</v>
          </cell>
          <cell r="L2245">
            <v>42093</v>
          </cell>
          <cell r="M2245">
            <v>8.8699999999999992</v>
          </cell>
          <cell r="P2245">
            <v>2.9959977452085687</v>
          </cell>
        </row>
        <row r="2246">
          <cell r="A2246" t="str">
            <v>B&amp;P-054-Y-30203</v>
          </cell>
          <cell r="G2246" t="str">
            <v xml:space="preserve">CR   </v>
          </cell>
          <cell r="L2246">
            <v>41765.7965625</v>
          </cell>
          <cell r="M2246">
            <v>8.0500000000000007</v>
          </cell>
          <cell r="P2246">
            <v>0.21652173913043476</v>
          </cell>
        </row>
        <row r="2247">
          <cell r="A2247" t="str">
            <v>B&amp;P-054-Y-30204-MX</v>
          </cell>
          <cell r="G2247" t="str">
            <v>INDEV</v>
          </cell>
          <cell r="L2247">
            <v>41862</v>
          </cell>
          <cell r="M2247">
            <v>8.27</v>
          </cell>
          <cell r="P2247">
            <v>0.29339782345828297</v>
          </cell>
        </row>
        <row r="2248">
          <cell r="A2248" t="str">
            <v>B&amp;P-054-Y-30205</v>
          </cell>
          <cell r="G2248" t="str">
            <v xml:space="preserve">INSI </v>
          </cell>
          <cell r="L2248">
            <v>41621</v>
          </cell>
          <cell r="M2248">
            <v>6.28</v>
          </cell>
          <cell r="P2248">
            <v>0.37030000000000002</v>
          </cell>
        </row>
        <row r="2249">
          <cell r="A2249" t="str">
            <v>B&amp;P-054-Y-30206</v>
          </cell>
          <cell r="G2249" t="str">
            <v>INDEV</v>
          </cell>
          <cell r="L2249">
            <v>41862</v>
          </cell>
          <cell r="M2249">
            <v>8.27</v>
          </cell>
          <cell r="P2249">
            <v>0.27392986698911731</v>
          </cell>
        </row>
        <row r="2250">
          <cell r="A2250" t="str">
            <v>B&amp;P-054-Y-30207</v>
          </cell>
          <cell r="G2250" t="str">
            <v>INDEV</v>
          </cell>
          <cell r="L2250">
            <v>41852</v>
          </cell>
          <cell r="M2250">
            <v>8.2200000000000006</v>
          </cell>
          <cell r="P2250">
            <v>0.21599756690997565</v>
          </cell>
        </row>
        <row r="2251">
          <cell r="A2251" t="str">
            <v>B&amp;P-054-Y-30209</v>
          </cell>
          <cell r="G2251" t="str">
            <v>IPFAB</v>
          </cell>
          <cell r="L2251">
            <v>41873</v>
          </cell>
          <cell r="M2251">
            <v>8.36</v>
          </cell>
          <cell r="P2251">
            <v>0.79</v>
          </cell>
        </row>
        <row r="2252">
          <cell r="A2252" t="str">
            <v>B&amp;P-054-Y-30211</v>
          </cell>
          <cell r="G2252" t="str">
            <v>IPFAB</v>
          </cell>
          <cell r="L2252">
            <v>41842</v>
          </cell>
          <cell r="M2252">
            <v>8.18</v>
          </cell>
          <cell r="P2252">
            <v>1</v>
          </cell>
        </row>
        <row r="2253">
          <cell r="A2253" t="str">
            <v>B&amp;P-054-Y-30213</v>
          </cell>
          <cell r="G2253" t="str">
            <v>IPFAB</v>
          </cell>
          <cell r="L2253">
            <v>41547</v>
          </cell>
          <cell r="M2253">
            <v>5.79</v>
          </cell>
          <cell r="P2253">
            <v>1.55</v>
          </cell>
        </row>
        <row r="2254">
          <cell r="A2254" t="str">
            <v>B&amp;P-054-Y-31308</v>
          </cell>
          <cell r="G2254" t="str">
            <v>IDESP</v>
          </cell>
          <cell r="L2254">
            <v>44781</v>
          </cell>
          <cell r="M2254">
            <v>138.75</v>
          </cell>
          <cell r="P2254">
            <v>1.0923</v>
          </cell>
        </row>
        <row r="2255">
          <cell r="A2255" t="str">
            <v>B&amp;P-054-Y-320-32X</v>
          </cell>
          <cell r="G2255" t="str">
            <v>IDESP</v>
          </cell>
          <cell r="L2255">
            <v>45007</v>
          </cell>
          <cell r="M2255">
            <v>211.75</v>
          </cell>
          <cell r="P2255">
            <v>0.41399999999999998</v>
          </cell>
        </row>
        <row r="2256">
          <cell r="A2256" t="str">
            <v>B&amp;P-054-Y-32007</v>
          </cell>
          <cell r="G2256" t="str">
            <v xml:space="preserve">CR   </v>
          </cell>
          <cell r="L2256">
            <v>41103.497800925928</v>
          </cell>
          <cell r="M2256">
            <v>4.5599999999999996</v>
          </cell>
          <cell r="P2256">
            <v>0.48</v>
          </cell>
        </row>
        <row r="2257">
          <cell r="A2257" t="str">
            <v>B&amp;P-054-Y-32010-MX</v>
          </cell>
          <cell r="G2257" t="str">
            <v>IPFAB</v>
          </cell>
          <cell r="L2257">
            <v>41494</v>
          </cell>
          <cell r="M2257">
            <v>5.53</v>
          </cell>
          <cell r="P2257">
            <v>0.18079999999999999</v>
          </cell>
        </row>
        <row r="2258">
          <cell r="A2258" t="str">
            <v>B&amp;P-054-Y-32013</v>
          </cell>
          <cell r="G2258" t="str">
            <v xml:space="preserve">CR   </v>
          </cell>
          <cell r="L2258">
            <v>41103.497800925928</v>
          </cell>
          <cell r="M2258">
            <v>4.5599999999999996</v>
          </cell>
          <cell r="P2258">
            <v>1.1000000000000001</v>
          </cell>
        </row>
        <row r="2259">
          <cell r="A2259" t="str">
            <v>B&amp;P-054-Y-32208-MX</v>
          </cell>
          <cell r="G2259" t="str">
            <v>INDEV</v>
          </cell>
          <cell r="L2259">
            <v>41613</v>
          </cell>
          <cell r="M2259">
            <v>6.2</v>
          </cell>
          <cell r="P2259">
            <v>0.77700000000000002</v>
          </cell>
        </row>
        <row r="2260">
          <cell r="A2260" t="str">
            <v>B&amp;P-054-Y-32212</v>
          </cell>
          <cell r="G2260" t="str">
            <v xml:space="preserve">CR   </v>
          </cell>
          <cell r="L2260">
            <v>41765.7965625</v>
          </cell>
          <cell r="M2260">
            <v>8.0500000000000007</v>
          </cell>
          <cell r="P2260">
            <v>2.1937888198757762</v>
          </cell>
        </row>
        <row r="2261">
          <cell r="A2261" t="str">
            <v>B&amp;P-054-Y-32218</v>
          </cell>
          <cell r="G2261" t="str">
            <v xml:space="preserve">CR   </v>
          </cell>
          <cell r="L2261">
            <v>41765.7965625</v>
          </cell>
          <cell r="M2261">
            <v>8.0500000000000007</v>
          </cell>
          <cell r="P2261">
            <v>2.6223602484472046</v>
          </cell>
        </row>
        <row r="2262">
          <cell r="A2262" t="str">
            <v>B&amp;P-056-AG3565-DC</v>
          </cell>
          <cell r="G2262" t="str">
            <v>IDESP</v>
          </cell>
          <cell r="L2262">
            <v>44840</v>
          </cell>
          <cell r="M2262">
            <v>155.25</v>
          </cell>
          <cell r="P2262">
            <v>6.68</v>
          </cell>
        </row>
        <row r="2263">
          <cell r="A2263" t="str">
            <v>B&amp;P-056-AG3565-DH</v>
          </cell>
          <cell r="G2263" t="str">
            <v>IDESP</v>
          </cell>
          <cell r="L2263">
            <v>44840</v>
          </cell>
          <cell r="M2263">
            <v>155.25</v>
          </cell>
          <cell r="P2263">
            <v>11.23</v>
          </cell>
        </row>
        <row r="2264">
          <cell r="A2264" t="str">
            <v>B&amp;P-056-BP-15001-M</v>
          </cell>
          <cell r="G2264" t="str">
            <v>VPRet</v>
          </cell>
          <cell r="L2264">
            <v>42123</v>
          </cell>
          <cell r="M2264">
            <v>8.93</v>
          </cell>
          <cell r="P2264">
            <v>22.956326987681972</v>
          </cell>
        </row>
        <row r="2265">
          <cell r="A2265" t="str">
            <v>B&amp;P-056-BP-15002-M</v>
          </cell>
          <cell r="G2265" t="str">
            <v>VPRet</v>
          </cell>
          <cell r="L2265">
            <v>42123</v>
          </cell>
          <cell r="M2265">
            <v>8.93</v>
          </cell>
          <cell r="P2265">
            <v>22.956326987681972</v>
          </cell>
        </row>
        <row r="2266">
          <cell r="A2266" t="str">
            <v>B&amp;P-056-BP-15003-1M</v>
          </cell>
          <cell r="G2266" t="str">
            <v>VPRet</v>
          </cell>
          <cell r="L2266">
            <v>42123</v>
          </cell>
          <cell r="M2266">
            <v>8.93</v>
          </cell>
          <cell r="P2266">
            <v>23.824188129899216</v>
          </cell>
        </row>
        <row r="2267">
          <cell r="A2267" t="str">
            <v>B&amp;P-056-BP-15003-2M</v>
          </cell>
          <cell r="G2267" t="str">
            <v>VPRet</v>
          </cell>
          <cell r="L2267">
            <v>42123</v>
          </cell>
          <cell r="M2267">
            <v>8.93</v>
          </cell>
          <cell r="P2267">
            <v>23.824188129899216</v>
          </cell>
        </row>
        <row r="2268">
          <cell r="A2268" t="str">
            <v>B&amp;P-056-BP-15004-M</v>
          </cell>
          <cell r="G2268" t="str">
            <v>VPRet</v>
          </cell>
          <cell r="L2268">
            <v>42123</v>
          </cell>
          <cell r="M2268">
            <v>8.93</v>
          </cell>
          <cell r="P2268">
            <v>17.245240761478165</v>
          </cell>
        </row>
        <row r="2269">
          <cell r="A2269" t="str">
            <v>B&amp;P-056-DS2565C25CHS</v>
          </cell>
          <cell r="G2269" t="str">
            <v>IDESP</v>
          </cell>
          <cell r="L2269">
            <v>45587</v>
          </cell>
          <cell r="M2269">
            <v>1004.5</v>
          </cell>
          <cell r="P2269">
            <v>6.95</v>
          </cell>
        </row>
        <row r="2270">
          <cell r="A2270" t="str">
            <v>B&amp;P-056-ENG458025-CH</v>
          </cell>
          <cell r="G2270" t="str">
            <v>IDESP</v>
          </cell>
          <cell r="L2270">
            <v>45776</v>
          </cell>
          <cell r="M2270">
            <v>1190</v>
          </cell>
          <cell r="P2270">
            <v>2.68</v>
          </cell>
        </row>
        <row r="2271">
          <cell r="A2271" t="str">
            <v>B&amp;P-056-M040000048</v>
          </cell>
          <cell r="G2271" t="str">
            <v>IDESP</v>
          </cell>
          <cell r="L2271">
            <v>45958</v>
          </cell>
          <cell r="M2271">
            <v>1460</v>
          </cell>
          <cell r="P2271">
            <v>11.61</v>
          </cell>
        </row>
        <row r="2272">
          <cell r="A2272" t="str">
            <v>B&amp;P-056-M040000050</v>
          </cell>
          <cell r="G2272" t="str">
            <v>IDESP</v>
          </cell>
          <cell r="L2272">
            <v>45958</v>
          </cell>
          <cell r="M2272">
            <v>1460</v>
          </cell>
          <cell r="P2272">
            <v>2.25</v>
          </cell>
        </row>
        <row r="2273">
          <cell r="A2273" t="str">
            <v>B&amp;P-058-30203-MX</v>
          </cell>
          <cell r="G2273" t="str">
            <v>vpret</v>
          </cell>
          <cell r="L2273">
            <v>44410</v>
          </cell>
          <cell r="M2273">
            <v>101.75</v>
          </cell>
          <cell r="P2273">
            <v>1.1300000000000001</v>
          </cell>
        </row>
        <row r="2274">
          <cell r="A2274" t="str">
            <v>B&amp;P-058-30204-MX</v>
          </cell>
          <cell r="G2274" t="str">
            <v>IPFAP</v>
          </cell>
          <cell r="L2274">
            <v>44964</v>
          </cell>
          <cell r="M2274">
            <v>196</v>
          </cell>
          <cell r="P2274">
            <v>0.60438775510204079</v>
          </cell>
        </row>
        <row r="2275">
          <cell r="A2275" t="str">
            <v>B&amp;P-058-30205-MX</v>
          </cell>
          <cell r="G2275" t="str">
            <v>vpret</v>
          </cell>
          <cell r="L2275">
            <v>45411</v>
          </cell>
          <cell r="M2275">
            <v>894</v>
          </cell>
          <cell r="P2275">
            <v>1.175821029082774</v>
          </cell>
        </row>
        <row r="2276">
          <cell r="A2276" t="str">
            <v>B&amp;P-058-30206-MX</v>
          </cell>
          <cell r="G2276" t="str">
            <v>vpret</v>
          </cell>
          <cell r="L2276">
            <v>45841</v>
          </cell>
          <cell r="M2276">
            <v>1245</v>
          </cell>
          <cell r="P2276">
            <v>1.0259437751004015</v>
          </cell>
        </row>
        <row r="2277">
          <cell r="A2277" t="str">
            <v>B&amp;P-058-30207-MX</v>
          </cell>
          <cell r="G2277" t="str">
            <v>vpret</v>
          </cell>
          <cell r="L2277">
            <v>45279</v>
          </cell>
          <cell r="M2277">
            <v>822.5</v>
          </cell>
          <cell r="P2277">
            <v>1.8099999999999998</v>
          </cell>
        </row>
        <row r="2278">
          <cell r="A2278" t="str">
            <v>B&amp;P-058-30208-MX</v>
          </cell>
          <cell r="G2278" t="str">
            <v>vpret</v>
          </cell>
          <cell r="L2278">
            <v>45425</v>
          </cell>
          <cell r="M2278">
            <v>901.5</v>
          </cell>
          <cell r="P2278">
            <v>2.2487465335551855</v>
          </cell>
        </row>
        <row r="2279">
          <cell r="A2279" t="str">
            <v>B&amp;P-058-30209-MX</v>
          </cell>
          <cell r="G2279" t="str">
            <v>vpret</v>
          </cell>
          <cell r="L2279">
            <v>45420</v>
          </cell>
          <cell r="M2279">
            <v>899.5</v>
          </cell>
          <cell r="P2279">
            <v>2.5066058921623124</v>
          </cell>
        </row>
        <row r="2280">
          <cell r="A2280" t="str">
            <v>B&amp;P-058-30210-MX</v>
          </cell>
          <cell r="G2280" t="str">
            <v>vpret</v>
          </cell>
          <cell r="L2280">
            <v>45945</v>
          </cell>
          <cell r="M2280">
            <v>1385</v>
          </cell>
          <cell r="P2280">
            <v>1.4749602888086641</v>
          </cell>
        </row>
        <row r="2281">
          <cell r="A2281" t="str">
            <v>B&amp;P-058-30211-MX</v>
          </cell>
          <cell r="G2281" t="str">
            <v>vpret</v>
          </cell>
          <cell r="L2281">
            <v>43802</v>
          </cell>
          <cell r="M2281">
            <v>62.25</v>
          </cell>
          <cell r="P2281">
            <v>3.1090999999999998</v>
          </cell>
        </row>
        <row r="2282">
          <cell r="A2282" t="str">
            <v>B&amp;P-058-30213-MX</v>
          </cell>
          <cell r="G2282" t="str">
            <v>VPRet</v>
          </cell>
          <cell r="L2282">
            <v>43675</v>
          </cell>
          <cell r="M2282">
            <v>44.4</v>
          </cell>
          <cell r="P2282">
            <v>4.7499000000000002</v>
          </cell>
        </row>
        <row r="2283">
          <cell r="A2283" t="str">
            <v>B&amp;P-058-30214-MX</v>
          </cell>
          <cell r="G2283" t="str">
            <v>vpret</v>
          </cell>
          <cell r="L2283">
            <v>43595</v>
          </cell>
          <cell r="M2283">
            <v>46.3</v>
          </cell>
          <cell r="P2283">
            <v>3.6252483801295896</v>
          </cell>
        </row>
        <row r="2284">
          <cell r="A2284" t="str">
            <v>B&amp;P-058-30217-MX</v>
          </cell>
          <cell r="G2284" t="str">
            <v>vpret</v>
          </cell>
          <cell r="L2284">
            <v>43416</v>
          </cell>
          <cell r="M2284">
            <v>36.299999999999997</v>
          </cell>
          <cell r="P2284">
            <v>7.53</v>
          </cell>
        </row>
        <row r="2285">
          <cell r="A2285" t="str">
            <v>B&amp;P-058-30218-MX</v>
          </cell>
          <cell r="G2285" t="str">
            <v>vpret</v>
          </cell>
          <cell r="L2285">
            <v>43444</v>
          </cell>
          <cell r="M2285">
            <v>38.299999999999997</v>
          </cell>
          <cell r="P2285">
            <v>9.0400000000000009</v>
          </cell>
        </row>
        <row r="2286">
          <cell r="A2286" t="str">
            <v>B&amp;P-058-30219-MX</v>
          </cell>
          <cell r="G2286" t="str">
            <v>VPRet</v>
          </cell>
          <cell r="L2286">
            <v>43417</v>
          </cell>
          <cell r="M2286">
            <v>36.5</v>
          </cell>
          <cell r="P2286">
            <v>10.450000000000001</v>
          </cell>
        </row>
        <row r="2287">
          <cell r="A2287" t="str">
            <v>B&amp;P-058-30220-MX</v>
          </cell>
          <cell r="G2287" t="str">
            <v>vpret</v>
          </cell>
          <cell r="L2287">
            <v>43412</v>
          </cell>
          <cell r="M2287">
            <v>36.6</v>
          </cell>
          <cell r="P2287">
            <v>12.610710382513661</v>
          </cell>
        </row>
        <row r="2288">
          <cell r="A2288" t="str">
            <v>B&amp;P-058-30305-MX</v>
          </cell>
          <cell r="G2288" t="str">
            <v>vpret</v>
          </cell>
          <cell r="L2288">
            <v>43628</v>
          </cell>
          <cell r="M2288">
            <v>45.7</v>
          </cell>
          <cell r="P2288">
            <v>0.71899343544857752</v>
          </cell>
        </row>
        <row r="2289">
          <cell r="A2289" t="str">
            <v>B&amp;P-058-30306-MX</v>
          </cell>
          <cell r="G2289" t="str">
            <v>vpret</v>
          </cell>
          <cell r="L2289">
            <v>43818</v>
          </cell>
          <cell r="M2289">
            <v>63</v>
          </cell>
          <cell r="P2289">
            <v>1.92</v>
          </cell>
        </row>
        <row r="2290">
          <cell r="A2290" t="str">
            <v>B&amp;P-058-30307-MX</v>
          </cell>
          <cell r="G2290" t="str">
            <v>vpret</v>
          </cell>
          <cell r="L2290">
            <v>43818</v>
          </cell>
          <cell r="M2290">
            <v>63</v>
          </cell>
          <cell r="P2290">
            <v>2.3000000000000003</v>
          </cell>
        </row>
        <row r="2291">
          <cell r="A2291" t="str">
            <v>B&amp;P-058-30308-MX</v>
          </cell>
          <cell r="G2291" t="str">
            <v>IPFAP</v>
          </cell>
          <cell r="L2291">
            <v>43592</v>
          </cell>
          <cell r="M2291">
            <v>45.7</v>
          </cell>
          <cell r="P2291">
            <v>1.4994967177242888</v>
          </cell>
        </row>
        <row r="2292">
          <cell r="A2292" t="str">
            <v>B&amp;P-058-30310-MX</v>
          </cell>
          <cell r="G2292" t="str">
            <v>IPFAP</v>
          </cell>
          <cell r="L2292">
            <v>43600</v>
          </cell>
          <cell r="M2292">
            <v>46</v>
          </cell>
          <cell r="P2292">
            <v>2.9843999999999999</v>
          </cell>
        </row>
        <row r="2293">
          <cell r="A2293" t="str">
            <v>B&amp;P-058-30311-MX</v>
          </cell>
          <cell r="G2293" t="str">
            <v>IPFAP</v>
          </cell>
          <cell r="L2293">
            <v>43592</v>
          </cell>
          <cell r="M2293">
            <v>45.7</v>
          </cell>
          <cell r="P2293">
            <v>6.42</v>
          </cell>
        </row>
        <row r="2294">
          <cell r="A2294" t="str">
            <v>B&amp;P-058-31308-MX</v>
          </cell>
          <cell r="G2294" t="str">
            <v xml:space="preserve">INAC </v>
          </cell>
          <cell r="L2294">
            <v>43220</v>
          </cell>
          <cell r="M2294">
            <v>20.92</v>
          </cell>
          <cell r="P2294">
            <v>14.340344168260037</v>
          </cell>
        </row>
        <row r="2295">
          <cell r="A2295" t="str">
            <v>B&amp;P-058-320-32X</v>
          </cell>
          <cell r="G2295" t="str">
            <v>vpret</v>
          </cell>
          <cell r="L2295">
            <v>45063</v>
          </cell>
          <cell r="M2295">
            <v>240.5</v>
          </cell>
          <cell r="P2295">
            <v>1.3427027027027028</v>
          </cell>
        </row>
        <row r="2296">
          <cell r="A2296" t="str">
            <v>B&amp;P-058-32005-MX</v>
          </cell>
          <cell r="G2296" t="str">
            <v>vpret</v>
          </cell>
          <cell r="L2296">
            <v>45427</v>
          </cell>
          <cell r="M2296">
            <v>904</v>
          </cell>
          <cell r="P2296">
            <v>1.1376725663716813</v>
          </cell>
        </row>
        <row r="2297">
          <cell r="A2297" t="str">
            <v>B&amp;P-058-32007-MX</v>
          </cell>
          <cell r="G2297" t="str">
            <v>vpret</v>
          </cell>
          <cell r="L2297">
            <v>43062</v>
          </cell>
          <cell r="M2297">
            <v>17.79</v>
          </cell>
          <cell r="P2297">
            <v>1.1078808319280495</v>
          </cell>
        </row>
        <row r="2298">
          <cell r="A2298" t="str">
            <v>B&amp;P-058-32008-MX</v>
          </cell>
          <cell r="G2298" t="str">
            <v>vpret</v>
          </cell>
          <cell r="L2298">
            <v>45173</v>
          </cell>
          <cell r="M2298">
            <v>365.5</v>
          </cell>
          <cell r="P2298">
            <v>1.5199999999999998</v>
          </cell>
        </row>
        <row r="2299">
          <cell r="A2299" t="str">
            <v>B&amp;P-058-32009-MX</v>
          </cell>
          <cell r="G2299" t="str">
            <v>IPFAP</v>
          </cell>
          <cell r="L2299">
            <v>43601</v>
          </cell>
          <cell r="M2299">
            <v>46</v>
          </cell>
          <cell r="P2299">
            <v>2.7006521739130434</v>
          </cell>
        </row>
        <row r="2300">
          <cell r="A2300" t="str">
            <v>B&amp;P-058-32010-MX</v>
          </cell>
          <cell r="G2300" t="str">
            <v>vpret</v>
          </cell>
          <cell r="L2300">
            <v>44468</v>
          </cell>
          <cell r="M2300">
            <v>103.75</v>
          </cell>
          <cell r="P2300">
            <v>2.3439325301204819</v>
          </cell>
        </row>
        <row r="2301">
          <cell r="A2301" t="str">
            <v>B&amp;P-058-32011-MX</v>
          </cell>
          <cell r="G2301" t="str">
            <v>vpret</v>
          </cell>
          <cell r="L2301">
            <v>45959</v>
          </cell>
          <cell r="M2301">
            <v>1495</v>
          </cell>
          <cell r="P2301">
            <v>2.0267558528428093</v>
          </cell>
        </row>
        <row r="2302">
          <cell r="A2302" t="str">
            <v>B&amp;P-058-32012-MX</v>
          </cell>
          <cell r="G2302" t="str">
            <v>vpret</v>
          </cell>
          <cell r="L2302">
            <v>43552</v>
          </cell>
          <cell r="M2302">
            <v>44.9</v>
          </cell>
          <cell r="P2302">
            <v>3.52</v>
          </cell>
        </row>
        <row r="2303">
          <cell r="A2303" t="str">
            <v>B&amp;P-058-32013-MX</v>
          </cell>
          <cell r="G2303" t="str">
            <v>vpret</v>
          </cell>
          <cell r="L2303">
            <v>45173</v>
          </cell>
          <cell r="M2303">
            <v>365.5</v>
          </cell>
          <cell r="P2303">
            <v>3.11</v>
          </cell>
        </row>
        <row r="2304">
          <cell r="A2304" t="str">
            <v>B&amp;P-058-32014-MX</v>
          </cell>
          <cell r="G2304" t="str">
            <v>vpret</v>
          </cell>
          <cell r="L2304">
            <v>44222</v>
          </cell>
          <cell r="M2304">
            <v>92</v>
          </cell>
          <cell r="P2304">
            <v>4.24</v>
          </cell>
        </row>
        <row r="2305">
          <cell r="A2305" t="str">
            <v>B&amp;P-058-32016-MX</v>
          </cell>
          <cell r="G2305" t="str">
            <v>vpret</v>
          </cell>
          <cell r="L2305">
            <v>44272</v>
          </cell>
          <cell r="M2305">
            <v>96.25</v>
          </cell>
          <cell r="P2305">
            <v>6.02</v>
          </cell>
        </row>
        <row r="2306">
          <cell r="A2306" t="str">
            <v>B&amp;P-058-32205-MX</v>
          </cell>
          <cell r="G2306" t="str">
            <v>vpret</v>
          </cell>
          <cell r="L2306">
            <v>44026</v>
          </cell>
          <cell r="M2306">
            <v>74.5</v>
          </cell>
          <cell r="P2306">
            <v>0.59671140939597311</v>
          </cell>
        </row>
        <row r="2307">
          <cell r="A2307" t="str">
            <v>B&amp;P-058-32206-MX</v>
          </cell>
          <cell r="G2307" t="str">
            <v>vpret</v>
          </cell>
          <cell r="L2307">
            <v>45230</v>
          </cell>
          <cell r="M2307">
            <v>365.5</v>
          </cell>
          <cell r="P2307">
            <v>1.5199999999999998</v>
          </cell>
        </row>
        <row r="2308">
          <cell r="A2308" t="str">
            <v>B&amp;P-058-32207-MX</v>
          </cell>
          <cell r="G2308" t="str">
            <v>vpret</v>
          </cell>
          <cell r="L2308">
            <v>45432</v>
          </cell>
          <cell r="M2308">
            <v>905.5</v>
          </cell>
          <cell r="P2308">
            <v>2.0352843732744339</v>
          </cell>
        </row>
        <row r="2309">
          <cell r="A2309" t="str">
            <v>B&amp;P-058-32208-MX</v>
          </cell>
          <cell r="G2309" t="str">
            <v>vpret</v>
          </cell>
          <cell r="L2309">
            <v>45428</v>
          </cell>
          <cell r="M2309">
            <v>904.5</v>
          </cell>
          <cell r="P2309">
            <v>2.3158319513543395</v>
          </cell>
        </row>
        <row r="2310">
          <cell r="A2310" t="str">
            <v>B&amp;P-058-32209-MX</v>
          </cell>
          <cell r="G2310" t="str">
            <v>vpret</v>
          </cell>
          <cell r="L2310">
            <v>45800</v>
          </cell>
          <cell r="M2310">
            <v>1155</v>
          </cell>
          <cell r="P2310">
            <v>2.2798268398268395</v>
          </cell>
        </row>
        <row r="2311">
          <cell r="A2311" t="str">
            <v>B&amp;P-058-32211-MX</v>
          </cell>
          <cell r="G2311" t="str">
            <v>vpret</v>
          </cell>
          <cell r="L2311">
            <v>43721</v>
          </cell>
          <cell r="M2311">
            <v>57.25</v>
          </cell>
          <cell r="P2311">
            <v>2.88</v>
          </cell>
        </row>
        <row r="2312">
          <cell r="A2312" t="str">
            <v>B&amp;P-058-32213-MX</v>
          </cell>
          <cell r="G2312" t="str">
            <v xml:space="preserve">INAC </v>
          </cell>
          <cell r="L2312">
            <v>43880</v>
          </cell>
          <cell r="M2312">
            <v>63.25</v>
          </cell>
          <cell r="P2312">
            <v>7.9958703557312258</v>
          </cell>
        </row>
        <row r="2313">
          <cell r="A2313" t="str">
            <v>B&amp;P-058-32214-MX</v>
          </cell>
          <cell r="G2313" t="str">
            <v>IPFAP</v>
          </cell>
          <cell r="L2313">
            <v>43600</v>
          </cell>
          <cell r="M2313">
            <v>46</v>
          </cell>
          <cell r="P2313">
            <v>7.1000000000000005</v>
          </cell>
        </row>
        <row r="2314">
          <cell r="A2314" t="str">
            <v>B&amp;P-058-32215-MX</v>
          </cell>
          <cell r="G2314" t="str">
            <v>IPFAP</v>
          </cell>
          <cell r="L2314">
            <v>43150</v>
          </cell>
          <cell r="M2314">
            <v>20.02</v>
          </cell>
          <cell r="P2314">
            <v>7.6</v>
          </cell>
        </row>
        <row r="2315">
          <cell r="A2315" t="str">
            <v>B&amp;P-058-32216-MX</v>
          </cell>
          <cell r="G2315" t="str">
            <v>vpret</v>
          </cell>
          <cell r="L2315">
            <v>43188</v>
          </cell>
          <cell r="M2315">
            <v>20.46</v>
          </cell>
          <cell r="P2315">
            <v>9.4808000000000003</v>
          </cell>
        </row>
        <row r="2316">
          <cell r="A2316" t="str">
            <v>B&amp;P-058-32217-MX</v>
          </cell>
          <cell r="G2316" t="str">
            <v>vpret</v>
          </cell>
          <cell r="L2316">
            <v>43244</v>
          </cell>
          <cell r="M2316">
            <v>24.9</v>
          </cell>
          <cell r="P2316">
            <v>10.780000000000001</v>
          </cell>
        </row>
        <row r="2317">
          <cell r="A2317" t="str">
            <v>B&amp;P-058-32218-MX</v>
          </cell>
          <cell r="G2317" t="str">
            <v>vpret</v>
          </cell>
          <cell r="L2317">
            <v>44473</v>
          </cell>
          <cell r="M2317">
            <v>104</v>
          </cell>
          <cell r="P2317">
            <v>11.488461538461538</v>
          </cell>
        </row>
        <row r="2318">
          <cell r="A2318" t="str">
            <v>B&amp;P-058-32306-MX</v>
          </cell>
          <cell r="G2318" t="str">
            <v>vpret</v>
          </cell>
          <cell r="L2318">
            <v>43237</v>
          </cell>
          <cell r="M2318">
            <v>24.8</v>
          </cell>
          <cell r="P2318">
            <v>2.63</v>
          </cell>
        </row>
        <row r="2319">
          <cell r="A2319" t="str">
            <v>B&amp;P-058-32307-MX</v>
          </cell>
          <cell r="G2319" t="str">
            <v>vpret</v>
          </cell>
          <cell r="L2319">
            <v>43234</v>
          </cell>
          <cell r="M2319">
            <v>23.83</v>
          </cell>
          <cell r="P2319">
            <v>2.99</v>
          </cell>
        </row>
        <row r="2320">
          <cell r="A2320" t="str">
            <v>B&amp;P-058-32308-MX</v>
          </cell>
          <cell r="G2320" t="str">
            <v>vpret</v>
          </cell>
          <cell r="L2320">
            <v>45866</v>
          </cell>
          <cell r="M2320">
            <v>1295</v>
          </cell>
          <cell r="P2320">
            <v>3.3474903474903477</v>
          </cell>
        </row>
        <row r="2321">
          <cell r="A2321" t="str">
            <v>B&amp;P-058-32309-MX</v>
          </cell>
          <cell r="G2321" t="str">
            <v>vpret</v>
          </cell>
          <cell r="L2321">
            <v>45866</v>
          </cell>
          <cell r="M2321">
            <v>1295</v>
          </cell>
          <cell r="P2321">
            <v>4.2237451737451739</v>
          </cell>
        </row>
        <row r="2322">
          <cell r="A2322" t="str">
            <v>B&amp;P-058-32310-MX</v>
          </cell>
          <cell r="G2322" t="str">
            <v>vpret</v>
          </cell>
          <cell r="L2322">
            <v>43291</v>
          </cell>
          <cell r="M2322">
            <v>28.4</v>
          </cell>
          <cell r="P2322">
            <v>7.6700000000000008</v>
          </cell>
        </row>
        <row r="2323">
          <cell r="A2323" t="str">
            <v>B&amp;P-058-32311-MX</v>
          </cell>
          <cell r="G2323" t="str">
            <v>vpret</v>
          </cell>
          <cell r="L2323">
            <v>43271</v>
          </cell>
          <cell r="M2323">
            <v>28.1</v>
          </cell>
          <cell r="P2323">
            <v>7.51</v>
          </cell>
        </row>
        <row r="2324">
          <cell r="A2324" t="str">
            <v>B&amp;P-058-32312-MX</v>
          </cell>
          <cell r="G2324" t="str">
            <v>vpret</v>
          </cell>
          <cell r="L2324">
            <v>43271</v>
          </cell>
          <cell r="M2324">
            <v>28.1</v>
          </cell>
          <cell r="P2324">
            <v>9.2199999999999989</v>
          </cell>
        </row>
        <row r="2325">
          <cell r="A2325" t="str">
            <v>B&amp;P-058-32314-MX</v>
          </cell>
          <cell r="G2325" t="str">
            <v>vpret</v>
          </cell>
          <cell r="L2325">
            <v>43354</v>
          </cell>
          <cell r="M2325">
            <v>38</v>
          </cell>
          <cell r="P2325">
            <v>12.76</v>
          </cell>
        </row>
        <row r="2326">
          <cell r="A2326" t="str">
            <v>B&amp;P-058-32315-MX</v>
          </cell>
          <cell r="G2326" t="str">
            <v>vpret</v>
          </cell>
          <cell r="L2326">
            <v>43227</v>
          </cell>
          <cell r="M2326">
            <v>22.2</v>
          </cell>
          <cell r="P2326">
            <v>16.470000000000002</v>
          </cell>
        </row>
        <row r="2327">
          <cell r="A2327" t="str">
            <v>B&amp;P-058-32316-MX</v>
          </cell>
          <cell r="G2327" t="str">
            <v>vpret</v>
          </cell>
          <cell r="L2327">
            <v>44253</v>
          </cell>
          <cell r="M2327">
            <v>94.5</v>
          </cell>
          <cell r="P2327">
            <v>19.939999999999998</v>
          </cell>
        </row>
        <row r="2328">
          <cell r="A2328" t="str">
            <v>B&amp;P-058-33019-MX</v>
          </cell>
          <cell r="G2328" t="str">
            <v>vpret</v>
          </cell>
          <cell r="L2328">
            <v>43227</v>
          </cell>
          <cell r="M2328">
            <v>22.2</v>
          </cell>
          <cell r="P2328">
            <v>11.15</v>
          </cell>
        </row>
        <row r="2329">
          <cell r="A2329" t="str">
            <v>B&amp;P-058-33110-MX</v>
          </cell>
          <cell r="G2329" t="str">
            <v xml:space="preserve">INAC </v>
          </cell>
          <cell r="L2329">
            <v>45855</v>
          </cell>
          <cell r="M2329">
            <v>1275</v>
          </cell>
          <cell r="P2329">
            <v>5.7995662745098038</v>
          </cell>
        </row>
        <row r="2330">
          <cell r="A2330" t="str">
            <v>B&amp;P-058-33112-MX</v>
          </cell>
          <cell r="G2330" t="str">
            <v>vpret</v>
          </cell>
          <cell r="L2330">
            <v>43224</v>
          </cell>
          <cell r="M2330">
            <v>23.27</v>
          </cell>
          <cell r="P2330">
            <v>9.7240000000000002</v>
          </cell>
        </row>
        <row r="2331">
          <cell r="A2331" t="str">
            <v>B&amp;P-058-33117-MX</v>
          </cell>
          <cell r="G2331" t="str">
            <v>vpret</v>
          </cell>
          <cell r="L2331">
            <v>43651</v>
          </cell>
          <cell r="M2331">
            <v>42.8</v>
          </cell>
          <cell r="P2331">
            <v>11.91</v>
          </cell>
        </row>
        <row r="2332">
          <cell r="A2332" t="str">
            <v>B&amp;P-058-33207-MX</v>
          </cell>
          <cell r="G2332" t="str">
            <v>vpret</v>
          </cell>
          <cell r="L2332">
            <v>45432</v>
          </cell>
          <cell r="M2332">
            <v>905.5</v>
          </cell>
          <cell r="P2332">
            <v>2.5614798453892877</v>
          </cell>
        </row>
        <row r="2333">
          <cell r="A2333" t="str">
            <v>B&amp;P-058-33208-MX</v>
          </cell>
          <cell r="G2333" t="str">
            <v>VPRet</v>
          </cell>
          <cell r="L2333">
            <v>43000</v>
          </cell>
          <cell r="M2333">
            <v>17.579999999999998</v>
          </cell>
          <cell r="P2333">
            <v>3.4500000000000006</v>
          </cell>
        </row>
        <row r="2334">
          <cell r="A2334" t="str">
            <v>B&amp;P-058-33209-MX</v>
          </cell>
          <cell r="G2334" t="str">
            <v>IPFAP</v>
          </cell>
          <cell r="L2334">
            <v>43899</v>
          </cell>
          <cell r="M2334">
            <v>64</v>
          </cell>
          <cell r="P2334">
            <v>3.76</v>
          </cell>
        </row>
        <row r="2335">
          <cell r="A2335" t="str">
            <v>B&amp;P-058-33210-MX</v>
          </cell>
          <cell r="G2335" t="str">
            <v>vpret</v>
          </cell>
          <cell r="L2335">
            <v>44071</v>
          </cell>
          <cell r="M2335">
            <v>77.75</v>
          </cell>
          <cell r="P2335">
            <v>4.21</v>
          </cell>
        </row>
        <row r="2336">
          <cell r="A2336" t="str">
            <v>B&amp;P-058-33211-MX</v>
          </cell>
          <cell r="G2336" t="str">
            <v>vpret</v>
          </cell>
          <cell r="L2336">
            <v>44272</v>
          </cell>
          <cell r="M2336">
            <v>96.25</v>
          </cell>
          <cell r="P2336">
            <v>5.59</v>
          </cell>
        </row>
        <row r="2337">
          <cell r="A2337" t="str">
            <v>B&amp;P-058-33213-MX</v>
          </cell>
          <cell r="G2337" t="str">
            <v>VPRet</v>
          </cell>
          <cell r="L2337">
            <v>43004</v>
          </cell>
          <cell r="M2337">
            <v>17.600000000000001</v>
          </cell>
          <cell r="P2337">
            <v>7.77</v>
          </cell>
        </row>
        <row r="2338">
          <cell r="A2338" t="str">
            <v>B&amp;P-058-33215-MX</v>
          </cell>
          <cell r="G2338" t="str">
            <v>IPFAP</v>
          </cell>
          <cell r="L2338">
            <v>43816</v>
          </cell>
          <cell r="M2338">
            <v>63</v>
          </cell>
          <cell r="P2338">
            <v>8.6199999999999992</v>
          </cell>
        </row>
        <row r="2339">
          <cell r="A2339" t="str">
            <v>B&amp;P-058-3T-12001-MX</v>
          </cell>
          <cell r="G2339" t="str">
            <v>VPRet</v>
          </cell>
          <cell r="L2339">
            <v>42166</v>
          </cell>
          <cell r="M2339">
            <v>9.07</v>
          </cell>
          <cell r="P2339">
            <v>1.0792171995589857</v>
          </cell>
        </row>
        <row r="2340">
          <cell r="A2340" t="str">
            <v>B&amp;P-058-3T-12012-MX</v>
          </cell>
          <cell r="G2340" t="str">
            <v xml:space="preserve">CR   </v>
          </cell>
          <cell r="L2340">
            <v>43126.701226851852</v>
          </cell>
          <cell r="M2340">
            <v>19.86</v>
          </cell>
          <cell r="P2340">
            <v>0.47552870090634447</v>
          </cell>
        </row>
        <row r="2341">
          <cell r="A2341" t="str">
            <v>B&amp;P-058-3T-12413-MX</v>
          </cell>
          <cell r="G2341" t="str">
            <v>VPRet</v>
          </cell>
          <cell r="L2341">
            <v>42171</v>
          </cell>
          <cell r="M2341">
            <v>9.07</v>
          </cell>
          <cell r="P2341">
            <v>7.246999999999999</v>
          </cell>
        </row>
        <row r="2342">
          <cell r="A2342" t="str">
            <v>B&amp;P-058-3T-14123-MX</v>
          </cell>
          <cell r="G2342" t="str">
            <v>VPRet</v>
          </cell>
          <cell r="L2342">
            <v>42166</v>
          </cell>
          <cell r="M2342">
            <v>9.07</v>
          </cell>
          <cell r="P2342">
            <v>1.6875192943770672</v>
          </cell>
        </row>
        <row r="2343">
          <cell r="A2343" t="str">
            <v>B&amp;P-058-3T-14314-MX</v>
          </cell>
          <cell r="G2343" t="str">
            <v>VPRet</v>
          </cell>
          <cell r="L2343">
            <v>42166</v>
          </cell>
          <cell r="M2343">
            <v>9.07</v>
          </cell>
          <cell r="P2343">
            <v>2.4382028665931643</v>
          </cell>
        </row>
        <row r="2344">
          <cell r="A2344" t="str">
            <v>B&amp;P-058-3T-14349-MX</v>
          </cell>
          <cell r="G2344" t="str">
            <v>VPRet</v>
          </cell>
          <cell r="L2344">
            <v>42170</v>
          </cell>
          <cell r="M2344">
            <v>9.07</v>
          </cell>
          <cell r="P2344">
            <v>2.379</v>
          </cell>
        </row>
        <row r="2345">
          <cell r="A2345" t="str">
            <v>B&amp;P-058-HM-518445-41</v>
          </cell>
          <cell r="G2345" t="str">
            <v>vpret</v>
          </cell>
          <cell r="L2345">
            <v>46006</v>
          </cell>
          <cell r="M2345">
            <v>1465</v>
          </cell>
          <cell r="P2345">
            <v>6.1826621160409561</v>
          </cell>
        </row>
        <row r="2346">
          <cell r="A2346" t="str">
            <v>B&amp;P-058-LM68149-110</v>
          </cell>
          <cell r="G2346" t="str">
            <v>vpret</v>
          </cell>
          <cell r="L2346">
            <v>44334</v>
          </cell>
          <cell r="M2346">
            <v>99.25</v>
          </cell>
          <cell r="P2346">
            <v>1.6079999999999999</v>
          </cell>
        </row>
        <row r="2347">
          <cell r="A2347" t="str">
            <v>B&amp;P-059-AG59001-A1</v>
          </cell>
          <cell r="G2347" t="str">
            <v xml:space="preserve">INAC </v>
          </cell>
          <cell r="L2347">
            <v>45435</v>
          </cell>
          <cell r="M2347">
            <v>908.5</v>
          </cell>
          <cell r="P2347">
            <v>19.81287837094111</v>
          </cell>
        </row>
        <row r="2348">
          <cell r="A2348" t="str">
            <v>B&amp;P-059-AG590026-01</v>
          </cell>
          <cell r="G2348" t="str">
            <v>IDESP</v>
          </cell>
          <cell r="L2348">
            <v>45020</v>
          </cell>
          <cell r="M2348">
            <v>216.5</v>
          </cell>
          <cell r="P2348">
            <v>10.31</v>
          </cell>
        </row>
        <row r="2349">
          <cell r="A2349" t="str">
            <v>B&amp;P-059-AG590026-01Z</v>
          </cell>
          <cell r="G2349" t="str">
            <v xml:space="preserve">INAC </v>
          </cell>
          <cell r="L2349">
            <v>44792</v>
          </cell>
          <cell r="M2349">
            <v>142</v>
          </cell>
          <cell r="P2349">
            <v>9.4760387323943664</v>
          </cell>
        </row>
        <row r="2350">
          <cell r="A2350" t="str">
            <v>B&amp;P-059-AG590026-02</v>
          </cell>
          <cell r="G2350" t="str">
            <v>IDESP</v>
          </cell>
          <cell r="L2350">
            <v>45020</v>
          </cell>
          <cell r="M2350">
            <v>216.5</v>
          </cell>
          <cell r="P2350">
            <v>4.67</v>
          </cell>
        </row>
        <row r="2351">
          <cell r="A2351" t="str">
            <v>B&amp;P-059-AG590026-02Z</v>
          </cell>
          <cell r="G2351" t="str">
            <v>InRet</v>
          </cell>
          <cell r="L2351">
            <v>44650</v>
          </cell>
          <cell r="M2351">
            <v>115.75</v>
          </cell>
          <cell r="P2351">
            <v>0.76632397408207342</v>
          </cell>
        </row>
        <row r="2352">
          <cell r="A2352" t="str">
            <v>B&amp;P-059-AG590026-04</v>
          </cell>
          <cell r="G2352" t="str">
            <v>IDESP</v>
          </cell>
          <cell r="L2352">
            <v>45020</v>
          </cell>
          <cell r="M2352">
            <v>216.5</v>
          </cell>
          <cell r="P2352">
            <v>0.92</v>
          </cell>
        </row>
        <row r="2353">
          <cell r="A2353" t="str">
            <v>B&amp;P-059-AG590026-04Z</v>
          </cell>
          <cell r="G2353" t="str">
            <v>InRet</v>
          </cell>
          <cell r="L2353">
            <v>44622</v>
          </cell>
          <cell r="M2353">
            <v>112.5</v>
          </cell>
          <cell r="P2353">
            <v>2.8617777777777777E-2</v>
          </cell>
        </row>
        <row r="2354">
          <cell r="A2354" t="str">
            <v>B&amp;P-059-AG590026-05</v>
          </cell>
          <cell r="G2354" t="str">
            <v>IDESP</v>
          </cell>
          <cell r="L2354">
            <v>45628</v>
          </cell>
          <cell r="M2354">
            <v>1031</v>
          </cell>
          <cell r="P2354">
            <v>0.32</v>
          </cell>
        </row>
        <row r="2355">
          <cell r="A2355" t="str">
            <v>B&amp;P-059-AG590026-2B</v>
          </cell>
          <cell r="G2355" t="str">
            <v>IPFAP</v>
          </cell>
          <cell r="L2355">
            <v>44606</v>
          </cell>
          <cell r="M2355">
            <v>111.25</v>
          </cell>
          <cell r="P2355">
            <v>4.3027955056179774</v>
          </cell>
        </row>
        <row r="2356">
          <cell r="A2356" t="str">
            <v>B&amp;P-059-AG59517-01</v>
          </cell>
          <cell r="G2356" t="str">
            <v>vpret</v>
          </cell>
          <cell r="L2356">
            <v>45603</v>
          </cell>
          <cell r="M2356">
            <v>1014</v>
          </cell>
          <cell r="P2356">
            <v>17.751479289940828</v>
          </cell>
        </row>
        <row r="2357">
          <cell r="A2357" t="str">
            <v>B&amp;P-059-AG59517-02</v>
          </cell>
          <cell r="G2357" t="str">
            <v>vpret</v>
          </cell>
          <cell r="L2357">
            <v>45624</v>
          </cell>
          <cell r="M2357">
            <v>1028</v>
          </cell>
          <cell r="P2357">
            <v>6.3026050583657591</v>
          </cell>
        </row>
        <row r="2358">
          <cell r="A2358" t="str">
            <v>B&amp;P-059-AG59517-65</v>
          </cell>
          <cell r="G2358" t="str">
            <v>vpret</v>
          </cell>
          <cell r="L2358">
            <v>45629</v>
          </cell>
          <cell r="M2358">
            <v>1032</v>
          </cell>
          <cell r="P2358">
            <v>33.582536821705425</v>
          </cell>
        </row>
        <row r="2359">
          <cell r="A2359" t="str">
            <v>B&amp;P-059-AG59520-01</v>
          </cell>
          <cell r="G2359" t="str">
            <v>vpret</v>
          </cell>
          <cell r="L2359">
            <v>45498</v>
          </cell>
          <cell r="M2359">
            <v>946.5</v>
          </cell>
          <cell r="P2359">
            <v>19.017432646592709</v>
          </cell>
        </row>
        <row r="2360">
          <cell r="A2360" t="str">
            <v>B&amp;P-059-AG59520-02</v>
          </cell>
          <cell r="G2360" t="str">
            <v>vpret</v>
          </cell>
          <cell r="L2360">
            <v>45504</v>
          </cell>
          <cell r="M2360">
            <v>951</v>
          </cell>
          <cell r="P2360">
            <v>4.4447518401682435</v>
          </cell>
        </row>
        <row r="2361">
          <cell r="A2361" t="str">
            <v>B&amp;P-059-AG59520-62</v>
          </cell>
          <cell r="G2361" t="str">
            <v>vpret</v>
          </cell>
          <cell r="L2361">
            <v>45989</v>
          </cell>
          <cell r="M2361">
            <v>1475</v>
          </cell>
          <cell r="P2361">
            <v>23.31587186440678</v>
          </cell>
        </row>
        <row r="2362">
          <cell r="A2362" t="str">
            <v>B&amp;P-059-AGHUB39FM20</v>
          </cell>
          <cell r="G2362" t="str">
            <v>vpret</v>
          </cell>
          <cell r="L2362">
            <v>45315</v>
          </cell>
          <cell r="M2362">
            <v>841.25</v>
          </cell>
          <cell r="P2362">
            <v>6.5049628528974743</v>
          </cell>
        </row>
        <row r="2363">
          <cell r="A2363" t="str">
            <v>B&amp;P-059-S41211-A1</v>
          </cell>
          <cell r="G2363" t="str">
            <v>INSI$</v>
          </cell>
          <cell r="L2363">
            <v>45895</v>
          </cell>
          <cell r="M2363">
            <v>1370</v>
          </cell>
          <cell r="P2363">
            <v>7.42</v>
          </cell>
        </row>
        <row r="2364">
          <cell r="A2364" t="str">
            <v>B&amp;P-059-S41211-AT</v>
          </cell>
          <cell r="G2364" t="str">
            <v>vpret</v>
          </cell>
          <cell r="L2364">
            <v>45917</v>
          </cell>
          <cell r="M2364">
            <v>1480</v>
          </cell>
          <cell r="P2364">
            <v>9.5163175675675671</v>
          </cell>
        </row>
        <row r="2365">
          <cell r="A2365" t="str">
            <v>B&amp;P-059-S41211-B1</v>
          </cell>
          <cell r="G2365" t="str">
            <v>vpret</v>
          </cell>
          <cell r="L2365">
            <v>45902</v>
          </cell>
          <cell r="M2365">
            <v>1385</v>
          </cell>
          <cell r="P2365">
            <v>7.3396389891696749</v>
          </cell>
        </row>
        <row r="2366">
          <cell r="A2366" t="str">
            <v>B&amp;P-059-S41211-DTR</v>
          </cell>
          <cell r="G2366" t="str">
            <v>vpret</v>
          </cell>
          <cell r="L2366">
            <v>45926</v>
          </cell>
          <cell r="M2366">
            <v>1355</v>
          </cell>
          <cell r="P2366">
            <v>16.970651660516605</v>
          </cell>
        </row>
        <row r="2367">
          <cell r="A2367" t="str">
            <v>B&amp;P-999-001</v>
          </cell>
          <cell r="G2367" t="str">
            <v>IDESP</v>
          </cell>
          <cell r="L2367">
            <v>45952</v>
          </cell>
          <cell r="M2367">
            <v>1515</v>
          </cell>
          <cell r="P2367">
            <v>24</v>
          </cell>
        </row>
        <row r="2368">
          <cell r="A2368" t="str">
            <v>B&amp;P-999-002</v>
          </cell>
          <cell r="G2368" t="str">
            <v>IDESP</v>
          </cell>
          <cell r="L2368">
            <v>45952</v>
          </cell>
          <cell r="M2368">
            <v>1515</v>
          </cell>
          <cell r="P2368">
            <v>275</v>
          </cell>
        </row>
        <row r="2369">
          <cell r="A2369" t="str">
            <v>B&amp;P-999-003</v>
          </cell>
          <cell r="G2369" t="str">
            <v>IDESP</v>
          </cell>
          <cell r="L2369">
            <v>45952</v>
          </cell>
          <cell r="M2369">
            <v>1515</v>
          </cell>
          <cell r="P2369">
            <v>275</v>
          </cell>
        </row>
        <row r="2370">
          <cell r="A2370" t="str">
            <v>B&amp;P-999-003-TDX010</v>
          </cell>
          <cell r="G2370" t="str">
            <v>IPFAP</v>
          </cell>
          <cell r="L2370">
            <v>44329</v>
          </cell>
          <cell r="M2370">
            <v>99</v>
          </cell>
          <cell r="P2370">
            <v>1.67E-2</v>
          </cell>
        </row>
        <row r="2371">
          <cell r="A2371" t="str">
            <v>B&amp;P-999-004</v>
          </cell>
          <cell r="G2371" t="str">
            <v>IDESP</v>
          </cell>
          <cell r="L2371">
            <v>45952</v>
          </cell>
          <cell r="M2371">
            <v>1515</v>
          </cell>
          <cell r="P2371">
            <v>5</v>
          </cell>
        </row>
        <row r="2372">
          <cell r="A2372" t="str">
            <v>B&amp;P-999-005</v>
          </cell>
          <cell r="G2372" t="str">
            <v>IDESP</v>
          </cell>
          <cell r="L2372">
            <v>45952</v>
          </cell>
          <cell r="M2372">
            <v>1515</v>
          </cell>
          <cell r="P2372">
            <v>5</v>
          </cell>
        </row>
        <row r="2373">
          <cell r="A2373" t="str">
            <v>B&amp;P-999-006</v>
          </cell>
          <cell r="G2373" t="str">
            <v>IDESP</v>
          </cell>
          <cell r="L2373">
            <v>45952</v>
          </cell>
          <cell r="M2373">
            <v>1515</v>
          </cell>
          <cell r="P2373">
            <v>85</v>
          </cell>
        </row>
        <row r="2374">
          <cell r="A2374" t="str">
            <v>B&amp;P-999-009</v>
          </cell>
          <cell r="G2374" t="str">
            <v>IDESP</v>
          </cell>
          <cell r="L2374">
            <v>45992</v>
          </cell>
          <cell r="M2374">
            <v>1475</v>
          </cell>
          <cell r="P2374">
            <v>259.02999999999997</v>
          </cell>
        </row>
        <row r="2375">
          <cell r="A2375" t="str">
            <v>B&amp;P-999-010</v>
          </cell>
          <cell r="G2375" t="str">
            <v>IDESP</v>
          </cell>
          <cell r="L2375">
            <v>45992</v>
          </cell>
          <cell r="M2375">
            <v>1475</v>
          </cell>
          <cell r="P2375">
            <v>72.89</v>
          </cell>
        </row>
        <row r="2376">
          <cell r="A2376" t="str">
            <v>B&amp;P-999-011</v>
          </cell>
          <cell r="G2376" t="str">
            <v>IDESP</v>
          </cell>
          <cell r="L2376">
            <v>45992</v>
          </cell>
          <cell r="M2376">
            <v>1475</v>
          </cell>
          <cell r="P2376">
            <v>14.34</v>
          </cell>
        </row>
        <row r="2377">
          <cell r="A2377" t="str">
            <v>B&amp;P-999-012</v>
          </cell>
          <cell r="G2377" t="str">
            <v>IDESP</v>
          </cell>
          <cell r="L2377">
            <v>45992</v>
          </cell>
          <cell r="M2377">
            <v>1475</v>
          </cell>
          <cell r="P2377">
            <v>17.48</v>
          </cell>
        </row>
        <row r="2378">
          <cell r="A2378" t="str">
            <v>B&amp;P-999-1209-TN-C3</v>
          </cell>
          <cell r="G2378" t="str">
            <v>IPFAP</v>
          </cell>
          <cell r="L2378">
            <v>44267</v>
          </cell>
          <cell r="M2378">
            <v>95.75</v>
          </cell>
          <cell r="P2378">
            <v>2.5817232375979111E-2</v>
          </cell>
        </row>
        <row r="2379">
          <cell r="A2379" t="str">
            <v>B&amp;P-999-205-KYYB5</v>
          </cell>
          <cell r="G2379" t="str">
            <v>IPFAP</v>
          </cell>
          <cell r="L2379">
            <v>43249</v>
          </cell>
          <cell r="M2379">
            <v>25.2</v>
          </cell>
          <cell r="P2379">
            <v>2.0746825396825397</v>
          </cell>
        </row>
        <row r="2380">
          <cell r="A2380" t="str">
            <v>B&amp;P-999-206-RW-08</v>
          </cell>
          <cell r="G2380" t="str">
            <v>IPFAP</v>
          </cell>
          <cell r="L2380">
            <v>44302</v>
          </cell>
          <cell r="M2380">
            <v>98.25</v>
          </cell>
          <cell r="P2380">
            <v>1.0899745547073791E-2</v>
          </cell>
        </row>
        <row r="2381">
          <cell r="A2381" t="str">
            <v>B&amp;P-999-32005-MX</v>
          </cell>
          <cell r="G2381" t="str">
            <v>vpret</v>
          </cell>
          <cell r="L2381">
            <v>45427</v>
          </cell>
          <cell r="M2381">
            <v>904</v>
          </cell>
          <cell r="P2381">
            <v>0.72596238938053093</v>
          </cell>
        </row>
        <row r="2382">
          <cell r="A2382" t="str">
            <v>B&amp;P-999-32006-MX</v>
          </cell>
          <cell r="G2382" t="str">
            <v>vpret</v>
          </cell>
          <cell r="L2382">
            <v>45744</v>
          </cell>
          <cell r="M2382">
            <v>1091.75</v>
          </cell>
          <cell r="P2382">
            <v>0.67922143347836039</v>
          </cell>
        </row>
        <row r="2383">
          <cell r="A2383" t="str">
            <v>B&amp;P-999-32311-MX</v>
          </cell>
          <cell r="G2383" t="str">
            <v>vpret</v>
          </cell>
          <cell r="L2383">
            <v>45520</v>
          </cell>
          <cell r="M2383">
            <v>960</v>
          </cell>
          <cell r="P2383">
            <v>5.8164843749999999</v>
          </cell>
        </row>
        <row r="2384">
          <cell r="A2384" t="str">
            <v>B&amp;P-999-5203-KYY2</v>
          </cell>
          <cell r="G2384" t="str">
            <v>IPFAB</v>
          </cell>
          <cell r="L2384">
            <v>42845</v>
          </cell>
          <cell r="M2384">
            <v>15.75</v>
          </cell>
          <cell r="P2384">
            <v>1.88</v>
          </cell>
        </row>
        <row r="2385">
          <cell r="A2385" t="str">
            <v>B&amp;P-999-5204-KPP3</v>
          </cell>
          <cell r="G2385" t="str">
            <v>IDESP</v>
          </cell>
          <cell r="L2385">
            <v>42447</v>
          </cell>
          <cell r="M2385">
            <v>15.15</v>
          </cell>
          <cell r="P2385">
            <v>3.157</v>
          </cell>
        </row>
        <row r="2386">
          <cell r="A2386" t="str">
            <v>B&amp;P-999-6209-2RS</v>
          </cell>
          <cell r="G2386" t="str">
            <v>IPFAB</v>
          </cell>
          <cell r="L2386">
            <v>43168</v>
          </cell>
          <cell r="M2386">
            <v>20.62</v>
          </cell>
          <cell r="P2386">
            <v>2.3744000000000001</v>
          </cell>
        </row>
        <row r="2387">
          <cell r="A2387" t="str">
            <v>B&amp;P-999-ACL-209-45DG</v>
          </cell>
          <cell r="G2387" t="str">
            <v xml:space="preserve">INAC </v>
          </cell>
          <cell r="L2387">
            <v>42361</v>
          </cell>
          <cell r="M2387">
            <v>13.47</v>
          </cell>
          <cell r="P2387">
            <v>7.2100965107646626</v>
          </cell>
        </row>
        <row r="2388">
          <cell r="A2388" t="str">
            <v>B&amp;P-999-ECL-205-25DG</v>
          </cell>
          <cell r="G2388" t="str">
            <v>IPFAP</v>
          </cell>
          <cell r="L2388">
            <v>42304</v>
          </cell>
          <cell r="M2388">
            <v>9.58</v>
          </cell>
          <cell r="P2388">
            <v>1.9466701461377871</v>
          </cell>
        </row>
        <row r="2389">
          <cell r="A2389" t="str">
            <v>B&amp;P-999-ECL-207-35DG</v>
          </cell>
          <cell r="G2389" t="str">
            <v>IPFAP</v>
          </cell>
          <cell r="L2389">
            <v>45191</v>
          </cell>
          <cell r="M2389">
            <v>365.5</v>
          </cell>
          <cell r="P2389">
            <v>1.1573187414500683</v>
          </cell>
        </row>
        <row r="2390">
          <cell r="A2390" t="str">
            <v>B&amp;P-999-ECL-211-55DG</v>
          </cell>
          <cell r="G2390" t="str">
            <v xml:space="preserve">INAC </v>
          </cell>
          <cell r="L2390">
            <v>44001</v>
          </cell>
          <cell r="M2390">
            <v>72.5</v>
          </cell>
          <cell r="P2390">
            <v>15.834482758620689</v>
          </cell>
        </row>
        <row r="2391">
          <cell r="A2391" t="str">
            <v>B&amp;P-999-ECL209-45DG</v>
          </cell>
          <cell r="G2391" t="str">
            <v xml:space="preserve">INAC </v>
          </cell>
          <cell r="L2391">
            <v>42460</v>
          </cell>
          <cell r="M2391">
            <v>14.9</v>
          </cell>
          <cell r="P2391">
            <v>6.4805302013422814</v>
          </cell>
        </row>
        <row r="2392">
          <cell r="A2392" t="str">
            <v>B&amp;P-999-MS02-2RLD-C3</v>
          </cell>
          <cell r="G2392" t="str">
            <v>IPFAP</v>
          </cell>
          <cell r="L2392">
            <v>42811</v>
          </cell>
          <cell r="M2392">
            <v>15.84</v>
          </cell>
          <cell r="P2392">
            <v>0.41603535353535354</v>
          </cell>
        </row>
        <row r="2393">
          <cell r="A2393" t="str">
            <v>B&amp;P-999-MS06-D-C3</v>
          </cell>
          <cell r="G2393" t="str">
            <v xml:space="preserve">INAC </v>
          </cell>
          <cell r="L2393">
            <v>42361</v>
          </cell>
          <cell r="M2393">
            <v>13.47</v>
          </cell>
          <cell r="P2393">
            <v>2.3036377134372681</v>
          </cell>
        </row>
        <row r="2394">
          <cell r="A2394" t="str">
            <v>B&amp;P-999-MS07-D-C3</v>
          </cell>
          <cell r="G2394" t="str">
            <v>IPFAP</v>
          </cell>
          <cell r="L2394">
            <v>43305</v>
          </cell>
          <cell r="M2394">
            <v>28.1</v>
          </cell>
          <cell r="P2394">
            <v>2.7804270462633447</v>
          </cell>
        </row>
        <row r="2395">
          <cell r="A2395" t="str">
            <v>B&amp;P-999-PE-211</v>
          </cell>
          <cell r="G2395" t="str">
            <v>IPFAP</v>
          </cell>
          <cell r="L2395">
            <v>44329</v>
          </cell>
          <cell r="M2395">
            <v>99</v>
          </cell>
          <cell r="P2395">
            <v>6.1999999999999993</v>
          </cell>
        </row>
        <row r="2396">
          <cell r="A2396" t="str">
            <v>B&amp;P-999-PF-6-Z</v>
          </cell>
          <cell r="G2396" t="str">
            <v>IPFAP</v>
          </cell>
          <cell r="L2396">
            <v>44314</v>
          </cell>
          <cell r="M2396">
            <v>98.5</v>
          </cell>
          <cell r="P2396">
            <v>1.01</v>
          </cell>
        </row>
        <row r="2397">
          <cell r="A2397" t="str">
            <v>B&amp;P-999-SAB-207-35DG</v>
          </cell>
          <cell r="G2397" t="str">
            <v>IPFAP</v>
          </cell>
          <cell r="L2397">
            <v>42467</v>
          </cell>
          <cell r="M2397">
            <v>15.08</v>
          </cell>
          <cell r="P2397">
            <v>2.4843368700265249</v>
          </cell>
        </row>
        <row r="2398">
          <cell r="A2398" t="str">
            <v>B&amp;P-999-SAB205-25DG</v>
          </cell>
          <cell r="G2398" t="str">
            <v xml:space="preserve">INAC </v>
          </cell>
          <cell r="L2398">
            <v>45254</v>
          </cell>
          <cell r="M2398">
            <v>372.5</v>
          </cell>
          <cell r="P2398">
            <v>1.7367382550335568</v>
          </cell>
        </row>
        <row r="2399">
          <cell r="A2399" t="str">
            <v>B&amp;P-999-SER-25MM</v>
          </cell>
          <cell r="G2399" t="str">
            <v>IPFAB</v>
          </cell>
          <cell r="L2399">
            <v>42339</v>
          </cell>
          <cell r="M2399">
            <v>9.75</v>
          </cell>
          <cell r="P2399">
            <v>2.056</v>
          </cell>
        </row>
        <row r="2400">
          <cell r="A2400" t="str">
            <v>B&amp;P-999-TCY204</v>
          </cell>
          <cell r="G2400" t="str">
            <v>IPFAP</v>
          </cell>
          <cell r="L2400">
            <v>42108</v>
          </cell>
          <cell r="M2400">
            <v>8.89</v>
          </cell>
          <cell r="P2400">
            <v>0.35995500562429694</v>
          </cell>
        </row>
        <row r="2401">
          <cell r="A2401" t="str">
            <v>B&amp;P-999-TDX005-MX</v>
          </cell>
          <cell r="G2401" t="str">
            <v>IPFAB</v>
          </cell>
          <cell r="L2401">
            <v>42333</v>
          </cell>
          <cell r="M2401">
            <v>9.74</v>
          </cell>
          <cell r="P2401">
            <v>1.01</v>
          </cell>
        </row>
        <row r="2402">
          <cell r="A2402" t="str">
            <v>B&amp;P-999-X-30203</v>
          </cell>
          <cell r="G2402" t="str">
            <v>IPFAP</v>
          </cell>
          <cell r="L2402">
            <v>42114</v>
          </cell>
          <cell r="M2402">
            <v>8.9</v>
          </cell>
          <cell r="P2402">
            <v>1.0838764044943818</v>
          </cell>
        </row>
        <row r="2403">
          <cell r="A2403" t="str">
            <v>B&amp;P-999-X-32007</v>
          </cell>
          <cell r="G2403" t="str">
            <v>IPFAP</v>
          </cell>
          <cell r="L2403">
            <v>44327</v>
          </cell>
          <cell r="M2403">
            <v>99</v>
          </cell>
          <cell r="P2403">
            <v>1.4242424242424242E-2</v>
          </cell>
        </row>
        <row r="2404">
          <cell r="A2404" t="str">
            <v>B&amp;P-ALU-AE-1CW100</v>
          </cell>
          <cell r="G2404" t="str">
            <v>IDESP</v>
          </cell>
          <cell r="L2404">
            <v>42251</v>
          </cell>
          <cell r="M2404">
            <v>9.36</v>
          </cell>
          <cell r="P2404">
            <v>150</v>
          </cell>
        </row>
        <row r="2405">
          <cell r="A2405" t="str">
            <v>B&amp;P-ALU-AE-1CW50</v>
          </cell>
          <cell r="G2405" t="str">
            <v>IDESP</v>
          </cell>
          <cell r="L2405">
            <v>42251</v>
          </cell>
          <cell r="M2405">
            <v>9.36</v>
          </cell>
          <cell r="P2405">
            <v>100</v>
          </cell>
        </row>
        <row r="2406">
          <cell r="A2406" t="str">
            <v>B&amp;P-ALU-AIO-BATTERY</v>
          </cell>
          <cell r="G2406" t="str">
            <v>IDESP</v>
          </cell>
          <cell r="L2406">
            <v>43732</v>
          </cell>
          <cell r="M2406">
            <v>58.5</v>
          </cell>
          <cell r="P2406">
            <v>82</v>
          </cell>
        </row>
        <row r="2407">
          <cell r="A2407" t="str">
            <v>B&amp;P-ALU-AIO-CHARGER</v>
          </cell>
          <cell r="G2407" t="str">
            <v>IDESP</v>
          </cell>
          <cell r="L2407">
            <v>43732</v>
          </cell>
          <cell r="M2407">
            <v>58.5</v>
          </cell>
          <cell r="P2407">
            <v>10</v>
          </cell>
        </row>
        <row r="2408">
          <cell r="A2408" t="str">
            <v>B&amp;P-ALU-AIO-SOLPANEL</v>
          </cell>
          <cell r="G2408" t="str">
            <v>IDESP</v>
          </cell>
          <cell r="L2408">
            <v>43732</v>
          </cell>
          <cell r="M2408">
            <v>58.5</v>
          </cell>
          <cell r="P2408">
            <v>28</v>
          </cell>
        </row>
        <row r="2409">
          <cell r="A2409" t="str">
            <v>B&amp;P-ALU-Arrow-CREE</v>
          </cell>
          <cell r="G2409" t="str">
            <v xml:space="preserve">CR   </v>
          </cell>
          <cell r="L2409">
            <v>44824.549375000002</v>
          </cell>
          <cell r="M2409">
            <v>150</v>
          </cell>
          <cell r="P2409">
            <v>1</v>
          </cell>
        </row>
        <row r="2410">
          <cell r="A2410" t="str">
            <v>B&amp;P-ALU-BAT-12V-40</v>
          </cell>
          <cell r="G2410" t="str">
            <v xml:space="preserve">INAC </v>
          </cell>
          <cell r="L2410">
            <v>41970</v>
          </cell>
          <cell r="M2410">
            <v>8.5399999999999991</v>
          </cell>
          <cell r="P2410">
            <v>126.1264637002342</v>
          </cell>
        </row>
        <row r="2411">
          <cell r="A2411" t="str">
            <v>B&amp;P-ALU-BP-120R-50</v>
          </cell>
          <cell r="G2411" t="str">
            <v xml:space="preserve">INAC </v>
          </cell>
          <cell r="L2411">
            <v>42643</v>
          </cell>
          <cell r="M2411">
            <v>15.65</v>
          </cell>
          <cell r="P2411">
            <v>30.990415335463258</v>
          </cell>
        </row>
        <row r="2412">
          <cell r="A2412" t="str">
            <v>B&amp;P-ALU-BP-300-CREE</v>
          </cell>
          <cell r="G2412" t="str">
            <v xml:space="preserve">CR   </v>
          </cell>
          <cell r="L2412">
            <v>44824.549375000002</v>
          </cell>
          <cell r="M2412">
            <v>150</v>
          </cell>
          <cell r="P2412">
            <v>1</v>
          </cell>
        </row>
        <row r="2413">
          <cell r="A2413" t="str">
            <v>B&amp;P-ALU-BP-400-CREE</v>
          </cell>
          <cell r="G2413" t="str">
            <v>IDESP</v>
          </cell>
          <cell r="L2413">
            <v>42557</v>
          </cell>
          <cell r="M2413">
            <v>15.21</v>
          </cell>
          <cell r="P2413">
            <v>436.65</v>
          </cell>
        </row>
        <row r="2414">
          <cell r="A2414" t="str">
            <v>B&amp;P-ALU-BP-770-CON</v>
          </cell>
          <cell r="G2414" t="str">
            <v xml:space="preserve">CR   </v>
          </cell>
          <cell r="L2414">
            <v>44824.549375000002</v>
          </cell>
          <cell r="M2414">
            <v>150</v>
          </cell>
          <cell r="P2414">
            <v>1</v>
          </cell>
        </row>
        <row r="2415">
          <cell r="A2415" t="str">
            <v>B&amp;P-ALU-Bracket-EX50</v>
          </cell>
          <cell r="G2415" t="str">
            <v>IDESP</v>
          </cell>
          <cell r="L2415">
            <v>43412</v>
          </cell>
          <cell r="M2415">
            <v>36.6</v>
          </cell>
          <cell r="P2415">
            <v>4</v>
          </cell>
        </row>
        <row r="2416">
          <cell r="A2416" t="str">
            <v>B&amp;P-ALU-BULB30-Housi</v>
          </cell>
          <cell r="G2416" t="str">
            <v>IPFAP</v>
          </cell>
          <cell r="L2416">
            <v>43136</v>
          </cell>
          <cell r="M2416">
            <v>19.809999999999999</v>
          </cell>
          <cell r="P2416">
            <v>13.930434124179708</v>
          </cell>
        </row>
        <row r="2417">
          <cell r="A2417" t="str">
            <v>B&amp;P-ALU-BULB50-Housi</v>
          </cell>
          <cell r="G2417" t="str">
            <v>IDESP</v>
          </cell>
          <cell r="L2417">
            <v>42919</v>
          </cell>
          <cell r="M2417">
            <v>16.87</v>
          </cell>
          <cell r="P2417">
            <v>29.52</v>
          </cell>
        </row>
        <row r="2418">
          <cell r="A2418" t="str">
            <v>B&amp;P-ALU-CA100WCW</v>
          </cell>
          <cell r="G2418" t="str">
            <v>IDESP</v>
          </cell>
          <cell r="L2418">
            <v>42103</v>
          </cell>
          <cell r="M2418">
            <v>8.8699999999999992</v>
          </cell>
          <cell r="P2418">
            <v>114</v>
          </cell>
        </row>
        <row r="2419">
          <cell r="A2419" t="str">
            <v>B&amp;P-ALU-CITYSENSE</v>
          </cell>
          <cell r="G2419" t="str">
            <v xml:space="preserve">CR   </v>
          </cell>
          <cell r="L2419">
            <v>44824.549375000002</v>
          </cell>
          <cell r="M2419">
            <v>150</v>
          </cell>
          <cell r="P2419">
            <v>1</v>
          </cell>
        </row>
        <row r="2420">
          <cell r="A2420" t="str">
            <v>B&amp;P-ALU-ControlSense</v>
          </cell>
          <cell r="G2420" t="str">
            <v>IDESP</v>
          </cell>
          <cell r="L2420">
            <v>43683</v>
          </cell>
          <cell r="M2420">
            <v>46.4</v>
          </cell>
          <cell r="P2420">
            <v>138.59</v>
          </cell>
        </row>
        <row r="2421">
          <cell r="A2421" t="str">
            <v>B&amp;P-ALU-DIMMER-0-10V</v>
          </cell>
          <cell r="G2421" t="str">
            <v>IDESP</v>
          </cell>
          <cell r="L2421">
            <v>43837</v>
          </cell>
          <cell r="M2421">
            <v>63</v>
          </cell>
          <cell r="P2421">
            <v>30</v>
          </cell>
        </row>
        <row r="2422">
          <cell r="A2422" t="str">
            <v>B&amp;P-ALU-DISI-EX100</v>
          </cell>
          <cell r="G2422" t="str">
            <v>IDESP</v>
          </cell>
          <cell r="L2422">
            <v>44007</v>
          </cell>
          <cell r="M2422">
            <v>73</v>
          </cell>
          <cell r="P2422">
            <v>6.35</v>
          </cell>
        </row>
        <row r="2423">
          <cell r="A2423" t="str">
            <v>B&amp;P-ALU-DISI-EX150</v>
          </cell>
          <cell r="G2423" t="str">
            <v>IDESP</v>
          </cell>
          <cell r="L2423">
            <v>44040</v>
          </cell>
          <cell r="M2423">
            <v>75.75</v>
          </cell>
          <cell r="P2423">
            <v>11.5</v>
          </cell>
        </row>
        <row r="2424">
          <cell r="A2424" t="str">
            <v>B&amp;P-ALU-DISI-EX50</v>
          </cell>
          <cell r="G2424" t="str">
            <v>IDESP</v>
          </cell>
          <cell r="L2424">
            <v>44040</v>
          </cell>
          <cell r="M2424">
            <v>75.75</v>
          </cell>
          <cell r="P2424">
            <v>4.7249999999999996</v>
          </cell>
        </row>
        <row r="2425">
          <cell r="A2425" t="str">
            <v>B&amp;P-ALU-DOB30-Housin</v>
          </cell>
          <cell r="G2425" t="str">
            <v>IDESP</v>
          </cell>
          <cell r="L2425">
            <v>42919</v>
          </cell>
          <cell r="M2425">
            <v>16.87</v>
          </cell>
          <cell r="P2425">
            <v>7.2</v>
          </cell>
        </row>
        <row r="2426">
          <cell r="A2426" t="str">
            <v>B&amp;P-ALU-DOB50-Housin</v>
          </cell>
          <cell r="G2426" t="str">
            <v>IDESP</v>
          </cell>
          <cell r="L2426">
            <v>42919</v>
          </cell>
          <cell r="M2426">
            <v>16.87</v>
          </cell>
          <cell r="P2426">
            <v>9.6</v>
          </cell>
        </row>
        <row r="2427">
          <cell r="A2427" t="str">
            <v>B&amp;P-ALU-EX100-5</v>
          </cell>
          <cell r="G2427" t="str">
            <v>IPFAB</v>
          </cell>
          <cell r="L2427">
            <v>44019</v>
          </cell>
          <cell r="M2427">
            <v>74</v>
          </cell>
          <cell r="P2427">
            <v>17.370999999999999</v>
          </cell>
        </row>
        <row r="2428">
          <cell r="A2428" t="str">
            <v>B&amp;P-ALU-EX100-5/NSPD</v>
          </cell>
          <cell r="G2428" t="str">
            <v>IPFAB</v>
          </cell>
          <cell r="L2428">
            <v>43907</v>
          </cell>
          <cell r="M2428">
            <v>64.5</v>
          </cell>
          <cell r="P2428">
            <v>23.402000000000001</v>
          </cell>
        </row>
        <row r="2429">
          <cell r="A2429" t="str">
            <v>B&amp;P-ALU-EX100-LENS</v>
          </cell>
          <cell r="G2429" t="str">
            <v>IDESP</v>
          </cell>
          <cell r="L2429">
            <v>44007</v>
          </cell>
          <cell r="M2429">
            <v>73</v>
          </cell>
          <cell r="P2429">
            <v>1.704</v>
          </cell>
        </row>
        <row r="2430">
          <cell r="A2430" t="str">
            <v>B&amp;P-ALU-EX130-5</v>
          </cell>
          <cell r="G2430" t="str">
            <v>IPFAB</v>
          </cell>
          <cell r="L2430">
            <v>43686</v>
          </cell>
          <cell r="M2430">
            <v>46.2</v>
          </cell>
          <cell r="P2430">
            <v>36.82</v>
          </cell>
        </row>
        <row r="2431">
          <cell r="A2431" t="str">
            <v>B&amp;P-ALU-EX150-5</v>
          </cell>
          <cell r="G2431" t="str">
            <v>vpret</v>
          </cell>
          <cell r="L2431">
            <v>43928</v>
          </cell>
          <cell r="M2431">
            <v>66.25</v>
          </cell>
          <cell r="P2431">
            <v>36.803999999999995</v>
          </cell>
        </row>
        <row r="2432">
          <cell r="A2432" t="str">
            <v>B&amp;P-ALU-EX150-LENS</v>
          </cell>
          <cell r="G2432" t="str">
            <v>IDESP</v>
          </cell>
          <cell r="L2432">
            <v>43983</v>
          </cell>
          <cell r="M2432">
            <v>70.5</v>
          </cell>
          <cell r="P2432">
            <v>0.40400000000000003</v>
          </cell>
        </row>
        <row r="2433">
          <cell r="A2433" t="str">
            <v>B&amp;P-ALU-EX50</v>
          </cell>
          <cell r="G2433" t="str">
            <v>IPFAB</v>
          </cell>
          <cell r="L2433">
            <v>43893</v>
          </cell>
          <cell r="M2433">
            <v>64</v>
          </cell>
          <cell r="P2433">
            <v>17.095400000000001</v>
          </cell>
        </row>
        <row r="2434">
          <cell r="A2434" t="str">
            <v>B&amp;P-ALU-EX50-LENS</v>
          </cell>
          <cell r="G2434" t="str">
            <v>IDESP</v>
          </cell>
          <cell r="L2434">
            <v>44040</v>
          </cell>
          <cell r="M2434">
            <v>75.75</v>
          </cell>
          <cell r="P2434">
            <v>1.48</v>
          </cell>
        </row>
        <row r="2435">
          <cell r="A2435" t="str">
            <v>B&amp;P-ALU-EX50-SOL</v>
          </cell>
          <cell r="G2435" t="str">
            <v>IPFAB</v>
          </cell>
          <cell r="L2435">
            <v>44160</v>
          </cell>
          <cell r="M2435">
            <v>85.75</v>
          </cell>
          <cell r="P2435">
            <v>9.4779999999999998</v>
          </cell>
        </row>
        <row r="2436">
          <cell r="A2436" t="str">
            <v>B&amp;P-ALU-EX50/NSPD</v>
          </cell>
          <cell r="G2436" t="str">
            <v>vpret</v>
          </cell>
          <cell r="L2436">
            <v>44165</v>
          </cell>
          <cell r="M2436">
            <v>86.25</v>
          </cell>
          <cell r="P2436">
            <v>13.775</v>
          </cell>
        </row>
        <row r="2437">
          <cell r="A2437" t="str">
            <v>B&amp;P-ALU-FX300</v>
          </cell>
          <cell r="G2437" t="str">
            <v>IDESP</v>
          </cell>
          <cell r="L2437">
            <v>41449</v>
          </cell>
          <cell r="M2437">
            <v>5.35</v>
          </cell>
          <cell r="P2437">
            <v>386.4</v>
          </cell>
        </row>
        <row r="2438">
          <cell r="A2438" t="str">
            <v>B&amp;P-ALU-GATEWAY</v>
          </cell>
          <cell r="G2438" t="str">
            <v xml:space="preserve">CR   </v>
          </cell>
          <cell r="L2438">
            <v>44824.549375000002</v>
          </cell>
          <cell r="M2438">
            <v>150</v>
          </cell>
          <cell r="P2438">
            <v>1</v>
          </cell>
        </row>
        <row r="2439">
          <cell r="A2439" t="str">
            <v>B&amp;P-ALU-GR-100XPE</v>
          </cell>
          <cell r="G2439" t="str">
            <v>IDESP</v>
          </cell>
          <cell r="L2439">
            <v>42251</v>
          </cell>
          <cell r="M2439">
            <v>9.36</v>
          </cell>
          <cell r="P2439">
            <v>150</v>
          </cell>
        </row>
        <row r="2440">
          <cell r="A2440" t="str">
            <v>B&amp;P-ALU-GR-90</v>
          </cell>
          <cell r="G2440" t="str">
            <v xml:space="preserve">INSI </v>
          </cell>
          <cell r="L2440">
            <v>43223</v>
          </cell>
          <cell r="M2440">
            <v>21.44</v>
          </cell>
          <cell r="P2440">
            <v>4233.6000000000004</v>
          </cell>
        </row>
        <row r="2441">
          <cell r="A2441" t="str">
            <v>B&amp;P-ALU-GRLP-100</v>
          </cell>
          <cell r="G2441" t="str">
            <v>IPFAB</v>
          </cell>
          <cell r="L2441">
            <v>43404</v>
          </cell>
          <cell r="M2441">
            <v>37.6</v>
          </cell>
          <cell r="P2441">
            <v>50</v>
          </cell>
        </row>
        <row r="2442">
          <cell r="A2442" t="str">
            <v>B&amp;P-ALU-HLG-185H-54A</v>
          </cell>
          <cell r="G2442" t="str">
            <v>IPFAP</v>
          </cell>
          <cell r="L2442">
            <v>42741</v>
          </cell>
          <cell r="M2442">
            <v>16.43</v>
          </cell>
          <cell r="P2442">
            <v>49.90870359099209</v>
          </cell>
        </row>
        <row r="2443">
          <cell r="A2443" t="str">
            <v>B&amp;P-ALU-IP65-1CW30</v>
          </cell>
          <cell r="G2443" t="str">
            <v>IDESP</v>
          </cell>
          <cell r="L2443">
            <v>42103</v>
          </cell>
          <cell r="M2443">
            <v>8.8699999999999992</v>
          </cell>
          <cell r="P2443">
            <v>21</v>
          </cell>
        </row>
        <row r="2444">
          <cell r="A2444" t="str">
            <v>B&amp;P-ALU-IP65-1CW50</v>
          </cell>
          <cell r="G2444" t="str">
            <v>IDESP</v>
          </cell>
          <cell r="L2444">
            <v>42270</v>
          </cell>
          <cell r="M2444">
            <v>9.44</v>
          </cell>
          <cell r="P2444">
            <v>36</v>
          </cell>
        </row>
        <row r="2445">
          <cell r="A2445" t="str">
            <v>B&amp;P-ALU-JD-300-3-3L</v>
          </cell>
          <cell r="G2445" t="str">
            <v>IDESP</v>
          </cell>
          <cell r="L2445">
            <v>41449</v>
          </cell>
          <cell r="M2445">
            <v>5.35</v>
          </cell>
          <cell r="P2445">
            <v>678.87279999999998</v>
          </cell>
        </row>
        <row r="2446">
          <cell r="A2446" t="str">
            <v>B&amp;P-ALU-JD400-3-3L</v>
          </cell>
          <cell r="G2446" t="str">
            <v>IDESP</v>
          </cell>
          <cell r="L2446">
            <v>41449</v>
          </cell>
          <cell r="M2446">
            <v>5.35</v>
          </cell>
          <cell r="P2446">
            <v>896.28</v>
          </cell>
        </row>
        <row r="2447">
          <cell r="A2447" t="str">
            <v>B&amp;P-ALU-LENS-30º</v>
          </cell>
          <cell r="G2447" t="str">
            <v>IDESP</v>
          </cell>
          <cell r="L2447">
            <v>42830</v>
          </cell>
          <cell r="M2447">
            <v>15.71</v>
          </cell>
          <cell r="P2447">
            <v>7.5</v>
          </cell>
        </row>
        <row r="2448">
          <cell r="A2448" t="str">
            <v>B&amp;P-ALU-LENS-50º</v>
          </cell>
          <cell r="G2448" t="str">
            <v>IDESP</v>
          </cell>
          <cell r="L2448">
            <v>42830</v>
          </cell>
          <cell r="M2448">
            <v>15.71</v>
          </cell>
          <cell r="P2448">
            <v>7.5</v>
          </cell>
        </row>
        <row r="2449">
          <cell r="A2449" t="str">
            <v>B&amp;P-ALU-LENS-60º</v>
          </cell>
          <cell r="G2449" t="str">
            <v>IDESP</v>
          </cell>
          <cell r="L2449">
            <v>42830</v>
          </cell>
          <cell r="M2449">
            <v>15.71</v>
          </cell>
          <cell r="P2449">
            <v>7.5</v>
          </cell>
        </row>
        <row r="2450">
          <cell r="A2450" t="str">
            <v>B&amp;P-ALU-LENS-90º</v>
          </cell>
          <cell r="G2450" t="str">
            <v>IDESP</v>
          </cell>
          <cell r="L2450">
            <v>43577</v>
          </cell>
          <cell r="M2450">
            <v>42.9</v>
          </cell>
          <cell r="P2450">
            <v>1.48</v>
          </cell>
        </row>
        <row r="2451">
          <cell r="A2451" t="str">
            <v>B&amp;P-ALU-LENS-90º-300</v>
          </cell>
          <cell r="G2451" t="str">
            <v>IDESP</v>
          </cell>
          <cell r="L2451">
            <v>43732</v>
          </cell>
          <cell r="M2451">
            <v>58.5</v>
          </cell>
          <cell r="P2451">
            <v>1.7</v>
          </cell>
        </row>
        <row r="2452">
          <cell r="A2452" t="str">
            <v>B&amp;P-ALU-LP100-HOUSIN</v>
          </cell>
          <cell r="G2452" t="str">
            <v>IDESP</v>
          </cell>
          <cell r="L2452">
            <v>43283</v>
          </cell>
          <cell r="M2452">
            <v>29.4</v>
          </cell>
          <cell r="P2452">
            <v>12.8</v>
          </cell>
        </row>
        <row r="2453">
          <cell r="A2453" t="str">
            <v>B&amp;P-ALU-LS1024RP</v>
          </cell>
          <cell r="G2453" t="str">
            <v xml:space="preserve">INAC </v>
          </cell>
          <cell r="L2453">
            <v>42354</v>
          </cell>
          <cell r="M2453">
            <v>9.91</v>
          </cell>
          <cell r="P2453">
            <v>49.848637739656908</v>
          </cell>
        </row>
        <row r="2454">
          <cell r="A2454" t="str">
            <v>B&amp;P-ALU-MW-120XPE</v>
          </cell>
          <cell r="G2454" t="str">
            <v>IPFAP</v>
          </cell>
          <cell r="L2454">
            <v>42733</v>
          </cell>
          <cell r="M2454">
            <v>16.079999999999998</v>
          </cell>
          <cell r="P2454">
            <v>176.90789800995029</v>
          </cell>
        </row>
        <row r="2455">
          <cell r="A2455" t="str">
            <v>B&amp;P-ALU-MW-150XPE</v>
          </cell>
          <cell r="G2455" t="str">
            <v>VPRet</v>
          </cell>
          <cell r="L2455">
            <v>42654</v>
          </cell>
          <cell r="M2455">
            <v>15.49</v>
          </cell>
          <cell r="P2455">
            <v>197.93737895416399</v>
          </cell>
        </row>
        <row r="2456">
          <cell r="A2456" t="str">
            <v>B&amp;P-ALU-NEMA3-CON</v>
          </cell>
          <cell r="G2456" t="str">
            <v>IDESP</v>
          </cell>
          <cell r="L2456">
            <v>43837</v>
          </cell>
          <cell r="M2456">
            <v>63</v>
          </cell>
          <cell r="P2456">
            <v>0.6</v>
          </cell>
        </row>
        <row r="2457">
          <cell r="A2457" t="str">
            <v>B&amp;P-ALU-NT200-5</v>
          </cell>
          <cell r="G2457" t="str">
            <v xml:space="preserve">INAC </v>
          </cell>
          <cell r="L2457">
            <v>44498</v>
          </cell>
          <cell r="M2457">
            <v>105</v>
          </cell>
          <cell r="P2457">
            <v>213.50047619047618</v>
          </cell>
        </row>
        <row r="2458">
          <cell r="A2458" t="str">
            <v>B&amp;P-ALU-NT300-5</v>
          </cell>
          <cell r="G2458" t="str">
            <v>IPFAB</v>
          </cell>
          <cell r="L2458">
            <v>43595</v>
          </cell>
          <cell r="M2458">
            <v>46.3</v>
          </cell>
          <cell r="P2458">
            <v>130</v>
          </cell>
        </row>
        <row r="2459">
          <cell r="A2459" t="str">
            <v>B&amp;P-ALU-NV-180</v>
          </cell>
          <cell r="G2459" t="str">
            <v>IPFAP</v>
          </cell>
          <cell r="L2459">
            <v>43264</v>
          </cell>
          <cell r="M2459">
            <v>26.3</v>
          </cell>
          <cell r="P2459">
            <v>260.3718631178707</v>
          </cell>
        </row>
        <row r="2460">
          <cell r="A2460" t="str">
            <v>B&amp;P-ALU-PANELI50W-CW</v>
          </cell>
          <cell r="G2460" t="str">
            <v>IDESP</v>
          </cell>
          <cell r="L2460">
            <v>42251</v>
          </cell>
          <cell r="M2460">
            <v>9.36</v>
          </cell>
          <cell r="P2460">
            <v>35</v>
          </cell>
        </row>
        <row r="2461">
          <cell r="A2461" t="str">
            <v>B&amp;P-ALU-PNL-186</v>
          </cell>
          <cell r="G2461" t="str">
            <v xml:space="preserve">INAC </v>
          </cell>
          <cell r="L2461">
            <v>43252</v>
          </cell>
          <cell r="M2461">
            <v>25.4</v>
          </cell>
          <cell r="P2461">
            <v>5.3250748031496062</v>
          </cell>
        </row>
        <row r="2462">
          <cell r="A2462" t="str">
            <v>B&amp;P-ALU-RX-100</v>
          </cell>
          <cell r="G2462" t="str">
            <v xml:space="preserve">INSI </v>
          </cell>
          <cell r="L2462">
            <v>43777</v>
          </cell>
          <cell r="M2462">
            <v>63</v>
          </cell>
          <cell r="P2462">
            <v>27</v>
          </cell>
        </row>
        <row r="2463">
          <cell r="A2463" t="str">
            <v>B&amp;P-ALU-RX-150</v>
          </cell>
          <cell r="G2463" t="str">
            <v xml:space="preserve">INSI </v>
          </cell>
          <cell r="L2463">
            <v>43777</v>
          </cell>
          <cell r="M2463">
            <v>63</v>
          </cell>
          <cell r="P2463">
            <v>40</v>
          </cell>
        </row>
        <row r="2464">
          <cell r="A2464" t="str">
            <v>B&amp;P-ALU-RX-200</v>
          </cell>
          <cell r="G2464" t="str">
            <v xml:space="preserve">INSI </v>
          </cell>
          <cell r="L2464">
            <v>43777</v>
          </cell>
          <cell r="M2464">
            <v>63</v>
          </cell>
          <cell r="P2464">
            <v>57</v>
          </cell>
        </row>
        <row r="2465">
          <cell r="A2465" t="str">
            <v>B&amp;P-ALU-RX-50</v>
          </cell>
          <cell r="G2465" t="str">
            <v xml:space="preserve">INSI </v>
          </cell>
          <cell r="L2465">
            <v>43777</v>
          </cell>
          <cell r="M2465">
            <v>63</v>
          </cell>
          <cell r="P2465">
            <v>15</v>
          </cell>
        </row>
        <row r="2466">
          <cell r="A2466" t="str">
            <v>B&amp;P-ALU-RX300</v>
          </cell>
          <cell r="G2466" t="str">
            <v>IDESP</v>
          </cell>
          <cell r="L2466">
            <v>41449</v>
          </cell>
          <cell r="M2466">
            <v>5.35</v>
          </cell>
          <cell r="P2466">
            <v>653.1</v>
          </cell>
        </row>
        <row r="2467">
          <cell r="A2467" t="str">
            <v>B&amp;P-ALU-SC-150XPE</v>
          </cell>
          <cell r="G2467" t="str">
            <v>IDESP</v>
          </cell>
          <cell r="L2467">
            <v>42251</v>
          </cell>
          <cell r="M2467">
            <v>9.36</v>
          </cell>
          <cell r="P2467">
            <v>250</v>
          </cell>
        </row>
        <row r="2468">
          <cell r="A2468" t="str">
            <v>B&amp;P-ALU-SKYLITE</v>
          </cell>
          <cell r="G2468" t="str">
            <v xml:space="preserve">CR   </v>
          </cell>
          <cell r="L2468">
            <v>44824.549375000002</v>
          </cell>
          <cell r="M2468">
            <v>150</v>
          </cell>
          <cell r="P2468">
            <v>1</v>
          </cell>
        </row>
        <row r="2469">
          <cell r="A2469" t="str">
            <v>B&amp;P-ALU-SOL-30W</v>
          </cell>
          <cell r="G2469" t="str">
            <v xml:space="preserve">INAC </v>
          </cell>
          <cell r="L2469">
            <v>42354</v>
          </cell>
          <cell r="M2469">
            <v>9.91</v>
          </cell>
          <cell r="P2469">
            <v>57.85065590312815</v>
          </cell>
        </row>
        <row r="2470">
          <cell r="A2470" t="str">
            <v>B&amp;P-ALU-SOL-72CELL</v>
          </cell>
          <cell r="G2470" t="str">
            <v>IDESP</v>
          </cell>
          <cell r="L2470">
            <v>43502</v>
          </cell>
          <cell r="M2470">
            <v>38.1</v>
          </cell>
          <cell r="P2470">
            <v>88.4</v>
          </cell>
        </row>
        <row r="2471">
          <cell r="A2471" t="str">
            <v>B&amp;P-ALU-StrapTool</v>
          </cell>
          <cell r="G2471" t="str">
            <v>IDESP</v>
          </cell>
          <cell r="L2471">
            <v>43683</v>
          </cell>
          <cell r="M2471">
            <v>46.4</v>
          </cell>
          <cell r="P2471">
            <v>153.15</v>
          </cell>
        </row>
        <row r="2472">
          <cell r="A2472" t="str">
            <v>B&amp;P-ALU-Walk300-CREE</v>
          </cell>
          <cell r="G2472" t="str">
            <v xml:space="preserve">CR   </v>
          </cell>
          <cell r="L2472">
            <v>44824.549375000002</v>
          </cell>
          <cell r="M2472">
            <v>150</v>
          </cell>
          <cell r="P2472">
            <v>1</v>
          </cell>
        </row>
        <row r="2473">
          <cell r="A2473" t="str">
            <v>B&amp;P-ALU-WW-18CW30</v>
          </cell>
          <cell r="G2473" t="str">
            <v>IPFAB</v>
          </cell>
          <cell r="L2473">
            <v>42324</v>
          </cell>
          <cell r="M2473">
            <v>9.69</v>
          </cell>
          <cell r="P2473">
            <v>35</v>
          </cell>
        </row>
        <row r="2474">
          <cell r="A2474" t="str">
            <v>B&amp;P-ALU-WW-RGB-36W</v>
          </cell>
          <cell r="G2474" t="str">
            <v>InTer</v>
          </cell>
          <cell r="L2474">
            <v>43013</v>
          </cell>
          <cell r="M2474">
            <v>17.66</v>
          </cell>
          <cell r="P2474">
            <v>57</v>
          </cell>
        </row>
        <row r="2475">
          <cell r="A2475" t="str">
            <v>B&amp;P-DOB-1CW30</v>
          </cell>
          <cell r="G2475" t="str">
            <v>VPRet</v>
          </cell>
          <cell r="L2475">
            <v>43063</v>
          </cell>
          <cell r="M2475">
            <v>17.78</v>
          </cell>
          <cell r="P2475">
            <v>10.407986501687288</v>
          </cell>
        </row>
        <row r="2476">
          <cell r="A2476" t="str">
            <v>B&amp;P-DOB-1CW50</v>
          </cell>
          <cell r="G2476" t="str">
            <v>IPFAB</v>
          </cell>
          <cell r="L2476">
            <v>43454</v>
          </cell>
          <cell r="M2476">
            <v>39.200000000000003</v>
          </cell>
          <cell r="P2476">
            <v>7.0606</v>
          </cell>
        </row>
        <row r="2477">
          <cell r="A2477" t="str">
            <v>B&amp;P-DOB-1WW30</v>
          </cell>
          <cell r="G2477" t="str">
            <v>VPRet</v>
          </cell>
          <cell r="L2477">
            <v>43108</v>
          </cell>
          <cell r="M2477">
            <v>19.2</v>
          </cell>
          <cell r="P2477">
            <v>10.1871875</v>
          </cell>
        </row>
        <row r="2478">
          <cell r="A2478" t="str">
            <v>B&amp;P-DOB-1WW50</v>
          </cell>
          <cell r="G2478" t="str">
            <v>VPRet</v>
          </cell>
          <cell r="L2478">
            <v>43012</v>
          </cell>
          <cell r="M2478">
            <v>17.72</v>
          </cell>
          <cell r="P2478">
            <v>12.056600000000001</v>
          </cell>
        </row>
        <row r="2479">
          <cell r="A2479" t="str">
            <v>B&amp;P-DOB-30-C-3000K</v>
          </cell>
          <cell r="G2479" t="str">
            <v xml:space="preserve">INAC </v>
          </cell>
          <cell r="L2479">
            <v>43010</v>
          </cell>
          <cell r="M2479">
            <v>17.66</v>
          </cell>
          <cell r="P2479">
            <v>3.2476783691959228</v>
          </cell>
        </row>
        <row r="2480">
          <cell r="A2480" t="str">
            <v>B&amp;P-DOB-30-C-5000K</v>
          </cell>
          <cell r="G2480" t="str">
            <v xml:space="preserve">INAC </v>
          </cell>
          <cell r="L2480">
            <v>43010</v>
          </cell>
          <cell r="M2480">
            <v>17.66</v>
          </cell>
          <cell r="P2480">
            <v>3.2297848244620608</v>
          </cell>
        </row>
        <row r="2481">
          <cell r="A2481" t="str">
            <v>B&amp;P-DOB-30-R-3000K</v>
          </cell>
          <cell r="G2481" t="str">
            <v>IPFAP</v>
          </cell>
          <cell r="L2481">
            <v>43031</v>
          </cell>
          <cell r="M2481">
            <v>17.809999999999999</v>
          </cell>
          <cell r="P2481">
            <v>3.2203256597417185</v>
          </cell>
        </row>
        <row r="2482">
          <cell r="A2482" t="str">
            <v>B&amp;P-DOB-30-R-5000K</v>
          </cell>
          <cell r="G2482" t="str">
            <v>IPFAP</v>
          </cell>
          <cell r="L2482">
            <v>43136</v>
          </cell>
          <cell r="M2482">
            <v>19.809999999999999</v>
          </cell>
          <cell r="P2482">
            <v>2.8792529025744575</v>
          </cell>
        </row>
        <row r="2483">
          <cell r="A2483" t="str">
            <v>B&amp;P-DOB-50-C-3000K</v>
          </cell>
          <cell r="G2483" t="str">
            <v>IPFAB</v>
          </cell>
          <cell r="L2483">
            <v>43454</v>
          </cell>
          <cell r="M2483">
            <v>39.200000000000003</v>
          </cell>
          <cell r="P2483">
            <v>2.4565999999999999</v>
          </cell>
        </row>
        <row r="2484">
          <cell r="A2484" t="str">
            <v>B&amp;P-DOB-50-C-5000K</v>
          </cell>
          <cell r="G2484" t="str">
            <v xml:space="preserve">INAC </v>
          </cell>
          <cell r="L2484">
            <v>42961</v>
          </cell>
          <cell r="M2484">
            <v>18</v>
          </cell>
          <cell r="P2484">
            <v>5.35</v>
          </cell>
        </row>
        <row r="2485">
          <cell r="A2485" t="str">
            <v>B&amp;P-DOB-50-R-3000K</v>
          </cell>
          <cell r="G2485" t="str">
            <v xml:space="preserve">INAC </v>
          </cell>
          <cell r="L2485">
            <v>42914</v>
          </cell>
          <cell r="M2485">
            <v>16.649999999999999</v>
          </cell>
          <cell r="P2485">
            <v>5.3178678678678688</v>
          </cell>
        </row>
        <row r="2486">
          <cell r="A2486" t="str">
            <v>B&amp;P-DOB-50-R-5000</v>
          </cell>
          <cell r="G2486" t="str">
            <v xml:space="preserve">INAC </v>
          </cell>
          <cell r="L2486">
            <v>42914</v>
          </cell>
          <cell r="M2486">
            <v>16.649999999999999</v>
          </cell>
          <cell r="P2486">
            <v>5.3178678678678688</v>
          </cell>
        </row>
        <row r="2487">
          <cell r="A2487" t="str">
            <v>B&amp;P-DOB-BULB-30W-3K</v>
          </cell>
          <cell r="G2487" t="str">
            <v>VPRet</v>
          </cell>
          <cell r="L2487">
            <v>43034</v>
          </cell>
          <cell r="M2487">
            <v>17.78</v>
          </cell>
          <cell r="P2487">
            <v>18.852080989876264</v>
          </cell>
        </row>
        <row r="2488">
          <cell r="A2488" t="str">
            <v>B&amp;P-DOB-BULB-30W-5K</v>
          </cell>
          <cell r="G2488" t="str">
            <v>VPRet</v>
          </cell>
          <cell r="L2488">
            <v>43034</v>
          </cell>
          <cell r="M2488">
            <v>17.78</v>
          </cell>
          <cell r="P2488">
            <v>18.728903262092238</v>
          </cell>
        </row>
        <row r="2489">
          <cell r="A2489" t="str">
            <v>B&amp;P-DOB-BULB-45</v>
          </cell>
          <cell r="G2489" t="str">
            <v xml:space="preserve">INAC </v>
          </cell>
          <cell r="L2489">
            <v>43255</v>
          </cell>
          <cell r="M2489">
            <v>25.4</v>
          </cell>
          <cell r="P2489">
            <v>23.001968503937007</v>
          </cell>
        </row>
        <row r="2490">
          <cell r="A2490" t="str">
            <v>B&amp;P-DOB-BULB-50W-3K</v>
          </cell>
          <cell r="G2490" t="str">
            <v xml:space="preserve">CR   </v>
          </cell>
          <cell r="L2490">
            <v>43126.701226851852</v>
          </cell>
          <cell r="M2490">
            <v>19.86</v>
          </cell>
          <cell r="P2490">
            <v>89.54</v>
          </cell>
        </row>
        <row r="2491">
          <cell r="A2491" t="str">
            <v>B&amp;P-DOB-BULB-50W-5K</v>
          </cell>
          <cell r="G2491" t="str">
            <v xml:space="preserve">CR   </v>
          </cell>
          <cell r="L2491">
            <v>43126.701226851852</v>
          </cell>
          <cell r="M2491">
            <v>19.86</v>
          </cell>
          <cell r="P2491">
            <v>4.5085599194360526</v>
          </cell>
        </row>
        <row r="2492">
          <cell r="A2492" t="str">
            <v>B&amp;P-DOB-BULB-85</v>
          </cell>
          <cell r="G2492" t="str">
            <v xml:space="preserve">INAC </v>
          </cell>
          <cell r="L2492">
            <v>43255</v>
          </cell>
          <cell r="M2492">
            <v>25.4</v>
          </cell>
          <cell r="P2492">
            <v>3.3110236220472442E-3</v>
          </cell>
        </row>
        <row r="2493">
          <cell r="A2493" t="str">
            <v>B&amp;P-DOB-LP100</v>
          </cell>
          <cell r="G2493" t="str">
            <v>vpret</v>
          </cell>
          <cell r="L2493">
            <v>43385</v>
          </cell>
          <cell r="M2493">
            <v>37.5</v>
          </cell>
          <cell r="P2493">
            <v>32.1</v>
          </cell>
        </row>
        <row r="2494">
          <cell r="A2494" t="str">
            <v>B&amp;P-DOB-LP100-PCB</v>
          </cell>
          <cell r="G2494" t="str">
            <v>IDESP</v>
          </cell>
          <cell r="L2494">
            <v>43208</v>
          </cell>
          <cell r="M2494">
            <v>20.46</v>
          </cell>
          <cell r="P2494">
            <v>19.3</v>
          </cell>
        </row>
        <row r="2495">
          <cell r="A2495" t="str">
            <v>B&amp;P-EMQ-MS03-2RLD-C3</v>
          </cell>
          <cell r="G2495" t="str">
            <v>vpret</v>
          </cell>
          <cell r="L2495">
            <v>43795</v>
          </cell>
          <cell r="M2495">
            <v>62.5</v>
          </cell>
          <cell r="P2495">
            <v>0.17747200000000002</v>
          </cell>
        </row>
        <row r="2496">
          <cell r="A2496" t="str">
            <v>B&amp;P-EMQ-MS03-2Z</v>
          </cell>
          <cell r="G2496" t="str">
            <v>IPFAP</v>
          </cell>
          <cell r="L2496">
            <v>42333</v>
          </cell>
          <cell r="M2496">
            <v>9.74</v>
          </cell>
          <cell r="P2496">
            <v>0.38103696098562628</v>
          </cell>
        </row>
        <row r="2497">
          <cell r="A2497" t="str">
            <v>B&amp;P-EMQ-MS03-D-C3</v>
          </cell>
          <cell r="G2497" t="str">
            <v>VPRet</v>
          </cell>
          <cell r="L2497">
            <v>42977</v>
          </cell>
          <cell r="M2497">
            <v>17.739999999999998</v>
          </cell>
          <cell r="P2497">
            <v>0.31300000000000006</v>
          </cell>
        </row>
        <row r="2498">
          <cell r="A2498" t="str">
            <v>B&amp;P-EMQ-MS04-2RLD-C3</v>
          </cell>
          <cell r="G2498" t="str">
            <v>VPRet</v>
          </cell>
          <cell r="L2498">
            <v>42753</v>
          </cell>
          <cell r="M2498">
            <v>16.27</v>
          </cell>
          <cell r="P2498">
            <v>0.57283343577135837</v>
          </cell>
        </row>
        <row r="2499">
          <cell r="A2499" t="str">
            <v>B&amp;P-EMQ-MS04-D-C3</v>
          </cell>
          <cell r="G2499" t="str">
            <v>IPFAP</v>
          </cell>
          <cell r="L2499">
            <v>42674</v>
          </cell>
          <cell r="M2499">
            <v>15.4</v>
          </cell>
          <cell r="P2499">
            <v>0.52272727272727271</v>
          </cell>
        </row>
        <row r="2500">
          <cell r="A2500" t="str">
            <v>B&amp;P-EMQ-MS06-D-C3</v>
          </cell>
          <cell r="G2500" t="str">
            <v>IPFAP</v>
          </cell>
          <cell r="L2500">
            <v>42489</v>
          </cell>
          <cell r="M2500">
            <v>14.59</v>
          </cell>
          <cell r="P2500">
            <v>1.1551953392734748</v>
          </cell>
        </row>
        <row r="2501">
          <cell r="A2501" t="str">
            <v>B&amp;P-FAL-12Vdc-24Vdc</v>
          </cell>
          <cell r="G2501" t="str">
            <v>IDESP</v>
          </cell>
          <cell r="L2501">
            <v>43983</v>
          </cell>
          <cell r="M2501">
            <v>70.5</v>
          </cell>
          <cell r="P2501">
            <v>1.5</v>
          </cell>
        </row>
        <row r="2502">
          <cell r="A2502" t="str">
            <v>B&amp;P-FAL-BP-120H-54A</v>
          </cell>
          <cell r="G2502" t="str">
            <v xml:space="preserve">INAC </v>
          </cell>
          <cell r="L2502">
            <v>42837</v>
          </cell>
          <cell r="M2502">
            <v>15.61</v>
          </cell>
          <cell r="P2502">
            <v>54.452274183215891</v>
          </cell>
        </row>
        <row r="2503">
          <cell r="A2503" t="str">
            <v>B&amp;P-FAL-BP-120H-54B</v>
          </cell>
          <cell r="G2503" t="str">
            <v xml:space="preserve">INAC </v>
          </cell>
          <cell r="L2503">
            <v>42922</v>
          </cell>
          <cell r="M2503">
            <v>17.37</v>
          </cell>
          <cell r="P2503">
            <v>48.934945308002298</v>
          </cell>
        </row>
        <row r="2504">
          <cell r="A2504" t="str">
            <v>B&amp;P-FAL-BP-200H-54B</v>
          </cell>
          <cell r="G2504" t="str">
            <v xml:space="preserve">INAC </v>
          </cell>
          <cell r="L2504">
            <v>42976</v>
          </cell>
          <cell r="M2504">
            <v>17.579999999999998</v>
          </cell>
          <cell r="P2504">
            <v>78.156996587030719</v>
          </cell>
        </row>
        <row r="2505">
          <cell r="A2505" t="str">
            <v>B&amp;P-FAL-HX-SZ300</v>
          </cell>
          <cell r="G2505" t="str">
            <v>IDESP</v>
          </cell>
          <cell r="L2505">
            <v>42152</v>
          </cell>
          <cell r="M2505">
            <v>9.02</v>
          </cell>
          <cell r="P2505">
            <v>25</v>
          </cell>
        </row>
        <row r="2506">
          <cell r="A2506" t="str">
            <v>B&amp;P-FAL-LP-240C-54</v>
          </cell>
          <cell r="G2506" t="str">
            <v xml:space="preserve">INAC </v>
          </cell>
          <cell r="L2506">
            <v>43389</v>
          </cell>
          <cell r="M2506">
            <v>37.6</v>
          </cell>
          <cell r="P2506">
            <v>42.553191489361701</v>
          </cell>
        </row>
        <row r="2507">
          <cell r="A2507" t="str">
            <v>B&amp;P-FAL-SP1</v>
          </cell>
          <cell r="G2507" t="str">
            <v xml:space="preserve">INAC </v>
          </cell>
          <cell r="L2507">
            <v>42922</v>
          </cell>
          <cell r="M2507">
            <v>17.37</v>
          </cell>
          <cell r="P2507">
            <v>13.35636154289004</v>
          </cell>
        </row>
        <row r="2508">
          <cell r="A2508" t="str">
            <v>B&amp;P-FAL-SPD-10KV</v>
          </cell>
          <cell r="G2508" t="str">
            <v>IPFAB</v>
          </cell>
          <cell r="L2508">
            <v>43859</v>
          </cell>
          <cell r="M2508">
            <v>63</v>
          </cell>
          <cell r="P2508">
            <v>4</v>
          </cell>
        </row>
        <row r="2509">
          <cell r="A2509" t="str">
            <v>B&amp;P-FAL-SPD-20KV</v>
          </cell>
          <cell r="G2509" t="str">
            <v xml:space="preserve">INAC </v>
          </cell>
          <cell r="L2509">
            <v>43167</v>
          </cell>
          <cell r="M2509">
            <v>20.62</v>
          </cell>
          <cell r="P2509">
            <v>7.2744907856450043</v>
          </cell>
        </row>
        <row r="2510">
          <cell r="A2510" t="str">
            <v>B&amp;P-HS--LS06-D</v>
          </cell>
          <cell r="G2510" t="str">
            <v>VPRet</v>
          </cell>
          <cell r="L2510">
            <v>42703</v>
          </cell>
          <cell r="M2510">
            <v>15.75</v>
          </cell>
          <cell r="P2510">
            <v>0.40634920634920635</v>
          </cell>
        </row>
        <row r="2511">
          <cell r="A2511" t="str">
            <v>B&amp;P-HS--MS02-2RLD-C3</v>
          </cell>
          <cell r="G2511" t="str">
            <v xml:space="preserve">INAC </v>
          </cell>
          <cell r="L2511">
            <v>44349</v>
          </cell>
          <cell r="M2511">
            <v>100</v>
          </cell>
          <cell r="P2511">
            <v>0.42</v>
          </cell>
        </row>
        <row r="2512">
          <cell r="A2512" t="str">
            <v>B&amp;P-HS--MS02-D-C3</v>
          </cell>
          <cell r="G2512" t="str">
            <v>IPFAP</v>
          </cell>
          <cell r="L2512">
            <v>42824</v>
          </cell>
          <cell r="M2512">
            <v>15.76</v>
          </cell>
          <cell r="P2512">
            <v>0.41814720812182743</v>
          </cell>
        </row>
        <row r="2513">
          <cell r="A2513" t="str">
            <v>B&amp;P-HS--MS03-2RLD-C0</v>
          </cell>
          <cell r="G2513" t="str">
            <v>VPRet</v>
          </cell>
          <cell r="L2513">
            <v>42263</v>
          </cell>
          <cell r="M2513">
            <v>9.41</v>
          </cell>
          <cell r="P2513">
            <v>0.68098831030818274</v>
          </cell>
        </row>
        <row r="2514">
          <cell r="A2514" t="str">
            <v>B&amp;P-HS--MS03-2RLD-C3</v>
          </cell>
          <cell r="G2514" t="str">
            <v>vpret</v>
          </cell>
          <cell r="L2514">
            <v>43788</v>
          </cell>
          <cell r="M2514">
            <v>62.5</v>
          </cell>
          <cell r="P2514">
            <v>0.38080143999999999</v>
          </cell>
        </row>
        <row r="2515">
          <cell r="A2515" t="str">
            <v>B&amp;P-HS--MS03-2Z</v>
          </cell>
          <cell r="G2515" t="str">
            <v xml:space="preserve">CR   </v>
          </cell>
          <cell r="L2515">
            <v>43126.701226851852</v>
          </cell>
          <cell r="M2515">
            <v>19.86</v>
          </cell>
          <cell r="P2515">
            <v>0.26032225579053375</v>
          </cell>
        </row>
        <row r="2516">
          <cell r="A2516" t="str">
            <v>B&amp;P-HS--MS03-D-C3</v>
          </cell>
          <cell r="G2516" t="str">
            <v xml:space="preserve">CR   </v>
          </cell>
          <cell r="L2516">
            <v>43126.701226851852</v>
          </cell>
          <cell r="M2516">
            <v>19.86</v>
          </cell>
          <cell r="P2516">
            <v>0.29305135951661632</v>
          </cell>
        </row>
        <row r="2517">
          <cell r="A2517" t="str">
            <v>B&amp;P-HS--MS04-2RLD-C3</v>
          </cell>
          <cell r="G2517" t="str">
            <v>VPRet</v>
          </cell>
          <cell r="L2517">
            <v>43594</v>
          </cell>
          <cell r="M2517">
            <v>46.1</v>
          </cell>
          <cell r="P2517">
            <v>0.71499999999999997</v>
          </cell>
        </row>
        <row r="2518">
          <cell r="A2518" t="str">
            <v>B&amp;P-HS--MS04-2RST-C3</v>
          </cell>
          <cell r="G2518" t="str">
            <v>INDEV</v>
          </cell>
          <cell r="L2518">
            <v>41613</v>
          </cell>
          <cell r="M2518">
            <v>6.2</v>
          </cell>
          <cell r="P2518">
            <v>0.49354838709677418</v>
          </cell>
        </row>
        <row r="2519">
          <cell r="A2519" t="str">
            <v>B&amp;P-HS--MS04-D-C3</v>
          </cell>
          <cell r="G2519" t="str">
            <v>vpret</v>
          </cell>
          <cell r="L2519">
            <v>45174</v>
          </cell>
          <cell r="M2519">
            <v>365.5</v>
          </cell>
          <cell r="P2519">
            <v>0.57599999999999996</v>
          </cell>
        </row>
        <row r="2520">
          <cell r="A2520" t="str">
            <v>B&amp;P-HS--MS05-2RLD-C3</v>
          </cell>
          <cell r="G2520" t="str">
            <v xml:space="preserve">CR   </v>
          </cell>
          <cell r="L2520">
            <v>43126.701226851852</v>
          </cell>
          <cell r="M2520">
            <v>19.86</v>
          </cell>
          <cell r="P2520">
            <v>0.80312185297079552</v>
          </cell>
        </row>
        <row r="2521">
          <cell r="A2521" t="str">
            <v>B&amp;P-HS--MS05-D-C3</v>
          </cell>
          <cell r="G2521" t="str">
            <v>VPRet</v>
          </cell>
          <cell r="L2521">
            <v>42717</v>
          </cell>
          <cell r="M2521">
            <v>16.27</v>
          </cell>
          <cell r="P2521">
            <v>0.80599999999999994</v>
          </cell>
        </row>
        <row r="2522">
          <cell r="A2522" t="str">
            <v>B&amp;P-HS--MS06-1RLD-C3</v>
          </cell>
          <cell r="G2522" t="str">
            <v>VPRet</v>
          </cell>
          <cell r="L2522">
            <v>42923</v>
          </cell>
          <cell r="M2522">
            <v>17.38</v>
          </cell>
          <cell r="P2522">
            <v>0.85903337169159955</v>
          </cell>
        </row>
        <row r="2523">
          <cell r="A2523" t="str">
            <v>B&amp;P-HS--MS06-2RLD-C3</v>
          </cell>
          <cell r="G2523" t="str">
            <v xml:space="preserve">CR   </v>
          </cell>
          <cell r="L2523">
            <v>43126.701226851852</v>
          </cell>
          <cell r="M2523">
            <v>19.86</v>
          </cell>
          <cell r="P2523">
            <v>0.75981873111782483</v>
          </cell>
        </row>
        <row r="2524">
          <cell r="A2524" t="str">
            <v>B&amp;P-HS--MS06-D-C3</v>
          </cell>
          <cell r="G2524" t="str">
            <v>vpret</v>
          </cell>
          <cell r="L2524">
            <v>45084</v>
          </cell>
          <cell r="M2524">
            <v>252.5</v>
          </cell>
          <cell r="P2524">
            <v>0.70388118811881184</v>
          </cell>
        </row>
        <row r="2525">
          <cell r="A2525" t="str">
            <v>B&amp;P-HS--MS07-2RLD-C3</v>
          </cell>
          <cell r="G2525" t="str">
            <v>vpret</v>
          </cell>
          <cell r="L2525">
            <v>43446</v>
          </cell>
          <cell r="M2525">
            <v>38.700000000000003</v>
          </cell>
          <cell r="P2525">
            <v>3.7227028423772608</v>
          </cell>
        </row>
        <row r="2526">
          <cell r="A2526" t="str">
            <v>B&amp;P-HS--MS07-D-C3</v>
          </cell>
          <cell r="G2526" t="str">
            <v>VPRet</v>
          </cell>
          <cell r="L2526">
            <v>43069</v>
          </cell>
          <cell r="M2526">
            <v>17.77</v>
          </cell>
          <cell r="P2526">
            <v>1.4435000000000002</v>
          </cell>
        </row>
        <row r="2527">
          <cell r="A2527" t="str">
            <v>B&amp;P-HS--MS09-D-C3</v>
          </cell>
          <cell r="G2527" t="str">
            <v>VPRet</v>
          </cell>
          <cell r="L2527">
            <v>42284</v>
          </cell>
          <cell r="M2527">
            <v>9.51</v>
          </cell>
          <cell r="P2527">
            <v>3.073585699263933</v>
          </cell>
        </row>
        <row r="2528">
          <cell r="A2528" t="str">
            <v>B&amp;P-LED-1w-100w-led</v>
          </cell>
          <cell r="G2528" t="str">
            <v>IDESP</v>
          </cell>
          <cell r="L2528">
            <v>40953</v>
          </cell>
          <cell r="M2528">
            <v>4.3600000000000003</v>
          </cell>
          <cell r="P2528">
            <v>17.899999999999999</v>
          </cell>
        </row>
        <row r="2529">
          <cell r="A2529" t="str">
            <v>B&amp;P-LED-36V-150XPE</v>
          </cell>
          <cell r="G2529" t="str">
            <v xml:space="preserve">INSI </v>
          </cell>
          <cell r="L2529">
            <v>42684</v>
          </cell>
          <cell r="M2529">
            <v>15.2</v>
          </cell>
          <cell r="P2529">
            <v>145</v>
          </cell>
        </row>
        <row r="2530">
          <cell r="A2530" t="str">
            <v>B&amp;P-LED-36V-1CW10</v>
          </cell>
          <cell r="G2530" t="str">
            <v>IDESP</v>
          </cell>
          <cell r="L2530">
            <v>42451</v>
          </cell>
          <cell r="M2530">
            <v>15.01</v>
          </cell>
          <cell r="P2530">
            <v>6.7</v>
          </cell>
        </row>
        <row r="2531">
          <cell r="A2531" t="str">
            <v>B&amp;P-LED-36V-1CW100</v>
          </cell>
          <cell r="G2531" t="str">
            <v>IDESP</v>
          </cell>
          <cell r="L2531">
            <v>42451</v>
          </cell>
          <cell r="M2531">
            <v>15.01</v>
          </cell>
          <cell r="P2531">
            <v>73.3</v>
          </cell>
        </row>
        <row r="2532">
          <cell r="A2532" t="str">
            <v>B&amp;P-LED-36V-1CW150</v>
          </cell>
          <cell r="G2532" t="str">
            <v>IDESP</v>
          </cell>
          <cell r="L2532">
            <v>42451</v>
          </cell>
          <cell r="M2532">
            <v>15.01</v>
          </cell>
          <cell r="P2532">
            <v>112.79</v>
          </cell>
        </row>
        <row r="2533">
          <cell r="A2533" t="str">
            <v>B&amp;P-LED-36V-1CW30</v>
          </cell>
          <cell r="G2533" t="str">
            <v>IDESP</v>
          </cell>
          <cell r="L2533">
            <v>42451</v>
          </cell>
          <cell r="M2533">
            <v>15.01</v>
          </cell>
          <cell r="P2533">
            <v>16.600000000000001</v>
          </cell>
        </row>
        <row r="2534">
          <cell r="A2534" t="str">
            <v>B&amp;P-LED-36V-1CW50</v>
          </cell>
          <cell r="G2534" t="str">
            <v>IDESP</v>
          </cell>
          <cell r="L2534">
            <v>42451</v>
          </cell>
          <cell r="M2534">
            <v>15.01</v>
          </cell>
          <cell r="P2534">
            <v>26.2</v>
          </cell>
        </row>
        <row r="2535">
          <cell r="A2535" t="str">
            <v>B&amp;P-LED-5060-SMD5K</v>
          </cell>
          <cell r="G2535" t="str">
            <v>IDESP</v>
          </cell>
          <cell r="L2535">
            <v>44753</v>
          </cell>
          <cell r="M2535">
            <v>133.25</v>
          </cell>
          <cell r="P2535">
            <v>9.5</v>
          </cell>
        </row>
        <row r="2536">
          <cell r="A2536" t="str">
            <v>B&amp;P-LED-5060-SMDRED</v>
          </cell>
          <cell r="G2536" t="str">
            <v>IDESP</v>
          </cell>
          <cell r="L2536">
            <v>43502</v>
          </cell>
          <cell r="M2536">
            <v>38.1</v>
          </cell>
          <cell r="P2536">
            <v>26.35</v>
          </cell>
        </row>
        <row r="2537">
          <cell r="A2537" t="str">
            <v>B&amp;P-LED-7D471</v>
          </cell>
          <cell r="G2537" t="str">
            <v xml:space="preserve">INSI </v>
          </cell>
          <cell r="L2537">
            <v>42857</v>
          </cell>
          <cell r="M2537">
            <v>15.78</v>
          </cell>
          <cell r="P2537">
            <v>120</v>
          </cell>
        </row>
        <row r="2538">
          <cell r="A2538" t="str">
            <v>B&amp;P-LED-A-400</v>
          </cell>
          <cell r="G2538" t="str">
            <v xml:space="preserve">INSI </v>
          </cell>
          <cell r="L2538" t="str">
            <v>NULL</v>
          </cell>
          <cell r="M2538" t="str">
            <v>conver</v>
          </cell>
          <cell r="P2538">
            <v>2362</v>
          </cell>
        </row>
        <row r="2539">
          <cell r="A2539" t="str">
            <v>B&amp;P-LED-AIO-30</v>
          </cell>
          <cell r="G2539" t="str">
            <v>IDESP</v>
          </cell>
          <cell r="L2539">
            <v>44137</v>
          </cell>
          <cell r="M2539">
            <v>83.5</v>
          </cell>
          <cell r="P2539">
            <v>21.9</v>
          </cell>
        </row>
        <row r="2540">
          <cell r="A2540" t="str">
            <v>B&amp;P-LED-AIO-90</v>
          </cell>
          <cell r="G2540" t="str">
            <v>IPFAB</v>
          </cell>
          <cell r="L2540">
            <v>44097</v>
          </cell>
          <cell r="M2540">
            <v>79.5</v>
          </cell>
          <cell r="P2540">
            <v>204</v>
          </cell>
        </row>
        <row r="2541">
          <cell r="A2541" t="str">
            <v>B&amp;P-LED-AR111</v>
          </cell>
          <cell r="G2541" t="str">
            <v>IDESP</v>
          </cell>
          <cell r="L2541">
            <v>41192</v>
          </cell>
          <cell r="M2541">
            <v>4.72</v>
          </cell>
          <cell r="P2541">
            <v>17</v>
          </cell>
        </row>
        <row r="2542">
          <cell r="A2542" t="str">
            <v>B&amp;P-LED-ART4015</v>
          </cell>
          <cell r="G2542" t="str">
            <v xml:space="preserve">INAC </v>
          </cell>
          <cell r="L2542">
            <v>43304</v>
          </cell>
          <cell r="M2542">
            <v>28.1</v>
          </cell>
          <cell r="P2542">
            <v>6.5533807829181496</v>
          </cell>
        </row>
        <row r="2543">
          <cell r="A2543" t="str">
            <v>B&amp;P-LED-Bracket-200</v>
          </cell>
          <cell r="G2543" t="str">
            <v>IDESP</v>
          </cell>
          <cell r="L2543">
            <v>43080</v>
          </cell>
          <cell r="M2543">
            <v>17.64</v>
          </cell>
          <cell r="P2543">
            <v>7.8973000000000004</v>
          </cell>
        </row>
        <row r="2544">
          <cell r="A2544" t="str">
            <v>B&amp;P-LED-Bracket-300</v>
          </cell>
          <cell r="G2544" t="str">
            <v>IDESP</v>
          </cell>
          <cell r="L2544">
            <v>43069</v>
          </cell>
          <cell r="M2544">
            <v>17.77</v>
          </cell>
          <cell r="P2544">
            <v>7.8087999999999997</v>
          </cell>
        </row>
        <row r="2545">
          <cell r="A2545" t="str">
            <v>B&amp;P-LED-Bracket-90</v>
          </cell>
          <cell r="G2545" t="str">
            <v>IDESP</v>
          </cell>
          <cell r="L2545">
            <v>43069</v>
          </cell>
          <cell r="M2545">
            <v>17.77</v>
          </cell>
          <cell r="P2545">
            <v>3.4539</v>
          </cell>
        </row>
        <row r="2546">
          <cell r="A2546" t="str">
            <v>B&amp;P-LED-BULB-100</v>
          </cell>
          <cell r="G2546" t="str">
            <v xml:space="preserve">INSI </v>
          </cell>
          <cell r="L2546">
            <v>43383</v>
          </cell>
          <cell r="M2546">
            <v>38</v>
          </cell>
          <cell r="P2546">
            <v>15</v>
          </cell>
        </row>
        <row r="2547">
          <cell r="A2547" t="str">
            <v>B&amp;P-LED-C1A-C1B</v>
          </cell>
          <cell r="G2547" t="str">
            <v xml:space="preserve">INSI </v>
          </cell>
          <cell r="L2547">
            <v>42857</v>
          </cell>
          <cell r="M2547">
            <v>15.78</v>
          </cell>
          <cell r="P2547">
            <v>120</v>
          </cell>
        </row>
        <row r="2548">
          <cell r="A2548" t="str">
            <v>B&amp;P-LED-CXA3050CW</v>
          </cell>
          <cell r="G2548" t="str">
            <v>IDESP</v>
          </cell>
          <cell r="L2548">
            <v>42201</v>
          </cell>
          <cell r="M2548">
            <v>9.17</v>
          </cell>
          <cell r="P2548">
            <v>26</v>
          </cell>
        </row>
        <row r="2549">
          <cell r="A2549" t="str">
            <v>B&amp;P-LED-CXA3590CW</v>
          </cell>
          <cell r="G2549" t="str">
            <v>IDESP</v>
          </cell>
          <cell r="L2549">
            <v>42296</v>
          </cell>
          <cell r="M2549">
            <v>9.5399999999999991</v>
          </cell>
          <cell r="P2549">
            <v>40</v>
          </cell>
        </row>
        <row r="2550">
          <cell r="A2550" t="str">
            <v>B&amp;P-LED-GU10-5WW</v>
          </cell>
          <cell r="G2550" t="str">
            <v xml:space="preserve">INAC </v>
          </cell>
          <cell r="L2550">
            <v>43276</v>
          </cell>
          <cell r="M2550">
            <v>27.5</v>
          </cell>
          <cell r="P2550">
            <v>2.046869090909091</v>
          </cell>
        </row>
        <row r="2551">
          <cell r="A2551" t="str">
            <v>B&amp;P-LED-Housing-RND</v>
          </cell>
          <cell r="G2551" t="str">
            <v>IDESP</v>
          </cell>
          <cell r="L2551">
            <v>42590</v>
          </cell>
          <cell r="M2551">
            <v>15.16</v>
          </cell>
          <cell r="P2551">
            <v>4</v>
          </cell>
        </row>
        <row r="2552">
          <cell r="A2552" t="str">
            <v>B&amp;P-LED-IP65-1CW10</v>
          </cell>
          <cell r="G2552" t="str">
            <v>IDESP</v>
          </cell>
          <cell r="L2552">
            <v>42103</v>
          </cell>
          <cell r="M2552">
            <v>8.8699999999999992</v>
          </cell>
          <cell r="P2552">
            <v>6</v>
          </cell>
        </row>
        <row r="2553">
          <cell r="A2553" t="str">
            <v>B&amp;P-LED-J1-J13</v>
          </cell>
          <cell r="G2553" t="str">
            <v xml:space="preserve">INSI </v>
          </cell>
          <cell r="L2553">
            <v>42857</v>
          </cell>
          <cell r="M2553">
            <v>15.78</v>
          </cell>
          <cell r="P2553">
            <v>120</v>
          </cell>
        </row>
        <row r="2554">
          <cell r="A2554" t="str">
            <v>B&amp;P-LED-Lens-LP200-5</v>
          </cell>
          <cell r="G2554" t="str">
            <v>INCOU</v>
          </cell>
          <cell r="L2554">
            <v>43280</v>
          </cell>
          <cell r="M2554">
            <v>28.6</v>
          </cell>
          <cell r="P2554">
            <v>0.48949999999999999</v>
          </cell>
        </row>
        <row r="2555">
          <cell r="A2555" t="str">
            <v>B&amp;P-LED-Lens-OV200-1</v>
          </cell>
          <cell r="G2555" t="str">
            <v>INCOU</v>
          </cell>
          <cell r="L2555">
            <v>42922</v>
          </cell>
          <cell r="M2555">
            <v>17.37</v>
          </cell>
          <cell r="P2555">
            <v>3.2</v>
          </cell>
        </row>
        <row r="2556">
          <cell r="A2556" t="str">
            <v>B&amp;P-LED-Lens-OV200-5</v>
          </cell>
          <cell r="G2556" t="str">
            <v>IPFAP</v>
          </cell>
          <cell r="L2556">
            <v>42831</v>
          </cell>
          <cell r="M2556">
            <v>15.69</v>
          </cell>
          <cell r="P2556">
            <v>7.5</v>
          </cell>
        </row>
        <row r="2557">
          <cell r="A2557" t="str">
            <v>B&amp;P-LED-Lens-OV200-9</v>
          </cell>
          <cell r="G2557" t="str">
            <v>IPFAP</v>
          </cell>
          <cell r="L2557">
            <v>42831</v>
          </cell>
          <cell r="M2557">
            <v>15.69</v>
          </cell>
          <cell r="P2557">
            <v>7.5</v>
          </cell>
        </row>
        <row r="2558">
          <cell r="A2558" t="str">
            <v>B&amp;P-LED-Lens-OV300-3</v>
          </cell>
          <cell r="G2558" t="str">
            <v>INCOU</v>
          </cell>
          <cell r="L2558">
            <v>43151</v>
          </cell>
          <cell r="M2558">
            <v>20.14</v>
          </cell>
          <cell r="P2558">
            <v>6</v>
          </cell>
        </row>
        <row r="2559">
          <cell r="A2559" t="str">
            <v>B&amp;P-LED-Lens-OV300-6</v>
          </cell>
          <cell r="G2559" t="str">
            <v>IDESP</v>
          </cell>
          <cell r="L2559">
            <v>43069</v>
          </cell>
          <cell r="M2559">
            <v>17.77</v>
          </cell>
          <cell r="P2559">
            <v>6.9</v>
          </cell>
        </row>
        <row r="2560">
          <cell r="A2560" t="str">
            <v>B&amp;P-LED-Lens-OV300-9</v>
          </cell>
          <cell r="G2560" t="str">
            <v>INCOU</v>
          </cell>
          <cell r="L2560">
            <v>43151</v>
          </cell>
          <cell r="M2560">
            <v>20.14</v>
          </cell>
          <cell r="P2560">
            <v>6</v>
          </cell>
        </row>
        <row r="2561">
          <cell r="A2561" t="str">
            <v>B&amp;P-LED-LP101-5</v>
          </cell>
          <cell r="G2561" t="str">
            <v xml:space="preserve">INAC </v>
          </cell>
          <cell r="L2561">
            <v>44588</v>
          </cell>
          <cell r="M2561">
            <v>109.5</v>
          </cell>
          <cell r="P2561">
            <v>48.415068493150685</v>
          </cell>
        </row>
        <row r="2562">
          <cell r="A2562" t="str">
            <v>B&amp;P-LED-LP200-5</v>
          </cell>
          <cell r="G2562" t="str">
            <v>IPFAB</v>
          </cell>
          <cell r="L2562">
            <v>43565</v>
          </cell>
          <cell r="M2562">
            <v>44.5</v>
          </cell>
          <cell r="P2562">
            <v>69.921800000000005</v>
          </cell>
        </row>
        <row r="2563">
          <cell r="A2563" t="str">
            <v>B&amp;P-LED-LP200-Brackt</v>
          </cell>
          <cell r="G2563" t="str">
            <v>IDESP</v>
          </cell>
          <cell r="L2563">
            <v>43185</v>
          </cell>
          <cell r="M2563">
            <v>20.55</v>
          </cell>
          <cell r="P2563">
            <v>3.7</v>
          </cell>
        </row>
        <row r="2564">
          <cell r="A2564" t="str">
            <v>B&amp;P-LED-LP200-Housin</v>
          </cell>
          <cell r="G2564" t="str">
            <v>IDESP</v>
          </cell>
          <cell r="L2564">
            <v>43185</v>
          </cell>
          <cell r="M2564">
            <v>20.55</v>
          </cell>
          <cell r="P2564">
            <v>18.3</v>
          </cell>
        </row>
        <row r="2565">
          <cell r="A2565" t="str">
            <v>B&amp;P-LED-MB10F-1A</v>
          </cell>
          <cell r="G2565" t="str">
            <v xml:space="preserve">INSI </v>
          </cell>
          <cell r="L2565">
            <v>42857</v>
          </cell>
          <cell r="M2565">
            <v>15.78</v>
          </cell>
          <cell r="P2565">
            <v>120</v>
          </cell>
        </row>
        <row r="2566">
          <cell r="A2566" t="str">
            <v>B&amp;P-LED-NP-240-5</v>
          </cell>
          <cell r="G2566" t="str">
            <v>INCOU</v>
          </cell>
          <cell r="L2566">
            <v>42915</v>
          </cell>
          <cell r="M2566">
            <v>16.68</v>
          </cell>
          <cell r="P2566">
            <v>196.7</v>
          </cell>
        </row>
        <row r="2567">
          <cell r="A2567" t="str">
            <v>B&amp;P-LED-NTC5D-7</v>
          </cell>
          <cell r="G2567" t="str">
            <v xml:space="preserve">INSI </v>
          </cell>
          <cell r="L2567">
            <v>42857</v>
          </cell>
          <cell r="M2567">
            <v>15.78</v>
          </cell>
          <cell r="P2567">
            <v>120</v>
          </cell>
        </row>
        <row r="2568">
          <cell r="A2568" t="str">
            <v>B&amp;P-LED-NX-120</v>
          </cell>
          <cell r="G2568" t="str">
            <v xml:space="preserve">INAC </v>
          </cell>
          <cell r="L2568">
            <v>43228</v>
          </cell>
          <cell r="M2568">
            <v>22.36</v>
          </cell>
          <cell r="P2568">
            <v>196.77996422182468</v>
          </cell>
        </row>
        <row r="2569">
          <cell r="A2569" t="str">
            <v>B&amp;P-LED-NX-120-Housi</v>
          </cell>
          <cell r="G2569" t="str">
            <v>IDESP</v>
          </cell>
          <cell r="L2569">
            <v>42807</v>
          </cell>
          <cell r="M2569">
            <v>15.86</v>
          </cell>
          <cell r="P2569">
            <v>83.628</v>
          </cell>
        </row>
        <row r="2570">
          <cell r="A2570" t="str">
            <v>B&amp;P-LED-NX-180</v>
          </cell>
          <cell r="G2570" t="str">
            <v xml:space="preserve">CR   </v>
          </cell>
          <cell r="L2570">
            <v>43126.701226851852</v>
          </cell>
          <cell r="M2570">
            <v>19.86</v>
          </cell>
          <cell r="P2570">
            <v>169.83937562940585</v>
          </cell>
        </row>
        <row r="2571">
          <cell r="A2571" t="str">
            <v>B&amp;P-LED-NX-180-Housi</v>
          </cell>
          <cell r="G2571" t="str">
            <v>IDESP</v>
          </cell>
          <cell r="L2571">
            <v>42858</v>
          </cell>
          <cell r="M2571">
            <v>15.67</v>
          </cell>
          <cell r="P2571">
            <v>87.11</v>
          </cell>
        </row>
        <row r="2572">
          <cell r="A2572" t="str">
            <v>B&amp;P-LED-NX-30</v>
          </cell>
          <cell r="G2572" t="str">
            <v>INCOU</v>
          </cell>
          <cell r="L2572">
            <v>42732</v>
          </cell>
          <cell r="M2572">
            <v>15.95</v>
          </cell>
          <cell r="P2572">
            <v>96</v>
          </cell>
        </row>
        <row r="2573">
          <cell r="A2573" t="str">
            <v>B&amp;P-LED-NX-54120</v>
          </cell>
          <cell r="G2573" t="str">
            <v>VPRet</v>
          </cell>
          <cell r="L2573">
            <v>42975</v>
          </cell>
          <cell r="M2573">
            <v>17.579999999999998</v>
          </cell>
          <cell r="P2573">
            <v>107.82800000000002</v>
          </cell>
        </row>
        <row r="2574">
          <cell r="A2574" t="str">
            <v>B&amp;P-LED-NX-54180</v>
          </cell>
          <cell r="G2574" t="str">
            <v>VPRet</v>
          </cell>
          <cell r="L2574">
            <v>42828</v>
          </cell>
          <cell r="M2574">
            <v>15.68</v>
          </cell>
          <cell r="P2574">
            <v>719</v>
          </cell>
        </row>
        <row r="2575">
          <cell r="A2575" t="str">
            <v>B&amp;P-LED-NX-70</v>
          </cell>
          <cell r="G2575" t="str">
            <v>INCOU</v>
          </cell>
          <cell r="L2575">
            <v>42732</v>
          </cell>
          <cell r="M2575">
            <v>15.95</v>
          </cell>
          <cell r="P2575">
            <v>105</v>
          </cell>
        </row>
        <row r="2576">
          <cell r="A2576" t="str">
            <v>B&amp;P-LED-OV-54200-5</v>
          </cell>
          <cell r="G2576" t="str">
            <v>VPRet</v>
          </cell>
          <cell r="L2576">
            <v>42836</v>
          </cell>
          <cell r="M2576">
            <v>15.6</v>
          </cell>
          <cell r="P2576">
            <v>78.5</v>
          </cell>
        </row>
        <row r="2577">
          <cell r="A2577" t="str">
            <v>B&amp;P-LED-OV-54330-5</v>
          </cell>
          <cell r="G2577" t="str">
            <v>VPRet</v>
          </cell>
          <cell r="L2577">
            <v>42831</v>
          </cell>
          <cell r="M2577">
            <v>15.69</v>
          </cell>
          <cell r="P2577">
            <v>120.11536010197578</v>
          </cell>
        </row>
        <row r="2578">
          <cell r="A2578" t="str">
            <v>B&amp;P-LED-OV-5490-5</v>
          </cell>
          <cell r="G2578" t="str">
            <v>VPRet</v>
          </cell>
          <cell r="L2578">
            <v>42832</v>
          </cell>
          <cell r="M2578">
            <v>15.7</v>
          </cell>
          <cell r="P2578">
            <v>39.250318471337586</v>
          </cell>
        </row>
        <row r="2579">
          <cell r="A2579" t="str">
            <v>B&amp;P-LED-OV200-5-01</v>
          </cell>
          <cell r="G2579" t="str">
            <v>IDESP</v>
          </cell>
          <cell r="L2579">
            <v>43137</v>
          </cell>
          <cell r="M2579">
            <v>19.809999999999999</v>
          </cell>
          <cell r="P2579">
            <v>40.83</v>
          </cell>
        </row>
        <row r="2580">
          <cell r="A2580" t="str">
            <v>B&amp;P-LED-OV300-5</v>
          </cell>
          <cell r="G2580" t="str">
            <v>IDESP</v>
          </cell>
          <cell r="L2580">
            <v>42830</v>
          </cell>
          <cell r="M2580">
            <v>15.71</v>
          </cell>
          <cell r="P2580">
            <v>68.5</v>
          </cell>
        </row>
        <row r="2581">
          <cell r="A2581" t="str">
            <v>B&amp;P-LED-OV300-5-01</v>
          </cell>
          <cell r="G2581" t="str">
            <v>IDESP</v>
          </cell>
          <cell r="L2581">
            <v>43069</v>
          </cell>
          <cell r="M2581">
            <v>17.77</v>
          </cell>
          <cell r="P2581">
            <v>59.526899999999998</v>
          </cell>
        </row>
        <row r="2582">
          <cell r="A2582" t="str">
            <v>B&amp;P-LED-OV90-5-01</v>
          </cell>
          <cell r="G2582" t="str">
            <v>IDESP</v>
          </cell>
          <cell r="L2582">
            <v>43069</v>
          </cell>
          <cell r="M2582">
            <v>17.77</v>
          </cell>
          <cell r="P2582">
            <v>20.723299999999998</v>
          </cell>
        </row>
        <row r="2583">
          <cell r="A2583" t="str">
            <v>B&amp;P-LED-PANEL50W-NW</v>
          </cell>
          <cell r="G2583" t="str">
            <v>IDESP</v>
          </cell>
          <cell r="L2583">
            <v>43110</v>
          </cell>
          <cell r="M2583">
            <v>19.27</v>
          </cell>
          <cell r="P2583">
            <v>11.4</v>
          </cell>
        </row>
        <row r="2584">
          <cell r="A2584" t="str">
            <v>B&amp;P-LED-R3A-R3C</v>
          </cell>
          <cell r="G2584" t="str">
            <v xml:space="preserve">INSI </v>
          </cell>
          <cell r="L2584">
            <v>42857</v>
          </cell>
          <cell r="M2584">
            <v>15.78</v>
          </cell>
          <cell r="P2584">
            <v>120</v>
          </cell>
        </row>
        <row r="2585">
          <cell r="A2585" t="str">
            <v>B&amp;P-LED-RA4-R4C</v>
          </cell>
          <cell r="G2585" t="str">
            <v xml:space="preserve">INSI </v>
          </cell>
          <cell r="L2585">
            <v>42857</v>
          </cell>
          <cell r="M2585">
            <v>15.78</v>
          </cell>
          <cell r="P2585">
            <v>120</v>
          </cell>
        </row>
        <row r="2586">
          <cell r="A2586" t="str">
            <v>B&amp;P-LED-RDA-RDC</v>
          </cell>
          <cell r="G2586" t="str">
            <v xml:space="preserve">INSI </v>
          </cell>
          <cell r="L2586">
            <v>42857</v>
          </cell>
          <cell r="M2586">
            <v>15.78</v>
          </cell>
          <cell r="P2586">
            <v>120</v>
          </cell>
        </row>
        <row r="2587">
          <cell r="A2587" t="str">
            <v>B&amp;P-LED-RFL-CW10</v>
          </cell>
          <cell r="G2587" t="str">
            <v xml:space="preserve">INAC </v>
          </cell>
          <cell r="L2587">
            <v>41025</v>
          </cell>
          <cell r="M2587">
            <v>4.43</v>
          </cell>
          <cell r="P2587">
            <v>56.433408577878104</v>
          </cell>
        </row>
        <row r="2588">
          <cell r="A2588" t="str">
            <v>B&amp;P-LED-RND-30CW</v>
          </cell>
          <cell r="G2588" t="str">
            <v xml:space="preserve">INAC </v>
          </cell>
          <cell r="L2588">
            <v>43139</v>
          </cell>
          <cell r="M2588">
            <v>19.93</v>
          </cell>
          <cell r="P2588">
            <v>22.096838936276971</v>
          </cell>
        </row>
        <row r="2589">
          <cell r="A2589" t="str">
            <v>B&amp;P-LED-S2512-M2-1</v>
          </cell>
          <cell r="G2589" t="str">
            <v xml:space="preserve">INSI </v>
          </cell>
          <cell r="L2589">
            <v>42857</v>
          </cell>
          <cell r="M2589">
            <v>15.78</v>
          </cell>
          <cell r="P2589">
            <v>120</v>
          </cell>
        </row>
        <row r="2590">
          <cell r="A2590" t="str">
            <v>B&amp;P-LED-SDS3538S</v>
          </cell>
          <cell r="G2590" t="str">
            <v xml:space="preserve">INSI </v>
          </cell>
          <cell r="L2590">
            <v>42857</v>
          </cell>
          <cell r="M2590">
            <v>15.78</v>
          </cell>
          <cell r="P2590">
            <v>120</v>
          </cell>
        </row>
        <row r="2591">
          <cell r="A2591" t="str">
            <v>B&amp;P-LED-SEMA-LEDS</v>
          </cell>
          <cell r="G2591" t="str">
            <v>IDESP</v>
          </cell>
          <cell r="L2591">
            <v>42061</v>
          </cell>
          <cell r="M2591">
            <v>8.75</v>
          </cell>
          <cell r="P2591">
            <v>52.27</v>
          </cell>
        </row>
        <row r="2592">
          <cell r="A2592" t="str">
            <v>B&amp;P-LED-SEMA-SHELL</v>
          </cell>
          <cell r="G2592" t="str">
            <v>IDESP</v>
          </cell>
          <cell r="L2592">
            <v>42061</v>
          </cell>
          <cell r="M2592">
            <v>8.75</v>
          </cell>
          <cell r="P2592">
            <v>143.75</v>
          </cell>
        </row>
        <row r="2593">
          <cell r="A2593" t="str">
            <v>B&amp;P-LED-T8-18W-6500K</v>
          </cell>
          <cell r="G2593" t="str">
            <v xml:space="preserve">INAC </v>
          </cell>
          <cell r="L2593">
            <v>43276</v>
          </cell>
          <cell r="M2593">
            <v>27.5</v>
          </cell>
          <cell r="P2593">
            <v>3.2873963636363639</v>
          </cell>
        </row>
        <row r="2594">
          <cell r="A2594" t="str">
            <v>B&amp;P-LED-TIMER-300</v>
          </cell>
          <cell r="G2594" t="str">
            <v>IDESP</v>
          </cell>
          <cell r="L2594">
            <v>42950</v>
          </cell>
          <cell r="M2594">
            <v>17.899999999999999</v>
          </cell>
          <cell r="P2594">
            <v>83.55</v>
          </cell>
        </row>
        <row r="2595">
          <cell r="A2595" t="str">
            <v>B&amp;P-LED-TIMER-400</v>
          </cell>
          <cell r="G2595" t="str">
            <v>IDESP</v>
          </cell>
          <cell r="L2595">
            <v>42950</v>
          </cell>
          <cell r="M2595">
            <v>17.899999999999999</v>
          </cell>
          <cell r="P2595">
            <v>87.43</v>
          </cell>
        </row>
        <row r="2596">
          <cell r="A2596" t="str">
            <v>B&amp;P-LED-TRUEFORCE180</v>
          </cell>
          <cell r="G2596" t="str">
            <v xml:space="preserve">INAC </v>
          </cell>
          <cell r="L2596">
            <v>43276</v>
          </cell>
          <cell r="M2596">
            <v>27.5</v>
          </cell>
          <cell r="P2596">
            <v>96.140865454545448</v>
          </cell>
        </row>
        <row r="2597">
          <cell r="A2597" t="str">
            <v>B&amp;P-LED-TRUEFORCE88W</v>
          </cell>
          <cell r="G2597" t="str">
            <v xml:space="preserve">INAC </v>
          </cell>
          <cell r="L2597">
            <v>43250</v>
          </cell>
          <cell r="M2597">
            <v>25.4</v>
          </cell>
          <cell r="P2597">
            <v>65.187007874015748</v>
          </cell>
        </row>
        <row r="2598">
          <cell r="A2598" t="str">
            <v>B&amp;P-LED-UVC</v>
          </cell>
          <cell r="G2598" t="str">
            <v>IDESP</v>
          </cell>
          <cell r="L2598">
            <v>44055</v>
          </cell>
          <cell r="M2598">
            <v>77</v>
          </cell>
          <cell r="P2598">
            <v>12.47</v>
          </cell>
        </row>
        <row r="2599">
          <cell r="A2599" t="str">
            <v>B&amp;P-LED-VK-KL-LED-80</v>
          </cell>
          <cell r="G2599" t="str">
            <v xml:space="preserve">INAC </v>
          </cell>
          <cell r="L2599">
            <v>43264</v>
          </cell>
          <cell r="M2599">
            <v>26.3</v>
          </cell>
          <cell r="P2599">
            <v>260.3718631178707</v>
          </cell>
        </row>
        <row r="2600">
          <cell r="A2600" t="str">
            <v>B&amp;P-LED-WDGFIAE-100</v>
          </cell>
          <cell r="G2600" t="str">
            <v>IDESP</v>
          </cell>
          <cell r="L2600">
            <v>42296</v>
          </cell>
          <cell r="M2600">
            <v>9.5399999999999991</v>
          </cell>
          <cell r="P2600">
            <v>60.17</v>
          </cell>
        </row>
        <row r="2601">
          <cell r="A2601" t="str">
            <v>B&amp;P-LED-WW-18WW60</v>
          </cell>
          <cell r="G2601" t="str">
            <v>IDESP</v>
          </cell>
          <cell r="L2601">
            <v>42324</v>
          </cell>
          <cell r="M2601">
            <v>9.69</v>
          </cell>
          <cell r="P2601">
            <v>35</v>
          </cell>
        </row>
        <row r="2602">
          <cell r="A2602" t="str">
            <v>B&amp;P-MKT-SNAPBACKHAT</v>
          </cell>
          <cell r="G2602" t="str">
            <v>IDESP</v>
          </cell>
          <cell r="L2602">
            <v>45408</v>
          </cell>
          <cell r="M2602">
            <v>893</v>
          </cell>
          <cell r="P2602">
            <v>2.77</v>
          </cell>
        </row>
        <row r="2603">
          <cell r="A2603" t="str">
            <v>B&amp;P-MKT-TRUCKERHAT</v>
          </cell>
          <cell r="G2603" t="str">
            <v>IDESP</v>
          </cell>
          <cell r="L2603">
            <v>45408</v>
          </cell>
          <cell r="M2603">
            <v>893</v>
          </cell>
          <cell r="P2603">
            <v>2.77</v>
          </cell>
        </row>
        <row r="2604">
          <cell r="A2604" t="str">
            <v>B&amp;P-MKT-WINTERHAT</v>
          </cell>
          <cell r="G2604" t="str">
            <v>IDESP</v>
          </cell>
          <cell r="L2604">
            <v>45408</v>
          </cell>
          <cell r="M2604">
            <v>893</v>
          </cell>
          <cell r="P2604">
            <v>2.7</v>
          </cell>
        </row>
        <row r="2605">
          <cell r="A2605" t="str">
            <v>B&amp;P-PCB-12V7W50cmCW</v>
          </cell>
          <cell r="G2605" t="str">
            <v>IDESP</v>
          </cell>
          <cell r="L2605">
            <v>42201</v>
          </cell>
          <cell r="M2605">
            <v>9.17</v>
          </cell>
          <cell r="P2605">
            <v>3.99</v>
          </cell>
        </row>
        <row r="2606">
          <cell r="A2606" t="str">
            <v>B&amp;P-PCB-AIO-30LENS</v>
          </cell>
          <cell r="G2606" t="str">
            <v>IDESP</v>
          </cell>
          <cell r="L2606">
            <v>43732</v>
          </cell>
          <cell r="M2606">
            <v>58.5</v>
          </cell>
          <cell r="P2606">
            <v>1</v>
          </cell>
        </row>
        <row r="2607">
          <cell r="A2607" t="str">
            <v>B&amp;P-PCB-AIO-LED</v>
          </cell>
          <cell r="G2607" t="str">
            <v>IDESP</v>
          </cell>
          <cell r="L2607">
            <v>43732</v>
          </cell>
          <cell r="M2607">
            <v>58.5</v>
          </cell>
          <cell r="P2607">
            <v>5.2</v>
          </cell>
        </row>
        <row r="2608">
          <cell r="A2608" t="str">
            <v>B&amp;P-PCB-C-385</v>
          </cell>
          <cell r="G2608" t="str">
            <v>IDESP</v>
          </cell>
          <cell r="L2608">
            <v>41303</v>
          </cell>
          <cell r="M2608">
            <v>4.9800000000000004</v>
          </cell>
          <cell r="P2608">
            <v>1393.98</v>
          </cell>
        </row>
        <row r="2609">
          <cell r="A2609" t="str">
            <v>B&amp;P-PCB-CKD-PCBLED</v>
          </cell>
          <cell r="G2609" t="str">
            <v>IDESP</v>
          </cell>
          <cell r="L2609">
            <v>42857</v>
          </cell>
          <cell r="M2609">
            <v>15.78</v>
          </cell>
          <cell r="P2609">
            <v>11.12</v>
          </cell>
        </row>
        <row r="2610">
          <cell r="A2610" t="str">
            <v>B&amp;P-PCB-EX5024VDC</v>
          </cell>
          <cell r="G2610" t="str">
            <v>IDESP</v>
          </cell>
          <cell r="L2610">
            <v>43447</v>
          </cell>
          <cell r="M2610">
            <v>38.5</v>
          </cell>
          <cell r="P2610">
            <v>4.3499999999999996</v>
          </cell>
        </row>
        <row r="2611">
          <cell r="A2611" t="str">
            <v>B&amp;P-PCB-Green-300</v>
          </cell>
          <cell r="G2611" t="str">
            <v>IDESP</v>
          </cell>
          <cell r="L2611">
            <v>42949</v>
          </cell>
          <cell r="M2611">
            <v>17.91</v>
          </cell>
          <cell r="P2611">
            <v>54.4</v>
          </cell>
        </row>
        <row r="2612">
          <cell r="A2612" t="str">
            <v>B&amp;P-PCB-Green-400</v>
          </cell>
          <cell r="G2612" t="str">
            <v>IDESP</v>
          </cell>
          <cell r="L2612">
            <v>42949</v>
          </cell>
          <cell r="M2612">
            <v>17.91</v>
          </cell>
          <cell r="P2612">
            <v>85.49</v>
          </cell>
        </row>
        <row r="2613">
          <cell r="A2613" t="str">
            <v>B&amp;P-PCB-HB-2005000K</v>
          </cell>
          <cell r="G2613" t="str">
            <v>IDESP</v>
          </cell>
          <cell r="L2613">
            <v>43080</v>
          </cell>
          <cell r="M2613">
            <v>17.64</v>
          </cell>
          <cell r="P2613">
            <v>27.944199999999999</v>
          </cell>
        </row>
        <row r="2614">
          <cell r="A2614" t="str">
            <v>B&amp;P-PCB-HB-3005000K</v>
          </cell>
          <cell r="G2614" t="str">
            <v>IDESP</v>
          </cell>
          <cell r="L2614">
            <v>43069</v>
          </cell>
          <cell r="M2614">
            <v>17.77</v>
          </cell>
          <cell r="P2614">
            <v>40.295299999999997</v>
          </cell>
        </row>
        <row r="2615">
          <cell r="A2615" t="str">
            <v>B&amp;P-PCB-HB-905000K</v>
          </cell>
          <cell r="G2615" t="str">
            <v>IDESP</v>
          </cell>
          <cell r="L2615">
            <v>43069</v>
          </cell>
          <cell r="M2615">
            <v>17.77</v>
          </cell>
          <cell r="P2615">
            <v>14.966799999999999</v>
          </cell>
        </row>
        <row r="2616">
          <cell r="A2616" t="str">
            <v>B&amp;P-PCB-INTERNAL-400</v>
          </cell>
          <cell r="G2616" t="str">
            <v>IDESP</v>
          </cell>
          <cell r="L2616">
            <v>42949</v>
          </cell>
          <cell r="M2616">
            <v>17.91</v>
          </cell>
          <cell r="P2616">
            <v>19.43</v>
          </cell>
        </row>
        <row r="2617">
          <cell r="A2617" t="str">
            <v>B&amp;P-PCB-LED</v>
          </cell>
          <cell r="G2617" t="str">
            <v>IPFAP</v>
          </cell>
          <cell r="L2617">
            <v>42061</v>
          </cell>
          <cell r="M2617">
            <v>8.75</v>
          </cell>
          <cell r="P2617">
            <v>52.27</v>
          </cell>
        </row>
        <row r="2618">
          <cell r="A2618" t="str">
            <v>B&amp;P-PCB-LP2005000K</v>
          </cell>
          <cell r="G2618" t="str">
            <v>IDESP</v>
          </cell>
          <cell r="L2618">
            <v>43185</v>
          </cell>
          <cell r="M2618">
            <v>20.55</v>
          </cell>
          <cell r="P2618">
            <v>21.9</v>
          </cell>
        </row>
        <row r="2619">
          <cell r="A2619" t="str">
            <v>B&amp;P-PCB-NX-1205000K</v>
          </cell>
          <cell r="G2619" t="str">
            <v>IDESP</v>
          </cell>
          <cell r="L2619">
            <v>42807</v>
          </cell>
          <cell r="M2619">
            <v>15.86</v>
          </cell>
          <cell r="P2619">
            <v>24.2</v>
          </cell>
        </row>
        <row r="2620">
          <cell r="A2620" t="str">
            <v>B&amp;P-PCB-NX-1805000K</v>
          </cell>
          <cell r="G2620" t="str">
            <v>IDESP</v>
          </cell>
          <cell r="L2620">
            <v>43273</v>
          </cell>
          <cell r="M2620">
            <v>28</v>
          </cell>
          <cell r="P2620">
            <v>6.36</v>
          </cell>
        </row>
        <row r="2621">
          <cell r="A2621" t="str">
            <v>B&amp;P-PCB-PC35H11-30</v>
          </cell>
          <cell r="G2621" t="str">
            <v xml:space="preserve">INSI </v>
          </cell>
          <cell r="L2621">
            <v>42857</v>
          </cell>
          <cell r="M2621">
            <v>15.78</v>
          </cell>
          <cell r="P2621">
            <v>120</v>
          </cell>
        </row>
        <row r="2622">
          <cell r="A2622" t="str">
            <v>B&amp;P-PCB-PC35H11-50</v>
          </cell>
          <cell r="G2622" t="str">
            <v xml:space="preserve">INSI </v>
          </cell>
          <cell r="L2622">
            <v>42857</v>
          </cell>
          <cell r="M2622">
            <v>15.78</v>
          </cell>
          <cell r="P2622">
            <v>120</v>
          </cell>
        </row>
        <row r="2623">
          <cell r="A2623" t="str">
            <v>B&amp;P-PCB-PC35H11A2C</v>
          </cell>
          <cell r="G2623" t="str">
            <v xml:space="preserve">INSI </v>
          </cell>
          <cell r="L2623">
            <v>42857</v>
          </cell>
          <cell r="M2623">
            <v>15.78</v>
          </cell>
          <cell r="P2623">
            <v>120</v>
          </cell>
        </row>
        <row r="2624">
          <cell r="A2624" t="str">
            <v>B&amp;P-PCB-PC35H11A2W</v>
          </cell>
          <cell r="G2624" t="str">
            <v xml:space="preserve">INSI </v>
          </cell>
          <cell r="L2624">
            <v>42857</v>
          </cell>
          <cell r="M2624">
            <v>15.78</v>
          </cell>
          <cell r="P2624">
            <v>120</v>
          </cell>
        </row>
        <row r="2625">
          <cell r="A2625" t="str">
            <v>B&amp;P-PCB-PCB-14</v>
          </cell>
          <cell r="G2625" t="str">
            <v>IDESP</v>
          </cell>
          <cell r="L2625">
            <v>42324</v>
          </cell>
          <cell r="M2625">
            <v>9.69</v>
          </cell>
          <cell r="P2625">
            <v>8.6999999999999993</v>
          </cell>
        </row>
        <row r="2626">
          <cell r="A2626" t="str">
            <v>B&amp;P-PCB-PCB-RND</v>
          </cell>
          <cell r="G2626" t="str">
            <v>IDESP</v>
          </cell>
          <cell r="L2626">
            <v>42590</v>
          </cell>
          <cell r="M2626">
            <v>15.16</v>
          </cell>
          <cell r="P2626">
            <v>10</v>
          </cell>
        </row>
        <row r="2627">
          <cell r="A2627" t="str">
            <v>B&amp;P-PCB-PCBEX105</v>
          </cell>
          <cell r="G2627" t="str">
            <v>IDESP</v>
          </cell>
          <cell r="L2627">
            <v>44007</v>
          </cell>
          <cell r="M2627">
            <v>73</v>
          </cell>
          <cell r="P2627">
            <v>15.63</v>
          </cell>
        </row>
        <row r="2628">
          <cell r="A2628" t="str">
            <v>B&amp;P-PCB-PCBEX105-DIM</v>
          </cell>
          <cell r="G2628" t="str">
            <v>IPFAB</v>
          </cell>
          <cell r="L2628">
            <v>43847</v>
          </cell>
          <cell r="M2628">
            <v>63</v>
          </cell>
          <cell r="P2628">
            <v>8.35</v>
          </cell>
        </row>
        <row r="2629">
          <cell r="A2629" t="str">
            <v>B&amp;P-PCB-PCBEX155</v>
          </cell>
          <cell r="G2629" t="str">
            <v>IDESP</v>
          </cell>
          <cell r="L2629">
            <v>44049</v>
          </cell>
          <cell r="M2629">
            <v>76.75</v>
          </cell>
          <cell r="P2629">
            <v>23.4</v>
          </cell>
        </row>
        <row r="2630">
          <cell r="A2630" t="str">
            <v>B&amp;P-PCB-PCBEX155-DIM</v>
          </cell>
          <cell r="G2630" t="str">
            <v>IPFAB</v>
          </cell>
          <cell r="L2630">
            <v>43847</v>
          </cell>
          <cell r="M2630">
            <v>63</v>
          </cell>
          <cell r="P2630">
            <v>13.5</v>
          </cell>
        </row>
        <row r="2631">
          <cell r="A2631" t="str">
            <v>B&amp;P-PCB-PCBEX54</v>
          </cell>
          <cell r="G2631" t="str">
            <v>IPFAB</v>
          </cell>
          <cell r="L2631">
            <v>43564</v>
          </cell>
          <cell r="M2631">
            <v>44.7</v>
          </cell>
          <cell r="P2631">
            <v>8.25</v>
          </cell>
        </row>
        <row r="2632">
          <cell r="A2632" t="str">
            <v>B&amp;P-PCB-PCBEX55</v>
          </cell>
          <cell r="G2632" t="str">
            <v>IDESP</v>
          </cell>
          <cell r="L2632">
            <v>44040</v>
          </cell>
          <cell r="M2632">
            <v>75.75</v>
          </cell>
          <cell r="P2632">
            <v>7.57</v>
          </cell>
        </row>
        <row r="2633">
          <cell r="A2633" t="str">
            <v>B&amp;P-PCB-R-30</v>
          </cell>
          <cell r="G2633" t="str">
            <v xml:space="preserve">INSI </v>
          </cell>
          <cell r="L2633">
            <v>42857</v>
          </cell>
          <cell r="M2633">
            <v>15.78</v>
          </cell>
          <cell r="P2633">
            <v>120</v>
          </cell>
        </row>
        <row r="2634">
          <cell r="A2634" t="str">
            <v>B&amp;P-PCB-R-50</v>
          </cell>
          <cell r="G2634" t="str">
            <v xml:space="preserve">INSI </v>
          </cell>
          <cell r="L2634">
            <v>42857</v>
          </cell>
          <cell r="M2634">
            <v>15.78</v>
          </cell>
          <cell r="P2634">
            <v>120</v>
          </cell>
        </row>
        <row r="2635">
          <cell r="A2635" t="str">
            <v>B&amp;P-PCB-Red-300</v>
          </cell>
          <cell r="G2635" t="str">
            <v>IDESP</v>
          </cell>
          <cell r="L2635">
            <v>42949</v>
          </cell>
          <cell r="M2635">
            <v>17.91</v>
          </cell>
          <cell r="P2635">
            <v>38.86</v>
          </cell>
        </row>
        <row r="2636">
          <cell r="A2636" t="str">
            <v>B&amp;P-PCB-Red-400</v>
          </cell>
          <cell r="G2636" t="str">
            <v>IDESP</v>
          </cell>
          <cell r="L2636">
            <v>42949</v>
          </cell>
          <cell r="M2636">
            <v>17.91</v>
          </cell>
          <cell r="P2636">
            <v>83.55</v>
          </cell>
        </row>
        <row r="2637">
          <cell r="A2637" t="str">
            <v>B&amp;P-PCB-S-30</v>
          </cell>
          <cell r="G2637" t="str">
            <v xml:space="preserve">INSI </v>
          </cell>
          <cell r="L2637">
            <v>42857</v>
          </cell>
          <cell r="M2637">
            <v>15.78</v>
          </cell>
          <cell r="P2637">
            <v>120</v>
          </cell>
        </row>
        <row r="2638">
          <cell r="A2638" t="str">
            <v>B&amp;P-PCB-S-50</v>
          </cell>
          <cell r="G2638" t="str">
            <v xml:space="preserve">INSI </v>
          </cell>
          <cell r="L2638">
            <v>42857</v>
          </cell>
          <cell r="M2638">
            <v>15.78</v>
          </cell>
          <cell r="P2638">
            <v>120</v>
          </cell>
        </row>
        <row r="2639">
          <cell r="A2639" t="str">
            <v>B&amp;P-PCB-TIMER-400-ND</v>
          </cell>
          <cell r="G2639" t="str">
            <v>IDESP</v>
          </cell>
          <cell r="L2639">
            <v>42949</v>
          </cell>
          <cell r="M2639">
            <v>17.91</v>
          </cell>
          <cell r="P2639">
            <v>72.86</v>
          </cell>
        </row>
        <row r="2640">
          <cell r="A2640" t="str">
            <v>B&amp;P-PCB-XTE14-70X140</v>
          </cell>
          <cell r="G2640" t="str">
            <v>IDESP</v>
          </cell>
          <cell r="L2640">
            <v>42103</v>
          </cell>
          <cell r="M2640">
            <v>8.8699999999999992</v>
          </cell>
          <cell r="P2640">
            <v>3</v>
          </cell>
        </row>
        <row r="2641">
          <cell r="A2641" t="str">
            <v>B&amp;P-PCB-XTE14-CW</v>
          </cell>
          <cell r="G2641" t="str">
            <v>IPFAB</v>
          </cell>
          <cell r="L2641">
            <v>42324</v>
          </cell>
          <cell r="M2641">
            <v>9.69</v>
          </cell>
          <cell r="P2641">
            <v>10.7</v>
          </cell>
        </row>
        <row r="2642">
          <cell r="A2642" t="str">
            <v>B&amp;P-PCB-XTE14-Gasket</v>
          </cell>
          <cell r="G2642" t="str">
            <v>IDESP</v>
          </cell>
          <cell r="L2642">
            <v>42103</v>
          </cell>
          <cell r="M2642">
            <v>8.8699999999999992</v>
          </cell>
          <cell r="P2642">
            <v>0.3</v>
          </cell>
        </row>
        <row r="2643">
          <cell r="A2643" t="str">
            <v>B&amp;P-PCB-XTE28-60x120</v>
          </cell>
          <cell r="G2643" t="str">
            <v>IPFAP</v>
          </cell>
          <cell r="L2643">
            <v>42159</v>
          </cell>
          <cell r="M2643">
            <v>9.0299999999999994</v>
          </cell>
          <cell r="P2643">
            <v>3</v>
          </cell>
        </row>
        <row r="2644">
          <cell r="A2644" t="str">
            <v>B&amp;P-PCB-XTE28-CW</v>
          </cell>
          <cell r="G2644" t="str">
            <v>IDESP</v>
          </cell>
          <cell r="L2644">
            <v>42376</v>
          </cell>
          <cell r="M2644">
            <v>14.02</v>
          </cell>
          <cell r="P2644">
            <v>24</v>
          </cell>
        </row>
        <row r="2645">
          <cell r="A2645" t="str">
            <v>B&amp;P-PCB-XTE28-Gasket</v>
          </cell>
          <cell r="G2645" t="str">
            <v>IDESP</v>
          </cell>
          <cell r="L2645">
            <v>42376</v>
          </cell>
          <cell r="M2645">
            <v>14.02</v>
          </cell>
          <cell r="P2645">
            <v>0.5</v>
          </cell>
        </row>
        <row r="2646">
          <cell r="A2646" t="str">
            <v>B&amp;P-PW3-INV-CON</v>
          </cell>
          <cell r="G2646" t="str">
            <v>IDESP</v>
          </cell>
          <cell r="L2646">
            <v>43502</v>
          </cell>
          <cell r="M2646">
            <v>38.1</v>
          </cell>
          <cell r="P2646">
            <v>1643</v>
          </cell>
        </row>
        <row r="2647">
          <cell r="A2647" t="str">
            <v>B&amp;P-PW3-Li-ION-4.8kW</v>
          </cell>
          <cell r="G2647" t="str">
            <v>IDESP</v>
          </cell>
          <cell r="L2647">
            <v>43502</v>
          </cell>
          <cell r="M2647">
            <v>38.1</v>
          </cell>
          <cell r="P2647">
            <v>1770.2</v>
          </cell>
        </row>
        <row r="2648">
          <cell r="A2648" t="str">
            <v>B&amp;P-S---MS03-D-C3</v>
          </cell>
          <cell r="G2648" t="str">
            <v>IPFAP</v>
          </cell>
          <cell r="L2648">
            <v>42213</v>
          </cell>
          <cell r="M2648">
            <v>9.2100000000000009</v>
          </cell>
          <cell r="P2648">
            <v>0.50676438653637346</v>
          </cell>
        </row>
        <row r="2649">
          <cell r="A2649" t="str">
            <v>B&amp;P-S---MS04-2RLD-C3</v>
          </cell>
          <cell r="G2649" t="str">
            <v xml:space="preserve">INAC </v>
          </cell>
          <cell r="L2649">
            <v>41078</v>
          </cell>
          <cell r="M2649">
            <v>4.51</v>
          </cell>
          <cell r="P2649">
            <v>0.42572062084257206</v>
          </cell>
        </row>
        <row r="2650">
          <cell r="A2650" t="str">
            <v>B&amp;P-S---MS04-2RST-C3</v>
          </cell>
          <cell r="G2650" t="str">
            <v>IPFAB</v>
          </cell>
          <cell r="L2650">
            <v>41549</v>
          </cell>
          <cell r="M2650">
            <v>5.8</v>
          </cell>
          <cell r="P2650">
            <v>0.33100000000000002</v>
          </cell>
        </row>
        <row r="2651">
          <cell r="A2651" t="str">
            <v>B&amp;P-S---MS04-D-C3</v>
          </cell>
          <cell r="G2651" t="str">
            <v>IPFAP</v>
          </cell>
          <cell r="L2651">
            <v>42396</v>
          </cell>
          <cell r="M2651">
            <v>14.07</v>
          </cell>
          <cell r="P2651">
            <v>0.514818763326226</v>
          </cell>
        </row>
        <row r="2652">
          <cell r="A2652" t="str">
            <v>B&amp;P-S---MS06-D-C3</v>
          </cell>
          <cell r="G2652" t="str">
            <v>IPFAP</v>
          </cell>
          <cell r="L2652">
            <v>42935</v>
          </cell>
          <cell r="M2652">
            <v>17.36</v>
          </cell>
          <cell r="P2652">
            <v>0.82373271889400923</v>
          </cell>
        </row>
        <row r="2653">
          <cell r="A2653" t="str">
            <v>B&amp;P-S---MS07-D-C3</v>
          </cell>
          <cell r="G2653" t="str">
            <v>IPFAP</v>
          </cell>
          <cell r="L2653">
            <v>42825</v>
          </cell>
          <cell r="M2653">
            <v>15.71</v>
          </cell>
          <cell r="P2653">
            <v>1.2832590706556333</v>
          </cell>
        </row>
        <row r="2654">
          <cell r="A2654" t="str">
            <v>B&amp;P-S---MS09-D-C3</v>
          </cell>
          <cell r="G2654" t="str">
            <v>IPFAP</v>
          </cell>
          <cell r="L2654">
            <v>42284</v>
          </cell>
          <cell r="M2654">
            <v>9.51</v>
          </cell>
          <cell r="P2654">
            <v>3.073585699263933</v>
          </cell>
        </row>
        <row r="2655">
          <cell r="A2655" t="str">
            <v>B&amp;P-SS--MS02-2RLD-C3</v>
          </cell>
          <cell r="G2655" t="str">
            <v>IPFAP</v>
          </cell>
          <cell r="L2655">
            <v>42789</v>
          </cell>
          <cell r="M2655">
            <v>15.93</v>
          </cell>
          <cell r="P2655">
            <v>0.41368487131198994</v>
          </cell>
        </row>
        <row r="2656">
          <cell r="A2656" t="str">
            <v>B&amp;P-SS--MS04-2RST-C3</v>
          </cell>
          <cell r="G2656" t="str">
            <v>InRet</v>
          </cell>
          <cell r="L2656">
            <v>41156</v>
          </cell>
          <cell r="M2656">
            <v>4.6500000000000004</v>
          </cell>
          <cell r="P2656">
            <v>0.41290322580645156</v>
          </cell>
        </row>
        <row r="2657">
          <cell r="A2657" t="str">
            <v>B&amp;P-SS--MS04-D-C3</v>
          </cell>
          <cell r="G2657" t="str">
            <v>IPFAP</v>
          </cell>
          <cell r="L2657">
            <v>42396</v>
          </cell>
          <cell r="M2657">
            <v>14.07</v>
          </cell>
          <cell r="P2657">
            <v>0.514818763326226</v>
          </cell>
        </row>
        <row r="2658">
          <cell r="A2658" t="str">
            <v>B&amp;P-SS--MS06-D-C3</v>
          </cell>
          <cell r="G2658" t="str">
            <v>IPFAP</v>
          </cell>
          <cell r="L2658">
            <v>42935</v>
          </cell>
          <cell r="M2658">
            <v>17.36</v>
          </cell>
          <cell r="P2658">
            <v>0.82373271889400923</v>
          </cell>
        </row>
        <row r="2659">
          <cell r="A2659" t="str">
            <v>B&amp;P-SS--MS07-D-C3</v>
          </cell>
          <cell r="G2659" t="str">
            <v>IPFAP</v>
          </cell>
          <cell r="L2659">
            <v>42825</v>
          </cell>
          <cell r="M2659">
            <v>15.71</v>
          </cell>
          <cell r="P2659">
            <v>1.2832590706556333</v>
          </cell>
        </row>
        <row r="2660">
          <cell r="A2660" t="str">
            <v>B&amp;P-SS--MS09-D-C3</v>
          </cell>
          <cell r="G2660" t="str">
            <v>IPFAP</v>
          </cell>
          <cell r="L2660">
            <v>42284</v>
          </cell>
          <cell r="M2660">
            <v>9.51</v>
          </cell>
          <cell r="P2660">
            <v>3.073585699263933</v>
          </cell>
        </row>
        <row r="2661">
          <cell r="A2661" t="str">
            <v>B&amp;P-SSS-MS04-2RST-C3</v>
          </cell>
          <cell r="G2661" t="str">
            <v>InRet</v>
          </cell>
          <cell r="L2661">
            <v>41156</v>
          </cell>
          <cell r="M2661">
            <v>4.6500000000000004</v>
          </cell>
          <cell r="P2661">
            <v>0.41290322580645156</v>
          </cell>
        </row>
        <row r="2662">
          <cell r="A2662" t="str">
            <v>B&amp;P-SSS-MS04-D-C3</v>
          </cell>
          <cell r="G2662" t="str">
            <v>IPFAP</v>
          </cell>
          <cell r="L2662">
            <v>42396</v>
          </cell>
          <cell r="M2662">
            <v>14.07</v>
          </cell>
          <cell r="P2662">
            <v>0.514818763326226</v>
          </cell>
        </row>
        <row r="2663">
          <cell r="A2663" t="str">
            <v>B&amp;P-SSS-MS06-D-C3</v>
          </cell>
          <cell r="G2663" t="str">
            <v>IPFAP</v>
          </cell>
          <cell r="L2663">
            <v>42935</v>
          </cell>
          <cell r="M2663">
            <v>17.36</v>
          </cell>
          <cell r="P2663">
            <v>0.82373271889400923</v>
          </cell>
        </row>
        <row r="2664">
          <cell r="A2664" t="str">
            <v>B&amp;P-SSS-MS07-D-C3</v>
          </cell>
          <cell r="G2664" t="str">
            <v>IPFAP</v>
          </cell>
          <cell r="L2664">
            <v>42825</v>
          </cell>
          <cell r="M2664">
            <v>15.71</v>
          </cell>
          <cell r="P2664">
            <v>1.2832590706556333</v>
          </cell>
        </row>
        <row r="2665">
          <cell r="A2665" t="str">
            <v>B&amp;P-SSS-MS09-D-C3</v>
          </cell>
          <cell r="G2665" t="str">
            <v>IPFAP</v>
          </cell>
          <cell r="L2665">
            <v>42284</v>
          </cell>
          <cell r="M2665">
            <v>9.51</v>
          </cell>
          <cell r="P2665">
            <v>3.073585699263933</v>
          </cell>
        </row>
        <row r="2666">
          <cell r="A2666" t="str">
            <v>BDU-MyE-30SP42TT</v>
          </cell>
          <cell r="G2666" t="str">
            <v>IDESP</v>
          </cell>
          <cell r="L2666">
            <v>38310</v>
          </cell>
          <cell r="M2666">
            <v>2.94</v>
          </cell>
          <cell r="P2666">
            <v>1000</v>
          </cell>
        </row>
        <row r="2667">
          <cell r="A2667" t="str">
            <v>BDU-MyE-3MK1410</v>
          </cell>
          <cell r="G2667" t="str">
            <v>IDESP</v>
          </cell>
          <cell r="L2667">
            <v>41442</v>
          </cell>
          <cell r="M2667">
            <v>5.33</v>
          </cell>
          <cell r="P2667">
            <v>0.88</v>
          </cell>
        </row>
        <row r="2668">
          <cell r="A2668" t="str">
            <v>BDU-MyE-3MK208-INNE</v>
          </cell>
          <cell r="G2668" t="str">
            <v>IDESP</v>
          </cell>
          <cell r="L2668">
            <v>41442</v>
          </cell>
          <cell r="M2668">
            <v>5.33</v>
          </cell>
          <cell r="P2668">
            <v>0.4</v>
          </cell>
        </row>
        <row r="2669">
          <cell r="A2669" t="str">
            <v>BDU-MyE-400-A</v>
          </cell>
          <cell r="G2669" t="str">
            <v>IDESP</v>
          </cell>
          <cell r="L2669">
            <v>41641</v>
          </cell>
          <cell r="M2669">
            <v>6.53</v>
          </cell>
          <cell r="P2669">
            <v>1227</v>
          </cell>
        </row>
        <row r="2670">
          <cell r="A2670" t="str">
            <v>BDU-MyE-ACOUST-PANEL</v>
          </cell>
          <cell r="G2670" t="str">
            <v>IDESP</v>
          </cell>
          <cell r="L2670">
            <v>42633</v>
          </cell>
          <cell r="M2670">
            <v>15.46</v>
          </cell>
          <cell r="P2670">
            <v>28.5</v>
          </cell>
        </row>
        <row r="2671">
          <cell r="A2671" t="str">
            <v>BDU-MyE-AluminumGate</v>
          </cell>
          <cell r="G2671" t="str">
            <v>IDESP</v>
          </cell>
          <cell r="L2671">
            <v>45916</v>
          </cell>
          <cell r="M2671">
            <v>1475</v>
          </cell>
          <cell r="P2671">
            <v>2300</v>
          </cell>
        </row>
        <row r="2672">
          <cell r="A2672" t="str">
            <v>BDU-MyE-ASA-BREAKER</v>
          </cell>
          <cell r="G2672" t="str">
            <v>IDESP</v>
          </cell>
          <cell r="L2672">
            <v>44235</v>
          </cell>
          <cell r="M2672">
            <v>93</v>
          </cell>
          <cell r="P2672">
            <v>800</v>
          </cell>
        </row>
        <row r="2673">
          <cell r="A2673" t="str">
            <v>BDU-MyE-BCJL02-6203</v>
          </cell>
          <cell r="G2673" t="str">
            <v>IDESP</v>
          </cell>
          <cell r="L2673">
            <v>40190</v>
          </cell>
          <cell r="M2673">
            <v>3.82</v>
          </cell>
          <cell r="P2673">
            <v>16937.5</v>
          </cell>
        </row>
        <row r="2674">
          <cell r="A2674" t="str">
            <v>BDU-MyE-BCJL02-6204</v>
          </cell>
          <cell r="G2674" t="str">
            <v>IDESP</v>
          </cell>
          <cell r="L2674">
            <v>40190</v>
          </cell>
          <cell r="M2674">
            <v>3.82</v>
          </cell>
          <cell r="P2674">
            <v>16937.5</v>
          </cell>
        </row>
        <row r="2675">
          <cell r="A2675" t="str">
            <v>BDU-MyE-BF-C142S</v>
          </cell>
          <cell r="G2675" t="str">
            <v>IDESP</v>
          </cell>
          <cell r="L2675">
            <v>41641</v>
          </cell>
          <cell r="M2675">
            <v>6.53</v>
          </cell>
          <cell r="P2675">
            <v>14979</v>
          </cell>
        </row>
        <row r="2676">
          <cell r="A2676" t="str">
            <v>BDU-MyE-BF-C412</v>
          </cell>
          <cell r="G2676" t="str">
            <v>IDEMH</v>
          </cell>
          <cell r="L2676">
            <v>41010</v>
          </cell>
          <cell r="M2676">
            <v>4.4000000000000004</v>
          </cell>
          <cell r="P2676">
            <v>55495</v>
          </cell>
        </row>
        <row r="2677">
          <cell r="A2677" t="str">
            <v>BDU-MyE-BS-306</v>
          </cell>
          <cell r="G2677" t="str">
            <v xml:space="preserve">INSI </v>
          </cell>
          <cell r="L2677">
            <v>45784</v>
          </cell>
          <cell r="M2677">
            <v>1215</v>
          </cell>
          <cell r="P2677">
            <v>360</v>
          </cell>
        </row>
        <row r="2678">
          <cell r="A2678" t="str">
            <v>BDU-MyE-CALIBRE-200</v>
          </cell>
          <cell r="G2678" t="str">
            <v>IDESP</v>
          </cell>
          <cell r="L2678">
            <v>42800</v>
          </cell>
          <cell r="M2678">
            <v>15.81</v>
          </cell>
          <cell r="P2678">
            <v>29.5</v>
          </cell>
        </row>
        <row r="2679">
          <cell r="A2679" t="str">
            <v>BDU-MyE-CB-ASA-40</v>
          </cell>
          <cell r="G2679" t="str">
            <v>IDESP</v>
          </cell>
          <cell r="L2679">
            <v>45944</v>
          </cell>
          <cell r="M2679">
            <v>1375</v>
          </cell>
          <cell r="P2679">
            <v>8.3000000000000007</v>
          </cell>
        </row>
        <row r="2680">
          <cell r="A2680" t="str">
            <v>BDU-MyE-CB-ASA-50-1</v>
          </cell>
          <cell r="G2680" t="str">
            <v>IDESP</v>
          </cell>
          <cell r="L2680">
            <v>45593</v>
          </cell>
          <cell r="M2680">
            <v>1007.5</v>
          </cell>
          <cell r="P2680">
            <v>17.011700000000001</v>
          </cell>
        </row>
        <row r="2681">
          <cell r="A2681" t="str">
            <v>BDU-MyE-CB-ASA-50-2</v>
          </cell>
          <cell r="G2681" t="str">
            <v>IDESP</v>
          </cell>
          <cell r="L2681">
            <v>44753</v>
          </cell>
          <cell r="M2681">
            <v>133.25</v>
          </cell>
          <cell r="P2681">
            <v>16</v>
          </cell>
        </row>
        <row r="2682">
          <cell r="A2682" t="str">
            <v>BDU-MyE-CB-ASA-60-1</v>
          </cell>
          <cell r="G2682" t="str">
            <v>IDESP</v>
          </cell>
          <cell r="L2682">
            <v>45944</v>
          </cell>
          <cell r="M2682">
            <v>1375</v>
          </cell>
          <cell r="P2682">
            <v>17</v>
          </cell>
        </row>
        <row r="2683">
          <cell r="A2683" t="str">
            <v>BDU-MyE-CB-ASA-80-1</v>
          </cell>
          <cell r="G2683" t="str">
            <v>IDESP</v>
          </cell>
          <cell r="L2683">
            <v>45944</v>
          </cell>
          <cell r="M2683">
            <v>1375</v>
          </cell>
          <cell r="P2683">
            <v>8.3000000000000007</v>
          </cell>
        </row>
        <row r="2684">
          <cell r="A2684" t="str">
            <v>BDU-MyE-CB-ASA-80-2</v>
          </cell>
          <cell r="G2684" t="str">
            <v>IDESP</v>
          </cell>
          <cell r="L2684">
            <v>44753</v>
          </cell>
          <cell r="M2684">
            <v>133.25</v>
          </cell>
          <cell r="P2684">
            <v>16</v>
          </cell>
        </row>
        <row r="2685">
          <cell r="A2685" t="str">
            <v>BDU-MyE-CB-CA550-A1</v>
          </cell>
          <cell r="G2685" t="str">
            <v>IDESP</v>
          </cell>
          <cell r="L2685">
            <v>44753</v>
          </cell>
          <cell r="M2685">
            <v>133.25</v>
          </cell>
          <cell r="P2685">
            <v>16</v>
          </cell>
        </row>
        <row r="2686">
          <cell r="A2686" t="str">
            <v>BDU-MyE-ChainBreaker</v>
          </cell>
          <cell r="G2686" t="str">
            <v>IDESP</v>
          </cell>
          <cell r="L2686">
            <v>44753</v>
          </cell>
          <cell r="M2686">
            <v>133.25</v>
          </cell>
          <cell r="P2686">
            <v>900</v>
          </cell>
        </row>
        <row r="2687">
          <cell r="A2687" t="str">
            <v>BDU-MyE-CONTROLLER</v>
          </cell>
          <cell r="G2687" t="str">
            <v>IDESP</v>
          </cell>
          <cell r="L2687">
            <v>45861</v>
          </cell>
          <cell r="M2687">
            <v>1275</v>
          </cell>
          <cell r="P2687">
            <v>150</v>
          </cell>
        </row>
        <row r="2688">
          <cell r="A2688" t="str">
            <v>BDU-MyE-CPJ-3015-Z</v>
          </cell>
          <cell r="G2688" t="str">
            <v>IDESP</v>
          </cell>
          <cell r="L2688">
            <v>39573</v>
          </cell>
          <cell r="M2688">
            <v>3.1720000000000002</v>
          </cell>
          <cell r="P2688">
            <v>3844</v>
          </cell>
        </row>
        <row r="2689">
          <cell r="A2689" t="str">
            <v>BDU-MyE-CT-LMG75</v>
          </cell>
          <cell r="G2689" t="str">
            <v>IDESP</v>
          </cell>
          <cell r="L2689" t="str">
            <v>NULL</v>
          </cell>
          <cell r="M2689" t="str">
            <v>conver</v>
          </cell>
          <cell r="P2689">
            <v>16892</v>
          </cell>
        </row>
        <row r="2690">
          <cell r="A2690" t="str">
            <v>BDU-MyE-CTGD-F-20</v>
          </cell>
          <cell r="G2690" t="str">
            <v>IDESP</v>
          </cell>
          <cell r="L2690">
            <v>42360</v>
          </cell>
          <cell r="M2690">
            <v>13.57</v>
          </cell>
          <cell r="P2690">
            <v>12319</v>
          </cell>
        </row>
        <row r="2691">
          <cell r="A2691" t="str">
            <v>BDU-MyE-DGC-8ZP/B</v>
          </cell>
          <cell r="G2691" t="str">
            <v>IDESP</v>
          </cell>
          <cell r="L2691">
            <v>39686</v>
          </cell>
          <cell r="M2691">
            <v>3.0259999999999998</v>
          </cell>
          <cell r="P2691">
            <v>418</v>
          </cell>
        </row>
        <row r="2692">
          <cell r="A2692" t="str">
            <v>BDU-MyE-DIAL-MICROME</v>
          </cell>
          <cell r="G2692" t="str">
            <v>IDESP</v>
          </cell>
          <cell r="L2692">
            <v>42215</v>
          </cell>
          <cell r="M2692">
            <v>9.2200000000000006</v>
          </cell>
          <cell r="P2692">
            <v>74</v>
          </cell>
        </row>
        <row r="2693">
          <cell r="A2693" t="str">
            <v>BDU-MyE-DK7745</v>
          </cell>
          <cell r="G2693" t="str">
            <v>IDESP</v>
          </cell>
          <cell r="L2693">
            <v>44301</v>
          </cell>
          <cell r="M2693">
            <v>98.25</v>
          </cell>
          <cell r="P2693">
            <v>16398.32</v>
          </cell>
        </row>
        <row r="2694">
          <cell r="A2694" t="str">
            <v>BDU-MyE-DM-14S-49</v>
          </cell>
          <cell r="G2694" t="str">
            <v>IDESP</v>
          </cell>
          <cell r="L2694">
            <v>44571</v>
          </cell>
          <cell r="M2694">
            <v>108.5</v>
          </cell>
          <cell r="P2694">
            <v>4589</v>
          </cell>
        </row>
        <row r="2695">
          <cell r="A2695" t="str">
            <v>BDU-MyE-DP102H+QJ2</v>
          </cell>
          <cell r="G2695" t="str">
            <v>IDESP</v>
          </cell>
          <cell r="L2695">
            <v>40190</v>
          </cell>
          <cell r="M2695">
            <v>3.82</v>
          </cell>
          <cell r="P2695">
            <v>17992.68</v>
          </cell>
        </row>
        <row r="2696">
          <cell r="A2696" t="str">
            <v>BDU-MyE-EZ-A72400</v>
          </cell>
          <cell r="G2696" t="str">
            <v>INCOU</v>
          </cell>
          <cell r="L2696">
            <v>45805</v>
          </cell>
          <cell r="M2696">
            <v>1170</v>
          </cell>
          <cell r="P2696">
            <v>286</v>
          </cell>
        </row>
        <row r="2697">
          <cell r="A2697" t="str">
            <v>BDU-MyE-GALPON</v>
          </cell>
          <cell r="G2697" t="str">
            <v>IDESP</v>
          </cell>
          <cell r="L2697">
            <v>44648</v>
          </cell>
          <cell r="M2697">
            <v>115.5</v>
          </cell>
          <cell r="P2697">
            <v>94367</v>
          </cell>
        </row>
        <row r="2698">
          <cell r="A2698" t="str">
            <v>BDU-MyE-HB-50</v>
          </cell>
          <cell r="G2698" t="str">
            <v>IDESP</v>
          </cell>
          <cell r="L2698">
            <v>45861</v>
          </cell>
          <cell r="M2698">
            <v>1275</v>
          </cell>
          <cell r="P2698">
            <v>113.45</v>
          </cell>
        </row>
        <row r="2699">
          <cell r="A2699" t="str">
            <v>BDU-MyE-HP-50F</v>
          </cell>
          <cell r="G2699" t="str">
            <v>IDEMH</v>
          </cell>
          <cell r="L2699">
            <v>40633</v>
          </cell>
          <cell r="M2699">
            <v>4.07</v>
          </cell>
          <cell r="P2699">
            <v>2480</v>
          </cell>
        </row>
        <row r="2700">
          <cell r="A2700" t="str">
            <v>BDU-MyE-HPM03KL</v>
          </cell>
          <cell r="G2700" t="str">
            <v>IDESP</v>
          </cell>
          <cell r="L2700">
            <v>45861</v>
          </cell>
          <cell r="M2700">
            <v>1275</v>
          </cell>
          <cell r="P2700">
            <v>230</v>
          </cell>
        </row>
        <row r="2701">
          <cell r="A2701" t="str">
            <v>BDU-MyE-J23-16B</v>
          </cell>
          <cell r="G2701" t="str">
            <v>IDESP</v>
          </cell>
          <cell r="L2701">
            <v>39542</v>
          </cell>
          <cell r="M2701">
            <v>3.1640000000000001</v>
          </cell>
          <cell r="P2701">
            <v>1842.6969999999999</v>
          </cell>
        </row>
        <row r="2702">
          <cell r="A2702" t="str">
            <v>BDU-MyE-Lathe_vice</v>
          </cell>
          <cell r="G2702" t="str">
            <v>IDESP</v>
          </cell>
          <cell r="L2702">
            <v>45861</v>
          </cell>
          <cell r="M2702">
            <v>1275</v>
          </cell>
          <cell r="P2702">
            <v>66.75</v>
          </cell>
        </row>
        <row r="2703">
          <cell r="A2703" t="str">
            <v>BDU-MyE-LTH90</v>
          </cell>
          <cell r="G2703" t="str">
            <v>IDEMH</v>
          </cell>
          <cell r="L2703">
            <v>42270</v>
          </cell>
          <cell r="M2703">
            <v>9.44</v>
          </cell>
          <cell r="P2703">
            <v>32297.4</v>
          </cell>
        </row>
        <row r="2704">
          <cell r="A2704" t="str">
            <v>BDU-MyE-M10100CENTGR</v>
          </cell>
          <cell r="G2704" t="str">
            <v>IDEMH</v>
          </cell>
          <cell r="L2704">
            <v>40707</v>
          </cell>
          <cell r="M2704">
            <v>4.13</v>
          </cell>
          <cell r="P2704">
            <v>41850</v>
          </cell>
        </row>
        <row r="2705">
          <cell r="A2705" t="str">
            <v>BDU-MyE-M3MK1310IRTG</v>
          </cell>
          <cell r="G2705" t="str">
            <v>IDEMH</v>
          </cell>
          <cell r="L2705">
            <v>40707</v>
          </cell>
          <cell r="M2705">
            <v>4.13</v>
          </cell>
          <cell r="P2705">
            <v>46101</v>
          </cell>
        </row>
        <row r="2706">
          <cell r="A2706" t="str">
            <v>BDU-MyE-M3MK1310ORSG</v>
          </cell>
          <cell r="G2706" t="str">
            <v>IDEMH</v>
          </cell>
          <cell r="L2706">
            <v>40707</v>
          </cell>
          <cell r="M2706">
            <v>4.13</v>
          </cell>
          <cell r="P2706">
            <v>46101</v>
          </cell>
        </row>
        <row r="2707">
          <cell r="A2707" t="str">
            <v>BDU-MyE-M3MK1410ORTG</v>
          </cell>
          <cell r="G2707" t="str">
            <v>IDEMH</v>
          </cell>
          <cell r="L2707">
            <v>40707</v>
          </cell>
          <cell r="M2707">
            <v>4.13</v>
          </cell>
          <cell r="P2707">
            <v>48476</v>
          </cell>
        </row>
        <row r="2708">
          <cell r="A2708" t="str">
            <v>BDU-MyE-M3MK208IDBG</v>
          </cell>
          <cell r="G2708" t="str">
            <v>IDEMH</v>
          </cell>
          <cell r="L2708">
            <v>40707</v>
          </cell>
          <cell r="M2708">
            <v>4.13</v>
          </cell>
          <cell r="P2708">
            <v>46101</v>
          </cell>
        </row>
        <row r="2709">
          <cell r="A2709" t="str">
            <v>BDU-MyE-M7475B</v>
          </cell>
          <cell r="G2709" t="str">
            <v>IDESP</v>
          </cell>
          <cell r="L2709">
            <v>41326</v>
          </cell>
          <cell r="M2709">
            <v>5.0199999999999996</v>
          </cell>
          <cell r="P2709">
            <v>115.3</v>
          </cell>
        </row>
        <row r="2710">
          <cell r="A2710" t="str">
            <v>BDU-MyE-MOLD-GU2565</v>
          </cell>
          <cell r="G2710" t="str">
            <v>IDESP</v>
          </cell>
          <cell r="L2710">
            <v>39910</v>
          </cell>
          <cell r="M2710">
            <v>3.6739999999999999</v>
          </cell>
          <cell r="P2710">
            <v>334</v>
          </cell>
        </row>
        <row r="2711">
          <cell r="A2711" t="str">
            <v>BDU-MyE-MVRF1300</v>
          </cell>
          <cell r="G2711" t="str">
            <v>IDESP</v>
          </cell>
          <cell r="L2711">
            <v>45580</v>
          </cell>
          <cell r="M2711">
            <v>999.5</v>
          </cell>
          <cell r="P2711">
            <v>178300</v>
          </cell>
        </row>
        <row r="2712">
          <cell r="A2712" t="str">
            <v>BDU-MyE-NS-400-B</v>
          </cell>
          <cell r="G2712" t="str">
            <v>IDEMH</v>
          </cell>
          <cell r="L2712">
            <v>40633</v>
          </cell>
          <cell r="M2712">
            <v>4.07</v>
          </cell>
          <cell r="P2712">
            <v>2500</v>
          </cell>
        </row>
        <row r="2713">
          <cell r="A2713" t="str">
            <v>BDU-MyE-PALLETWRAPP</v>
          </cell>
          <cell r="G2713" t="str">
            <v>IDESP</v>
          </cell>
          <cell r="L2713">
            <v>45533</v>
          </cell>
          <cell r="M2713">
            <v>969.5</v>
          </cell>
          <cell r="P2713">
            <v>2520</v>
          </cell>
        </row>
        <row r="2714">
          <cell r="A2714" t="str">
            <v>BDU-MyE-PLC-QD25B</v>
          </cell>
          <cell r="G2714" t="str">
            <v>IDESP</v>
          </cell>
          <cell r="L2714">
            <v>44676</v>
          </cell>
          <cell r="M2714">
            <v>119.5</v>
          </cell>
          <cell r="P2714">
            <v>229</v>
          </cell>
        </row>
        <row r="2715">
          <cell r="A2715" t="str">
            <v>BDU-MyE-PMMA-Board</v>
          </cell>
          <cell r="G2715" t="str">
            <v>IDESP</v>
          </cell>
          <cell r="L2715">
            <v>45835</v>
          </cell>
          <cell r="M2715">
            <v>1205</v>
          </cell>
          <cell r="P2715">
            <v>1410</v>
          </cell>
        </row>
        <row r="2716">
          <cell r="A2716" t="str">
            <v>BDU-MyE-PMT25-36-G</v>
          </cell>
          <cell r="G2716" t="str">
            <v>IDESP</v>
          </cell>
          <cell r="L2716">
            <v>40786</v>
          </cell>
          <cell r="M2716">
            <v>4.22</v>
          </cell>
          <cell r="P2716">
            <v>2632.9</v>
          </cell>
        </row>
        <row r="2717">
          <cell r="A2717" t="str">
            <v>BDU-MyE-POLYMERRESIN</v>
          </cell>
          <cell r="G2717" t="str">
            <v>IDESP</v>
          </cell>
          <cell r="L2717">
            <v>45861</v>
          </cell>
          <cell r="M2717">
            <v>1275</v>
          </cell>
          <cell r="P2717">
            <v>217.98</v>
          </cell>
        </row>
        <row r="2718">
          <cell r="A2718" t="str">
            <v>BDU-MyE-QD-25B</v>
          </cell>
          <cell r="G2718" t="str">
            <v>IDESP</v>
          </cell>
          <cell r="L2718">
            <v>45628</v>
          </cell>
          <cell r="M2718">
            <v>1031</v>
          </cell>
          <cell r="P2718">
            <v>10603.57</v>
          </cell>
        </row>
        <row r="2719">
          <cell r="A2719" t="str">
            <v>BDU-MyE-QD25B</v>
          </cell>
          <cell r="G2719" t="str">
            <v>IDESP</v>
          </cell>
          <cell r="L2719">
            <v>44676</v>
          </cell>
          <cell r="M2719">
            <v>119.5</v>
          </cell>
          <cell r="P2719">
            <v>6680</v>
          </cell>
        </row>
        <row r="2720">
          <cell r="A2720" t="str">
            <v>BDU-MyE-QY-16T</v>
          </cell>
          <cell r="G2720" t="str">
            <v>IDESP</v>
          </cell>
          <cell r="L2720">
            <v>44930</v>
          </cell>
          <cell r="M2720">
            <v>185.75</v>
          </cell>
          <cell r="P2720">
            <v>36523</v>
          </cell>
        </row>
        <row r="2721">
          <cell r="A2721" t="str">
            <v>BDU-MyE-RFCZ12</v>
          </cell>
          <cell r="G2721" t="str">
            <v>IDESP</v>
          </cell>
          <cell r="L2721">
            <v>44483</v>
          </cell>
          <cell r="M2721">
            <v>104.25</v>
          </cell>
          <cell r="P2721">
            <v>7264.9</v>
          </cell>
        </row>
        <row r="2722">
          <cell r="A2722" t="str">
            <v>BDU-MyE-Robot-ArcMat</v>
          </cell>
          <cell r="G2722" t="str">
            <v>INDEV</v>
          </cell>
          <cell r="L2722">
            <v>40450</v>
          </cell>
          <cell r="M2722">
            <v>3.99</v>
          </cell>
          <cell r="P2722">
            <v>5525</v>
          </cell>
        </row>
        <row r="2723">
          <cell r="A2723" t="str">
            <v>BDU-MyE-TB-SCO-2060</v>
          </cell>
          <cell r="G2723" t="str">
            <v>IDEMH</v>
          </cell>
          <cell r="L2723">
            <v>41128</v>
          </cell>
          <cell r="M2723">
            <v>4.5999999999999996</v>
          </cell>
          <cell r="P2723">
            <v>64745</v>
          </cell>
        </row>
        <row r="2724">
          <cell r="A2724" t="str">
            <v>BDU-MyE-TB-SCO-40120</v>
          </cell>
          <cell r="G2724" t="str">
            <v>IDEMH</v>
          </cell>
          <cell r="L2724">
            <v>41128</v>
          </cell>
          <cell r="M2724">
            <v>4.5999999999999996</v>
          </cell>
          <cell r="P2724">
            <v>64745</v>
          </cell>
        </row>
        <row r="2725">
          <cell r="A2725" t="str">
            <v>BDU-MyE-TempGlass</v>
          </cell>
          <cell r="G2725" t="str">
            <v>IDESP</v>
          </cell>
          <cell r="L2725">
            <v>45656</v>
          </cell>
          <cell r="M2725">
            <v>1051</v>
          </cell>
          <cell r="P2725">
            <v>55.95</v>
          </cell>
        </row>
        <row r="2726">
          <cell r="A2726" t="str">
            <v>BDU-MyE-TH-I</v>
          </cell>
          <cell r="G2726" t="str">
            <v>IDESP</v>
          </cell>
          <cell r="L2726">
            <v>40835</v>
          </cell>
          <cell r="M2726">
            <v>4.25</v>
          </cell>
          <cell r="P2726">
            <v>1625</v>
          </cell>
        </row>
        <row r="2727">
          <cell r="A2727" t="str">
            <v>BDU-MyE-TMD</v>
          </cell>
          <cell r="G2727" t="str">
            <v>IDESP</v>
          </cell>
          <cell r="L2727">
            <v>45861</v>
          </cell>
          <cell r="M2727">
            <v>1275</v>
          </cell>
          <cell r="P2727">
            <v>108.27</v>
          </cell>
        </row>
        <row r="2728">
          <cell r="A2728" t="str">
            <v>BDU-MyE-TOOL-205-209</v>
          </cell>
          <cell r="G2728" t="str">
            <v>IDESP</v>
          </cell>
          <cell r="L2728">
            <v>40835</v>
          </cell>
          <cell r="M2728">
            <v>4.25</v>
          </cell>
          <cell r="P2728">
            <v>95</v>
          </cell>
        </row>
        <row r="2729">
          <cell r="A2729" t="str">
            <v>BDU-MyE-TOOLING</v>
          </cell>
          <cell r="G2729" t="str">
            <v>INCOU</v>
          </cell>
          <cell r="L2729">
            <v>43112</v>
          </cell>
          <cell r="M2729">
            <v>19.04</v>
          </cell>
          <cell r="P2729">
            <v>3044.59</v>
          </cell>
        </row>
        <row r="2730">
          <cell r="A2730" t="str">
            <v>BDU-MyE-USB-RS232</v>
          </cell>
          <cell r="G2730" t="str">
            <v>IDESP</v>
          </cell>
          <cell r="L2730">
            <v>39547</v>
          </cell>
          <cell r="M2730">
            <v>3.1589999999999998</v>
          </cell>
          <cell r="P2730">
            <v>5</v>
          </cell>
        </row>
        <row r="2731">
          <cell r="A2731" t="str">
            <v>BDU-MyE-Welding-Equi</v>
          </cell>
          <cell r="G2731" t="str">
            <v>INDEV</v>
          </cell>
          <cell r="L2731">
            <v>40450</v>
          </cell>
          <cell r="M2731">
            <v>3.99</v>
          </cell>
          <cell r="P2731">
            <v>975</v>
          </cell>
        </row>
        <row r="2732">
          <cell r="A2732" t="str">
            <v>BDU-MyE-X092E</v>
          </cell>
          <cell r="G2732" t="str">
            <v>IDESP</v>
          </cell>
          <cell r="L2732">
            <v>42215</v>
          </cell>
          <cell r="M2732">
            <v>9.2200000000000006</v>
          </cell>
          <cell r="P2732">
            <v>635</v>
          </cell>
        </row>
        <row r="2733">
          <cell r="A2733" t="str">
            <v>BDU-MyE-X095B-M</v>
          </cell>
          <cell r="G2733" t="str">
            <v>IDESP</v>
          </cell>
          <cell r="L2733">
            <v>40645</v>
          </cell>
          <cell r="M2733">
            <v>4.08</v>
          </cell>
          <cell r="P2733">
            <v>20.9</v>
          </cell>
        </row>
        <row r="2734">
          <cell r="A2734" t="str">
            <v>BDU-MyE-X095B-SM</v>
          </cell>
          <cell r="G2734" t="str">
            <v>IDESP</v>
          </cell>
          <cell r="L2734">
            <v>40574</v>
          </cell>
          <cell r="M2734">
            <v>4.0199999999999996</v>
          </cell>
          <cell r="P2734">
            <v>51.7</v>
          </cell>
        </row>
        <row r="2735">
          <cell r="A2735" t="str">
            <v>BDU-MyE-YD-200</v>
          </cell>
          <cell r="G2735" t="str">
            <v>IDEMH</v>
          </cell>
          <cell r="L2735">
            <v>40633</v>
          </cell>
          <cell r="M2735">
            <v>4.07</v>
          </cell>
          <cell r="P2735">
            <v>9482.5300000000007</v>
          </cell>
        </row>
        <row r="2736">
          <cell r="A2736" t="str">
            <v>BDU-MyE-YL32-200</v>
          </cell>
          <cell r="G2736" t="str">
            <v>IDESP</v>
          </cell>
          <cell r="L2736">
            <v>40724</v>
          </cell>
          <cell r="M2736">
            <v>4.1399999999999997</v>
          </cell>
          <cell r="P2736">
            <v>84.1</v>
          </cell>
        </row>
        <row r="2737">
          <cell r="A2737" t="str">
            <v>BDU-REP-A-30</v>
          </cell>
          <cell r="G2737" t="str">
            <v>IDESP</v>
          </cell>
          <cell r="L2737">
            <v>40787</v>
          </cell>
          <cell r="M2737">
            <v>4.22</v>
          </cell>
          <cell r="P2737">
            <v>238</v>
          </cell>
        </row>
        <row r="2738">
          <cell r="A2738" t="str">
            <v>BDU-REP-BALL6.35MM</v>
          </cell>
          <cell r="G2738" t="str">
            <v>IDESP</v>
          </cell>
          <cell r="L2738">
            <v>41326</v>
          </cell>
          <cell r="M2738">
            <v>5.0199999999999996</v>
          </cell>
          <cell r="P2738">
            <v>1.48</v>
          </cell>
        </row>
        <row r="2739">
          <cell r="A2739" t="str">
            <v>BDU-REP-CIRCUITBOARD</v>
          </cell>
          <cell r="G2739" t="str">
            <v>IDESP</v>
          </cell>
          <cell r="L2739">
            <v>39974</v>
          </cell>
          <cell r="M2739">
            <v>3.77</v>
          </cell>
          <cell r="P2739">
            <v>25</v>
          </cell>
        </row>
        <row r="2740">
          <cell r="A2740" t="str">
            <v>BDU-REP-COMPRE-ACCES</v>
          </cell>
          <cell r="G2740" t="str">
            <v>IDESP</v>
          </cell>
          <cell r="L2740">
            <v>42555</v>
          </cell>
          <cell r="M2740">
            <v>15.34</v>
          </cell>
          <cell r="P2740">
            <v>33.770000000000003</v>
          </cell>
        </row>
        <row r="2741">
          <cell r="A2741" t="str">
            <v>BDU-REP-Connector</v>
          </cell>
          <cell r="G2741" t="str">
            <v>IDESP</v>
          </cell>
          <cell r="L2741">
            <v>41520</v>
          </cell>
          <cell r="M2741">
            <v>5.68</v>
          </cell>
          <cell r="P2741">
            <v>18.7</v>
          </cell>
        </row>
        <row r="2742">
          <cell r="A2742" t="str">
            <v>BDU-REP-Filter-tubes</v>
          </cell>
          <cell r="G2742" t="str">
            <v>IDESP</v>
          </cell>
          <cell r="L2742">
            <v>39974</v>
          </cell>
          <cell r="M2742">
            <v>3.77</v>
          </cell>
          <cell r="P2742">
            <v>24.5</v>
          </cell>
        </row>
        <row r="2743">
          <cell r="A2743" t="str">
            <v>BDU-REP-Front-mirror</v>
          </cell>
          <cell r="G2743" t="str">
            <v>INCOU</v>
          </cell>
          <cell r="L2743">
            <v>41681</v>
          </cell>
          <cell r="M2743">
            <v>7.84</v>
          </cell>
          <cell r="P2743">
            <v>7.2493999999999996</v>
          </cell>
        </row>
        <row r="2744">
          <cell r="A2744" t="str">
            <v>BDU-REP-GLA-MOL-6005</v>
          </cell>
          <cell r="G2744" t="str">
            <v>IDESP</v>
          </cell>
          <cell r="L2744">
            <v>41326</v>
          </cell>
          <cell r="M2744">
            <v>5.0199999999999996</v>
          </cell>
          <cell r="P2744">
            <v>12.7</v>
          </cell>
        </row>
        <row r="2745">
          <cell r="A2745" t="str">
            <v>BDU-REP-Grease-mold</v>
          </cell>
          <cell r="G2745" t="str">
            <v>IDESP</v>
          </cell>
          <cell r="L2745">
            <v>41326</v>
          </cell>
          <cell r="M2745">
            <v>5.0199999999999996</v>
          </cell>
          <cell r="P2745">
            <v>42</v>
          </cell>
        </row>
        <row r="2746">
          <cell r="A2746" t="str">
            <v>BDU-REP-He-Ne-Laser</v>
          </cell>
          <cell r="G2746" t="str">
            <v>INCOU</v>
          </cell>
          <cell r="L2746">
            <v>41681</v>
          </cell>
          <cell r="M2746">
            <v>7.84</v>
          </cell>
          <cell r="P2746">
            <v>6</v>
          </cell>
        </row>
        <row r="2747">
          <cell r="A2747" t="str">
            <v>BDU-REP-INTENSIFIER</v>
          </cell>
          <cell r="G2747" t="str">
            <v>IDESP</v>
          </cell>
          <cell r="L2747">
            <v>45733</v>
          </cell>
          <cell r="M2747">
            <v>1088</v>
          </cell>
          <cell r="P2747">
            <v>4080</v>
          </cell>
        </row>
        <row r="2748">
          <cell r="A2748" t="str">
            <v>BDU-REP-LAMPLASER</v>
          </cell>
          <cell r="G2748" t="str">
            <v>INCOU</v>
          </cell>
          <cell r="L2748">
            <v>41681</v>
          </cell>
          <cell r="M2748">
            <v>7.84</v>
          </cell>
          <cell r="P2748">
            <v>49.410200000000003</v>
          </cell>
        </row>
        <row r="2749">
          <cell r="A2749" t="str">
            <v>BDU-REP-Mirrors</v>
          </cell>
          <cell r="G2749" t="str">
            <v>IDESP</v>
          </cell>
          <cell r="L2749">
            <v>39974</v>
          </cell>
          <cell r="M2749">
            <v>3.77</v>
          </cell>
          <cell r="P2749">
            <v>34.4</v>
          </cell>
        </row>
        <row r="2750">
          <cell r="A2750" t="str">
            <v>BDU-REP-MOLD-320/32</v>
          </cell>
          <cell r="G2750" t="str">
            <v>IDESP</v>
          </cell>
          <cell r="L2750">
            <v>41681</v>
          </cell>
          <cell r="M2750">
            <v>7.84</v>
          </cell>
          <cell r="P2750">
            <v>74.3</v>
          </cell>
        </row>
        <row r="2751">
          <cell r="A2751" t="str">
            <v>BDU-REP-MOLD-3T12001</v>
          </cell>
          <cell r="G2751" t="str">
            <v>IDESP</v>
          </cell>
          <cell r="L2751">
            <v>41309</v>
          </cell>
          <cell r="M2751">
            <v>4.99</v>
          </cell>
          <cell r="P2751">
            <v>30</v>
          </cell>
        </row>
        <row r="2752">
          <cell r="A2752" t="str">
            <v>BDU-REP-MOLD-3T12003</v>
          </cell>
          <cell r="G2752" t="str">
            <v>IDESP</v>
          </cell>
          <cell r="L2752">
            <v>41309</v>
          </cell>
          <cell r="M2752">
            <v>4.99</v>
          </cell>
          <cell r="P2752">
            <v>30</v>
          </cell>
        </row>
        <row r="2753">
          <cell r="A2753" t="str">
            <v>BDU-REP-MOLD-3T12004</v>
          </cell>
          <cell r="G2753" t="str">
            <v>IDESP</v>
          </cell>
          <cell r="L2753">
            <v>41309</v>
          </cell>
          <cell r="M2753">
            <v>4.99</v>
          </cell>
          <cell r="P2753">
            <v>30</v>
          </cell>
        </row>
        <row r="2754">
          <cell r="A2754" t="str">
            <v>BDU-REP-MOLD-3T12006</v>
          </cell>
          <cell r="G2754" t="str">
            <v>IDESP</v>
          </cell>
          <cell r="L2754">
            <v>41309</v>
          </cell>
          <cell r="M2754">
            <v>4.99</v>
          </cell>
          <cell r="P2754">
            <v>30</v>
          </cell>
        </row>
        <row r="2755">
          <cell r="A2755" t="str">
            <v>BDU-REP-MOLD-3T12008</v>
          </cell>
          <cell r="G2755" t="str">
            <v>IDESP</v>
          </cell>
          <cell r="L2755">
            <v>41309</v>
          </cell>
          <cell r="M2755">
            <v>4.99</v>
          </cell>
          <cell r="P2755">
            <v>30</v>
          </cell>
        </row>
        <row r="2756">
          <cell r="A2756" t="str">
            <v>BDU-REP-MOLD-3T12010</v>
          </cell>
          <cell r="G2756" t="str">
            <v>IDESP</v>
          </cell>
          <cell r="L2756">
            <v>41347</v>
          </cell>
          <cell r="M2756">
            <v>5.08</v>
          </cell>
          <cell r="P2756">
            <v>30</v>
          </cell>
        </row>
        <row r="2757">
          <cell r="A2757" t="str">
            <v>BDU-REP-MOLD-3T12012</v>
          </cell>
          <cell r="G2757" t="str">
            <v>IDESP</v>
          </cell>
          <cell r="L2757">
            <v>41309</v>
          </cell>
          <cell r="M2757">
            <v>4.99</v>
          </cell>
          <cell r="P2757">
            <v>30</v>
          </cell>
        </row>
        <row r="2758">
          <cell r="A2758" t="str">
            <v>BDU-REP-MOLD-3T12024</v>
          </cell>
          <cell r="G2758" t="str">
            <v>IDESP</v>
          </cell>
          <cell r="L2758">
            <v>41309</v>
          </cell>
          <cell r="M2758">
            <v>4.99</v>
          </cell>
          <cell r="P2758">
            <v>30</v>
          </cell>
        </row>
        <row r="2759">
          <cell r="A2759" t="str">
            <v>BDU-REP-MOLD-3T12047</v>
          </cell>
          <cell r="G2759" t="str">
            <v>IDESP</v>
          </cell>
          <cell r="L2759">
            <v>41347</v>
          </cell>
          <cell r="M2759">
            <v>5.08</v>
          </cell>
          <cell r="P2759">
            <v>30</v>
          </cell>
        </row>
        <row r="2760">
          <cell r="A2760" t="str">
            <v>BDU-REP-MOLD-3T12050</v>
          </cell>
          <cell r="G2760" t="str">
            <v>IDESP</v>
          </cell>
          <cell r="L2760">
            <v>41347</v>
          </cell>
          <cell r="M2760">
            <v>5.08</v>
          </cell>
          <cell r="P2760">
            <v>30</v>
          </cell>
        </row>
        <row r="2761">
          <cell r="A2761" t="str">
            <v>BDU-REP-MOLD-3T12057</v>
          </cell>
          <cell r="G2761" t="str">
            <v>IDESP</v>
          </cell>
          <cell r="L2761">
            <v>41309</v>
          </cell>
          <cell r="M2761">
            <v>4.99</v>
          </cell>
          <cell r="P2761">
            <v>30</v>
          </cell>
        </row>
        <row r="2762">
          <cell r="A2762" t="str">
            <v>BDU-REP-MOLD-3T12070</v>
          </cell>
          <cell r="G2762" t="str">
            <v>IDESP</v>
          </cell>
          <cell r="L2762">
            <v>41309</v>
          </cell>
          <cell r="M2762">
            <v>4.99</v>
          </cell>
          <cell r="P2762">
            <v>30</v>
          </cell>
        </row>
        <row r="2763">
          <cell r="A2763" t="str">
            <v>BDU-REP-MOLD-3T12074</v>
          </cell>
          <cell r="G2763" t="str">
            <v>IDESP</v>
          </cell>
          <cell r="L2763">
            <v>41309</v>
          </cell>
          <cell r="M2763">
            <v>4.99</v>
          </cell>
          <cell r="P2763">
            <v>30</v>
          </cell>
        </row>
        <row r="2764">
          <cell r="A2764" t="str">
            <v>BDU-REP-MOLD-3T12080</v>
          </cell>
          <cell r="G2764" t="str">
            <v>IDESP</v>
          </cell>
          <cell r="L2764">
            <v>41347</v>
          </cell>
          <cell r="M2764">
            <v>5.08</v>
          </cell>
          <cell r="P2764">
            <v>30</v>
          </cell>
        </row>
        <row r="2765">
          <cell r="A2765" t="str">
            <v>BDU-REP-MOLD-3T12107</v>
          </cell>
          <cell r="G2765" t="str">
            <v>IDESP</v>
          </cell>
          <cell r="L2765">
            <v>41347</v>
          </cell>
          <cell r="M2765">
            <v>5.08</v>
          </cell>
          <cell r="P2765">
            <v>30</v>
          </cell>
        </row>
        <row r="2766">
          <cell r="A2766" t="str">
            <v>BDU-REP-MOLD-3T12201</v>
          </cell>
          <cell r="G2766" t="str">
            <v>IDESP</v>
          </cell>
          <cell r="L2766">
            <v>41309</v>
          </cell>
          <cell r="M2766">
            <v>4.99</v>
          </cell>
          <cell r="P2766">
            <v>30</v>
          </cell>
        </row>
        <row r="2767">
          <cell r="A2767" t="str">
            <v>BDU-REP-MOLD-3T12401</v>
          </cell>
          <cell r="G2767" t="str">
            <v>IDESP</v>
          </cell>
          <cell r="L2767">
            <v>41309</v>
          </cell>
          <cell r="M2767">
            <v>4.99</v>
          </cell>
          <cell r="P2767">
            <v>30</v>
          </cell>
        </row>
        <row r="2768">
          <cell r="A2768" t="str">
            <v>BDU-REP-MOLD-3T12413</v>
          </cell>
          <cell r="G2768" t="str">
            <v>IDESP</v>
          </cell>
          <cell r="L2768">
            <v>41309</v>
          </cell>
          <cell r="M2768">
            <v>4.99</v>
          </cell>
          <cell r="P2768">
            <v>30</v>
          </cell>
        </row>
        <row r="2769">
          <cell r="A2769" t="str">
            <v>BDU-REP-MOLD-3T29013</v>
          </cell>
          <cell r="G2769" t="str">
            <v>IDESP</v>
          </cell>
          <cell r="L2769">
            <v>41309</v>
          </cell>
          <cell r="M2769">
            <v>4.99</v>
          </cell>
          <cell r="P2769">
            <v>30</v>
          </cell>
        </row>
        <row r="2770">
          <cell r="A2770" t="str">
            <v>BDU-REP-MOLD-3T74910</v>
          </cell>
          <cell r="G2770" t="str">
            <v>IDESP</v>
          </cell>
          <cell r="L2770">
            <v>41309</v>
          </cell>
          <cell r="M2770">
            <v>4.99</v>
          </cell>
          <cell r="P2770">
            <v>30</v>
          </cell>
        </row>
        <row r="2771">
          <cell r="A2771" t="str">
            <v>BDU-REP-Mold-6209</v>
          </cell>
          <cell r="G2771" t="str">
            <v>INCOU</v>
          </cell>
          <cell r="L2771">
            <v>42206</v>
          </cell>
          <cell r="M2771">
            <v>9.19</v>
          </cell>
          <cell r="P2771">
            <v>110</v>
          </cell>
        </row>
        <row r="2772">
          <cell r="A2772" t="str">
            <v>BDU-REP-MOLD-F205</v>
          </cell>
          <cell r="G2772" t="str">
            <v xml:space="preserve">INSI </v>
          </cell>
          <cell r="L2772">
            <v>44182</v>
          </cell>
          <cell r="M2772">
            <v>87.75</v>
          </cell>
          <cell r="P2772">
            <v>1</v>
          </cell>
        </row>
        <row r="2773">
          <cell r="A2773" t="str">
            <v>BDU-REP-MOLD-F206</v>
          </cell>
          <cell r="G2773" t="str">
            <v xml:space="preserve">INSI </v>
          </cell>
          <cell r="L2773">
            <v>44182</v>
          </cell>
          <cell r="M2773">
            <v>87.75</v>
          </cell>
          <cell r="P2773">
            <v>1</v>
          </cell>
        </row>
        <row r="2774">
          <cell r="A2774" t="str">
            <v>BDU-REP-MOLD-F211</v>
          </cell>
          <cell r="G2774" t="str">
            <v xml:space="preserve">INSI </v>
          </cell>
          <cell r="L2774">
            <v>44182</v>
          </cell>
          <cell r="M2774">
            <v>87.75</v>
          </cell>
          <cell r="P2774">
            <v>1</v>
          </cell>
        </row>
        <row r="2775">
          <cell r="A2775" t="str">
            <v>BDU-REP-MOLD-FD205</v>
          </cell>
          <cell r="G2775" t="str">
            <v xml:space="preserve">INSI </v>
          </cell>
          <cell r="L2775">
            <v>44186</v>
          </cell>
          <cell r="M2775">
            <v>88</v>
          </cell>
          <cell r="P2775">
            <v>1</v>
          </cell>
        </row>
        <row r="2776">
          <cell r="A2776" t="str">
            <v>BDU-REP-MOLD-FTS205</v>
          </cell>
          <cell r="G2776" t="str">
            <v xml:space="preserve">INSI </v>
          </cell>
          <cell r="L2776">
            <v>44186</v>
          </cell>
          <cell r="M2776">
            <v>88</v>
          </cell>
          <cell r="P2776">
            <v>1</v>
          </cell>
        </row>
        <row r="2777">
          <cell r="A2777" t="str">
            <v>BDU-REP-MOLD-LP205</v>
          </cell>
          <cell r="G2777" t="str">
            <v xml:space="preserve">INSI </v>
          </cell>
          <cell r="L2777">
            <v>44210</v>
          </cell>
          <cell r="M2777">
            <v>90.5</v>
          </cell>
          <cell r="P2777">
            <v>1</v>
          </cell>
        </row>
        <row r="2778">
          <cell r="A2778" t="str">
            <v>BDU-REP-MOLD-PE207</v>
          </cell>
          <cell r="G2778" t="str">
            <v xml:space="preserve">INSI </v>
          </cell>
          <cell r="L2778">
            <v>44210</v>
          </cell>
          <cell r="M2778">
            <v>90.5</v>
          </cell>
          <cell r="P2778">
            <v>1</v>
          </cell>
        </row>
        <row r="2779">
          <cell r="A2779" t="str">
            <v>BDU-REP-MOLD-PE208</v>
          </cell>
          <cell r="G2779" t="str">
            <v xml:space="preserve">INSI </v>
          </cell>
          <cell r="L2779">
            <v>44186</v>
          </cell>
          <cell r="M2779">
            <v>88</v>
          </cell>
          <cell r="P2779">
            <v>1</v>
          </cell>
        </row>
        <row r="2780">
          <cell r="A2780" t="str">
            <v>BDU-REP-MOLD-TB216W3</v>
          </cell>
          <cell r="G2780" t="str">
            <v>IDESP</v>
          </cell>
          <cell r="L2780">
            <v>41681</v>
          </cell>
          <cell r="M2780">
            <v>7.84</v>
          </cell>
          <cell r="P2780">
            <v>260.25</v>
          </cell>
        </row>
        <row r="2781">
          <cell r="A2781" t="str">
            <v>BDU-REP-MOLD-TC203</v>
          </cell>
          <cell r="G2781" t="str">
            <v>INMUE</v>
          </cell>
          <cell r="L2781">
            <v>41389</v>
          </cell>
          <cell r="M2781">
            <v>5.16</v>
          </cell>
          <cell r="P2781">
            <v>0.29069767441860467</v>
          </cell>
        </row>
        <row r="2782">
          <cell r="A2782" t="str">
            <v>BDU-REP-MOLD-TC208</v>
          </cell>
          <cell r="G2782" t="str">
            <v>IDESP</v>
          </cell>
          <cell r="L2782">
            <v>41681</v>
          </cell>
          <cell r="M2782">
            <v>7.84</v>
          </cell>
          <cell r="P2782">
            <v>83.3</v>
          </cell>
        </row>
        <row r="2783">
          <cell r="A2783" t="str">
            <v>BDU-REP-MOLD-TC211</v>
          </cell>
          <cell r="G2783" t="str">
            <v>INCOU</v>
          </cell>
          <cell r="L2783">
            <v>41500</v>
          </cell>
          <cell r="M2783">
            <v>5.56</v>
          </cell>
          <cell r="P2783">
            <v>100.01</v>
          </cell>
        </row>
        <row r="2784">
          <cell r="A2784" t="str">
            <v>BDU-REP-MOLD-TC212</v>
          </cell>
          <cell r="G2784" t="str">
            <v>INCOU</v>
          </cell>
          <cell r="L2784">
            <v>41500</v>
          </cell>
          <cell r="M2784">
            <v>5.56</v>
          </cell>
          <cell r="P2784">
            <v>133.34</v>
          </cell>
        </row>
        <row r="2785">
          <cell r="A2785" t="str">
            <v>BDU-REP-MOLD-TC213</v>
          </cell>
          <cell r="G2785" t="str">
            <v>INCOU</v>
          </cell>
          <cell r="L2785">
            <v>41500</v>
          </cell>
          <cell r="M2785">
            <v>5.56</v>
          </cell>
          <cell r="P2785">
            <v>153.84</v>
          </cell>
        </row>
        <row r="2786">
          <cell r="A2786" t="str">
            <v>BDU-REP-MOLD-TC214</v>
          </cell>
          <cell r="G2786" t="str">
            <v>INCOU</v>
          </cell>
          <cell r="L2786">
            <v>41500</v>
          </cell>
          <cell r="M2786">
            <v>5.56</v>
          </cell>
          <cell r="P2786">
            <v>166</v>
          </cell>
        </row>
        <row r="2787">
          <cell r="A2787" t="str">
            <v>BDU-REP-MOLD-TC305</v>
          </cell>
          <cell r="G2787" t="str">
            <v>IDESP</v>
          </cell>
          <cell r="L2787">
            <v>41681</v>
          </cell>
          <cell r="M2787">
            <v>7.84</v>
          </cell>
          <cell r="P2787">
            <v>69.34</v>
          </cell>
        </row>
        <row r="2788">
          <cell r="A2788" t="str">
            <v>BDU-REP-MOLD-TC306</v>
          </cell>
          <cell r="G2788" t="str">
            <v>IDESP</v>
          </cell>
          <cell r="L2788">
            <v>41681</v>
          </cell>
          <cell r="M2788">
            <v>7.84</v>
          </cell>
          <cell r="P2788">
            <v>79.180000000000007</v>
          </cell>
        </row>
        <row r="2789">
          <cell r="A2789" t="str">
            <v>BDU-REP-MOLD-TC307</v>
          </cell>
          <cell r="G2789" t="str">
            <v>IDESP</v>
          </cell>
          <cell r="L2789">
            <v>41681</v>
          </cell>
          <cell r="M2789">
            <v>7.84</v>
          </cell>
          <cell r="P2789">
            <v>90.67</v>
          </cell>
        </row>
        <row r="2790">
          <cell r="A2790" t="str">
            <v>BDU-REP-MOLD-TC308</v>
          </cell>
          <cell r="G2790" t="str">
            <v>IDESP</v>
          </cell>
          <cell r="L2790">
            <v>41681</v>
          </cell>
          <cell r="M2790">
            <v>7.84</v>
          </cell>
          <cell r="P2790">
            <v>107.01</v>
          </cell>
        </row>
        <row r="2791">
          <cell r="A2791" t="str">
            <v>BDU-REP-MOLD-TC309</v>
          </cell>
          <cell r="G2791" t="str">
            <v>IDESP</v>
          </cell>
          <cell r="L2791">
            <v>41681</v>
          </cell>
          <cell r="M2791">
            <v>7.84</v>
          </cell>
          <cell r="P2791">
            <v>124.17</v>
          </cell>
        </row>
        <row r="2792">
          <cell r="A2792" t="str">
            <v>BDU-REP-MOLD-TC310</v>
          </cell>
          <cell r="G2792" t="str">
            <v>IDESP</v>
          </cell>
          <cell r="L2792">
            <v>41681</v>
          </cell>
          <cell r="M2792">
            <v>7.84</v>
          </cell>
          <cell r="P2792">
            <v>148.5</v>
          </cell>
        </row>
        <row r="2793">
          <cell r="A2793" t="str">
            <v>BDU-REP-MOLD-TD006</v>
          </cell>
          <cell r="G2793" t="str">
            <v>IDESP</v>
          </cell>
          <cell r="L2793">
            <v>41681</v>
          </cell>
          <cell r="M2793">
            <v>7.84</v>
          </cell>
          <cell r="P2793">
            <v>64.17</v>
          </cell>
        </row>
        <row r="2794">
          <cell r="A2794" t="str">
            <v>BDU-REP-MOLD-TD008</v>
          </cell>
          <cell r="G2794" t="str">
            <v>IDESP</v>
          </cell>
          <cell r="L2794">
            <v>41681</v>
          </cell>
          <cell r="M2794">
            <v>7.84</v>
          </cell>
          <cell r="P2794">
            <v>72.34</v>
          </cell>
        </row>
        <row r="2795">
          <cell r="A2795" t="str">
            <v>BDU-REP-MOLD-TD009</v>
          </cell>
          <cell r="G2795" t="str">
            <v>IDESP</v>
          </cell>
          <cell r="L2795">
            <v>41681</v>
          </cell>
          <cell r="M2795">
            <v>7.84</v>
          </cell>
          <cell r="P2795">
            <v>74.67</v>
          </cell>
        </row>
        <row r="2796">
          <cell r="A2796" t="str">
            <v>BDU-REP-MOLD-TD010</v>
          </cell>
          <cell r="G2796" t="str">
            <v>IDESP</v>
          </cell>
          <cell r="L2796">
            <v>41681</v>
          </cell>
          <cell r="M2796">
            <v>7.84</v>
          </cell>
          <cell r="P2796">
            <v>83.3</v>
          </cell>
        </row>
        <row r="2797">
          <cell r="A2797" t="str">
            <v>BDU-REP-MOLD-TD205</v>
          </cell>
          <cell r="G2797" t="str">
            <v>IDESP</v>
          </cell>
          <cell r="L2797">
            <v>41681</v>
          </cell>
          <cell r="M2797">
            <v>7.84</v>
          </cell>
          <cell r="P2797">
            <v>62</v>
          </cell>
        </row>
        <row r="2798">
          <cell r="A2798" t="str">
            <v>BDU-REP-MOLD-TD206</v>
          </cell>
          <cell r="G2798" t="str">
            <v>INCOU</v>
          </cell>
          <cell r="L2798">
            <v>41500</v>
          </cell>
          <cell r="M2798">
            <v>5.56</v>
          </cell>
          <cell r="P2798">
            <v>70.67</v>
          </cell>
        </row>
        <row r="2799">
          <cell r="A2799" t="str">
            <v>BDU-REP-MOLD-TD207</v>
          </cell>
          <cell r="G2799" t="str">
            <v>IDESP</v>
          </cell>
          <cell r="L2799">
            <v>41681</v>
          </cell>
          <cell r="M2799">
            <v>7.84</v>
          </cell>
          <cell r="P2799">
            <v>74.8</v>
          </cell>
        </row>
        <row r="2800">
          <cell r="A2800" t="str">
            <v>BDU-REP-MOLD-TD208</v>
          </cell>
          <cell r="G2800" t="str">
            <v>INCOU</v>
          </cell>
          <cell r="L2800">
            <v>41500</v>
          </cell>
          <cell r="M2800">
            <v>5.56</v>
          </cell>
          <cell r="P2800">
            <v>73.010000000000005</v>
          </cell>
        </row>
        <row r="2801">
          <cell r="A2801" t="str">
            <v>BDU-REP-MOLD-TD209</v>
          </cell>
          <cell r="G2801" t="str">
            <v>IDESP</v>
          </cell>
          <cell r="L2801">
            <v>41681</v>
          </cell>
          <cell r="M2801">
            <v>7.84</v>
          </cell>
          <cell r="P2801">
            <v>78.680000000000007</v>
          </cell>
        </row>
        <row r="2802">
          <cell r="A2802" t="str">
            <v>BDU-REP-MOLD-TD210</v>
          </cell>
          <cell r="G2802" t="str">
            <v>IDESP</v>
          </cell>
          <cell r="L2802">
            <v>41681</v>
          </cell>
          <cell r="M2802">
            <v>7.84</v>
          </cell>
          <cell r="P2802">
            <v>108.34</v>
          </cell>
        </row>
        <row r="2803">
          <cell r="A2803" t="str">
            <v>BDU-REP-MOLD-TD211</v>
          </cell>
          <cell r="G2803" t="str">
            <v>IDESP</v>
          </cell>
          <cell r="L2803">
            <v>41681</v>
          </cell>
          <cell r="M2803">
            <v>7.84</v>
          </cell>
          <cell r="P2803">
            <v>97.3</v>
          </cell>
        </row>
        <row r="2804">
          <cell r="A2804" t="str">
            <v>BDU-REP-MOLD-TD212</v>
          </cell>
          <cell r="G2804" t="str">
            <v>INCOU</v>
          </cell>
          <cell r="L2804">
            <v>41500</v>
          </cell>
          <cell r="M2804">
            <v>5.56</v>
          </cell>
          <cell r="P2804">
            <v>150.01</v>
          </cell>
        </row>
        <row r="2805">
          <cell r="A2805" t="str">
            <v>BDU-REP-MOLD-TD213</v>
          </cell>
          <cell r="G2805" t="str">
            <v>INCOU</v>
          </cell>
          <cell r="L2805">
            <v>41500</v>
          </cell>
          <cell r="M2805">
            <v>5.56</v>
          </cell>
          <cell r="P2805">
            <v>178.01</v>
          </cell>
        </row>
        <row r="2806">
          <cell r="A2806" t="str">
            <v>BDU-REP-MOTOR&amp;MIRROR</v>
          </cell>
          <cell r="G2806" t="str">
            <v>IDESP</v>
          </cell>
          <cell r="L2806">
            <v>39974</v>
          </cell>
          <cell r="M2806">
            <v>3.77</v>
          </cell>
          <cell r="P2806">
            <v>25</v>
          </cell>
        </row>
        <row r="2807">
          <cell r="A2807" t="str">
            <v>BDU-REP-Mounting-dev</v>
          </cell>
          <cell r="G2807" t="str">
            <v>IDESP</v>
          </cell>
          <cell r="L2807">
            <v>40784</v>
          </cell>
          <cell r="M2807">
            <v>4.21</v>
          </cell>
          <cell r="P2807">
            <v>41.6</v>
          </cell>
        </row>
        <row r="2808">
          <cell r="A2808" t="str">
            <v>BDU-REP-NOYO-F205</v>
          </cell>
          <cell r="G2808" t="str">
            <v xml:space="preserve">INSI </v>
          </cell>
          <cell r="L2808">
            <v>44210</v>
          </cell>
          <cell r="M2808">
            <v>90.5</v>
          </cell>
          <cell r="P2808">
            <v>1</v>
          </cell>
        </row>
        <row r="2809">
          <cell r="A2809" t="str">
            <v>BDU-REP-NOYO-F206</v>
          </cell>
          <cell r="G2809" t="str">
            <v xml:space="preserve">INSI </v>
          </cell>
          <cell r="L2809">
            <v>44186</v>
          </cell>
          <cell r="M2809">
            <v>88</v>
          </cell>
          <cell r="P2809">
            <v>1</v>
          </cell>
        </row>
        <row r="2810">
          <cell r="A2810" t="str">
            <v>BDU-REP-NOYO-F211</v>
          </cell>
          <cell r="G2810" t="str">
            <v xml:space="preserve">INSI </v>
          </cell>
          <cell r="L2810">
            <v>44210</v>
          </cell>
          <cell r="M2810">
            <v>90.5</v>
          </cell>
          <cell r="P2810">
            <v>1</v>
          </cell>
        </row>
        <row r="2811">
          <cell r="A2811" t="str">
            <v>BDU-REP-NOYO-FD205</v>
          </cell>
          <cell r="G2811" t="str">
            <v xml:space="preserve">INSI </v>
          </cell>
          <cell r="L2811">
            <v>44210</v>
          </cell>
          <cell r="M2811">
            <v>90.5</v>
          </cell>
          <cell r="P2811">
            <v>1</v>
          </cell>
        </row>
        <row r="2812">
          <cell r="A2812" t="str">
            <v>BDU-REP-NOYO-FTS205</v>
          </cell>
          <cell r="G2812" t="str">
            <v xml:space="preserve">INSI </v>
          </cell>
          <cell r="L2812">
            <v>44210</v>
          </cell>
          <cell r="M2812">
            <v>90.5</v>
          </cell>
          <cell r="P2812">
            <v>1</v>
          </cell>
        </row>
        <row r="2813">
          <cell r="A2813" t="str">
            <v>BDU-REP-OP-BALL6005</v>
          </cell>
          <cell r="G2813" t="str">
            <v>IDESP</v>
          </cell>
          <cell r="L2813">
            <v>41326</v>
          </cell>
          <cell r="M2813">
            <v>5.0199999999999996</v>
          </cell>
          <cell r="P2813">
            <v>9.09</v>
          </cell>
        </row>
        <row r="2814">
          <cell r="A2814" t="str">
            <v>BDU-REP-Past-Freno</v>
          </cell>
          <cell r="G2814" t="str">
            <v xml:space="preserve">INSI </v>
          </cell>
          <cell r="L2814">
            <v>40072</v>
          </cell>
          <cell r="M2814">
            <v>3.85</v>
          </cell>
          <cell r="P2814">
            <v>1E-3</v>
          </cell>
        </row>
        <row r="2815">
          <cell r="A2815" t="str">
            <v>BDU-REP-Rear-reflect</v>
          </cell>
          <cell r="G2815" t="str">
            <v>IDESP</v>
          </cell>
          <cell r="L2815">
            <v>40784</v>
          </cell>
          <cell r="M2815">
            <v>4.21</v>
          </cell>
          <cell r="P2815">
            <v>13.5</v>
          </cell>
        </row>
        <row r="2816">
          <cell r="A2816" t="str">
            <v>BDU-REP-SLI-MOL-6005</v>
          </cell>
          <cell r="G2816" t="str">
            <v>IDESP</v>
          </cell>
          <cell r="L2816">
            <v>41326</v>
          </cell>
          <cell r="M2816">
            <v>5.0199999999999996</v>
          </cell>
          <cell r="P2816">
            <v>12.7</v>
          </cell>
        </row>
        <row r="2817">
          <cell r="A2817" t="str">
            <v>BDU-REP-Slide-mold</v>
          </cell>
          <cell r="G2817" t="str">
            <v>IDESP</v>
          </cell>
          <cell r="L2817">
            <v>41326</v>
          </cell>
          <cell r="M2817">
            <v>5.0199999999999996</v>
          </cell>
          <cell r="P2817">
            <v>40</v>
          </cell>
        </row>
        <row r="2818">
          <cell r="A2818" t="str">
            <v>BDU-REP-TUB-HOL-6005</v>
          </cell>
          <cell r="G2818" t="str">
            <v>IDESP</v>
          </cell>
          <cell r="L2818">
            <v>41326</v>
          </cell>
          <cell r="M2818">
            <v>5.0199999999999996</v>
          </cell>
          <cell r="P2818">
            <v>5.45</v>
          </cell>
        </row>
        <row r="2819">
          <cell r="A2819" t="str">
            <v>BDU-REP-TUBE-12X8</v>
          </cell>
          <cell r="G2819" t="str">
            <v>IDESP</v>
          </cell>
          <cell r="L2819">
            <v>41326</v>
          </cell>
          <cell r="M2819">
            <v>5.0199999999999996</v>
          </cell>
          <cell r="P2819">
            <v>1.48</v>
          </cell>
        </row>
        <row r="2820">
          <cell r="A2820" t="str">
            <v>BDU-REP-WATERJET-PAR</v>
          </cell>
          <cell r="G2820" t="str">
            <v>IDESP</v>
          </cell>
          <cell r="L2820">
            <v>42555</v>
          </cell>
          <cell r="M2820">
            <v>15.34</v>
          </cell>
          <cell r="P2820">
            <v>316.12</v>
          </cell>
        </row>
        <row r="2821">
          <cell r="A2821" t="str">
            <v>BDU-REP-Wire-plugs</v>
          </cell>
          <cell r="G2821" t="str">
            <v>IDESP</v>
          </cell>
          <cell r="L2821">
            <v>40784</v>
          </cell>
          <cell r="M2821">
            <v>4.21</v>
          </cell>
          <cell r="P2821">
            <v>16.7</v>
          </cell>
        </row>
        <row r="2822">
          <cell r="A2822" t="str">
            <v>BDU-ROD-ATVPredador</v>
          </cell>
          <cell r="G2822" t="str">
            <v>IDESP</v>
          </cell>
          <cell r="L2822">
            <v>38476</v>
          </cell>
          <cell r="M2822">
            <v>2.8969999999999998</v>
          </cell>
          <cell r="P2822">
            <v>2000</v>
          </cell>
        </row>
        <row r="2823">
          <cell r="A2823" t="str">
            <v>BDU-ROD-CUB265/50/20</v>
          </cell>
          <cell r="G2823" t="str">
            <v xml:space="preserve">INSI </v>
          </cell>
          <cell r="L2823">
            <v>42747</v>
          </cell>
          <cell r="M2823">
            <v>16.28</v>
          </cell>
          <cell r="P2823">
            <v>150</v>
          </cell>
        </row>
        <row r="2824">
          <cell r="A2824" t="str">
            <v>BDU-ROD-CUB265/65/17</v>
          </cell>
          <cell r="G2824" t="str">
            <v xml:space="preserve">INSI </v>
          </cell>
          <cell r="L2824">
            <v>42747</v>
          </cell>
          <cell r="M2824">
            <v>16.28</v>
          </cell>
          <cell r="P2824">
            <v>130</v>
          </cell>
        </row>
        <row r="2825">
          <cell r="A2825" t="str">
            <v>BDU-ROD-HELICOPT-R44</v>
          </cell>
          <cell r="G2825" t="str">
            <v>IDESP</v>
          </cell>
          <cell r="L2825">
            <v>41449</v>
          </cell>
          <cell r="M2825">
            <v>5.35</v>
          </cell>
          <cell r="P2825">
            <v>451000</v>
          </cell>
        </row>
        <row r="2826">
          <cell r="A2826" t="str">
            <v>BDU-ROD-TRAILER-MF</v>
          </cell>
          <cell r="G2826" t="str">
            <v>IDESP</v>
          </cell>
          <cell r="L2826">
            <v>43697</v>
          </cell>
          <cell r="M2826">
            <v>57</v>
          </cell>
          <cell r="P2826">
            <v>1430</v>
          </cell>
        </row>
        <row r="2827">
          <cell r="A2827" t="str">
            <v>BDU-ROD-YAM-SX242</v>
          </cell>
          <cell r="G2827" t="str">
            <v>IDEMH</v>
          </cell>
          <cell r="L2827">
            <v>40816</v>
          </cell>
          <cell r="M2827">
            <v>4.2300000000000004</v>
          </cell>
          <cell r="P2827">
            <v>34000</v>
          </cell>
        </row>
        <row r="2828">
          <cell r="A2828" t="str">
            <v>BMZ-040-6309</v>
          </cell>
          <cell r="G2828" t="str">
            <v>INDEV</v>
          </cell>
          <cell r="L2828">
            <v>41288</v>
          </cell>
          <cell r="M2828">
            <v>4.95</v>
          </cell>
          <cell r="P2828">
            <v>2.0929292929292926</v>
          </cell>
        </row>
        <row r="2829">
          <cell r="A2829" t="str">
            <v>BMZ-043-6004-1RS</v>
          </cell>
          <cell r="G2829" t="str">
            <v xml:space="preserve">CR   </v>
          </cell>
          <cell r="L2829">
            <v>38624</v>
          </cell>
          <cell r="M2829">
            <v>2.915</v>
          </cell>
          <cell r="P2829">
            <v>0.71499999999999997</v>
          </cell>
        </row>
        <row r="2830">
          <cell r="A2830" t="str">
            <v>BMZ-043-6309-N</v>
          </cell>
          <cell r="G2830" t="str">
            <v xml:space="preserve">CR   </v>
          </cell>
          <cell r="L2830">
            <v>38811</v>
          </cell>
          <cell r="M2830">
            <v>3.085</v>
          </cell>
          <cell r="P2830">
            <v>1.9180999999999999</v>
          </cell>
        </row>
        <row r="2831">
          <cell r="A2831" t="str">
            <v>BON-028-A-823-50cc</v>
          </cell>
          <cell r="G2831" t="str">
            <v xml:space="preserve">CR   </v>
          </cell>
          <cell r="L2831">
            <v>38811</v>
          </cell>
          <cell r="M2831">
            <v>3.085</v>
          </cell>
          <cell r="P2831">
            <v>20.924800000000001</v>
          </cell>
        </row>
        <row r="2832">
          <cell r="A2832" t="str">
            <v>BON-028-AM-500-250c</v>
          </cell>
          <cell r="G2832" t="str">
            <v xml:space="preserve">CR   </v>
          </cell>
          <cell r="L2832">
            <v>38624</v>
          </cell>
          <cell r="M2832">
            <v>2.915</v>
          </cell>
          <cell r="P2832">
            <v>29.26</v>
          </cell>
        </row>
        <row r="2833">
          <cell r="A2833" t="str">
            <v>BON-028-AM-500-50cc</v>
          </cell>
          <cell r="G2833" t="str">
            <v xml:space="preserve">CR   </v>
          </cell>
          <cell r="L2833">
            <v>38811</v>
          </cell>
          <cell r="M2833">
            <v>3.085</v>
          </cell>
          <cell r="P2833">
            <v>20.924800000000001</v>
          </cell>
        </row>
        <row r="2834">
          <cell r="A2834" t="str">
            <v>BON-028-F-2000-50cc</v>
          </cell>
          <cell r="G2834" t="str">
            <v xml:space="preserve">CR   </v>
          </cell>
          <cell r="L2834">
            <v>38811</v>
          </cell>
          <cell r="M2834">
            <v>3.085</v>
          </cell>
          <cell r="P2834">
            <v>20.924800000000001</v>
          </cell>
        </row>
        <row r="2835">
          <cell r="A2835" t="str">
            <v>BON-029-C-1-CAJA</v>
          </cell>
          <cell r="G2835" t="str">
            <v>IDESP</v>
          </cell>
          <cell r="L2835">
            <v>42423</v>
          </cell>
          <cell r="M2835">
            <v>15.33</v>
          </cell>
          <cell r="P2835">
            <v>0.67120000000000002</v>
          </cell>
        </row>
        <row r="2836">
          <cell r="A2836" t="str">
            <v>BON-029-C-12-CAJA</v>
          </cell>
          <cell r="G2836" t="str">
            <v>IDESP</v>
          </cell>
          <cell r="L2836">
            <v>42423</v>
          </cell>
          <cell r="M2836">
            <v>15.33</v>
          </cell>
          <cell r="P2836">
            <v>1.4927999999999999</v>
          </cell>
        </row>
        <row r="2837">
          <cell r="A2837" t="str">
            <v>BON-029-C-13-CAJA</v>
          </cell>
          <cell r="G2837" t="str">
            <v>IDESP</v>
          </cell>
          <cell r="L2837">
            <v>42423</v>
          </cell>
          <cell r="M2837">
            <v>15.33</v>
          </cell>
          <cell r="P2837">
            <v>1.4927999999999999</v>
          </cell>
        </row>
        <row r="2838">
          <cell r="A2838" t="str">
            <v>BON-029-C-2-CAJA</v>
          </cell>
          <cell r="G2838" t="str">
            <v>IDESP</v>
          </cell>
          <cell r="L2838">
            <v>42423</v>
          </cell>
          <cell r="M2838">
            <v>15.33</v>
          </cell>
          <cell r="P2838">
            <v>0.872</v>
          </cell>
        </row>
        <row r="2839">
          <cell r="A2839" t="str">
            <v>BON-029-C-3-CAJA</v>
          </cell>
          <cell r="G2839" t="str">
            <v>IDESP</v>
          </cell>
          <cell r="L2839">
            <v>42423</v>
          </cell>
          <cell r="M2839">
            <v>15.33</v>
          </cell>
          <cell r="P2839">
            <v>0.872</v>
          </cell>
        </row>
        <row r="2840">
          <cell r="A2840" t="str">
            <v>BON-029-C-4-CAJA</v>
          </cell>
          <cell r="G2840" t="str">
            <v>IDESP</v>
          </cell>
          <cell r="L2840">
            <v>42423</v>
          </cell>
          <cell r="M2840">
            <v>15.33</v>
          </cell>
          <cell r="P2840">
            <v>0.9224</v>
          </cell>
        </row>
        <row r="2841">
          <cell r="A2841" t="str">
            <v>BON-029-C-5-CAJA</v>
          </cell>
          <cell r="G2841" t="str">
            <v>IDESP</v>
          </cell>
          <cell r="L2841">
            <v>42423</v>
          </cell>
          <cell r="M2841">
            <v>15.33</v>
          </cell>
          <cell r="P2841">
            <v>0.9224</v>
          </cell>
        </row>
        <row r="2842">
          <cell r="A2842" t="str">
            <v>BON-029-C-6-CAJA</v>
          </cell>
          <cell r="G2842" t="str">
            <v>IDESP</v>
          </cell>
          <cell r="L2842">
            <v>42423</v>
          </cell>
          <cell r="M2842">
            <v>15.33</v>
          </cell>
          <cell r="P2842">
            <v>0.9224</v>
          </cell>
        </row>
        <row r="2843">
          <cell r="A2843" t="str">
            <v>BON-029-C-7-CAJA</v>
          </cell>
          <cell r="G2843" t="str">
            <v>IDESP</v>
          </cell>
          <cell r="L2843">
            <v>42423</v>
          </cell>
          <cell r="M2843">
            <v>15.33</v>
          </cell>
          <cell r="P2843">
            <v>0.9224</v>
          </cell>
        </row>
        <row r="2844">
          <cell r="A2844" t="str">
            <v>BON-029-C-8-CAJA</v>
          </cell>
          <cell r="G2844" t="str">
            <v>IDESP</v>
          </cell>
          <cell r="L2844">
            <v>42423</v>
          </cell>
          <cell r="M2844">
            <v>15.33</v>
          </cell>
          <cell r="P2844">
            <v>1.4927999999999999</v>
          </cell>
        </row>
        <row r="2845">
          <cell r="A2845" t="str">
            <v>BON-029-C-9-CAJA</v>
          </cell>
          <cell r="G2845" t="str">
            <v>IDESP</v>
          </cell>
          <cell r="L2845">
            <v>42423</v>
          </cell>
          <cell r="M2845">
            <v>15.33</v>
          </cell>
          <cell r="P2845">
            <v>0.9224</v>
          </cell>
        </row>
        <row r="2846">
          <cell r="A2846" t="str">
            <v>BOW-053-71450</v>
          </cell>
          <cell r="G2846" t="str">
            <v xml:space="preserve">INAC </v>
          </cell>
          <cell r="L2846">
            <v>39616</v>
          </cell>
          <cell r="M2846">
            <v>3.04</v>
          </cell>
          <cell r="P2846">
            <v>84.21052631578948</v>
          </cell>
        </row>
        <row r="2847">
          <cell r="A2847" t="str">
            <v>BOW-054-71750</v>
          </cell>
          <cell r="G2847" t="str">
            <v xml:space="preserve">INAC </v>
          </cell>
          <cell r="L2847">
            <v>39616</v>
          </cell>
          <cell r="M2847">
            <v>3.04</v>
          </cell>
          <cell r="P2847">
            <v>61.184210526315788</v>
          </cell>
        </row>
        <row r="2848">
          <cell r="A2848" t="str">
            <v>BPB-000-ALVANIA-RL3</v>
          </cell>
          <cell r="G2848" t="str">
            <v xml:space="preserve">INAC </v>
          </cell>
          <cell r="L2848">
            <v>42457</v>
          </cell>
          <cell r="M2848">
            <v>14.79</v>
          </cell>
          <cell r="P2848">
            <v>5.0574712643678167E-3</v>
          </cell>
        </row>
        <row r="2849">
          <cell r="A2849" t="str">
            <v>BPB-000-EG-LITIO-280</v>
          </cell>
          <cell r="G2849" t="str">
            <v>IPFAP</v>
          </cell>
          <cell r="L2849">
            <v>44307</v>
          </cell>
          <cell r="M2849">
            <v>98.25</v>
          </cell>
          <cell r="P2849">
            <v>4.6638167938931296</v>
          </cell>
        </row>
        <row r="2850">
          <cell r="A2850" t="str">
            <v>BPB-000-EG-LITIO-4KG</v>
          </cell>
          <cell r="G2850" t="str">
            <v xml:space="preserve">INAC </v>
          </cell>
          <cell r="L2850">
            <v>40695</v>
          </cell>
          <cell r="M2850">
            <v>4.12</v>
          </cell>
          <cell r="P2850">
            <v>14.48276699029126</v>
          </cell>
        </row>
        <row r="2851">
          <cell r="A2851" t="str">
            <v>BPB-000-EG-LITIO-900</v>
          </cell>
          <cell r="G2851" t="str">
            <v xml:space="preserve">INAC </v>
          </cell>
          <cell r="L2851">
            <v>40695</v>
          </cell>
          <cell r="M2851">
            <v>4.12</v>
          </cell>
          <cell r="P2851">
            <v>4.3830097087378643</v>
          </cell>
        </row>
        <row r="2852">
          <cell r="A2852" t="str">
            <v>BPB-000-GL-262</v>
          </cell>
          <cell r="G2852" t="str">
            <v>INPEE</v>
          </cell>
          <cell r="L2852">
            <v>44273</v>
          </cell>
          <cell r="M2852">
            <v>96.25</v>
          </cell>
          <cell r="P2852">
            <v>60.02</v>
          </cell>
        </row>
        <row r="2853">
          <cell r="A2853" t="str">
            <v>BPB-000-MULTIS-2</v>
          </cell>
          <cell r="G2853" t="str">
            <v xml:space="preserve">INAC </v>
          </cell>
          <cell r="L2853">
            <v>44463</v>
          </cell>
          <cell r="M2853">
            <v>103.75</v>
          </cell>
          <cell r="P2853">
            <v>3.8438554216867469E-3</v>
          </cell>
        </row>
        <row r="2854">
          <cell r="A2854" t="str">
            <v>BPB-000-POLYREX-EM</v>
          </cell>
          <cell r="G2854" t="str">
            <v xml:space="preserve">INAC </v>
          </cell>
          <cell r="L2854">
            <v>45896</v>
          </cell>
          <cell r="M2854">
            <v>1370</v>
          </cell>
          <cell r="P2854">
            <v>3.7007372262773723E-2</v>
          </cell>
        </row>
        <row r="2855">
          <cell r="A2855" t="str">
            <v>BPB-001-203KRR3-01</v>
          </cell>
          <cell r="G2855" t="str">
            <v xml:space="preserve">CR   </v>
          </cell>
          <cell r="L2855">
            <v>44833.530902777777</v>
          </cell>
          <cell r="M2855">
            <v>153</v>
          </cell>
          <cell r="P2855">
            <v>0.10199999999999999</v>
          </cell>
        </row>
        <row r="2856">
          <cell r="A2856" t="str">
            <v>BPB-001-205PP9-01</v>
          </cell>
          <cell r="G2856" t="str">
            <v>IDESP</v>
          </cell>
          <cell r="L2856">
            <v>45051</v>
          </cell>
          <cell r="M2856">
            <v>233</v>
          </cell>
          <cell r="P2856">
            <v>0.82420000000000004</v>
          </cell>
        </row>
        <row r="2857">
          <cell r="A2857" t="str">
            <v>BPB-001-6203-D</v>
          </cell>
          <cell r="G2857" t="str">
            <v>IDESP</v>
          </cell>
          <cell r="L2857">
            <v>40605</v>
          </cell>
          <cell r="M2857">
            <v>4.0599999999999996</v>
          </cell>
          <cell r="P2857">
            <v>0.13420000000000001</v>
          </cell>
        </row>
        <row r="2858">
          <cell r="A2858" t="str">
            <v>BPB-001-6205-D</v>
          </cell>
          <cell r="G2858" t="str">
            <v xml:space="preserve">CR   </v>
          </cell>
          <cell r="L2858">
            <v>40428.376423611109</v>
          </cell>
          <cell r="M2858">
            <v>3.97</v>
          </cell>
          <cell r="P2858">
            <v>0.23100000000000001</v>
          </cell>
        </row>
        <row r="2859">
          <cell r="A2859" t="str">
            <v>BPB-001-6207-D</v>
          </cell>
          <cell r="G2859" t="str">
            <v>IDESP</v>
          </cell>
          <cell r="L2859">
            <v>45839</v>
          </cell>
          <cell r="M2859">
            <v>1215</v>
          </cell>
          <cell r="P2859">
            <v>0.50229999999999997</v>
          </cell>
        </row>
        <row r="2860">
          <cell r="A2860" t="str">
            <v>BPB-001-BP-13006-01</v>
          </cell>
          <cell r="G2860" t="str">
            <v>VPRet</v>
          </cell>
          <cell r="L2860">
            <v>42283</v>
          </cell>
          <cell r="M2860">
            <v>9.5</v>
          </cell>
          <cell r="P2860">
            <v>20.22</v>
          </cell>
        </row>
        <row r="2861">
          <cell r="A2861" t="str">
            <v>BPB-001-BP-13006-A1</v>
          </cell>
          <cell r="G2861" t="str">
            <v>IPFAP</v>
          </cell>
          <cell r="L2861">
            <v>41859</v>
          </cell>
          <cell r="M2861">
            <v>8.27</v>
          </cell>
          <cell r="P2861">
            <v>18.137847642079809</v>
          </cell>
        </row>
        <row r="2862">
          <cell r="A2862" t="str">
            <v>BPB-001-BP-13006-B1</v>
          </cell>
          <cell r="G2862" t="str">
            <v>IDESP</v>
          </cell>
          <cell r="L2862">
            <v>42276</v>
          </cell>
          <cell r="M2862">
            <v>9.4499999999999993</v>
          </cell>
          <cell r="P2862">
            <v>20.22</v>
          </cell>
        </row>
        <row r="2863">
          <cell r="A2863" t="str">
            <v>BPB-001-BP-13007-01</v>
          </cell>
          <cell r="G2863" t="str">
            <v>VPRet</v>
          </cell>
          <cell r="L2863">
            <v>42290</v>
          </cell>
          <cell r="M2863">
            <v>9.52</v>
          </cell>
          <cell r="P2863">
            <v>19.860000000000003</v>
          </cell>
        </row>
        <row r="2864">
          <cell r="A2864" t="str">
            <v>BPB-001-BP-13007-A1</v>
          </cell>
          <cell r="G2864" t="str">
            <v>IPFAP</v>
          </cell>
          <cell r="L2864">
            <v>41859</v>
          </cell>
          <cell r="M2864">
            <v>8.27</v>
          </cell>
          <cell r="P2864">
            <v>14.993954050785975</v>
          </cell>
        </row>
        <row r="2865">
          <cell r="A2865" t="str">
            <v>BPB-001-BP-13007-B1</v>
          </cell>
          <cell r="G2865" t="str">
            <v xml:space="preserve">CR   </v>
          </cell>
          <cell r="L2865">
            <v>44824.549375000002</v>
          </cell>
          <cell r="M2865">
            <v>150</v>
          </cell>
          <cell r="P2865">
            <v>0.5</v>
          </cell>
        </row>
        <row r="2866">
          <cell r="A2866" t="str">
            <v>BPB-001-BP-13008-B1</v>
          </cell>
          <cell r="G2866" t="str">
            <v xml:space="preserve">CR   </v>
          </cell>
          <cell r="L2866">
            <v>44756.667893518519</v>
          </cell>
          <cell r="M2866">
            <v>135</v>
          </cell>
          <cell r="P2866">
            <v>0.5</v>
          </cell>
        </row>
        <row r="2867">
          <cell r="A2867" t="str">
            <v>BPB-001-BP-13009-A1</v>
          </cell>
          <cell r="G2867" t="str">
            <v>VPRet</v>
          </cell>
          <cell r="L2867">
            <v>41976</v>
          </cell>
          <cell r="M2867">
            <v>8.5500000000000007</v>
          </cell>
          <cell r="P2867">
            <v>0.99904093567251462</v>
          </cell>
        </row>
        <row r="2868">
          <cell r="A2868" t="str">
            <v>BPB-001-BP-13009-B1</v>
          </cell>
          <cell r="G2868" t="str">
            <v xml:space="preserve">CR   </v>
          </cell>
          <cell r="L2868">
            <v>44756.667893518519</v>
          </cell>
          <cell r="M2868">
            <v>135</v>
          </cell>
          <cell r="P2868">
            <v>0.5</v>
          </cell>
        </row>
        <row r="2869">
          <cell r="A2869" t="str">
            <v>BPB-001-BP-18013-01</v>
          </cell>
          <cell r="G2869" t="str">
            <v>vpret</v>
          </cell>
          <cell r="L2869">
            <v>43705</v>
          </cell>
          <cell r="M2869">
            <v>58</v>
          </cell>
          <cell r="P2869">
            <v>5.1199999999999992</v>
          </cell>
        </row>
        <row r="2870">
          <cell r="A2870" t="str">
            <v>BPB-001-CF204-01-B</v>
          </cell>
          <cell r="G2870" t="str">
            <v>IPFAP</v>
          </cell>
          <cell r="L2870">
            <v>43990</v>
          </cell>
          <cell r="M2870">
            <v>70.75</v>
          </cell>
          <cell r="P2870">
            <v>1.9787985865724382</v>
          </cell>
        </row>
        <row r="2871">
          <cell r="A2871" t="str">
            <v>BPB-001-CF5202-01-A</v>
          </cell>
          <cell r="G2871" t="str">
            <v>IPFAP</v>
          </cell>
          <cell r="L2871">
            <v>43990</v>
          </cell>
          <cell r="M2871">
            <v>70.75</v>
          </cell>
          <cell r="P2871">
            <v>0.33780918727915193</v>
          </cell>
        </row>
        <row r="2872">
          <cell r="A2872" t="str">
            <v>BPB-001-LS06-D</v>
          </cell>
          <cell r="G2872" t="str">
            <v>IDESP</v>
          </cell>
          <cell r="L2872">
            <v>41360</v>
          </cell>
          <cell r="M2872">
            <v>5.12</v>
          </cell>
          <cell r="P2872">
            <v>0.27500000000000002</v>
          </cell>
        </row>
        <row r="2873">
          <cell r="A2873" t="str">
            <v>BPB-001-LS07-D</v>
          </cell>
          <cell r="G2873" t="str">
            <v>IDESP</v>
          </cell>
          <cell r="L2873">
            <v>44630</v>
          </cell>
          <cell r="M2873">
            <v>114</v>
          </cell>
          <cell r="P2873">
            <v>0.43</v>
          </cell>
        </row>
        <row r="2874">
          <cell r="A2874" t="str">
            <v>BPB-001-MG5306-01</v>
          </cell>
          <cell r="G2874" t="str">
            <v>vpret</v>
          </cell>
          <cell r="L2874">
            <v>45953</v>
          </cell>
          <cell r="M2874">
            <v>1515</v>
          </cell>
          <cell r="P2874">
            <v>0.45544554455445546</v>
          </cell>
        </row>
        <row r="2875">
          <cell r="A2875" t="str">
            <v>BPB-001-MS07-D</v>
          </cell>
          <cell r="G2875" t="str">
            <v>IDESP</v>
          </cell>
          <cell r="L2875">
            <v>43200</v>
          </cell>
          <cell r="M2875">
            <v>20.5</v>
          </cell>
          <cell r="P2875">
            <v>0.376</v>
          </cell>
        </row>
        <row r="2876">
          <cell r="A2876" t="str">
            <v>BPB-001-NTB1613-01</v>
          </cell>
          <cell r="G2876" t="str">
            <v>vpret</v>
          </cell>
          <cell r="L2876">
            <v>43542</v>
          </cell>
          <cell r="M2876">
            <v>41</v>
          </cell>
          <cell r="P2876">
            <v>1.0780000000000001</v>
          </cell>
        </row>
        <row r="2877">
          <cell r="A2877" t="str">
            <v>BPB-001-OR-6207-D</v>
          </cell>
          <cell r="G2877" t="str">
            <v>IDESP</v>
          </cell>
          <cell r="L2877">
            <v>45163</v>
          </cell>
          <cell r="M2877">
            <v>365.5</v>
          </cell>
          <cell r="P2877">
            <v>0.44</v>
          </cell>
        </row>
        <row r="2878">
          <cell r="A2878" t="str">
            <v>BPB-001-UC-205-25mm</v>
          </cell>
          <cell r="G2878" t="str">
            <v>IDESP</v>
          </cell>
          <cell r="L2878">
            <v>42598</v>
          </cell>
          <cell r="M2878">
            <v>15.04</v>
          </cell>
          <cell r="P2878">
            <v>0.69299999999999995</v>
          </cell>
        </row>
        <row r="2879">
          <cell r="A2879" t="str">
            <v>BPB-002-203KRR3-02</v>
          </cell>
          <cell r="G2879" t="str">
            <v xml:space="preserve">CR   </v>
          </cell>
          <cell r="L2879">
            <v>44442.612881944442</v>
          </cell>
          <cell r="M2879">
            <v>103</v>
          </cell>
          <cell r="P2879">
            <v>0.108</v>
          </cell>
        </row>
        <row r="2880">
          <cell r="A2880" t="str">
            <v>BPB-002-205PP9-02</v>
          </cell>
          <cell r="G2880" t="str">
            <v>IDESP</v>
          </cell>
          <cell r="L2880">
            <v>45051</v>
          </cell>
          <cell r="M2880">
            <v>233</v>
          </cell>
          <cell r="P2880">
            <v>0.71579999999999999</v>
          </cell>
        </row>
        <row r="2881">
          <cell r="A2881" t="str">
            <v>BPB-002-6203-D</v>
          </cell>
          <cell r="G2881" t="str">
            <v>IDESP</v>
          </cell>
          <cell r="L2881">
            <v>40457</v>
          </cell>
          <cell r="M2881">
            <v>3.98</v>
          </cell>
          <cell r="P2881">
            <v>0.1074</v>
          </cell>
        </row>
        <row r="2882">
          <cell r="A2882" t="str">
            <v>BPB-002-6205-D</v>
          </cell>
          <cell r="G2882" t="str">
            <v xml:space="preserve">CR   </v>
          </cell>
          <cell r="L2882">
            <v>40428.376423611109</v>
          </cell>
          <cell r="M2882">
            <v>3.97</v>
          </cell>
          <cell r="P2882">
            <v>0.19800000000000001</v>
          </cell>
        </row>
        <row r="2883">
          <cell r="A2883" t="str">
            <v>BPB-002-BP-13006-02</v>
          </cell>
          <cell r="G2883" t="str">
            <v>VPRet</v>
          </cell>
          <cell r="L2883">
            <v>42283</v>
          </cell>
          <cell r="M2883">
            <v>9.5</v>
          </cell>
          <cell r="P2883">
            <v>19.079999999999998</v>
          </cell>
        </row>
        <row r="2884">
          <cell r="A2884" t="str">
            <v>BPB-002-BP-13006-A2</v>
          </cell>
          <cell r="G2884" t="str">
            <v>IPFAP</v>
          </cell>
          <cell r="L2884">
            <v>41859</v>
          </cell>
          <cell r="M2884">
            <v>8.27</v>
          </cell>
          <cell r="P2884">
            <v>5.3204353083434102</v>
          </cell>
        </row>
        <row r="2885">
          <cell r="A2885" t="str">
            <v>BPB-002-BP-13006-B2</v>
          </cell>
          <cell r="G2885" t="str">
            <v>IDESP</v>
          </cell>
          <cell r="L2885">
            <v>42276</v>
          </cell>
          <cell r="M2885">
            <v>9.4499999999999993</v>
          </cell>
          <cell r="P2885">
            <v>19.079999999999998</v>
          </cell>
        </row>
        <row r="2886">
          <cell r="A2886" t="str">
            <v>BPB-002-BP-13007-02</v>
          </cell>
          <cell r="G2886" t="str">
            <v>VPRet</v>
          </cell>
          <cell r="L2886">
            <v>42290</v>
          </cell>
          <cell r="M2886">
            <v>9.52</v>
          </cell>
          <cell r="P2886">
            <v>17.16</v>
          </cell>
        </row>
        <row r="2887">
          <cell r="A2887" t="str">
            <v>BPB-002-BP-13007-A2</v>
          </cell>
          <cell r="G2887" t="str">
            <v>IPFAP</v>
          </cell>
          <cell r="L2887">
            <v>41859</v>
          </cell>
          <cell r="M2887">
            <v>8.27</v>
          </cell>
          <cell r="P2887">
            <v>4.474002418379686</v>
          </cell>
        </row>
        <row r="2888">
          <cell r="A2888" t="str">
            <v>BPB-002-BP-13007-B2</v>
          </cell>
          <cell r="G2888" t="str">
            <v xml:space="preserve">CR   </v>
          </cell>
          <cell r="L2888">
            <v>44824.549375000002</v>
          </cell>
          <cell r="M2888">
            <v>150</v>
          </cell>
          <cell r="P2888">
            <v>0.5</v>
          </cell>
        </row>
        <row r="2889">
          <cell r="A2889" t="str">
            <v>BPB-002-BP-13008-02</v>
          </cell>
          <cell r="G2889" t="str">
            <v xml:space="preserve">CR   </v>
          </cell>
          <cell r="L2889">
            <v>43126.701226851852</v>
          </cell>
          <cell r="M2889">
            <v>19.86</v>
          </cell>
          <cell r="P2889">
            <v>2.0230110775427996</v>
          </cell>
        </row>
        <row r="2890">
          <cell r="A2890" t="str">
            <v>BPB-002-BP-13008-B2</v>
          </cell>
          <cell r="G2890" t="str">
            <v xml:space="preserve">CR   </v>
          </cell>
          <cell r="L2890">
            <v>44756.667893518519</v>
          </cell>
          <cell r="M2890">
            <v>135</v>
          </cell>
          <cell r="P2890">
            <v>0.5</v>
          </cell>
        </row>
        <row r="2891">
          <cell r="A2891" t="str">
            <v>BPB-002-BP-13009-B2</v>
          </cell>
          <cell r="G2891" t="str">
            <v xml:space="preserve">CR   </v>
          </cell>
          <cell r="L2891">
            <v>44756.667893518519</v>
          </cell>
          <cell r="M2891">
            <v>135</v>
          </cell>
          <cell r="P2891">
            <v>0.5</v>
          </cell>
        </row>
        <row r="2892">
          <cell r="A2892" t="str">
            <v>BPB-002-BP-14001-102</v>
          </cell>
          <cell r="G2892" t="str">
            <v>InRet</v>
          </cell>
          <cell r="L2892">
            <v>41705</v>
          </cell>
          <cell r="M2892">
            <v>7.9</v>
          </cell>
          <cell r="P2892">
            <v>0.62111392405063282</v>
          </cell>
        </row>
        <row r="2893">
          <cell r="A2893" t="str">
            <v>BPB-002-BP-18013-02</v>
          </cell>
          <cell r="G2893" t="str">
            <v>vpret</v>
          </cell>
          <cell r="L2893">
            <v>43493</v>
          </cell>
          <cell r="M2893">
            <v>38</v>
          </cell>
          <cell r="P2893">
            <v>0.4531078947368421</v>
          </cell>
        </row>
        <row r="2894">
          <cell r="A2894" t="str">
            <v>BPB-002-BP-18013-A2</v>
          </cell>
          <cell r="G2894" t="str">
            <v>vpret</v>
          </cell>
          <cell r="L2894">
            <v>43690</v>
          </cell>
          <cell r="M2894">
            <v>55</v>
          </cell>
          <cell r="P2894">
            <v>3.15</v>
          </cell>
        </row>
        <row r="2895">
          <cell r="A2895" t="str">
            <v>BPB-002-BP-18013-B2</v>
          </cell>
          <cell r="G2895" t="str">
            <v>InRet</v>
          </cell>
          <cell r="L2895">
            <v>43482</v>
          </cell>
          <cell r="M2895">
            <v>38.4</v>
          </cell>
          <cell r="P2895">
            <v>0.44838802083333335</v>
          </cell>
        </row>
        <row r="2896">
          <cell r="A2896" t="str">
            <v>BPB-002-CF204-02-B</v>
          </cell>
          <cell r="G2896" t="str">
            <v>IPFAP</v>
          </cell>
          <cell r="L2896">
            <v>43990</v>
          </cell>
          <cell r="M2896">
            <v>70.75</v>
          </cell>
          <cell r="P2896">
            <v>5.1901060070671372</v>
          </cell>
        </row>
        <row r="2897">
          <cell r="A2897" t="str">
            <v>BPB-002-CF5202-02-B</v>
          </cell>
          <cell r="G2897" t="str">
            <v>IPFAP</v>
          </cell>
          <cell r="L2897">
            <v>43990</v>
          </cell>
          <cell r="M2897">
            <v>70.75</v>
          </cell>
          <cell r="P2897">
            <v>0.33795053003533571</v>
          </cell>
        </row>
        <row r="2898">
          <cell r="A2898" t="str">
            <v>BPB-002-G-210-KPPB2</v>
          </cell>
          <cell r="G2898" t="str">
            <v>IDESP</v>
          </cell>
          <cell r="L2898">
            <v>43985</v>
          </cell>
          <cell r="M2898">
            <v>70.5</v>
          </cell>
          <cell r="P2898">
            <v>6.54</v>
          </cell>
        </row>
        <row r="2899">
          <cell r="A2899" t="str">
            <v>BPB-002-IR-6207-D</v>
          </cell>
          <cell r="G2899" t="str">
            <v>IDESP</v>
          </cell>
          <cell r="L2899">
            <v>40318</v>
          </cell>
          <cell r="M2899">
            <v>3.93</v>
          </cell>
          <cell r="P2899">
            <v>0.25</v>
          </cell>
        </row>
        <row r="2900">
          <cell r="A2900" t="str">
            <v>BPB-002-LS06-D</v>
          </cell>
          <cell r="G2900" t="str">
            <v>IDESP</v>
          </cell>
          <cell r="L2900">
            <v>41360</v>
          </cell>
          <cell r="M2900">
            <v>5.12</v>
          </cell>
          <cell r="P2900">
            <v>0.23799999999999999</v>
          </cell>
        </row>
        <row r="2901">
          <cell r="A2901" t="str">
            <v>BPB-002-LS07-D</v>
          </cell>
          <cell r="G2901" t="str">
            <v>IDESP</v>
          </cell>
          <cell r="L2901">
            <v>44630</v>
          </cell>
          <cell r="M2901">
            <v>114</v>
          </cell>
          <cell r="P2901">
            <v>0.74</v>
          </cell>
        </row>
        <row r="2902">
          <cell r="A2902" t="str">
            <v>BPB-002-MG206-02</v>
          </cell>
          <cell r="G2902" t="str">
            <v>IDESP</v>
          </cell>
          <cell r="L2902">
            <v>42555</v>
          </cell>
          <cell r="M2902">
            <v>15.34</v>
          </cell>
          <cell r="P2902">
            <v>1.276</v>
          </cell>
        </row>
        <row r="2903">
          <cell r="A2903" t="str">
            <v>BPB-002-MG5306-02</v>
          </cell>
          <cell r="G2903" t="str">
            <v>vpret</v>
          </cell>
          <cell r="L2903">
            <v>45953</v>
          </cell>
          <cell r="M2903">
            <v>1515</v>
          </cell>
          <cell r="P2903">
            <v>0.45544554455445546</v>
          </cell>
        </row>
        <row r="2904">
          <cell r="A2904" t="str">
            <v>BPB-002-MS07-D</v>
          </cell>
          <cell r="G2904" t="str">
            <v>IDESP</v>
          </cell>
          <cell r="L2904">
            <v>43200</v>
          </cell>
          <cell r="M2904">
            <v>20.5</v>
          </cell>
          <cell r="P2904">
            <v>0.376</v>
          </cell>
        </row>
        <row r="2905">
          <cell r="A2905" t="str">
            <v>BPB-002-NTB1613-02</v>
          </cell>
          <cell r="G2905" t="str">
            <v>InRet</v>
          </cell>
          <cell r="L2905">
            <v>43509</v>
          </cell>
          <cell r="M2905">
            <v>38.9</v>
          </cell>
          <cell r="P2905">
            <v>0.86370437017994872</v>
          </cell>
        </row>
        <row r="2906">
          <cell r="A2906" t="str">
            <v>BPB-002-NTB1613-A2</v>
          </cell>
          <cell r="G2906" t="str">
            <v>vpret</v>
          </cell>
          <cell r="L2906">
            <v>43504</v>
          </cell>
          <cell r="M2906">
            <v>38.700000000000003</v>
          </cell>
          <cell r="P2906">
            <v>0.84754521963824281</v>
          </cell>
        </row>
        <row r="2907">
          <cell r="A2907" t="str">
            <v>BPB-003-19/32-G10</v>
          </cell>
          <cell r="G2907" t="str">
            <v xml:space="preserve">INAC </v>
          </cell>
          <cell r="L2907">
            <v>45664</v>
          </cell>
          <cell r="M2907">
            <v>1055</v>
          </cell>
          <cell r="P2907">
            <v>0.04</v>
          </cell>
        </row>
        <row r="2908">
          <cell r="A2908" t="str">
            <v>BPB-003-BALL-1/4</v>
          </cell>
          <cell r="G2908" t="str">
            <v>IDESP</v>
          </cell>
          <cell r="L2908">
            <v>45979</v>
          </cell>
          <cell r="M2908">
            <v>1415</v>
          </cell>
          <cell r="P2908">
            <v>7.4000000000000003E-3</v>
          </cell>
        </row>
        <row r="2909">
          <cell r="A2909" t="str">
            <v>BPB-003-BALL-11/32</v>
          </cell>
          <cell r="G2909" t="str">
            <v>IDESP</v>
          </cell>
          <cell r="L2909">
            <v>45112</v>
          </cell>
          <cell r="M2909">
            <v>270.5</v>
          </cell>
          <cell r="P2909">
            <v>3.0000000000000001E-3</v>
          </cell>
        </row>
        <row r="2910">
          <cell r="A2910" t="str">
            <v>BPB-003-BALL-15/32</v>
          </cell>
          <cell r="G2910" t="str">
            <v>IDESP</v>
          </cell>
          <cell r="L2910">
            <v>44641</v>
          </cell>
          <cell r="M2910">
            <v>114.75</v>
          </cell>
          <cell r="P2910">
            <v>0.01</v>
          </cell>
        </row>
        <row r="2911">
          <cell r="A2911" t="str">
            <v>BPB-003-BALLS-1/2</v>
          </cell>
          <cell r="G2911" t="str">
            <v xml:space="preserve">INSI </v>
          </cell>
          <cell r="L2911">
            <v>41334</v>
          </cell>
          <cell r="M2911">
            <v>5.05</v>
          </cell>
          <cell r="P2911">
            <v>4.7500000000000001E-2</v>
          </cell>
        </row>
        <row r="2912">
          <cell r="A2912" t="str">
            <v>BPB-003-BALLS-3/8</v>
          </cell>
          <cell r="G2912" t="str">
            <v>IDESP</v>
          </cell>
          <cell r="L2912">
            <v>40464</v>
          </cell>
          <cell r="M2912">
            <v>3.98</v>
          </cell>
          <cell r="P2912">
            <v>1.6400000000000001E-2</v>
          </cell>
        </row>
        <row r="2913">
          <cell r="A2913" t="str">
            <v>BPB-003-BALLS-5/16</v>
          </cell>
          <cell r="G2913" t="str">
            <v>IDESP</v>
          </cell>
          <cell r="L2913">
            <v>42555</v>
          </cell>
          <cell r="M2913">
            <v>15.34</v>
          </cell>
          <cell r="P2913">
            <v>1.0999999999999999E-2</v>
          </cell>
        </row>
        <row r="2914">
          <cell r="A2914" t="str">
            <v>BPB-003-Balls-5/16S2</v>
          </cell>
          <cell r="G2914" t="str">
            <v>IDESP</v>
          </cell>
          <cell r="L2914">
            <v>45352</v>
          </cell>
          <cell r="M2914">
            <v>861</v>
          </cell>
          <cell r="P2914">
            <v>0.127</v>
          </cell>
        </row>
        <row r="2915">
          <cell r="A2915" t="str">
            <v>BPB-003-BALLS-5/32</v>
          </cell>
          <cell r="G2915" t="str">
            <v>IDESP</v>
          </cell>
          <cell r="L2915">
            <v>45839</v>
          </cell>
          <cell r="M2915">
            <v>1215</v>
          </cell>
          <cell r="P2915">
            <v>8.9999999999999998E-4</v>
          </cell>
        </row>
        <row r="2916">
          <cell r="A2916" t="str">
            <v>BPB-003-BALLS-7/16</v>
          </cell>
          <cell r="G2916" t="str">
            <v>IDESP</v>
          </cell>
          <cell r="L2916">
            <v>45839</v>
          </cell>
          <cell r="M2916">
            <v>1215</v>
          </cell>
          <cell r="P2916">
            <v>2.2100000000000002E-2</v>
          </cell>
        </row>
        <row r="2917">
          <cell r="A2917" t="str">
            <v>BPB-003-BALLS-7/8</v>
          </cell>
          <cell r="G2917" t="str">
            <v xml:space="preserve">INSI </v>
          </cell>
          <cell r="L2917">
            <v>40732</v>
          </cell>
          <cell r="M2917">
            <v>4.1500000000000004</v>
          </cell>
          <cell r="P2917">
            <v>0.24099999999999999</v>
          </cell>
        </row>
        <row r="2918">
          <cell r="A2918" t="str">
            <v>BPB-003-BALLS-9/32</v>
          </cell>
          <cell r="G2918" t="str">
            <v xml:space="preserve">INAC </v>
          </cell>
          <cell r="L2918">
            <v>42576</v>
          </cell>
          <cell r="M2918">
            <v>15.18</v>
          </cell>
          <cell r="P2918">
            <v>1.1857707509881422E-2</v>
          </cell>
        </row>
        <row r="2919">
          <cell r="A2919" t="str">
            <v>BPB-003-DTR-1742-03</v>
          </cell>
          <cell r="G2919" t="str">
            <v>INCOU</v>
          </cell>
          <cell r="L2919">
            <v>42058</v>
          </cell>
          <cell r="M2919">
            <v>8.73</v>
          </cell>
          <cell r="P2919">
            <v>1.9E-2</v>
          </cell>
        </row>
        <row r="2920">
          <cell r="A2920" t="str">
            <v>BPB-004-HD06-2RST-08</v>
          </cell>
          <cell r="G2920" t="str">
            <v>IDESP</v>
          </cell>
          <cell r="L2920">
            <v>44406</v>
          </cell>
          <cell r="M2920">
            <v>101.75</v>
          </cell>
          <cell r="P2920">
            <v>8.2400000000000001E-2</v>
          </cell>
        </row>
        <row r="2921">
          <cell r="A2921" t="str">
            <v>BPB-004-MG5306-08</v>
          </cell>
          <cell r="G2921" t="str">
            <v>IDESP</v>
          </cell>
          <cell r="L2921">
            <v>42731</v>
          </cell>
          <cell r="M2921">
            <v>15.95</v>
          </cell>
          <cell r="P2921">
            <v>0.154</v>
          </cell>
        </row>
        <row r="2922">
          <cell r="A2922" t="str">
            <v>BPB-004-MG5306-18</v>
          </cell>
          <cell r="G2922" t="str">
            <v xml:space="preserve">INAC </v>
          </cell>
          <cell r="L2922">
            <v>45947</v>
          </cell>
          <cell r="M2922">
            <v>1425</v>
          </cell>
          <cell r="P2922">
            <v>0.12020133333333334</v>
          </cell>
        </row>
        <row r="2923">
          <cell r="A2923" t="str">
            <v>BPB-004-MS00RS-BLUE</v>
          </cell>
          <cell r="G2923" t="str">
            <v>IDESP</v>
          </cell>
          <cell r="L2923">
            <v>45628</v>
          </cell>
          <cell r="M2923">
            <v>1031</v>
          </cell>
          <cell r="P2923">
            <v>9.2999999999999992E-3</v>
          </cell>
        </row>
        <row r="2924">
          <cell r="A2924" t="str">
            <v>BPB-004-MS01RS-BLUE</v>
          </cell>
          <cell r="G2924" t="str">
            <v>IDESP</v>
          </cell>
          <cell r="L2924">
            <v>45509</v>
          </cell>
          <cell r="M2924">
            <v>953.5</v>
          </cell>
          <cell r="P2924">
            <v>9.1000000000000004E-3</v>
          </cell>
        </row>
        <row r="2925">
          <cell r="A2925" t="str">
            <v>BPB-004-MS03RS-BLUE</v>
          </cell>
          <cell r="G2925" t="str">
            <v>IDESP</v>
          </cell>
          <cell r="L2925">
            <v>45007</v>
          </cell>
          <cell r="M2925">
            <v>211.75</v>
          </cell>
          <cell r="P2925">
            <v>2.7E-2</v>
          </cell>
        </row>
        <row r="2926">
          <cell r="A2926" t="str">
            <v>BPB-004-MS04-RSTW-08</v>
          </cell>
          <cell r="G2926" t="str">
            <v>IDESP</v>
          </cell>
          <cell r="L2926">
            <v>43326</v>
          </cell>
          <cell r="M2926">
            <v>30.5</v>
          </cell>
          <cell r="P2926">
            <v>0.09</v>
          </cell>
        </row>
        <row r="2927">
          <cell r="A2927" t="str">
            <v>BPB-004-MS04RS-BLUE</v>
          </cell>
          <cell r="G2927" t="str">
            <v>IDESP</v>
          </cell>
          <cell r="L2927">
            <v>45007</v>
          </cell>
          <cell r="M2927">
            <v>211.75</v>
          </cell>
          <cell r="P2927">
            <v>3.6999999999999998E-2</v>
          </cell>
        </row>
        <row r="2928">
          <cell r="A2928" t="str">
            <v>BPB-004-MS05RS-BLUE</v>
          </cell>
          <cell r="G2928" t="str">
            <v>IDESP</v>
          </cell>
          <cell r="L2928">
            <v>45554</v>
          </cell>
          <cell r="M2928">
            <v>982</v>
          </cell>
          <cell r="P2928">
            <v>2.0899999999999998E-2</v>
          </cell>
        </row>
        <row r="2929">
          <cell r="A2929" t="str">
            <v>BPB-004-MS06RS-BLUE</v>
          </cell>
          <cell r="G2929" t="str">
            <v>IDESP</v>
          </cell>
          <cell r="L2929">
            <v>45554</v>
          </cell>
          <cell r="M2929">
            <v>982</v>
          </cell>
          <cell r="P2929">
            <v>3.1600000000000003E-2</v>
          </cell>
        </row>
        <row r="2930">
          <cell r="A2930" t="str">
            <v>BPB-004-MS07RS-BLUE</v>
          </cell>
          <cell r="G2930" t="str">
            <v>IDESP</v>
          </cell>
          <cell r="L2930">
            <v>45124</v>
          </cell>
          <cell r="M2930">
            <v>277</v>
          </cell>
          <cell r="P2930">
            <v>0.1</v>
          </cell>
        </row>
        <row r="2931">
          <cell r="A2931" t="str">
            <v>BPB-004-RLD-6303-RED</v>
          </cell>
          <cell r="G2931" t="str">
            <v xml:space="preserve">INAC </v>
          </cell>
          <cell r="L2931">
            <v>41757</v>
          </cell>
          <cell r="M2931">
            <v>8.0500000000000007</v>
          </cell>
          <cell r="P2931">
            <v>5.9627329192546576E-2</v>
          </cell>
        </row>
        <row r="2932">
          <cell r="A2932" t="str">
            <v>BPB-004-RLD-6304-RED</v>
          </cell>
          <cell r="G2932" t="str">
            <v xml:space="preserve">INAC </v>
          </cell>
          <cell r="L2932">
            <v>41549</v>
          </cell>
          <cell r="M2932">
            <v>5.8</v>
          </cell>
          <cell r="P2932">
            <v>7.0000000000000007E-2</v>
          </cell>
        </row>
        <row r="2933">
          <cell r="A2933" t="str">
            <v>BPB-004-RX-84-RST-08</v>
          </cell>
          <cell r="G2933" t="str">
            <v>INCOU</v>
          </cell>
          <cell r="L2933">
            <v>42832</v>
          </cell>
          <cell r="M2933">
            <v>15.7</v>
          </cell>
          <cell r="P2933">
            <v>1E-4</v>
          </cell>
        </row>
        <row r="2934">
          <cell r="A2934" t="str">
            <v>BPB-005-6308-RET/SET</v>
          </cell>
          <cell r="G2934" t="str">
            <v>IDESP</v>
          </cell>
          <cell r="L2934">
            <v>40724</v>
          </cell>
          <cell r="M2934">
            <v>4.1399999999999997</v>
          </cell>
          <cell r="P2934">
            <v>0.14499999999999999</v>
          </cell>
        </row>
        <row r="2935">
          <cell r="A2935" t="str">
            <v>BPB-005-CAGE-6006</v>
          </cell>
          <cell r="G2935" t="str">
            <v>IDESP</v>
          </cell>
          <cell r="L2935">
            <v>40354</v>
          </cell>
          <cell r="M2935">
            <v>3.95</v>
          </cell>
          <cell r="P2935">
            <v>0.02</v>
          </cell>
        </row>
        <row r="2936">
          <cell r="A2936" t="str">
            <v>BPB-005-DTR-1742-05</v>
          </cell>
          <cell r="G2936" t="str">
            <v>INCOU</v>
          </cell>
          <cell r="L2936">
            <v>42058</v>
          </cell>
          <cell r="M2936">
            <v>8.73</v>
          </cell>
          <cell r="P2936">
            <v>9.4E-2</v>
          </cell>
        </row>
        <row r="2937">
          <cell r="A2937" t="str">
            <v>BPB-005-MG5306-17</v>
          </cell>
          <cell r="G2937" t="str">
            <v>IDESP</v>
          </cell>
          <cell r="L2937">
            <v>42731</v>
          </cell>
          <cell r="M2937">
            <v>15.95</v>
          </cell>
          <cell r="P2937">
            <v>0.11</v>
          </cell>
        </row>
        <row r="2938">
          <cell r="A2938" t="str">
            <v>BPB-005-RET/SET-6204</v>
          </cell>
          <cell r="G2938" t="str">
            <v>IDESP</v>
          </cell>
          <cell r="L2938">
            <v>40464</v>
          </cell>
          <cell r="M2938">
            <v>3.98</v>
          </cell>
          <cell r="P2938">
            <v>2.7E-2</v>
          </cell>
        </row>
        <row r="2939">
          <cell r="A2939" t="str">
            <v>BPB-005-RET/SET-6206</v>
          </cell>
          <cell r="G2939" t="str">
            <v>IDESP</v>
          </cell>
          <cell r="L2939">
            <v>40464</v>
          </cell>
          <cell r="M2939">
            <v>3.98</v>
          </cell>
          <cell r="P2939">
            <v>3.7999999999999999E-2</v>
          </cell>
        </row>
        <row r="2940">
          <cell r="A2940" t="str">
            <v>BPB-005-RET/SET-6207</v>
          </cell>
          <cell r="G2940" t="str">
            <v>IDESP</v>
          </cell>
          <cell r="L2940">
            <v>40464</v>
          </cell>
          <cell r="M2940">
            <v>3.98</v>
          </cell>
          <cell r="P2940">
            <v>4.2000000000000003E-2</v>
          </cell>
        </row>
        <row r="2941">
          <cell r="A2941" t="str">
            <v>BPB-005-RET/SET-LS06</v>
          </cell>
          <cell r="G2941" t="str">
            <v>IDESP</v>
          </cell>
          <cell r="L2941">
            <v>41360</v>
          </cell>
          <cell r="M2941">
            <v>5.12</v>
          </cell>
          <cell r="P2941">
            <v>3.5000000000000003E-2</v>
          </cell>
        </row>
        <row r="2942">
          <cell r="A2942" t="str">
            <v>BPB-005-RET/SET-LS07</v>
          </cell>
          <cell r="G2942" t="str">
            <v>IDESP</v>
          </cell>
          <cell r="L2942">
            <v>44630</v>
          </cell>
          <cell r="M2942">
            <v>114</v>
          </cell>
          <cell r="P2942">
            <v>0.11</v>
          </cell>
        </row>
        <row r="2943">
          <cell r="A2943" t="str">
            <v>BPB-005-RET/SET-MS07</v>
          </cell>
          <cell r="G2943" t="str">
            <v>IDESP</v>
          </cell>
          <cell r="L2943">
            <v>45839</v>
          </cell>
          <cell r="M2943">
            <v>1215</v>
          </cell>
          <cell r="P2943">
            <v>9.2600000000000002E-2</v>
          </cell>
        </row>
        <row r="2944">
          <cell r="A2944" t="str">
            <v>BPB-027-08-DTR2047</v>
          </cell>
          <cell r="G2944" t="str">
            <v>IDESP</v>
          </cell>
          <cell r="L2944">
            <v>39910</v>
          </cell>
          <cell r="M2944">
            <v>3.6739999999999999</v>
          </cell>
          <cell r="P2944">
            <v>8.5000000000000006E-2</v>
          </cell>
        </row>
        <row r="2945">
          <cell r="A2945" t="str">
            <v>BPB-027-08-DTR2549</v>
          </cell>
          <cell r="G2945" t="str">
            <v>IPFAP</v>
          </cell>
          <cell r="L2945">
            <v>45177</v>
          </cell>
          <cell r="M2945">
            <v>365.5</v>
          </cell>
          <cell r="P2945">
            <v>0.13</v>
          </cell>
        </row>
        <row r="2946">
          <cell r="A2946" t="str">
            <v>BPB-027-08-DTR2552</v>
          </cell>
          <cell r="G2946" t="str">
            <v>IPFAB</v>
          </cell>
          <cell r="L2946">
            <v>43168</v>
          </cell>
          <cell r="M2946">
            <v>20.62</v>
          </cell>
          <cell r="P2946">
            <v>8.3999999999999995E-3</v>
          </cell>
        </row>
        <row r="2947">
          <cell r="A2947" t="str">
            <v>BPB-027-207-RST</v>
          </cell>
          <cell r="G2947" t="str">
            <v>IDESP</v>
          </cell>
          <cell r="L2947">
            <v>42726</v>
          </cell>
          <cell r="M2947">
            <v>16.170000000000002</v>
          </cell>
          <cell r="P2947">
            <v>0.126</v>
          </cell>
        </row>
        <row r="2948">
          <cell r="A2948" t="str">
            <v>BPB-027-208RSHT</v>
          </cell>
          <cell r="G2948" t="str">
            <v>IDESP</v>
          </cell>
          <cell r="L2948">
            <v>39629</v>
          </cell>
          <cell r="M2948">
            <v>3.0259999999999998</v>
          </cell>
          <cell r="P2948">
            <v>0.52700000000000002</v>
          </cell>
        </row>
        <row r="2949">
          <cell r="A2949" t="str">
            <v>BPB-027-210-RST</v>
          </cell>
          <cell r="G2949" t="str">
            <v xml:space="preserve">INSI </v>
          </cell>
          <cell r="L2949" t="str">
            <v>NULL</v>
          </cell>
          <cell r="M2949" t="str">
            <v>conver</v>
          </cell>
          <cell r="P2949">
            <v>0.08</v>
          </cell>
        </row>
        <row r="2950">
          <cell r="A2950" t="str">
            <v>BPB-027-5203KYY2-09</v>
          </cell>
          <cell r="G2950" t="str">
            <v>INCOU</v>
          </cell>
          <cell r="L2950">
            <v>41626</v>
          </cell>
          <cell r="M2950">
            <v>6.33</v>
          </cell>
          <cell r="P2950">
            <v>0.16400000000000001</v>
          </cell>
        </row>
        <row r="2951">
          <cell r="A2951" t="str">
            <v>BPB-027-5206-SEAL</v>
          </cell>
          <cell r="G2951" t="str">
            <v>IDESP</v>
          </cell>
          <cell r="L2951">
            <v>39910</v>
          </cell>
          <cell r="M2951">
            <v>3.6739999999999999</v>
          </cell>
          <cell r="P2951">
            <v>0.1</v>
          </cell>
        </row>
        <row r="2952">
          <cell r="A2952" t="str">
            <v>BPB-027-6005-RST</v>
          </cell>
          <cell r="G2952" t="str">
            <v>IPFAP</v>
          </cell>
          <cell r="L2952">
            <v>41234</v>
          </cell>
          <cell r="M2952">
            <v>4.8099999999999996</v>
          </cell>
          <cell r="P2952">
            <v>0.04</v>
          </cell>
        </row>
        <row r="2953">
          <cell r="A2953" t="str">
            <v>BPB-027-6013-RST</v>
          </cell>
          <cell r="G2953" t="str">
            <v xml:space="preserve">INSI </v>
          </cell>
          <cell r="L2953" t="str">
            <v>NULL</v>
          </cell>
          <cell r="M2953" t="str">
            <v>conver</v>
          </cell>
          <cell r="P2953">
            <v>0.12</v>
          </cell>
        </row>
        <row r="2954">
          <cell r="A2954" t="str">
            <v>BPB-027-6020-2RS</v>
          </cell>
          <cell r="G2954" t="str">
            <v>IDESP</v>
          </cell>
          <cell r="L2954">
            <v>39895</v>
          </cell>
          <cell r="M2954">
            <v>3.657</v>
          </cell>
          <cell r="P2954">
            <v>0.22</v>
          </cell>
        </row>
        <row r="2955">
          <cell r="A2955" t="str">
            <v>BPB-027-BALL-13/32</v>
          </cell>
          <cell r="G2955" t="str">
            <v>IDESP</v>
          </cell>
          <cell r="L2955">
            <v>39498</v>
          </cell>
          <cell r="M2955">
            <v>3.1539999999999999</v>
          </cell>
          <cell r="P2955">
            <v>1.4999999999999999E-2</v>
          </cell>
        </row>
        <row r="2956">
          <cell r="A2956" t="str">
            <v>BPB-027-BP-16003-09</v>
          </cell>
          <cell r="G2956" t="str">
            <v>IDESP</v>
          </cell>
          <cell r="L2956">
            <v>43776</v>
          </cell>
          <cell r="M2956">
            <v>63.5</v>
          </cell>
          <cell r="P2956">
            <v>0.21</v>
          </cell>
        </row>
        <row r="2957">
          <cell r="A2957" t="str">
            <v>BPB-027-DTR-1742-08</v>
          </cell>
          <cell r="G2957" t="str">
            <v>IDESP</v>
          </cell>
          <cell r="L2957">
            <v>43523</v>
          </cell>
          <cell r="M2957">
            <v>39.799999999999997</v>
          </cell>
          <cell r="P2957">
            <v>0.15</v>
          </cell>
        </row>
        <row r="2958">
          <cell r="A2958" t="str">
            <v>BPB-027-DTR-3062-08</v>
          </cell>
          <cell r="G2958" t="str">
            <v>IDESP</v>
          </cell>
          <cell r="L2958">
            <v>45230</v>
          </cell>
          <cell r="M2958">
            <v>365.5</v>
          </cell>
          <cell r="P2958">
            <v>0.246</v>
          </cell>
        </row>
        <row r="2959">
          <cell r="A2959" t="str">
            <v>BPB-027-DTR3572-SEAL</v>
          </cell>
          <cell r="G2959" t="str">
            <v>IDESP</v>
          </cell>
          <cell r="L2959">
            <v>40444</v>
          </cell>
          <cell r="M2959">
            <v>3.97</v>
          </cell>
          <cell r="P2959">
            <v>0.12</v>
          </cell>
        </row>
        <row r="2960">
          <cell r="A2960" t="str">
            <v>BPB-027-DTR4080-SEAL</v>
          </cell>
          <cell r="G2960" t="str">
            <v>IDESP</v>
          </cell>
          <cell r="L2960">
            <v>40294</v>
          </cell>
          <cell r="M2960">
            <v>3.89</v>
          </cell>
          <cell r="P2960">
            <v>0.17499999999999999</v>
          </cell>
        </row>
        <row r="2961">
          <cell r="A2961" t="str">
            <v>BPB-027-G5209KYYB2</v>
          </cell>
          <cell r="G2961" t="str">
            <v xml:space="preserve">INAC </v>
          </cell>
          <cell r="L2961">
            <v>40470</v>
          </cell>
          <cell r="M2961">
            <v>3.98</v>
          </cell>
          <cell r="P2961">
            <v>29.904522613065325</v>
          </cell>
        </row>
        <row r="2962">
          <cell r="A2962" t="str">
            <v>BPB-027-GU-215</v>
          </cell>
          <cell r="G2962" t="str">
            <v>InMuU</v>
          </cell>
          <cell r="L2962">
            <v>40744</v>
          </cell>
          <cell r="M2962">
            <v>4.16</v>
          </cell>
          <cell r="P2962">
            <v>0.66</v>
          </cell>
        </row>
        <row r="2963">
          <cell r="A2963" t="str">
            <v>BPB-027-GU207-1</v>
          </cell>
          <cell r="G2963" t="str">
            <v xml:space="preserve">INAC </v>
          </cell>
          <cell r="L2963">
            <v>45793</v>
          </cell>
          <cell r="M2963">
            <v>1150</v>
          </cell>
          <cell r="P2963">
            <v>1.2173913043478262</v>
          </cell>
        </row>
        <row r="2964">
          <cell r="A2964" t="str">
            <v>BPB-027-GU207-2</v>
          </cell>
          <cell r="G2964" t="str">
            <v xml:space="preserve">INAC </v>
          </cell>
          <cell r="L2964">
            <v>45793</v>
          </cell>
          <cell r="M2964">
            <v>1150</v>
          </cell>
          <cell r="P2964">
            <v>1.2173913043478262</v>
          </cell>
        </row>
        <row r="2965">
          <cell r="A2965" t="str">
            <v>BPB-027-GU207-A1</v>
          </cell>
          <cell r="G2965" t="str">
            <v>vpret</v>
          </cell>
          <cell r="L2965">
            <v>45772</v>
          </cell>
          <cell r="M2965">
            <v>1190</v>
          </cell>
          <cell r="P2965">
            <v>1.3793075630252101</v>
          </cell>
        </row>
        <row r="2966">
          <cell r="A2966" t="str">
            <v>BPB-027-GU207-A2</v>
          </cell>
          <cell r="G2966" t="str">
            <v>vpret</v>
          </cell>
          <cell r="L2966">
            <v>45772</v>
          </cell>
          <cell r="M2966">
            <v>1190</v>
          </cell>
          <cell r="P2966">
            <v>1.3793075630252101</v>
          </cell>
        </row>
        <row r="2967">
          <cell r="A2967" t="str">
            <v>BPB-027-GW208PPB22</v>
          </cell>
          <cell r="G2967" t="str">
            <v>IDESP</v>
          </cell>
          <cell r="L2967">
            <v>39812</v>
          </cell>
          <cell r="M2967">
            <v>3.4449999999999998</v>
          </cell>
          <cell r="P2967">
            <v>0.22</v>
          </cell>
        </row>
        <row r="2968">
          <cell r="A2968" t="str">
            <v>BPB-027-HC209-DBL</v>
          </cell>
          <cell r="G2968" t="str">
            <v xml:space="preserve">CR   </v>
          </cell>
          <cell r="L2968">
            <v>40428.376423611109</v>
          </cell>
          <cell r="M2968">
            <v>3.97</v>
          </cell>
          <cell r="P2968">
            <v>7.6999999999999999E-2</v>
          </cell>
        </row>
        <row r="2969">
          <cell r="A2969" t="str">
            <v>BPB-027-J91-BSEAL</v>
          </cell>
          <cell r="G2969" t="str">
            <v>INCOU</v>
          </cell>
          <cell r="L2969">
            <v>41450</v>
          </cell>
          <cell r="M2969">
            <v>5.36</v>
          </cell>
          <cell r="P2969">
            <v>0.1313</v>
          </cell>
        </row>
        <row r="2970">
          <cell r="A2970" t="str">
            <v>BPB-027-JRME2549SEAL</v>
          </cell>
          <cell r="G2970" t="str">
            <v>IDESP</v>
          </cell>
          <cell r="L2970">
            <v>39486</v>
          </cell>
          <cell r="M2970">
            <v>3.169</v>
          </cell>
          <cell r="P2970">
            <v>8.7999999999999995E-2</v>
          </cell>
        </row>
        <row r="2971">
          <cell r="A2971" t="str">
            <v>BPB-027-LS06-2RST-08</v>
          </cell>
          <cell r="G2971" t="str">
            <v>IDESP</v>
          </cell>
          <cell r="L2971">
            <v>41360</v>
          </cell>
          <cell r="M2971">
            <v>5.12</v>
          </cell>
          <cell r="P2971">
            <v>5.7200000000000001E-2</v>
          </cell>
        </row>
        <row r="2972">
          <cell r="A2972" t="str">
            <v>BPB-027-OIL-8394</v>
          </cell>
          <cell r="G2972" t="str">
            <v>IPFAP</v>
          </cell>
          <cell r="L2972">
            <v>44964</v>
          </cell>
          <cell r="M2972">
            <v>196</v>
          </cell>
          <cell r="P2972">
            <v>0.63</v>
          </cell>
        </row>
        <row r="2973">
          <cell r="A2973" t="str">
            <v>BPB-027-RLD-6201BLUE</v>
          </cell>
          <cell r="G2973" t="str">
            <v>IDESP</v>
          </cell>
          <cell r="L2973">
            <v>40289</v>
          </cell>
          <cell r="M2973">
            <v>3.89</v>
          </cell>
          <cell r="P2973">
            <v>1.72E-2</v>
          </cell>
        </row>
        <row r="2974">
          <cell r="A2974" t="str">
            <v>BPB-027-RLD-6202BLUE</v>
          </cell>
          <cell r="G2974" t="str">
            <v xml:space="preserve">INAC </v>
          </cell>
          <cell r="L2974">
            <v>42270</v>
          </cell>
          <cell r="M2974">
            <v>9.44</v>
          </cell>
          <cell r="P2974">
            <v>1.4830508474576273E-2</v>
          </cell>
        </row>
        <row r="2975">
          <cell r="A2975" t="str">
            <v>BPB-027-RLD-6204BLUE</v>
          </cell>
          <cell r="G2975" t="str">
            <v>INPE$</v>
          </cell>
          <cell r="L2975">
            <v>40491</v>
          </cell>
          <cell r="M2975">
            <v>3.98</v>
          </cell>
          <cell r="P2975">
            <v>5.0251256281407038E-2</v>
          </cell>
        </row>
        <row r="2976">
          <cell r="A2976" t="str">
            <v>BPB-027-RLD-6206BLUE</v>
          </cell>
          <cell r="G2976" t="str">
            <v xml:space="preserve">INAC </v>
          </cell>
          <cell r="L2976">
            <v>45664</v>
          </cell>
          <cell r="M2976">
            <v>1055</v>
          </cell>
          <cell r="P2976">
            <v>0.03</v>
          </cell>
        </row>
        <row r="2977">
          <cell r="A2977" t="str">
            <v>BPB-027-RLD-6207BLUE</v>
          </cell>
          <cell r="G2977" t="str">
            <v xml:space="preserve">INAC </v>
          </cell>
          <cell r="L2977">
            <v>45664</v>
          </cell>
          <cell r="M2977">
            <v>1055</v>
          </cell>
          <cell r="P2977">
            <v>0.05</v>
          </cell>
        </row>
        <row r="2978">
          <cell r="A2978" t="str">
            <v>BPB-027-RLD-6805</v>
          </cell>
          <cell r="G2978" t="str">
            <v>IDESP</v>
          </cell>
          <cell r="L2978">
            <v>45352</v>
          </cell>
          <cell r="M2978">
            <v>861</v>
          </cell>
          <cell r="P2978">
            <v>0.03</v>
          </cell>
        </row>
        <row r="2979">
          <cell r="A2979" t="str">
            <v>BPB-027-RLD-6905</v>
          </cell>
          <cell r="G2979" t="str">
            <v>IDESP</v>
          </cell>
          <cell r="L2979">
            <v>40540</v>
          </cell>
          <cell r="M2979">
            <v>4</v>
          </cell>
          <cell r="P2979">
            <v>0.18840000000000001</v>
          </cell>
        </row>
        <row r="2980">
          <cell r="A2980" t="str">
            <v>BPB-027-RS-6018</v>
          </cell>
          <cell r="G2980" t="str">
            <v>IDESP</v>
          </cell>
          <cell r="L2980">
            <v>39931</v>
          </cell>
          <cell r="M2980">
            <v>3.72</v>
          </cell>
          <cell r="P2980">
            <v>0.129</v>
          </cell>
        </row>
        <row r="2981">
          <cell r="A2981" t="str">
            <v>BPB-027-RS-6212</v>
          </cell>
          <cell r="G2981" t="str">
            <v>IDESP</v>
          </cell>
          <cell r="L2981">
            <v>39812</v>
          </cell>
          <cell r="M2981">
            <v>3.4449999999999998</v>
          </cell>
          <cell r="P2981">
            <v>0.122</v>
          </cell>
        </row>
        <row r="2982">
          <cell r="A2982" t="str">
            <v>BPB-027-RST-5206</v>
          </cell>
          <cell r="G2982" t="str">
            <v>IDESP</v>
          </cell>
          <cell r="L2982">
            <v>39769</v>
          </cell>
          <cell r="M2982">
            <v>3.3140000000000001</v>
          </cell>
          <cell r="P2982">
            <v>0.2</v>
          </cell>
        </row>
        <row r="2983">
          <cell r="A2983" t="str">
            <v>BPB-027-RST-6203</v>
          </cell>
          <cell r="G2983" t="str">
            <v>IDESP</v>
          </cell>
          <cell r="L2983">
            <v>41257</v>
          </cell>
          <cell r="M2983">
            <v>4.88</v>
          </cell>
          <cell r="P2983">
            <v>4.8000000000000001E-2</v>
          </cell>
        </row>
        <row r="2984">
          <cell r="A2984" t="str">
            <v>BPB-027-SAB5209-08</v>
          </cell>
          <cell r="G2984" t="str">
            <v>vpret</v>
          </cell>
          <cell r="L2984">
            <v>45959</v>
          </cell>
          <cell r="M2984">
            <v>1495</v>
          </cell>
          <cell r="P2984">
            <v>0.81262608695652172</v>
          </cell>
        </row>
        <row r="2985">
          <cell r="A2985" t="str">
            <v>BPB-027-SAB5209-A8</v>
          </cell>
          <cell r="G2985" t="str">
            <v xml:space="preserve">INAC </v>
          </cell>
          <cell r="L2985">
            <v>45951</v>
          </cell>
          <cell r="M2985">
            <v>1495</v>
          </cell>
          <cell r="P2985">
            <v>0.81262608695652172</v>
          </cell>
        </row>
        <row r="2986">
          <cell r="A2986" t="str">
            <v>BPB-027-SEA-BT305724</v>
          </cell>
          <cell r="G2986" t="str">
            <v>InMuU</v>
          </cell>
          <cell r="L2986">
            <v>41045</v>
          </cell>
          <cell r="M2986">
            <v>4.46</v>
          </cell>
          <cell r="P2986">
            <v>0.02</v>
          </cell>
        </row>
        <row r="2987">
          <cell r="A2987" t="str">
            <v>BPB-027-SEA203KRR2FD</v>
          </cell>
          <cell r="G2987" t="str">
            <v xml:space="preserve">INSI </v>
          </cell>
          <cell r="L2987">
            <v>40861</v>
          </cell>
          <cell r="M2987">
            <v>4.29</v>
          </cell>
          <cell r="P2987">
            <v>0.09</v>
          </cell>
        </row>
        <row r="2988">
          <cell r="A2988" t="str">
            <v>BPB-027-SEA207-R1-08</v>
          </cell>
          <cell r="G2988" t="str">
            <v xml:space="preserve">INSI </v>
          </cell>
          <cell r="L2988">
            <v>41037</v>
          </cell>
          <cell r="M2988">
            <v>4.45</v>
          </cell>
          <cell r="P2988">
            <v>0.22470000000000001</v>
          </cell>
        </row>
        <row r="2989">
          <cell r="A2989" t="str">
            <v>BPB-027-SEA6005Z1</v>
          </cell>
          <cell r="G2989" t="str">
            <v>IDESP</v>
          </cell>
          <cell r="L2989">
            <v>40081</v>
          </cell>
          <cell r="M2989">
            <v>3.85</v>
          </cell>
          <cell r="P2989">
            <v>1.9099999999999999E-2</v>
          </cell>
        </row>
        <row r="2990">
          <cell r="A2990" t="str">
            <v>BPB-027-SEA6204RSTDL</v>
          </cell>
          <cell r="G2990" t="str">
            <v>InRet</v>
          </cell>
          <cell r="L2990">
            <v>40582</v>
          </cell>
          <cell r="M2990">
            <v>4.04</v>
          </cell>
          <cell r="P2990">
            <v>0.11138613861386139</v>
          </cell>
        </row>
        <row r="2991">
          <cell r="A2991" t="str">
            <v>BPB-027-SEA6900-RS</v>
          </cell>
          <cell r="G2991" t="str">
            <v>IPFAP</v>
          </cell>
          <cell r="L2991">
            <v>41159</v>
          </cell>
          <cell r="M2991">
            <v>4.66</v>
          </cell>
          <cell r="P2991">
            <v>0.21459227467811159</v>
          </cell>
        </row>
        <row r="2992">
          <cell r="A2992" t="str">
            <v>BPB-027-SEACF5202RST</v>
          </cell>
          <cell r="G2992" t="str">
            <v xml:space="preserve">INSI </v>
          </cell>
          <cell r="L2992">
            <v>40861</v>
          </cell>
          <cell r="M2992">
            <v>4.29</v>
          </cell>
          <cell r="P2992">
            <v>0.09</v>
          </cell>
        </row>
        <row r="2993">
          <cell r="A2993" t="str">
            <v>BPB-027-SEAL-203KRR3</v>
          </cell>
          <cell r="G2993" t="str">
            <v>IDESP</v>
          </cell>
          <cell r="L2993">
            <v>40317</v>
          </cell>
          <cell r="M2993">
            <v>3.92</v>
          </cell>
          <cell r="P2993">
            <v>0.05</v>
          </cell>
        </row>
        <row r="2994">
          <cell r="A2994" t="str">
            <v>BPB-027-SEAL-204DBL</v>
          </cell>
          <cell r="G2994" t="str">
            <v>IDESP</v>
          </cell>
          <cell r="L2994">
            <v>40081</v>
          </cell>
          <cell r="M2994">
            <v>3.85</v>
          </cell>
          <cell r="P2994">
            <v>0.04</v>
          </cell>
        </row>
        <row r="2995">
          <cell r="A2995" t="str">
            <v>BPB-027-SEAL-205DBL</v>
          </cell>
          <cell r="G2995" t="str">
            <v>IPFAP</v>
          </cell>
          <cell r="L2995">
            <v>42845</v>
          </cell>
          <cell r="M2995">
            <v>15.75</v>
          </cell>
          <cell r="P2995">
            <v>0.17</v>
          </cell>
        </row>
        <row r="2996">
          <cell r="A2996" t="str">
            <v>BPB-027-SEAL-206-R1</v>
          </cell>
          <cell r="G2996" t="str">
            <v>IPFAB</v>
          </cell>
          <cell r="L2996">
            <v>41046</v>
          </cell>
          <cell r="M2996">
            <v>4.47</v>
          </cell>
          <cell r="P2996">
            <v>7.0000000000000007E-2</v>
          </cell>
        </row>
        <row r="2997">
          <cell r="A2997" t="str">
            <v>BPB-027-SEAL-206DBL</v>
          </cell>
          <cell r="G2997" t="str">
            <v>IDESP</v>
          </cell>
          <cell r="L2997">
            <v>40464</v>
          </cell>
          <cell r="M2997">
            <v>3.98</v>
          </cell>
          <cell r="P2997">
            <v>0.04</v>
          </cell>
        </row>
        <row r="2998">
          <cell r="A2998" t="str">
            <v>BPB-027-SEAL-206KRR6</v>
          </cell>
          <cell r="G2998" t="str">
            <v>IDESP</v>
          </cell>
          <cell r="L2998">
            <v>40294</v>
          </cell>
          <cell r="M2998">
            <v>3.89</v>
          </cell>
          <cell r="P2998">
            <v>0.05</v>
          </cell>
        </row>
        <row r="2999">
          <cell r="A2999" t="str">
            <v>BPB-027-SEAL-207DBL</v>
          </cell>
          <cell r="G2999" t="str">
            <v>IDESP</v>
          </cell>
          <cell r="L2999">
            <v>45996</v>
          </cell>
          <cell r="M2999">
            <v>1470</v>
          </cell>
          <cell r="P2999">
            <v>0.1169</v>
          </cell>
        </row>
        <row r="3000">
          <cell r="A3000" t="str">
            <v>BPB-027-SEAL-208</v>
          </cell>
          <cell r="G3000" t="str">
            <v>IDESP</v>
          </cell>
          <cell r="L3000">
            <v>40081</v>
          </cell>
          <cell r="M3000">
            <v>3.85</v>
          </cell>
          <cell r="P3000">
            <v>0.05</v>
          </cell>
        </row>
        <row r="3001">
          <cell r="A3001" t="str">
            <v>BPB-027-SEAL-208DBL</v>
          </cell>
          <cell r="G3001" t="str">
            <v xml:space="preserve">INSI </v>
          </cell>
          <cell r="L3001">
            <v>42535</v>
          </cell>
          <cell r="M3001">
            <v>14.11</v>
          </cell>
          <cell r="P3001">
            <v>0.3765</v>
          </cell>
        </row>
        <row r="3002">
          <cell r="A3002" t="str">
            <v>BPB-027-SEAL-209</v>
          </cell>
          <cell r="G3002" t="str">
            <v>IDESP</v>
          </cell>
          <cell r="L3002">
            <v>40693</v>
          </cell>
          <cell r="M3002">
            <v>4.12</v>
          </cell>
          <cell r="P3002">
            <v>0.16</v>
          </cell>
        </row>
        <row r="3003">
          <cell r="A3003" t="str">
            <v>BPB-027-SEAL-210</v>
          </cell>
          <cell r="G3003" t="str">
            <v>INMUE</v>
          </cell>
          <cell r="L3003">
            <v>41281</v>
          </cell>
          <cell r="M3003">
            <v>4.93</v>
          </cell>
          <cell r="P3003">
            <v>2.0283975659229209E-3</v>
          </cell>
        </row>
        <row r="3004">
          <cell r="A3004" t="str">
            <v>BPB-027-SEAL-210DBL</v>
          </cell>
          <cell r="G3004" t="str">
            <v>IPFAP</v>
          </cell>
          <cell r="L3004">
            <v>42186</v>
          </cell>
          <cell r="M3004">
            <v>9.1199999999999992</v>
          </cell>
          <cell r="P3004">
            <v>0.29000000000000004</v>
          </cell>
        </row>
        <row r="3005">
          <cell r="A3005" t="str">
            <v>BPB-027-SEAL-211DBL</v>
          </cell>
          <cell r="G3005" t="str">
            <v>InRet</v>
          </cell>
          <cell r="L3005">
            <v>40949</v>
          </cell>
          <cell r="M3005">
            <v>4.3600000000000003</v>
          </cell>
          <cell r="P3005">
            <v>4.9999999999999996E-2</v>
          </cell>
        </row>
        <row r="3006">
          <cell r="A3006" t="str">
            <v>BPB-027-SEAL-212DBL</v>
          </cell>
          <cell r="G3006" t="str">
            <v>IDESP</v>
          </cell>
          <cell r="L3006">
            <v>40464</v>
          </cell>
          <cell r="M3006">
            <v>3.98</v>
          </cell>
          <cell r="P3006">
            <v>0.06</v>
          </cell>
        </row>
        <row r="3007">
          <cell r="A3007" t="str">
            <v>BPB-027-SEAL-214-DBL</v>
          </cell>
          <cell r="G3007" t="str">
            <v>IPFAB</v>
          </cell>
          <cell r="L3007">
            <v>40948</v>
          </cell>
          <cell r="M3007">
            <v>4.3499999999999996</v>
          </cell>
          <cell r="P3007">
            <v>0.4677</v>
          </cell>
        </row>
        <row r="3008">
          <cell r="A3008" t="str">
            <v>BPB-027-SEAL-306DBL</v>
          </cell>
          <cell r="G3008" t="str">
            <v>IPFAP</v>
          </cell>
          <cell r="L3008">
            <v>42023</v>
          </cell>
          <cell r="M3008">
            <v>8.6199999999999992</v>
          </cell>
          <cell r="P3008">
            <v>0.04</v>
          </cell>
        </row>
        <row r="3009">
          <cell r="A3009" t="str">
            <v>BPB-027-SEAL-307DBL</v>
          </cell>
          <cell r="G3009" t="str">
            <v>InRet</v>
          </cell>
          <cell r="L3009">
            <v>40701</v>
          </cell>
          <cell r="M3009">
            <v>4.12</v>
          </cell>
          <cell r="P3009">
            <v>0.02</v>
          </cell>
        </row>
        <row r="3010">
          <cell r="A3010" t="str">
            <v>BPB-027-SEAL-314-DBL</v>
          </cell>
          <cell r="G3010" t="str">
            <v>IDESP</v>
          </cell>
          <cell r="L3010">
            <v>40941</v>
          </cell>
          <cell r="M3010">
            <v>4.3499999999999996</v>
          </cell>
          <cell r="P3010">
            <v>0.4677</v>
          </cell>
        </row>
        <row r="3011">
          <cell r="A3011" t="str">
            <v>BPB-027-SEAL-5203</v>
          </cell>
          <cell r="G3011" t="str">
            <v>IDESP</v>
          </cell>
          <cell r="L3011">
            <v>41127</v>
          </cell>
          <cell r="M3011">
            <v>4.5999999999999996</v>
          </cell>
          <cell r="P3011">
            <v>0.02</v>
          </cell>
        </row>
        <row r="3012">
          <cell r="A3012" t="str">
            <v>BPB-027-SEAL-5210RST</v>
          </cell>
          <cell r="G3012" t="str">
            <v xml:space="preserve">INAC </v>
          </cell>
          <cell r="L3012">
            <v>42450</v>
          </cell>
          <cell r="M3012">
            <v>15.19</v>
          </cell>
          <cell r="P3012">
            <v>0.21922317314022385</v>
          </cell>
        </row>
        <row r="3013">
          <cell r="A3013" t="str">
            <v>BPB-027-SEAL-5211</v>
          </cell>
          <cell r="G3013" t="str">
            <v>IDESP</v>
          </cell>
          <cell r="L3013">
            <v>40002</v>
          </cell>
          <cell r="M3013">
            <v>3.82</v>
          </cell>
          <cell r="P3013">
            <v>1.1399999999999999</v>
          </cell>
        </row>
        <row r="3014">
          <cell r="A3014" t="str">
            <v>BPB-027-SEAL-5307</v>
          </cell>
          <cell r="G3014" t="str">
            <v>IDESP</v>
          </cell>
          <cell r="L3014">
            <v>39910</v>
          </cell>
          <cell r="M3014">
            <v>3.6739999999999999</v>
          </cell>
          <cell r="P3014">
            <v>0.2</v>
          </cell>
        </row>
        <row r="3015">
          <cell r="A3015" t="str">
            <v>BPB-027-SEAL-62309</v>
          </cell>
          <cell r="G3015" t="str">
            <v>IDESP</v>
          </cell>
          <cell r="L3015">
            <v>39910</v>
          </cell>
          <cell r="M3015">
            <v>3.6739999999999999</v>
          </cell>
          <cell r="P3015">
            <v>0.2</v>
          </cell>
        </row>
        <row r="3016">
          <cell r="A3016" t="str">
            <v>BPB-027-SEAL-AG1235B</v>
          </cell>
          <cell r="G3016" t="str">
            <v>INCOU</v>
          </cell>
          <cell r="L3016">
            <v>41542</v>
          </cell>
          <cell r="M3016">
            <v>5.77</v>
          </cell>
          <cell r="P3016">
            <v>0.14000000000000001</v>
          </cell>
        </row>
        <row r="3017">
          <cell r="A3017" t="str">
            <v>BPB-027-SEAL-BB203KR</v>
          </cell>
          <cell r="G3017" t="str">
            <v>InRet</v>
          </cell>
          <cell r="L3017">
            <v>41008</v>
          </cell>
          <cell r="M3017">
            <v>4.4000000000000004</v>
          </cell>
          <cell r="P3017">
            <v>3.9545454545454536E-2</v>
          </cell>
        </row>
        <row r="3018">
          <cell r="A3018" t="str">
            <v>BPB-027-SEAL-FHR207</v>
          </cell>
          <cell r="G3018" t="str">
            <v>IDESP</v>
          </cell>
          <cell r="L3018">
            <v>39910</v>
          </cell>
          <cell r="M3018">
            <v>3.6739999999999999</v>
          </cell>
          <cell r="P3018">
            <v>0.2</v>
          </cell>
        </row>
        <row r="3019">
          <cell r="A3019" t="str">
            <v>BPB-027-SEAL-G-5209</v>
          </cell>
          <cell r="G3019" t="str">
            <v>IPFAP</v>
          </cell>
          <cell r="L3019">
            <v>42657</v>
          </cell>
          <cell r="M3019">
            <v>15.39</v>
          </cell>
          <cell r="P3019">
            <v>0.22999999999999998</v>
          </cell>
        </row>
        <row r="3020">
          <cell r="A3020" t="str">
            <v>BPB-027-SEAL-G5209</v>
          </cell>
          <cell r="G3020" t="str">
            <v>IPFAP</v>
          </cell>
          <cell r="L3020">
            <v>44399</v>
          </cell>
          <cell r="M3020">
            <v>101.5</v>
          </cell>
          <cell r="P3020">
            <v>1.6512315270935959E-3</v>
          </cell>
        </row>
        <row r="3021">
          <cell r="A3021" t="str">
            <v>BPB-027-SEAL-HCFS211</v>
          </cell>
          <cell r="G3021" t="str">
            <v>IDESP</v>
          </cell>
          <cell r="L3021">
            <v>40464</v>
          </cell>
          <cell r="M3021">
            <v>3.98</v>
          </cell>
          <cell r="P3021">
            <v>2.5000000000000001E-2</v>
          </cell>
        </row>
        <row r="3022">
          <cell r="A3022" t="str">
            <v>BPB-027-SEAL-W208B22</v>
          </cell>
          <cell r="G3022" t="str">
            <v>IPFAB</v>
          </cell>
          <cell r="L3022">
            <v>39925</v>
          </cell>
          <cell r="M3022">
            <v>3.6920000000000002</v>
          </cell>
          <cell r="P3022">
            <v>0.2</v>
          </cell>
        </row>
        <row r="3023">
          <cell r="A3023" t="str">
            <v>BPB-027-SEAL-WLG5208</v>
          </cell>
          <cell r="G3023" t="str">
            <v>IDESP</v>
          </cell>
          <cell r="L3023">
            <v>39884</v>
          </cell>
          <cell r="M3023">
            <v>3.6419999999999999</v>
          </cell>
          <cell r="P3023">
            <v>0.1</v>
          </cell>
        </row>
        <row r="3024">
          <cell r="A3024" t="str">
            <v>BPB-027-SEAL203KRR3</v>
          </cell>
          <cell r="G3024" t="str">
            <v>INCOU</v>
          </cell>
          <cell r="L3024">
            <v>43081</v>
          </cell>
          <cell r="M3024">
            <v>17.600000000000001</v>
          </cell>
          <cell r="P3024">
            <v>0.03</v>
          </cell>
        </row>
        <row r="3025">
          <cell r="A3025" t="str">
            <v>BPB-027-SEAL204JY3SL</v>
          </cell>
          <cell r="G3025" t="str">
            <v>INMUE</v>
          </cell>
          <cell r="L3025">
            <v>41390</v>
          </cell>
          <cell r="M3025">
            <v>5.18</v>
          </cell>
          <cell r="P3025">
            <v>1.7374517374517374E-2</v>
          </cell>
        </row>
        <row r="3026">
          <cell r="A3026" t="str">
            <v>BPB-027-SEAL210-RSTW</v>
          </cell>
          <cell r="G3026" t="str">
            <v>INCOU</v>
          </cell>
          <cell r="L3026">
            <v>41172</v>
          </cell>
          <cell r="M3026">
            <v>4.6900000000000004</v>
          </cell>
          <cell r="P3026">
            <v>0.2132</v>
          </cell>
        </row>
        <row r="3027">
          <cell r="A3027" t="str">
            <v>BPB-027-SEAL5204KPP3</v>
          </cell>
          <cell r="G3027" t="str">
            <v>IDESP</v>
          </cell>
          <cell r="L3027">
            <v>41864</v>
          </cell>
          <cell r="M3027">
            <v>8.27</v>
          </cell>
          <cell r="P3027">
            <v>2E-3</v>
          </cell>
        </row>
        <row r="3028">
          <cell r="A3028" t="str">
            <v>BPB-027-SEAL5211</v>
          </cell>
          <cell r="G3028" t="str">
            <v>IDESP</v>
          </cell>
          <cell r="L3028">
            <v>40679</v>
          </cell>
          <cell r="M3028">
            <v>4.12</v>
          </cell>
          <cell r="P3028">
            <v>0.05</v>
          </cell>
        </row>
        <row r="3029">
          <cell r="A3029" t="str">
            <v>BPB-027-SEAL6013-RST</v>
          </cell>
          <cell r="G3029" t="str">
            <v>InMuU</v>
          </cell>
          <cell r="L3029">
            <v>41148</v>
          </cell>
          <cell r="M3029">
            <v>4.63</v>
          </cell>
          <cell r="P3029">
            <v>0.12</v>
          </cell>
        </row>
        <row r="3030">
          <cell r="A3030" t="str">
            <v>BPB-027-SEAL6905HLCD</v>
          </cell>
          <cell r="G3030" t="str">
            <v>IPFAB</v>
          </cell>
          <cell r="L3030">
            <v>40556</v>
          </cell>
          <cell r="M3030">
            <v>4</v>
          </cell>
          <cell r="P3030">
            <v>0.02</v>
          </cell>
        </row>
        <row r="3031">
          <cell r="A3031" t="str">
            <v>BPB-027-SLGER-UC206</v>
          </cell>
          <cell r="G3031" t="str">
            <v>IDESP</v>
          </cell>
          <cell r="L3031">
            <v>39686</v>
          </cell>
          <cell r="M3031">
            <v>3.0259999999999998</v>
          </cell>
          <cell r="P3031">
            <v>0.33057900000000001</v>
          </cell>
        </row>
        <row r="3032">
          <cell r="A3032" t="str">
            <v>BPB-027-SLINGER-207</v>
          </cell>
          <cell r="G3032" t="str">
            <v>IDESP</v>
          </cell>
          <cell r="L3032">
            <v>42947</v>
          </cell>
          <cell r="M3032">
            <v>18.100000000000001</v>
          </cell>
          <cell r="P3032">
            <v>5.8000000000000003E-2</v>
          </cell>
        </row>
        <row r="3033">
          <cell r="A3033" t="str">
            <v>BPB-027-SLINGER-211</v>
          </cell>
          <cell r="G3033" t="str">
            <v>IDESP</v>
          </cell>
          <cell r="L3033">
            <v>40464</v>
          </cell>
          <cell r="M3033">
            <v>3.98</v>
          </cell>
          <cell r="P3033">
            <v>0.03</v>
          </cell>
        </row>
        <row r="3034">
          <cell r="A3034" t="str">
            <v>BPB-027-UC207-DBL</v>
          </cell>
          <cell r="G3034" t="str">
            <v>IDESP</v>
          </cell>
          <cell r="L3034">
            <v>40002</v>
          </cell>
          <cell r="M3034">
            <v>3.82</v>
          </cell>
          <cell r="P3034">
            <v>2.13</v>
          </cell>
        </row>
        <row r="3035">
          <cell r="A3035" t="str">
            <v>BPB-029-Carton</v>
          </cell>
          <cell r="G3035" t="str">
            <v>IDESP</v>
          </cell>
          <cell r="L3035">
            <v>39954</v>
          </cell>
          <cell r="M3035">
            <v>3.74</v>
          </cell>
          <cell r="P3035">
            <v>0.54600000000000004</v>
          </cell>
        </row>
        <row r="3036">
          <cell r="A3036" t="str">
            <v>BPB-031-12025-P</v>
          </cell>
          <cell r="G3036" t="str">
            <v>vpret</v>
          </cell>
          <cell r="L3036">
            <v>45936</v>
          </cell>
          <cell r="M3036">
            <v>1450</v>
          </cell>
          <cell r="P3036">
            <v>3.470344827586207</v>
          </cell>
        </row>
        <row r="3037">
          <cell r="A3037" t="str">
            <v>BPB-031-12025rollers</v>
          </cell>
          <cell r="G3037" t="str">
            <v>IDESP</v>
          </cell>
          <cell r="L3037">
            <v>44307</v>
          </cell>
          <cell r="M3037">
            <v>98.25</v>
          </cell>
          <cell r="P3037">
            <v>3.35</v>
          </cell>
        </row>
        <row r="3038">
          <cell r="A3038" t="str">
            <v>BPB-031-12033</v>
          </cell>
          <cell r="G3038" t="str">
            <v>IDESP</v>
          </cell>
          <cell r="L3038">
            <v>40084</v>
          </cell>
          <cell r="M3038">
            <v>3.85</v>
          </cell>
          <cell r="P3038">
            <v>2.61</v>
          </cell>
        </row>
        <row r="3039">
          <cell r="A3039" t="str">
            <v>BPB-031-12033roller</v>
          </cell>
          <cell r="G3039" t="str">
            <v>IDESP</v>
          </cell>
          <cell r="L3039">
            <v>43521</v>
          </cell>
          <cell r="M3039">
            <v>40.1</v>
          </cell>
          <cell r="P3039">
            <v>6.76</v>
          </cell>
        </row>
        <row r="3040">
          <cell r="A3040" t="str">
            <v>BPB-031-255237</v>
          </cell>
          <cell r="G3040" t="str">
            <v>IDESP</v>
          </cell>
          <cell r="L3040">
            <v>40002</v>
          </cell>
          <cell r="M3040">
            <v>3.82</v>
          </cell>
          <cell r="P3040">
            <v>3.89</v>
          </cell>
        </row>
        <row r="3041">
          <cell r="A3041" t="str">
            <v>BPB-031-63001-2RLD</v>
          </cell>
          <cell r="G3041" t="str">
            <v>IDESP</v>
          </cell>
          <cell r="L3041">
            <v>39910</v>
          </cell>
          <cell r="M3041">
            <v>3.6739999999999999</v>
          </cell>
          <cell r="P3041">
            <v>0.46500000000000002</v>
          </cell>
        </row>
        <row r="3042">
          <cell r="A3042" t="str">
            <v>BPB-031-88128-R</v>
          </cell>
          <cell r="G3042" t="str">
            <v>IDESP</v>
          </cell>
          <cell r="L3042">
            <v>40896</v>
          </cell>
          <cell r="M3042">
            <v>4.3099999999999996</v>
          </cell>
          <cell r="P3042">
            <v>2.4</v>
          </cell>
        </row>
        <row r="3043">
          <cell r="A3043" t="str">
            <v>BPB-031-B-17-99DD</v>
          </cell>
          <cell r="G3043" t="str">
            <v xml:space="preserve">INSI </v>
          </cell>
          <cell r="L3043">
            <v>40351</v>
          </cell>
          <cell r="M3043">
            <v>3.94</v>
          </cell>
          <cell r="P3043">
            <v>1.256</v>
          </cell>
        </row>
        <row r="3044">
          <cell r="A3044" t="str">
            <v>BPB-031-B10-50D</v>
          </cell>
          <cell r="G3044" t="str">
            <v>INMUE</v>
          </cell>
          <cell r="L3044">
            <v>44816</v>
          </cell>
          <cell r="M3044">
            <v>147.5</v>
          </cell>
          <cell r="P3044">
            <v>0.64570033898305079</v>
          </cell>
        </row>
        <row r="3045">
          <cell r="A3045" t="str">
            <v>BPB-031-BBF-633313</v>
          </cell>
          <cell r="G3045" t="str">
            <v xml:space="preserve">CR   </v>
          </cell>
          <cell r="L3045">
            <v>38624</v>
          </cell>
          <cell r="M3045">
            <v>2.915</v>
          </cell>
          <cell r="P3045">
            <v>3.8610000000000002</v>
          </cell>
        </row>
        <row r="3046">
          <cell r="A3046" t="str">
            <v>BPB-031-BBT-329013</v>
          </cell>
          <cell r="G3046" t="str">
            <v>INDEV</v>
          </cell>
          <cell r="L3046">
            <v>40267</v>
          </cell>
          <cell r="M3046">
            <v>3.89</v>
          </cell>
          <cell r="P3046">
            <v>2.42</v>
          </cell>
        </row>
        <row r="3047">
          <cell r="A3047" t="str">
            <v>BPB-031-BT305724-C3</v>
          </cell>
          <cell r="G3047" t="str">
            <v>InMuU</v>
          </cell>
          <cell r="L3047">
            <v>41124</v>
          </cell>
          <cell r="M3047">
            <v>4.5999999999999996</v>
          </cell>
          <cell r="P3047">
            <v>2.5</v>
          </cell>
        </row>
        <row r="3048">
          <cell r="A3048" t="str">
            <v>BPB-031-BT305919-2RS</v>
          </cell>
          <cell r="G3048" t="str">
            <v xml:space="preserve">INSI </v>
          </cell>
          <cell r="L3048">
            <v>39799</v>
          </cell>
          <cell r="M3048">
            <v>3.4020000000000001</v>
          </cell>
          <cell r="P3048">
            <v>0.5</v>
          </cell>
        </row>
        <row r="3049">
          <cell r="A3049" t="str">
            <v>BPB-031-DAC-1018-FL</v>
          </cell>
          <cell r="G3049" t="str">
            <v xml:space="preserve">CR   </v>
          </cell>
          <cell r="L3049">
            <v>38624</v>
          </cell>
          <cell r="M3049">
            <v>2.915</v>
          </cell>
          <cell r="P3049">
            <v>11.561</v>
          </cell>
        </row>
        <row r="3050">
          <cell r="A3050" t="str">
            <v>BPB-031-DAC-1083-CR</v>
          </cell>
          <cell r="G3050" t="str">
            <v xml:space="preserve">CR   </v>
          </cell>
          <cell r="L3050">
            <v>38811</v>
          </cell>
          <cell r="M3050">
            <v>3.085</v>
          </cell>
          <cell r="P3050">
            <v>6.3121999999999998</v>
          </cell>
        </row>
        <row r="3051">
          <cell r="A3051" t="str">
            <v>BPB-031-DAC-25520037</v>
          </cell>
          <cell r="G3051" t="str">
            <v>IDESP</v>
          </cell>
          <cell r="L3051">
            <v>42590</v>
          </cell>
          <cell r="M3051">
            <v>15.16</v>
          </cell>
          <cell r="P3051">
            <v>2.3540000000000001</v>
          </cell>
        </row>
        <row r="3052">
          <cell r="A3052" t="str">
            <v>BPB-031-DAC-25520042</v>
          </cell>
          <cell r="G3052" t="str">
            <v>IDESP</v>
          </cell>
          <cell r="L3052">
            <v>42590</v>
          </cell>
          <cell r="M3052">
            <v>15.16</v>
          </cell>
          <cell r="P3052">
            <v>2.8929999999999998</v>
          </cell>
        </row>
        <row r="3053">
          <cell r="A3053" t="str">
            <v>BPB-031-DAC-29530037</v>
          </cell>
          <cell r="G3053" t="str">
            <v>IDESP</v>
          </cell>
          <cell r="L3053">
            <v>43069</v>
          </cell>
          <cell r="M3053">
            <v>17.77</v>
          </cell>
          <cell r="P3053">
            <v>2.4500000000000002</v>
          </cell>
        </row>
        <row r="3054">
          <cell r="A3054" t="str">
            <v>BPB-031-DAC-30600337</v>
          </cell>
          <cell r="G3054" t="str">
            <v>IPFAB</v>
          </cell>
          <cell r="L3054">
            <v>39890</v>
          </cell>
          <cell r="M3054">
            <v>3.6480000000000001</v>
          </cell>
          <cell r="P3054">
            <v>0.27412300000000001</v>
          </cell>
        </row>
        <row r="3055">
          <cell r="A3055" t="str">
            <v>BPB-031-DAC-34660037</v>
          </cell>
          <cell r="G3055" t="str">
            <v>IDESP</v>
          </cell>
          <cell r="L3055">
            <v>43069</v>
          </cell>
          <cell r="M3055">
            <v>17.77</v>
          </cell>
          <cell r="P3055">
            <v>3.22</v>
          </cell>
        </row>
        <row r="3056">
          <cell r="A3056" t="str">
            <v>BPB-031-DAC-35650035</v>
          </cell>
          <cell r="G3056" t="str">
            <v>IDESP</v>
          </cell>
          <cell r="L3056">
            <v>43069</v>
          </cell>
          <cell r="M3056">
            <v>17.77</v>
          </cell>
          <cell r="P3056">
            <v>3.55</v>
          </cell>
        </row>
        <row r="3057">
          <cell r="A3057" t="str">
            <v>BPB-031-DAC-35680037</v>
          </cell>
          <cell r="G3057" t="str">
            <v>IDESP</v>
          </cell>
          <cell r="L3057">
            <v>42590</v>
          </cell>
          <cell r="M3057">
            <v>15.16</v>
          </cell>
          <cell r="P3057">
            <v>3.2559999999999998</v>
          </cell>
        </row>
        <row r="3058">
          <cell r="A3058" t="str">
            <v>BPB-031-DAC-35720033</v>
          </cell>
          <cell r="G3058" t="str">
            <v>IDESP</v>
          </cell>
          <cell r="L3058">
            <v>43069</v>
          </cell>
          <cell r="M3058">
            <v>17.77</v>
          </cell>
          <cell r="P3058">
            <v>3.55</v>
          </cell>
        </row>
        <row r="3059">
          <cell r="A3059" t="str">
            <v>BPB-031-DAC-35720034</v>
          </cell>
          <cell r="G3059" t="str">
            <v>IDESP</v>
          </cell>
          <cell r="L3059">
            <v>44516</v>
          </cell>
          <cell r="M3059">
            <v>105.5</v>
          </cell>
          <cell r="P3059">
            <v>3.48</v>
          </cell>
        </row>
        <row r="3060">
          <cell r="A3060" t="str">
            <v>BPB-031-DAC-37720033</v>
          </cell>
          <cell r="G3060" t="str">
            <v>INDEV</v>
          </cell>
          <cell r="L3060">
            <v>40736</v>
          </cell>
          <cell r="M3060">
            <v>4.1500000000000004</v>
          </cell>
          <cell r="P3060">
            <v>3.4779999999999998</v>
          </cell>
        </row>
        <row r="3061">
          <cell r="A3061" t="str">
            <v>BPB-031-DAC-37720037</v>
          </cell>
          <cell r="G3061" t="str">
            <v>IDESP</v>
          </cell>
          <cell r="L3061">
            <v>43045</v>
          </cell>
          <cell r="M3061">
            <v>17.899999999999999</v>
          </cell>
          <cell r="P3061">
            <v>3.2825000000000002</v>
          </cell>
        </row>
        <row r="3062">
          <cell r="A3062" t="str">
            <v>BPB-031-DAC-39680037</v>
          </cell>
          <cell r="G3062" t="str">
            <v>IDESP</v>
          </cell>
          <cell r="L3062">
            <v>43045</v>
          </cell>
          <cell r="M3062">
            <v>17.899999999999999</v>
          </cell>
          <cell r="P3062">
            <v>3.1263999999999998</v>
          </cell>
        </row>
        <row r="3063">
          <cell r="A3063" t="str">
            <v>BPB-031-DAC-3972-B</v>
          </cell>
          <cell r="G3063" t="str">
            <v xml:space="preserve">CR   </v>
          </cell>
          <cell r="L3063">
            <v>38624</v>
          </cell>
          <cell r="M3063">
            <v>2.915</v>
          </cell>
          <cell r="P3063">
            <v>4.7960000000000003</v>
          </cell>
        </row>
        <row r="3064">
          <cell r="A3064" t="str">
            <v>BPB-031-DAC-39720037</v>
          </cell>
          <cell r="G3064" t="str">
            <v>IDESP</v>
          </cell>
          <cell r="L3064">
            <v>43398</v>
          </cell>
          <cell r="M3064">
            <v>37.9</v>
          </cell>
          <cell r="P3064">
            <v>4.01</v>
          </cell>
        </row>
        <row r="3065">
          <cell r="A3065" t="str">
            <v>BPB-031-DAC-40108001</v>
          </cell>
          <cell r="G3065" t="str">
            <v>IDESP</v>
          </cell>
          <cell r="L3065">
            <v>42552</v>
          </cell>
          <cell r="M3065">
            <v>15.21</v>
          </cell>
          <cell r="P3065">
            <v>6.5010000000000003</v>
          </cell>
        </row>
        <row r="3066">
          <cell r="A3066" t="str">
            <v>BPB-031-DAC-40720037</v>
          </cell>
          <cell r="G3066" t="str">
            <v>IDESP</v>
          </cell>
          <cell r="L3066">
            <v>40896</v>
          </cell>
          <cell r="M3066">
            <v>4.3099999999999996</v>
          </cell>
          <cell r="P3066">
            <v>3.8</v>
          </cell>
        </row>
        <row r="3067">
          <cell r="A3067" t="str">
            <v>BPB-031-DAC-42820036</v>
          </cell>
          <cell r="G3067" t="str">
            <v>IDESP</v>
          </cell>
          <cell r="L3067">
            <v>42590</v>
          </cell>
          <cell r="M3067">
            <v>15.16</v>
          </cell>
          <cell r="P3067">
            <v>5.0599999999999996</v>
          </cell>
        </row>
        <row r="3068">
          <cell r="A3068" t="str">
            <v>BPB-031-DAC-42840039</v>
          </cell>
          <cell r="G3068" t="str">
            <v>IDESP</v>
          </cell>
          <cell r="L3068">
            <v>42590</v>
          </cell>
          <cell r="M3068">
            <v>15.16</v>
          </cell>
          <cell r="P3068">
            <v>5.2359999999999998</v>
          </cell>
        </row>
        <row r="3069">
          <cell r="A3069" t="str">
            <v>BPB-031-DAC-45800045</v>
          </cell>
          <cell r="G3069" t="str">
            <v>IDESP</v>
          </cell>
          <cell r="L3069">
            <v>42590</v>
          </cell>
          <cell r="M3069">
            <v>15.16</v>
          </cell>
          <cell r="P3069">
            <v>5.2359999999999998</v>
          </cell>
        </row>
        <row r="3070">
          <cell r="A3070" t="str">
            <v>BPB-031-DAC-49840048</v>
          </cell>
          <cell r="G3070" t="str">
            <v>IDESP</v>
          </cell>
          <cell r="L3070">
            <v>40919</v>
          </cell>
          <cell r="M3070">
            <v>4.33</v>
          </cell>
          <cell r="P3070">
            <v>5.36</v>
          </cell>
        </row>
        <row r="3071">
          <cell r="A3071" t="str">
            <v>BPB-031-DAC3055W</v>
          </cell>
          <cell r="G3071" t="str">
            <v>IDESP</v>
          </cell>
          <cell r="L3071">
            <v>39910</v>
          </cell>
          <cell r="M3071">
            <v>3.6739999999999999</v>
          </cell>
          <cell r="P3071">
            <v>0.5</v>
          </cell>
        </row>
        <row r="3072">
          <cell r="A3072" t="str">
            <v>BPB-031-DAC447208331</v>
          </cell>
          <cell r="G3072" t="str">
            <v>IDESP</v>
          </cell>
          <cell r="L3072">
            <v>43438</v>
          </cell>
          <cell r="M3072">
            <v>37.4</v>
          </cell>
          <cell r="P3072">
            <v>5.22</v>
          </cell>
        </row>
        <row r="3073">
          <cell r="A3073" t="str">
            <v>BPB-031-DU25520037</v>
          </cell>
          <cell r="G3073" t="str">
            <v>IDESP</v>
          </cell>
          <cell r="L3073">
            <v>40115</v>
          </cell>
          <cell r="M3073">
            <v>3.83</v>
          </cell>
          <cell r="P3073">
            <v>4.4000000000000004</v>
          </cell>
        </row>
        <row r="3074">
          <cell r="A3074" t="str">
            <v>BPB-031-FC-3565-A</v>
          </cell>
          <cell r="G3074" t="str">
            <v xml:space="preserve">CR   </v>
          </cell>
          <cell r="L3074">
            <v>38811</v>
          </cell>
          <cell r="M3074">
            <v>3.085</v>
          </cell>
          <cell r="P3074">
            <v>3.4140000000000001</v>
          </cell>
        </row>
        <row r="3075">
          <cell r="A3075" t="str">
            <v>BPB-031-FC-3772-A</v>
          </cell>
          <cell r="G3075" t="str">
            <v xml:space="preserve">CR   </v>
          </cell>
          <cell r="L3075">
            <v>38624</v>
          </cell>
          <cell r="M3075">
            <v>2.915</v>
          </cell>
          <cell r="P3075">
            <v>5.1260000000000003</v>
          </cell>
        </row>
        <row r="3076">
          <cell r="A3076" t="str">
            <v>BPB-031-FC-3968-A</v>
          </cell>
          <cell r="G3076" t="str">
            <v xml:space="preserve">CR   </v>
          </cell>
          <cell r="L3076">
            <v>38624</v>
          </cell>
          <cell r="M3076">
            <v>2.915</v>
          </cell>
          <cell r="P3076">
            <v>4.7960000000000003</v>
          </cell>
        </row>
        <row r="3077">
          <cell r="A3077" t="str">
            <v>BPB-031-FC-4072-A</v>
          </cell>
          <cell r="G3077" t="str">
            <v xml:space="preserve">CR   </v>
          </cell>
          <cell r="L3077">
            <v>38624</v>
          </cell>
          <cell r="M3077">
            <v>2.915</v>
          </cell>
          <cell r="P3077">
            <v>5.0599999999999996</v>
          </cell>
        </row>
        <row r="3078">
          <cell r="A3078" t="str">
            <v>BPB-031-FC-4075-A</v>
          </cell>
          <cell r="G3078" t="str">
            <v xml:space="preserve">CR   </v>
          </cell>
          <cell r="L3078">
            <v>38624</v>
          </cell>
          <cell r="M3078">
            <v>2.915</v>
          </cell>
          <cell r="P3078">
            <v>5.2359999999999998</v>
          </cell>
        </row>
        <row r="3079">
          <cell r="A3079" t="str">
            <v>BPB-031-FC-4282-B</v>
          </cell>
          <cell r="G3079" t="str">
            <v xml:space="preserve">CR   </v>
          </cell>
          <cell r="L3079">
            <v>38624</v>
          </cell>
          <cell r="M3079">
            <v>2.915</v>
          </cell>
          <cell r="P3079">
            <v>6.4790000000000001</v>
          </cell>
        </row>
        <row r="3080">
          <cell r="A3080" t="str">
            <v>BPB-031-FC-4284-B</v>
          </cell>
          <cell r="G3080" t="str">
            <v xml:space="preserve">CR   </v>
          </cell>
          <cell r="L3080">
            <v>38624</v>
          </cell>
          <cell r="M3080">
            <v>2.915</v>
          </cell>
          <cell r="P3080">
            <v>6.5010000000000003</v>
          </cell>
        </row>
        <row r="3081">
          <cell r="A3081" t="str">
            <v>BPB-031-GU-215</v>
          </cell>
          <cell r="G3081" t="str">
            <v>INCOU</v>
          </cell>
          <cell r="L3081">
            <v>42206</v>
          </cell>
          <cell r="M3081">
            <v>9.19</v>
          </cell>
          <cell r="P3081">
            <v>0.7</v>
          </cell>
        </row>
        <row r="3082">
          <cell r="A3082" t="str">
            <v>BPB-031-GU-5211</v>
          </cell>
          <cell r="G3082" t="str">
            <v xml:space="preserve">INAC </v>
          </cell>
          <cell r="L3082">
            <v>40646</v>
          </cell>
          <cell r="M3082">
            <v>4.08</v>
          </cell>
          <cell r="P3082">
            <v>0.36029411764705882</v>
          </cell>
        </row>
        <row r="3083">
          <cell r="A3083" t="str">
            <v>BPB-031-GU-6011</v>
          </cell>
          <cell r="G3083" t="str">
            <v xml:space="preserve">INAC </v>
          </cell>
          <cell r="L3083">
            <v>40490</v>
          </cell>
          <cell r="M3083">
            <v>3.98</v>
          </cell>
          <cell r="P3083">
            <v>0.66467336683417089</v>
          </cell>
        </row>
        <row r="3084">
          <cell r="A3084" t="str">
            <v>BPB-031-GU-POSB-30</v>
          </cell>
          <cell r="G3084" t="str">
            <v xml:space="preserve">INAC </v>
          </cell>
          <cell r="L3084">
            <v>40801</v>
          </cell>
          <cell r="M3084">
            <v>4.24</v>
          </cell>
          <cell r="P3084">
            <v>0.86084905660377353</v>
          </cell>
        </row>
        <row r="3085">
          <cell r="A3085" t="str">
            <v>BPB-031-KY2813</v>
          </cell>
          <cell r="G3085" t="str">
            <v>IDESP</v>
          </cell>
          <cell r="L3085">
            <v>42920</v>
          </cell>
          <cell r="M3085">
            <v>17.04</v>
          </cell>
          <cell r="P3085">
            <v>13.48</v>
          </cell>
        </row>
        <row r="3086">
          <cell r="A3086" t="str">
            <v>BPB-031-KY3020ABS</v>
          </cell>
          <cell r="G3086" t="str">
            <v>IDESP</v>
          </cell>
          <cell r="L3086">
            <v>42920</v>
          </cell>
          <cell r="M3086">
            <v>17.04</v>
          </cell>
          <cell r="P3086">
            <v>19.98</v>
          </cell>
        </row>
        <row r="3087">
          <cell r="A3087" t="str">
            <v>BPB-031-KY3031ABS</v>
          </cell>
          <cell r="G3087" t="str">
            <v>IDESP</v>
          </cell>
          <cell r="L3087">
            <v>42920</v>
          </cell>
          <cell r="M3087">
            <v>17.04</v>
          </cell>
          <cell r="P3087">
            <v>25.58</v>
          </cell>
        </row>
        <row r="3088">
          <cell r="A3088" t="str">
            <v>BPB-031-KY3057</v>
          </cell>
          <cell r="G3088" t="str">
            <v>IDESP</v>
          </cell>
          <cell r="L3088">
            <v>42920</v>
          </cell>
          <cell r="M3088">
            <v>17.04</v>
          </cell>
          <cell r="P3088">
            <v>23.24</v>
          </cell>
        </row>
        <row r="3089">
          <cell r="A3089" t="str">
            <v>BPB-031-KY3116ABS</v>
          </cell>
          <cell r="G3089" t="str">
            <v>IDESP</v>
          </cell>
          <cell r="L3089">
            <v>42872</v>
          </cell>
          <cell r="M3089">
            <v>15.9</v>
          </cell>
          <cell r="P3089">
            <v>23.88</v>
          </cell>
        </row>
        <row r="3090">
          <cell r="A3090" t="str">
            <v>BPB-031-OIL-376590-A</v>
          </cell>
          <cell r="G3090" t="str">
            <v>IDESP</v>
          </cell>
          <cell r="L3090">
            <v>40365</v>
          </cell>
          <cell r="M3090">
            <v>3.95</v>
          </cell>
          <cell r="P3090">
            <v>2.7402000000000002</v>
          </cell>
        </row>
        <row r="3091">
          <cell r="A3091" t="str">
            <v>BPB-031-SET-10</v>
          </cell>
          <cell r="G3091" t="str">
            <v>INDEV</v>
          </cell>
          <cell r="L3091">
            <v>41065</v>
          </cell>
          <cell r="M3091">
            <v>4.49</v>
          </cell>
          <cell r="P3091">
            <v>3.1861469933184852</v>
          </cell>
        </row>
        <row r="3092">
          <cell r="A3092" t="str">
            <v>BPB-031-SET-20</v>
          </cell>
          <cell r="G3092" t="str">
            <v>INDEV</v>
          </cell>
          <cell r="L3092">
            <v>40786</v>
          </cell>
          <cell r="M3092">
            <v>4.22</v>
          </cell>
          <cell r="P3092">
            <v>5.3890047393364924</v>
          </cell>
        </row>
        <row r="3093">
          <cell r="A3093" t="str">
            <v>BPB-031-SET-80</v>
          </cell>
          <cell r="G3093" t="str">
            <v>INDEV</v>
          </cell>
          <cell r="L3093">
            <v>40786</v>
          </cell>
          <cell r="M3093">
            <v>4.22</v>
          </cell>
          <cell r="P3093">
            <v>4.3219905213270149</v>
          </cell>
        </row>
        <row r="3094">
          <cell r="A3094" t="str">
            <v>BPB-031-SET-9</v>
          </cell>
          <cell r="G3094" t="str">
            <v>IDESP</v>
          </cell>
          <cell r="L3094">
            <v>39720</v>
          </cell>
          <cell r="M3094">
            <v>3.1160000000000001</v>
          </cell>
          <cell r="P3094">
            <v>3.5</v>
          </cell>
        </row>
        <row r="3095">
          <cell r="A3095" t="str">
            <v>BPB-031-TG-40108</v>
          </cell>
          <cell r="G3095" t="str">
            <v xml:space="preserve">CR   </v>
          </cell>
          <cell r="L3095">
            <v>38624</v>
          </cell>
          <cell r="M3095">
            <v>2.915</v>
          </cell>
          <cell r="P3095">
            <v>7.7110000000000003</v>
          </cell>
        </row>
        <row r="3096">
          <cell r="A3096" t="str">
            <v>BPB-032-BP15009</v>
          </cell>
          <cell r="G3096" t="str">
            <v>vpret</v>
          </cell>
          <cell r="L3096">
            <v>45730</v>
          </cell>
          <cell r="M3096">
            <v>1086.5</v>
          </cell>
          <cell r="P3096">
            <v>3.8258554993097103</v>
          </cell>
        </row>
        <row r="3097">
          <cell r="A3097" t="str">
            <v>BPB-032-BP15009-01</v>
          </cell>
          <cell r="G3097" t="str">
            <v>IDESP</v>
          </cell>
          <cell r="L3097">
            <v>44483</v>
          </cell>
          <cell r="M3097">
            <v>104.25</v>
          </cell>
          <cell r="P3097">
            <v>1.345</v>
          </cell>
        </row>
        <row r="3098">
          <cell r="A3098" t="str">
            <v>BPB-032-BP15009-02</v>
          </cell>
          <cell r="G3098" t="str">
            <v>IDESP</v>
          </cell>
          <cell r="L3098">
            <v>44483</v>
          </cell>
          <cell r="M3098">
            <v>104.25</v>
          </cell>
          <cell r="P3098">
            <v>1.2999999999999999E-2</v>
          </cell>
        </row>
        <row r="3099">
          <cell r="A3099" t="str">
            <v>BPB-032-BP15010</v>
          </cell>
          <cell r="G3099" t="str">
            <v>vpret</v>
          </cell>
          <cell r="L3099">
            <v>45730</v>
          </cell>
          <cell r="M3099">
            <v>1086.5</v>
          </cell>
          <cell r="P3099">
            <v>5.1055775425678789</v>
          </cell>
        </row>
        <row r="3100">
          <cell r="A3100" t="str">
            <v>BPB-032-BP15010-01</v>
          </cell>
          <cell r="G3100" t="str">
            <v>IDESP</v>
          </cell>
          <cell r="L3100">
            <v>44483</v>
          </cell>
          <cell r="M3100">
            <v>104.25</v>
          </cell>
          <cell r="P3100">
            <v>2.0179999999999998</v>
          </cell>
        </row>
        <row r="3101">
          <cell r="A3101" t="str">
            <v>BPB-033-ASA-100-1</v>
          </cell>
          <cell r="G3101" t="str">
            <v>IDESP</v>
          </cell>
          <cell r="L3101">
            <v>44858</v>
          </cell>
          <cell r="M3101">
            <v>159.5</v>
          </cell>
          <cell r="P3101">
            <v>2.94</v>
          </cell>
        </row>
        <row r="3102">
          <cell r="A3102" t="str">
            <v>BPB-033-ASA-100-1H</v>
          </cell>
          <cell r="G3102" t="str">
            <v>IDESP</v>
          </cell>
          <cell r="L3102">
            <v>44858</v>
          </cell>
          <cell r="M3102">
            <v>159.5</v>
          </cell>
          <cell r="P3102">
            <v>4.1900000000000004</v>
          </cell>
        </row>
        <row r="3103">
          <cell r="A3103" t="str">
            <v>BPB-033-ASA-100-2</v>
          </cell>
          <cell r="G3103" t="str">
            <v>IDESP</v>
          </cell>
          <cell r="L3103">
            <v>44893</v>
          </cell>
          <cell r="M3103">
            <v>171.75</v>
          </cell>
          <cell r="P3103">
            <v>5.87</v>
          </cell>
        </row>
        <row r="3104">
          <cell r="A3104" t="str">
            <v>BPB-033-ASA-100-3</v>
          </cell>
          <cell r="G3104" t="str">
            <v>IDESP</v>
          </cell>
          <cell r="L3104">
            <v>44748</v>
          </cell>
          <cell r="M3104">
            <v>131.75</v>
          </cell>
          <cell r="P3104">
            <v>10.11</v>
          </cell>
        </row>
        <row r="3105">
          <cell r="A3105" t="str">
            <v>BPB-033-ASA-140-1</v>
          </cell>
          <cell r="G3105" t="str">
            <v>IDESP</v>
          </cell>
          <cell r="L3105">
            <v>43683</v>
          </cell>
          <cell r="M3105">
            <v>46.4</v>
          </cell>
          <cell r="P3105">
            <v>6.36</v>
          </cell>
        </row>
        <row r="3106">
          <cell r="A3106" t="str">
            <v>BPB-033-ASA-160-1H</v>
          </cell>
          <cell r="G3106" t="str">
            <v>IDESP</v>
          </cell>
          <cell r="L3106">
            <v>42697</v>
          </cell>
          <cell r="M3106">
            <v>15.62</v>
          </cell>
          <cell r="P3106">
            <v>8.9670000000000005</v>
          </cell>
        </row>
        <row r="3107">
          <cell r="A3107" t="str">
            <v>BPB-033-ASA-180-1</v>
          </cell>
          <cell r="G3107" t="str">
            <v>IDESP</v>
          </cell>
          <cell r="L3107">
            <v>44055</v>
          </cell>
          <cell r="M3107">
            <v>77</v>
          </cell>
          <cell r="P3107">
            <v>10.210000000000001</v>
          </cell>
        </row>
        <row r="3108">
          <cell r="A3108" t="str">
            <v>BPB-033-ASA-40-1</v>
          </cell>
          <cell r="G3108" t="str">
            <v>IDESP</v>
          </cell>
          <cell r="L3108">
            <v>44748</v>
          </cell>
          <cell r="M3108">
            <v>131.75</v>
          </cell>
          <cell r="P3108">
            <v>0.51</v>
          </cell>
        </row>
        <row r="3109">
          <cell r="A3109" t="str">
            <v>BPB-033-ASA-40-2</v>
          </cell>
          <cell r="G3109" t="str">
            <v>IPFAP</v>
          </cell>
          <cell r="L3109">
            <v>44943</v>
          </cell>
          <cell r="M3109">
            <v>189</v>
          </cell>
          <cell r="P3109">
            <v>0.79999999999999993</v>
          </cell>
        </row>
        <row r="3110">
          <cell r="A3110" t="str">
            <v>BPB-033-ASA-40-ERCA</v>
          </cell>
          <cell r="G3110" t="str">
            <v>IDESP</v>
          </cell>
          <cell r="L3110">
            <v>43264</v>
          </cell>
          <cell r="M3110">
            <v>26.3</v>
          </cell>
          <cell r="P3110">
            <v>1.252</v>
          </cell>
        </row>
        <row r="3111">
          <cell r="A3111" t="str">
            <v>BPB-033-ASA-410-REEL</v>
          </cell>
          <cell r="G3111" t="str">
            <v>IDESP</v>
          </cell>
          <cell r="L3111">
            <v>44355</v>
          </cell>
          <cell r="M3111">
            <v>100</v>
          </cell>
          <cell r="P3111">
            <v>1.3</v>
          </cell>
        </row>
        <row r="3112">
          <cell r="A3112" t="str">
            <v>BPB-033-ASA-415-H</v>
          </cell>
          <cell r="G3112" t="str">
            <v>IDESP</v>
          </cell>
          <cell r="L3112">
            <v>44858</v>
          </cell>
          <cell r="M3112">
            <v>159.5</v>
          </cell>
          <cell r="P3112">
            <v>0.51</v>
          </cell>
        </row>
        <row r="3113">
          <cell r="A3113" t="str">
            <v>BPB-033-ASA-50-1</v>
          </cell>
          <cell r="G3113" t="str">
            <v>IPFAP</v>
          </cell>
          <cell r="L3113">
            <v>44768</v>
          </cell>
          <cell r="M3113">
            <v>136.5</v>
          </cell>
          <cell r="P3113">
            <v>0.75</v>
          </cell>
        </row>
        <row r="3114">
          <cell r="A3114" t="str">
            <v>BPB-033-ASA-50-1H</v>
          </cell>
          <cell r="G3114" t="str">
            <v>IDESP</v>
          </cell>
          <cell r="L3114">
            <v>44858</v>
          </cell>
          <cell r="M3114">
            <v>159.5</v>
          </cell>
          <cell r="P3114">
            <v>0.98</v>
          </cell>
        </row>
        <row r="3115">
          <cell r="A3115" t="str">
            <v>BPB-033-ASA-50-2</v>
          </cell>
          <cell r="G3115" t="str">
            <v>IDESP</v>
          </cell>
          <cell r="L3115">
            <v>44748</v>
          </cell>
          <cell r="M3115">
            <v>131.75</v>
          </cell>
          <cell r="P3115">
            <v>1.89</v>
          </cell>
        </row>
        <row r="3116">
          <cell r="A3116" t="str">
            <v>BPB-033-ASA-50-ERCA</v>
          </cell>
          <cell r="G3116" t="str">
            <v>IDESP</v>
          </cell>
          <cell r="L3116">
            <v>43264</v>
          </cell>
          <cell r="M3116">
            <v>26.3</v>
          </cell>
          <cell r="P3116">
            <v>2.0510000000000002</v>
          </cell>
        </row>
        <row r="3117">
          <cell r="A3117" t="str">
            <v>BPB-033-ASA-60-1</v>
          </cell>
          <cell r="G3117" t="str">
            <v>IDESP</v>
          </cell>
          <cell r="L3117">
            <v>44748</v>
          </cell>
          <cell r="M3117">
            <v>131.75</v>
          </cell>
          <cell r="P3117">
            <v>1.01</v>
          </cell>
        </row>
        <row r="3118">
          <cell r="A3118" t="str">
            <v>BPB-033-ASA-60-1H</v>
          </cell>
          <cell r="G3118" t="str">
            <v>IDESP</v>
          </cell>
          <cell r="L3118">
            <v>44748</v>
          </cell>
          <cell r="M3118">
            <v>131.75</v>
          </cell>
          <cell r="P3118">
            <v>1.31</v>
          </cell>
        </row>
        <row r="3119">
          <cell r="A3119" t="str">
            <v>BPB-033-ASA-60-2</v>
          </cell>
          <cell r="G3119" t="str">
            <v>IDESP</v>
          </cell>
          <cell r="L3119">
            <v>44858</v>
          </cell>
          <cell r="M3119">
            <v>159.5</v>
          </cell>
          <cell r="P3119">
            <v>2.5499999999999998</v>
          </cell>
        </row>
        <row r="3120">
          <cell r="A3120" t="str">
            <v>BPB-033-ASA-80-1</v>
          </cell>
          <cell r="G3120" t="str">
            <v>IDESP</v>
          </cell>
          <cell r="L3120">
            <v>44858</v>
          </cell>
          <cell r="M3120">
            <v>159.5</v>
          </cell>
          <cell r="P3120">
            <v>2.0099999999999998</v>
          </cell>
        </row>
        <row r="3121">
          <cell r="A3121" t="str">
            <v>BPB-033-ASA-80-1H</v>
          </cell>
          <cell r="G3121" t="str">
            <v>IPFAP</v>
          </cell>
          <cell r="L3121">
            <v>44938</v>
          </cell>
          <cell r="M3121">
            <v>187.75</v>
          </cell>
          <cell r="P3121">
            <v>2.2110002663115846</v>
          </cell>
        </row>
        <row r="3122">
          <cell r="A3122" t="str">
            <v>BPB-033-ASA-80-1H-re</v>
          </cell>
          <cell r="G3122" t="str">
            <v>IDESP</v>
          </cell>
          <cell r="L3122">
            <v>42999</v>
          </cell>
          <cell r="M3122">
            <v>17.48</v>
          </cell>
          <cell r="P3122">
            <v>6.4059999999999997</v>
          </cell>
        </row>
        <row r="3123">
          <cell r="A3123" t="str">
            <v>BPB-033-ASA-80-2</v>
          </cell>
          <cell r="G3123" t="str">
            <v>IDESP</v>
          </cell>
          <cell r="L3123">
            <v>44684</v>
          </cell>
          <cell r="M3123">
            <v>120.5</v>
          </cell>
          <cell r="P3123">
            <v>4.45</v>
          </cell>
        </row>
        <row r="3124">
          <cell r="A3124" t="str">
            <v>BPB-033-ASA-80-2-10</v>
          </cell>
          <cell r="G3124" t="str">
            <v>VPRet</v>
          </cell>
          <cell r="L3124">
            <v>42650</v>
          </cell>
          <cell r="M3124">
            <v>15.5</v>
          </cell>
          <cell r="P3124">
            <v>19.025161290322579</v>
          </cell>
        </row>
        <row r="3125">
          <cell r="A3125" t="str">
            <v>BPB-033-ASA-80-2-12</v>
          </cell>
          <cell r="G3125" t="str">
            <v>VPRet</v>
          </cell>
          <cell r="L3125">
            <v>42655</v>
          </cell>
          <cell r="M3125">
            <v>15.49</v>
          </cell>
          <cell r="P3125">
            <v>20.743000000000002</v>
          </cell>
        </row>
        <row r="3126">
          <cell r="A3126" t="str">
            <v>BPB-033-ASA160-1H-RE</v>
          </cell>
          <cell r="G3126" t="str">
            <v>IDESP</v>
          </cell>
          <cell r="L3126">
            <v>44748</v>
          </cell>
          <cell r="M3126">
            <v>131.75</v>
          </cell>
          <cell r="P3126">
            <v>32.409999999999997</v>
          </cell>
        </row>
        <row r="3127">
          <cell r="A3127" t="str">
            <v>BPB-033-ASA40-1-REEL</v>
          </cell>
          <cell r="G3127" t="str">
            <v>IDESP</v>
          </cell>
          <cell r="L3127">
            <v>45979</v>
          </cell>
          <cell r="M3127">
            <v>1415</v>
          </cell>
          <cell r="P3127">
            <v>1.42</v>
          </cell>
        </row>
        <row r="3128">
          <cell r="A3128" t="str">
            <v>BPB-033-ASA415-H-REE</v>
          </cell>
          <cell r="G3128" t="str">
            <v>IDESP</v>
          </cell>
          <cell r="L3128">
            <v>44893</v>
          </cell>
          <cell r="M3128">
            <v>171.75</v>
          </cell>
          <cell r="P3128">
            <v>1.51</v>
          </cell>
        </row>
        <row r="3129">
          <cell r="A3129" t="str">
            <v>BPB-033-ASA50-1-REEL</v>
          </cell>
          <cell r="G3129" t="str">
            <v>IDESP</v>
          </cell>
          <cell r="L3129">
            <v>45979</v>
          </cell>
          <cell r="M3129">
            <v>1415</v>
          </cell>
          <cell r="P3129">
            <v>2.31</v>
          </cell>
        </row>
        <row r="3130">
          <cell r="A3130" t="str">
            <v>BPB-033-ASA50-1H-REE</v>
          </cell>
          <cell r="G3130" t="str">
            <v>IDESP</v>
          </cell>
          <cell r="L3130">
            <v>44748</v>
          </cell>
          <cell r="M3130">
            <v>131.75</v>
          </cell>
          <cell r="P3130">
            <v>3.07</v>
          </cell>
        </row>
        <row r="3131">
          <cell r="A3131" t="str">
            <v>BPB-033-ASA60-1-REEL</v>
          </cell>
          <cell r="G3131" t="str">
            <v>IDESP</v>
          </cell>
          <cell r="L3131">
            <v>44748</v>
          </cell>
          <cell r="M3131">
            <v>131.75</v>
          </cell>
          <cell r="P3131">
            <v>3.16</v>
          </cell>
        </row>
        <row r="3132">
          <cell r="A3132" t="str">
            <v>BPB-033-ASA60-1H-REE</v>
          </cell>
          <cell r="G3132" t="str">
            <v>IDESP</v>
          </cell>
          <cell r="L3132">
            <v>44858</v>
          </cell>
          <cell r="M3132">
            <v>159.5</v>
          </cell>
          <cell r="P3132">
            <v>4.1100000000000003</v>
          </cell>
        </row>
        <row r="3133">
          <cell r="A3133" t="str">
            <v>BPB-033-ASA80-1-REEL</v>
          </cell>
          <cell r="G3133" t="str">
            <v>IDESP</v>
          </cell>
          <cell r="L3133">
            <v>44798</v>
          </cell>
          <cell r="M3133">
            <v>144</v>
          </cell>
          <cell r="P3133">
            <v>5.67</v>
          </cell>
        </row>
        <row r="3134">
          <cell r="A3134" t="str">
            <v>BPB-033-ASA80-1H-REE</v>
          </cell>
          <cell r="G3134" t="str">
            <v>IDESP</v>
          </cell>
          <cell r="L3134">
            <v>44979</v>
          </cell>
          <cell r="M3134">
            <v>199.25</v>
          </cell>
          <cell r="P3134">
            <v>7.37</v>
          </cell>
        </row>
        <row r="3135">
          <cell r="A3135" t="str">
            <v>BPB-033-ASA80-2-REEL</v>
          </cell>
          <cell r="G3135" t="str">
            <v>IDESP</v>
          </cell>
          <cell r="L3135">
            <v>44684</v>
          </cell>
          <cell r="M3135">
            <v>120.5</v>
          </cell>
          <cell r="P3135">
            <v>11.55</v>
          </cell>
        </row>
        <row r="3136">
          <cell r="A3136" t="str">
            <v>BPB-033-BP18016</v>
          </cell>
          <cell r="G3136" t="str">
            <v>IDESP</v>
          </cell>
          <cell r="L3136">
            <v>43697</v>
          </cell>
          <cell r="M3136">
            <v>57</v>
          </cell>
          <cell r="P3136">
            <v>4.91</v>
          </cell>
        </row>
        <row r="3137">
          <cell r="A3137" t="str">
            <v>BPB-033-CA-550-A01</v>
          </cell>
          <cell r="G3137" t="str">
            <v>VPRet</v>
          </cell>
          <cell r="L3137">
            <v>42611</v>
          </cell>
          <cell r="M3137">
            <v>15.28</v>
          </cell>
          <cell r="P3137">
            <v>27.23520942408377</v>
          </cell>
        </row>
        <row r="3138">
          <cell r="A3138" t="str">
            <v>BPB-033-CA-550-A02</v>
          </cell>
          <cell r="G3138" t="str">
            <v>VPRet</v>
          </cell>
          <cell r="L3138">
            <v>43166</v>
          </cell>
          <cell r="M3138">
            <v>20.57</v>
          </cell>
          <cell r="P3138">
            <v>10.740009722897423</v>
          </cell>
        </row>
        <row r="3139">
          <cell r="A3139" t="str">
            <v>BPB-033-CA-550-A1</v>
          </cell>
          <cell r="G3139" t="str">
            <v>IDESP</v>
          </cell>
          <cell r="L3139">
            <v>44798</v>
          </cell>
          <cell r="M3139">
            <v>144</v>
          </cell>
          <cell r="P3139">
            <v>5.65</v>
          </cell>
        </row>
        <row r="3140">
          <cell r="A3140" t="str">
            <v>BPB-033-CA550-A1-CL</v>
          </cell>
          <cell r="G3140" t="str">
            <v>IPFAP</v>
          </cell>
          <cell r="L3140">
            <v>45182</v>
          </cell>
          <cell r="M3140">
            <v>365.5</v>
          </cell>
          <cell r="P3140">
            <v>0.52900000000000003</v>
          </cell>
        </row>
        <row r="3141">
          <cell r="A3141" t="str">
            <v>BPB-033-CA550-A1-OL</v>
          </cell>
          <cell r="G3141" t="str">
            <v>IDESP</v>
          </cell>
          <cell r="L3141">
            <v>45916</v>
          </cell>
          <cell r="M3141">
            <v>1475</v>
          </cell>
          <cell r="P3141">
            <v>0.95</v>
          </cell>
        </row>
        <row r="3142">
          <cell r="A3142" t="str">
            <v>BPB-033-CA550K-19SE2</v>
          </cell>
          <cell r="G3142" t="str">
            <v>IDESP</v>
          </cell>
          <cell r="L3142">
            <v>44889</v>
          </cell>
          <cell r="M3142">
            <v>171.25</v>
          </cell>
          <cell r="P3142">
            <v>24.34</v>
          </cell>
        </row>
        <row r="3143">
          <cell r="A3143" t="str">
            <v>BPB-033-CA550K-19SE4</v>
          </cell>
          <cell r="G3143" t="str">
            <v>IDESP</v>
          </cell>
          <cell r="L3143">
            <v>44889</v>
          </cell>
          <cell r="M3143">
            <v>171.25</v>
          </cell>
          <cell r="P3143">
            <v>23.93</v>
          </cell>
        </row>
        <row r="3144">
          <cell r="A3144" t="str">
            <v>BPB-033-CA555-C6E-46</v>
          </cell>
          <cell r="G3144" t="str">
            <v>IDESP</v>
          </cell>
          <cell r="L3144">
            <v>44979</v>
          </cell>
          <cell r="M3144">
            <v>199.25</v>
          </cell>
          <cell r="P3144">
            <v>11.82</v>
          </cell>
        </row>
        <row r="3145">
          <cell r="A3145" t="str">
            <v>BPB-033-CA555-C6E-52</v>
          </cell>
          <cell r="G3145" t="str">
            <v>IDESP</v>
          </cell>
          <cell r="L3145">
            <v>44889</v>
          </cell>
          <cell r="M3145">
            <v>171.25</v>
          </cell>
          <cell r="P3145">
            <v>13.27</v>
          </cell>
        </row>
        <row r="3146">
          <cell r="A3146" t="str">
            <v>BPB-033-CA555R-QX48M</v>
          </cell>
          <cell r="G3146" t="str">
            <v>IPFAP</v>
          </cell>
          <cell r="L3146">
            <v>44986</v>
          </cell>
          <cell r="M3146">
            <v>204</v>
          </cell>
          <cell r="P3146">
            <v>11.86</v>
          </cell>
        </row>
        <row r="3147">
          <cell r="A3147" t="str">
            <v>BPB-033-CA555R-QX48P</v>
          </cell>
          <cell r="G3147" t="str">
            <v>IDESP</v>
          </cell>
          <cell r="L3147">
            <v>44979</v>
          </cell>
          <cell r="M3147">
            <v>199.25</v>
          </cell>
          <cell r="P3147">
            <v>11.86</v>
          </cell>
        </row>
        <row r="3148">
          <cell r="A3148" t="str">
            <v>BPB-033-CA555R-QX48S</v>
          </cell>
          <cell r="G3148" t="str">
            <v>IDESP</v>
          </cell>
          <cell r="L3148">
            <v>42789</v>
          </cell>
          <cell r="M3148">
            <v>15.93</v>
          </cell>
          <cell r="P3148">
            <v>13.91</v>
          </cell>
        </row>
        <row r="3149">
          <cell r="A3149" t="str">
            <v>BPB-033-CA627-M40A</v>
          </cell>
          <cell r="G3149" t="str">
            <v>IDESP</v>
          </cell>
          <cell r="L3149">
            <v>44893</v>
          </cell>
          <cell r="M3149">
            <v>171.75</v>
          </cell>
          <cell r="P3149">
            <v>19.559999999999999</v>
          </cell>
        </row>
        <row r="3150">
          <cell r="A3150" t="str">
            <v>BPB-033-CA627-M40A-3</v>
          </cell>
          <cell r="G3150" t="str">
            <v>IDESP</v>
          </cell>
          <cell r="L3150">
            <v>44979</v>
          </cell>
          <cell r="M3150">
            <v>199.25</v>
          </cell>
          <cell r="P3150">
            <v>22.1</v>
          </cell>
        </row>
        <row r="3151">
          <cell r="A3151" t="str">
            <v>BPB-033-CA627-M40A-5</v>
          </cell>
          <cell r="G3151" t="str">
            <v>IDESP</v>
          </cell>
          <cell r="L3151">
            <v>44893</v>
          </cell>
          <cell r="M3151">
            <v>171.75</v>
          </cell>
          <cell r="P3151">
            <v>20.149999999999999</v>
          </cell>
        </row>
        <row r="3152">
          <cell r="A3152" t="str">
            <v>BPB-033-CA627-M40A-7</v>
          </cell>
          <cell r="G3152" t="str">
            <v>IDESP</v>
          </cell>
          <cell r="L3152">
            <v>44893</v>
          </cell>
          <cell r="M3152">
            <v>171.75</v>
          </cell>
          <cell r="P3152">
            <v>20.56</v>
          </cell>
        </row>
        <row r="3153">
          <cell r="A3153" t="str">
            <v>BPB-033-CA627-M40A-9</v>
          </cell>
          <cell r="G3153" t="str">
            <v>IDESP</v>
          </cell>
          <cell r="L3153">
            <v>44979</v>
          </cell>
          <cell r="M3153">
            <v>199.25</v>
          </cell>
          <cell r="P3153">
            <v>17.03</v>
          </cell>
        </row>
        <row r="3154">
          <cell r="A3154" t="str">
            <v>BPB-033-CA627-M40A-M</v>
          </cell>
          <cell r="G3154" t="str">
            <v>IPFAP</v>
          </cell>
          <cell r="L3154">
            <v>43955</v>
          </cell>
          <cell r="M3154">
            <v>68.75</v>
          </cell>
          <cell r="P3154">
            <v>6.2899200000000004</v>
          </cell>
        </row>
        <row r="3155">
          <cell r="A3155" t="str">
            <v>BPB-033-CA627-M5A-24</v>
          </cell>
          <cell r="G3155" t="str">
            <v>IDESP</v>
          </cell>
          <cell r="L3155">
            <v>44979</v>
          </cell>
          <cell r="M3155">
            <v>199.25</v>
          </cell>
          <cell r="P3155">
            <v>8</v>
          </cell>
        </row>
        <row r="3156">
          <cell r="A3156" t="str">
            <v>BPB-033-CL-100-2</v>
          </cell>
          <cell r="G3156" t="str">
            <v>IDESP</v>
          </cell>
          <cell r="L3156">
            <v>44684</v>
          </cell>
          <cell r="M3156">
            <v>120.5</v>
          </cell>
          <cell r="P3156">
            <v>1.59</v>
          </cell>
        </row>
        <row r="3157">
          <cell r="A3157" t="str">
            <v>BPB-033-CL-100-3</v>
          </cell>
          <cell r="G3157" t="str">
            <v>IDESP</v>
          </cell>
          <cell r="L3157">
            <v>43402</v>
          </cell>
          <cell r="M3157">
            <v>37.799999999999997</v>
          </cell>
          <cell r="P3157">
            <v>2.2690000000000001</v>
          </cell>
        </row>
        <row r="3158">
          <cell r="A3158" t="str">
            <v>BPB-033-CL-140-1</v>
          </cell>
          <cell r="G3158" t="str">
            <v xml:space="preserve">INAC </v>
          </cell>
          <cell r="L3158">
            <v>44168</v>
          </cell>
          <cell r="M3158">
            <v>86.5</v>
          </cell>
          <cell r="P3158">
            <v>4.0588439306358381</v>
          </cell>
        </row>
        <row r="3159">
          <cell r="A3159" t="str">
            <v>BPB-033-CL-160-1H</v>
          </cell>
          <cell r="G3159" t="str">
            <v>IDESP</v>
          </cell>
          <cell r="L3159">
            <v>44663</v>
          </cell>
          <cell r="M3159">
            <v>117.75</v>
          </cell>
          <cell r="P3159">
            <v>4.38</v>
          </cell>
        </row>
        <row r="3160">
          <cell r="A3160" t="str">
            <v>BPB-033-CL-40-1</v>
          </cell>
          <cell r="G3160" t="str">
            <v>IDESP</v>
          </cell>
          <cell r="L3160">
            <v>44858</v>
          </cell>
          <cell r="M3160">
            <v>159.5</v>
          </cell>
          <cell r="P3160">
            <v>0.08</v>
          </cell>
        </row>
        <row r="3161">
          <cell r="A3161" t="str">
            <v>BPB-033-CL-40-1-SS</v>
          </cell>
          <cell r="G3161" t="str">
            <v>IDESP</v>
          </cell>
          <cell r="L3161">
            <v>40228</v>
          </cell>
          <cell r="M3161">
            <v>3.88</v>
          </cell>
          <cell r="P3161">
            <v>0.3</v>
          </cell>
        </row>
        <row r="3162">
          <cell r="A3162" t="str">
            <v>BPB-033-CL-40-2</v>
          </cell>
          <cell r="G3162" t="str">
            <v>IDESP</v>
          </cell>
          <cell r="L3162">
            <v>44858</v>
          </cell>
          <cell r="M3162">
            <v>159.5</v>
          </cell>
          <cell r="P3162">
            <v>0.17</v>
          </cell>
        </row>
        <row r="3163">
          <cell r="A3163" t="str">
            <v>BPB-033-CL-410</v>
          </cell>
          <cell r="G3163" t="str">
            <v>IDESP</v>
          </cell>
          <cell r="L3163">
            <v>43578</v>
          </cell>
          <cell r="M3163">
            <v>43.5</v>
          </cell>
          <cell r="P3163">
            <v>7.2999999999999995E-2</v>
          </cell>
        </row>
        <row r="3164">
          <cell r="A3164" t="str">
            <v>BPB-033-CL-415-H</v>
          </cell>
          <cell r="G3164" t="str">
            <v>IDESP</v>
          </cell>
          <cell r="L3164">
            <v>44858</v>
          </cell>
          <cell r="M3164">
            <v>159.5</v>
          </cell>
          <cell r="P3164">
            <v>8.5000000000000006E-2</v>
          </cell>
        </row>
        <row r="3165">
          <cell r="A3165" t="str">
            <v>BPB-033-CL-50-1</v>
          </cell>
          <cell r="G3165" t="str">
            <v>IDESP</v>
          </cell>
          <cell r="L3165">
            <v>44858</v>
          </cell>
          <cell r="M3165">
            <v>159.5</v>
          </cell>
          <cell r="P3165">
            <v>0.11</v>
          </cell>
        </row>
        <row r="3166">
          <cell r="A3166" t="str">
            <v>BPB-033-CL-50-1-SS</v>
          </cell>
          <cell r="G3166" t="str">
            <v>IDESP</v>
          </cell>
          <cell r="L3166">
            <v>40228</v>
          </cell>
          <cell r="M3166">
            <v>3.88</v>
          </cell>
          <cell r="P3166">
            <v>0.44</v>
          </cell>
        </row>
        <row r="3167">
          <cell r="A3167" t="str">
            <v>BPB-033-CL-50-1H</v>
          </cell>
          <cell r="G3167" t="str">
            <v>IDESP</v>
          </cell>
          <cell r="L3167">
            <v>44858</v>
          </cell>
          <cell r="M3167">
            <v>159.5</v>
          </cell>
          <cell r="P3167">
            <v>0.14000000000000001</v>
          </cell>
        </row>
        <row r="3168">
          <cell r="A3168" t="str">
            <v>BPB-033-CL-50-2</v>
          </cell>
          <cell r="G3168" t="str">
            <v>IDESP</v>
          </cell>
          <cell r="L3168">
            <v>45352</v>
          </cell>
          <cell r="M3168">
            <v>861</v>
          </cell>
          <cell r="P3168">
            <v>0.28000000000000003</v>
          </cell>
        </row>
        <row r="3169">
          <cell r="A3169" t="str">
            <v>BPB-033-CL-60-1</v>
          </cell>
          <cell r="G3169" t="str">
            <v>IDESP</v>
          </cell>
          <cell r="L3169">
            <v>44858</v>
          </cell>
          <cell r="M3169">
            <v>159.5</v>
          </cell>
          <cell r="P3169">
            <v>0.16</v>
          </cell>
        </row>
        <row r="3170">
          <cell r="A3170" t="str">
            <v>BPB-033-CL-60-1H</v>
          </cell>
          <cell r="G3170" t="str">
            <v xml:space="preserve">INSI </v>
          </cell>
          <cell r="L3170">
            <v>45399</v>
          </cell>
          <cell r="M3170">
            <v>887.5</v>
          </cell>
          <cell r="P3170">
            <v>0.24</v>
          </cell>
        </row>
        <row r="3171">
          <cell r="A3171" t="str">
            <v>BPB-033-CL-60-2</v>
          </cell>
          <cell r="G3171" t="str">
            <v>IDESP</v>
          </cell>
          <cell r="L3171">
            <v>44858</v>
          </cell>
          <cell r="M3171">
            <v>159.5</v>
          </cell>
          <cell r="P3171">
            <v>0.35</v>
          </cell>
        </row>
        <row r="3172">
          <cell r="A3172" t="str">
            <v>BPB-033-CL-80-1</v>
          </cell>
          <cell r="G3172" t="str">
            <v>IDESP</v>
          </cell>
          <cell r="L3172">
            <v>44858</v>
          </cell>
          <cell r="M3172">
            <v>159.5</v>
          </cell>
          <cell r="P3172">
            <v>0.45</v>
          </cell>
        </row>
        <row r="3173">
          <cell r="A3173" t="str">
            <v>BPB-033-CL-80-1-H</v>
          </cell>
          <cell r="G3173" t="str">
            <v>IDESP</v>
          </cell>
          <cell r="L3173">
            <v>44684</v>
          </cell>
          <cell r="M3173">
            <v>120.5</v>
          </cell>
          <cell r="P3173">
            <v>0.54</v>
          </cell>
        </row>
        <row r="3174">
          <cell r="A3174" t="str">
            <v>BPB-033-CL-80-2</v>
          </cell>
          <cell r="G3174" t="str">
            <v>IDESP</v>
          </cell>
          <cell r="L3174">
            <v>44858</v>
          </cell>
          <cell r="M3174">
            <v>159.5</v>
          </cell>
          <cell r="P3174">
            <v>1.01</v>
          </cell>
        </row>
        <row r="3175">
          <cell r="A3175" t="str">
            <v>BPB-033-OL-100-1</v>
          </cell>
          <cell r="G3175" t="str">
            <v>IDESP</v>
          </cell>
          <cell r="L3175">
            <v>43502</v>
          </cell>
          <cell r="M3175">
            <v>38.1</v>
          </cell>
          <cell r="P3175">
            <v>1.45</v>
          </cell>
        </row>
        <row r="3176">
          <cell r="A3176" t="str">
            <v>BPB-033-OL-100-1H</v>
          </cell>
          <cell r="G3176" t="str">
            <v>IDESP</v>
          </cell>
          <cell r="L3176">
            <v>42600</v>
          </cell>
          <cell r="M3176">
            <v>15.09</v>
          </cell>
          <cell r="P3176">
            <v>1.6839999999999999</v>
          </cell>
        </row>
        <row r="3177">
          <cell r="A3177" t="str">
            <v>BPB-033-OL-100-2</v>
          </cell>
          <cell r="G3177" t="str">
            <v>IDESP</v>
          </cell>
          <cell r="L3177">
            <v>44358</v>
          </cell>
          <cell r="M3177">
            <v>100</v>
          </cell>
          <cell r="P3177">
            <v>3.03</v>
          </cell>
        </row>
        <row r="3178">
          <cell r="A3178" t="str">
            <v>BPB-033-OL-100-3</v>
          </cell>
          <cell r="G3178" t="str">
            <v>IDESP</v>
          </cell>
          <cell r="L3178">
            <v>44684</v>
          </cell>
          <cell r="M3178">
            <v>120.5</v>
          </cell>
          <cell r="P3178">
            <v>5.14</v>
          </cell>
        </row>
        <row r="3179">
          <cell r="A3179" t="str">
            <v>BPB-033-OL-140-1</v>
          </cell>
          <cell r="G3179" t="str">
            <v xml:space="preserve">INAC </v>
          </cell>
          <cell r="L3179">
            <v>44168</v>
          </cell>
          <cell r="M3179">
            <v>86.5</v>
          </cell>
          <cell r="P3179">
            <v>7.1010404624277461</v>
          </cell>
        </row>
        <row r="3180">
          <cell r="A3180" t="str">
            <v>BPB-033-OL-160-1H</v>
          </cell>
          <cell r="G3180" t="str">
            <v>IDESP</v>
          </cell>
          <cell r="L3180">
            <v>43384</v>
          </cell>
          <cell r="M3180">
            <v>38.1</v>
          </cell>
          <cell r="P3180">
            <v>7.61</v>
          </cell>
        </row>
        <row r="3181">
          <cell r="A3181" t="str">
            <v>BPB-033-OL-40-1</v>
          </cell>
          <cell r="G3181" t="str">
            <v>IDESP</v>
          </cell>
          <cell r="L3181">
            <v>44858</v>
          </cell>
          <cell r="M3181">
            <v>159.5</v>
          </cell>
          <cell r="P3181">
            <v>0.16</v>
          </cell>
        </row>
        <row r="3182">
          <cell r="A3182" t="str">
            <v>BPB-033-OL-40-1-SS</v>
          </cell>
          <cell r="G3182" t="str">
            <v>IDESP</v>
          </cell>
          <cell r="L3182">
            <v>40228</v>
          </cell>
          <cell r="M3182">
            <v>3.88</v>
          </cell>
          <cell r="P3182">
            <v>0.6</v>
          </cell>
        </row>
        <row r="3183">
          <cell r="A3183" t="str">
            <v>BPB-033-OL-40-2</v>
          </cell>
          <cell r="G3183" t="str">
            <v xml:space="preserve">INSI </v>
          </cell>
          <cell r="L3183">
            <v>43398</v>
          </cell>
          <cell r="M3183">
            <v>37.9</v>
          </cell>
          <cell r="P3183">
            <v>0.25</v>
          </cell>
        </row>
        <row r="3184">
          <cell r="A3184" t="str">
            <v>BPB-033-OL-410</v>
          </cell>
          <cell r="G3184" t="str">
            <v>IDESP</v>
          </cell>
          <cell r="L3184">
            <v>43578</v>
          </cell>
          <cell r="M3184">
            <v>43.5</v>
          </cell>
          <cell r="P3184">
            <v>0.14599999999999999</v>
          </cell>
        </row>
        <row r="3185">
          <cell r="A3185" t="str">
            <v>BPB-033-OL-415-H</v>
          </cell>
          <cell r="G3185" t="str">
            <v>IDESP</v>
          </cell>
          <cell r="L3185">
            <v>43896</v>
          </cell>
          <cell r="M3185">
            <v>64</v>
          </cell>
          <cell r="P3185">
            <v>0.14000000000000001</v>
          </cell>
        </row>
        <row r="3186">
          <cell r="A3186" t="str">
            <v>BPB-033-OL-50-1</v>
          </cell>
          <cell r="G3186" t="str">
            <v>IDESP</v>
          </cell>
          <cell r="L3186">
            <v>44858</v>
          </cell>
          <cell r="M3186">
            <v>159.5</v>
          </cell>
          <cell r="P3186">
            <v>0.21</v>
          </cell>
        </row>
        <row r="3187">
          <cell r="A3187" t="str">
            <v>BPB-033-OL-50-1-SS</v>
          </cell>
          <cell r="G3187" t="str">
            <v>IDESP</v>
          </cell>
          <cell r="L3187">
            <v>40228</v>
          </cell>
          <cell r="M3187">
            <v>3.88</v>
          </cell>
          <cell r="P3187">
            <v>0.88</v>
          </cell>
        </row>
        <row r="3188">
          <cell r="A3188" t="str">
            <v>BPB-033-OL-50-1H</v>
          </cell>
          <cell r="G3188" t="str">
            <v>IDESP</v>
          </cell>
          <cell r="L3188">
            <v>44858</v>
          </cell>
          <cell r="M3188">
            <v>159.5</v>
          </cell>
          <cell r="P3188">
            <v>0.27</v>
          </cell>
        </row>
        <row r="3189">
          <cell r="A3189" t="str">
            <v>BPB-033-OL-50-2</v>
          </cell>
          <cell r="G3189" t="str">
            <v>IDESP</v>
          </cell>
          <cell r="L3189">
            <v>40228</v>
          </cell>
          <cell r="M3189">
            <v>3.88</v>
          </cell>
          <cell r="P3189">
            <v>0.33</v>
          </cell>
        </row>
        <row r="3190">
          <cell r="A3190" t="str">
            <v>BPB-033-OL-60-1</v>
          </cell>
          <cell r="G3190" t="str">
            <v>IDESP</v>
          </cell>
          <cell r="L3190">
            <v>44858</v>
          </cell>
          <cell r="M3190">
            <v>159.5</v>
          </cell>
          <cell r="P3190">
            <v>0.32</v>
          </cell>
        </row>
        <row r="3191">
          <cell r="A3191" t="str">
            <v>BPB-033-OL-60-1H</v>
          </cell>
          <cell r="G3191" t="str">
            <v>IDESP</v>
          </cell>
          <cell r="L3191">
            <v>44748</v>
          </cell>
          <cell r="M3191">
            <v>131.75</v>
          </cell>
          <cell r="P3191">
            <v>0.42</v>
          </cell>
        </row>
        <row r="3192">
          <cell r="A3192" t="str">
            <v>BPB-033-OL-60-2</v>
          </cell>
          <cell r="G3192" t="str">
            <v>IDESP</v>
          </cell>
          <cell r="L3192">
            <v>44858</v>
          </cell>
          <cell r="M3192">
            <v>159.5</v>
          </cell>
          <cell r="P3192">
            <v>0.69</v>
          </cell>
        </row>
        <row r="3193">
          <cell r="A3193" t="str">
            <v>BPB-033-OL-80-1</v>
          </cell>
          <cell r="G3193" t="str">
            <v>IDESP</v>
          </cell>
          <cell r="L3193">
            <v>44858</v>
          </cell>
          <cell r="M3193">
            <v>159.5</v>
          </cell>
          <cell r="P3193">
            <v>0.89</v>
          </cell>
        </row>
        <row r="3194">
          <cell r="A3194" t="str">
            <v>BPB-033-OL-80-1-H</v>
          </cell>
          <cell r="G3194" t="str">
            <v>IDESP</v>
          </cell>
          <cell r="L3194">
            <v>44858</v>
          </cell>
          <cell r="M3194">
            <v>159.5</v>
          </cell>
          <cell r="P3194">
            <v>1.2</v>
          </cell>
        </row>
        <row r="3195">
          <cell r="A3195" t="str">
            <v>BPB-033-OL-80-2</v>
          </cell>
          <cell r="G3195" t="str">
            <v>IDESP</v>
          </cell>
          <cell r="L3195">
            <v>44748</v>
          </cell>
          <cell r="M3195">
            <v>131.75</v>
          </cell>
          <cell r="P3195">
            <v>1.66</v>
          </cell>
        </row>
        <row r="3196">
          <cell r="A3196" t="str">
            <v>BPB-033-PB000152</v>
          </cell>
          <cell r="G3196" t="str">
            <v>VPRet</v>
          </cell>
          <cell r="L3196">
            <v>42823</v>
          </cell>
          <cell r="M3196">
            <v>15.89</v>
          </cell>
          <cell r="P3196">
            <v>4.3650094398993078</v>
          </cell>
        </row>
        <row r="3197">
          <cell r="A3197" t="str">
            <v>BPB-033-PB000153</v>
          </cell>
          <cell r="G3197" t="str">
            <v>VPRet</v>
          </cell>
          <cell r="L3197">
            <v>42510</v>
          </cell>
          <cell r="M3197">
            <v>14.45</v>
          </cell>
          <cell r="P3197">
            <v>4.4710034602076121</v>
          </cell>
        </row>
        <row r="3198">
          <cell r="A3198" t="str">
            <v>BPB-033-PIN-CA627</v>
          </cell>
          <cell r="G3198" t="str">
            <v>IDESP</v>
          </cell>
          <cell r="L3198">
            <v>43955</v>
          </cell>
          <cell r="M3198">
            <v>68.75</v>
          </cell>
          <cell r="P3198">
            <v>0.05</v>
          </cell>
        </row>
        <row r="3199">
          <cell r="A3199" t="str">
            <v>BPB-034-AISI304ESP-2</v>
          </cell>
          <cell r="G3199" t="str">
            <v xml:space="preserve">INAC </v>
          </cell>
          <cell r="L3199">
            <v>44680</v>
          </cell>
          <cell r="M3199">
            <v>119.75</v>
          </cell>
          <cell r="P3199">
            <v>242.17118997912317</v>
          </cell>
        </row>
        <row r="3200">
          <cell r="A3200" t="str">
            <v>BPB-034-G-22-PB</v>
          </cell>
          <cell r="G3200" t="str">
            <v>IDESP</v>
          </cell>
          <cell r="L3200">
            <v>39706</v>
          </cell>
          <cell r="M3200">
            <v>3.0819999999999999</v>
          </cell>
          <cell r="P3200">
            <v>3.03</v>
          </cell>
        </row>
        <row r="3201">
          <cell r="A3201" t="str">
            <v>BPB-034-G-22-PW</v>
          </cell>
          <cell r="G3201" t="str">
            <v>IDESP</v>
          </cell>
          <cell r="L3201">
            <v>39743</v>
          </cell>
          <cell r="M3201">
            <v>3.2109999999999999</v>
          </cell>
          <cell r="P3201">
            <v>3.33</v>
          </cell>
        </row>
        <row r="3202">
          <cell r="A3202" t="str">
            <v>BPB-034-G20-PB</v>
          </cell>
          <cell r="G3202" t="str">
            <v>IDESP</v>
          </cell>
          <cell r="L3202">
            <v>40672</v>
          </cell>
          <cell r="M3202">
            <v>4.1100000000000003</v>
          </cell>
          <cell r="P3202">
            <v>2.5609999999999999</v>
          </cell>
        </row>
        <row r="3203">
          <cell r="A3203" t="str">
            <v>BPB-034-GE-15-ES-2RS</v>
          </cell>
          <cell r="G3203" t="str">
            <v>INDEV</v>
          </cell>
          <cell r="L3203">
            <v>39902</v>
          </cell>
          <cell r="M3203">
            <v>3.7160000000000002</v>
          </cell>
          <cell r="P3203">
            <v>0.70500538213132402</v>
          </cell>
        </row>
        <row r="3204">
          <cell r="A3204" t="str">
            <v>BPB-034-GE-17-ES-2RS</v>
          </cell>
          <cell r="G3204" t="str">
            <v>INDEV</v>
          </cell>
          <cell r="L3204">
            <v>39902</v>
          </cell>
          <cell r="M3204">
            <v>3.7160000000000002</v>
          </cell>
          <cell r="P3204">
            <v>0.73299246501614645</v>
          </cell>
        </row>
        <row r="3205">
          <cell r="A3205" t="str">
            <v>BPB-034-GE-20-ES-2RS</v>
          </cell>
          <cell r="G3205" t="str">
            <v>INDEV</v>
          </cell>
          <cell r="L3205">
            <v>40149</v>
          </cell>
          <cell r="M3205">
            <v>3.82</v>
          </cell>
          <cell r="P3205">
            <v>0.7330104712041885</v>
          </cell>
        </row>
        <row r="3206">
          <cell r="A3206" t="str">
            <v>BPB-034-GE-20-FW</v>
          </cell>
          <cell r="G3206" t="str">
            <v>IDESP</v>
          </cell>
          <cell r="L3206">
            <v>39706</v>
          </cell>
          <cell r="M3206">
            <v>3.0819999999999999</v>
          </cell>
          <cell r="P3206">
            <v>2.5</v>
          </cell>
        </row>
        <row r="3207">
          <cell r="A3207" t="str">
            <v>BPB-034-GE-20-FW-2RS</v>
          </cell>
          <cell r="G3207" t="str">
            <v>INPEE</v>
          </cell>
          <cell r="L3207">
            <v>39360</v>
          </cell>
          <cell r="M3207">
            <v>3.1549999999999998</v>
          </cell>
          <cell r="P3207">
            <v>3.25</v>
          </cell>
        </row>
        <row r="3208">
          <cell r="A3208" t="str">
            <v>BPB-034-GE-25-ES-2RS</v>
          </cell>
          <cell r="G3208" t="str">
            <v>IDESP</v>
          </cell>
          <cell r="L3208">
            <v>43521</v>
          </cell>
          <cell r="M3208">
            <v>40.1</v>
          </cell>
          <cell r="P3208">
            <v>1.06</v>
          </cell>
        </row>
        <row r="3209">
          <cell r="A3209" t="str">
            <v>BPB-034-GE-25-FW</v>
          </cell>
          <cell r="G3209" t="str">
            <v>IDESP</v>
          </cell>
          <cell r="L3209">
            <v>39706</v>
          </cell>
          <cell r="M3209">
            <v>3.0819999999999999</v>
          </cell>
          <cell r="P3209">
            <v>3.18</v>
          </cell>
        </row>
        <row r="3210">
          <cell r="A3210" t="str">
            <v>BPB-034-GE-30-ES-2RS</v>
          </cell>
          <cell r="G3210" t="str">
            <v>IDESP</v>
          </cell>
          <cell r="L3210">
            <v>42678</v>
          </cell>
          <cell r="M3210">
            <v>15.31</v>
          </cell>
          <cell r="P3210">
            <v>1.4530000000000001</v>
          </cell>
        </row>
        <row r="3211">
          <cell r="A3211" t="str">
            <v>BPB-034-GE-35-ES-2RS</v>
          </cell>
          <cell r="G3211" t="str">
            <v>IDESP</v>
          </cell>
          <cell r="L3211">
            <v>45903</v>
          </cell>
          <cell r="M3211">
            <v>1375</v>
          </cell>
          <cell r="P3211">
            <v>1.92</v>
          </cell>
        </row>
        <row r="3212">
          <cell r="A3212" t="str">
            <v>BPB-034-GE-40-ES-2RS</v>
          </cell>
          <cell r="G3212" t="str">
            <v>IDESP</v>
          </cell>
          <cell r="L3212">
            <v>44151</v>
          </cell>
          <cell r="M3212">
            <v>85</v>
          </cell>
          <cell r="P3212">
            <v>2.58</v>
          </cell>
        </row>
        <row r="3213">
          <cell r="A3213" t="str">
            <v>BPB-034-GE-45</v>
          </cell>
          <cell r="G3213" t="str">
            <v xml:space="preserve">INSI </v>
          </cell>
          <cell r="L3213">
            <v>43395</v>
          </cell>
          <cell r="M3213">
            <v>37.5</v>
          </cell>
          <cell r="P3213">
            <v>0.2429</v>
          </cell>
        </row>
        <row r="3214">
          <cell r="A3214" t="str">
            <v>BPB-034-GE-50-ES-2RS</v>
          </cell>
          <cell r="G3214" t="str">
            <v>IDESP</v>
          </cell>
          <cell r="L3214">
            <v>43320</v>
          </cell>
          <cell r="M3214">
            <v>27.9</v>
          </cell>
          <cell r="P3214">
            <v>3.65</v>
          </cell>
        </row>
        <row r="3215">
          <cell r="A3215" t="str">
            <v>BPB-034-GE-60-ES-2RS</v>
          </cell>
          <cell r="G3215" t="str">
            <v>IDESP</v>
          </cell>
          <cell r="L3215">
            <v>42678</v>
          </cell>
          <cell r="M3215">
            <v>15.31</v>
          </cell>
          <cell r="P3215">
            <v>5.9480000000000004</v>
          </cell>
        </row>
        <row r="3216">
          <cell r="A3216" t="str">
            <v>BPB-034-GE20-12UK2RS</v>
          </cell>
          <cell r="G3216" t="str">
            <v>IDESP</v>
          </cell>
          <cell r="L3216">
            <v>43326</v>
          </cell>
          <cell r="M3216">
            <v>30.5</v>
          </cell>
          <cell r="P3216">
            <v>1.71</v>
          </cell>
        </row>
        <row r="3217">
          <cell r="A3217" t="str">
            <v>BPB-034-GE25AW</v>
          </cell>
          <cell r="G3217" t="str">
            <v>IDESP</v>
          </cell>
          <cell r="L3217">
            <v>40354</v>
          </cell>
          <cell r="M3217">
            <v>3.95</v>
          </cell>
          <cell r="P3217">
            <v>1</v>
          </cell>
        </row>
        <row r="3218">
          <cell r="A3218" t="str">
            <v>BPB-034-GE25AX</v>
          </cell>
          <cell r="G3218" t="str">
            <v>IDESP</v>
          </cell>
          <cell r="L3218">
            <v>40354</v>
          </cell>
          <cell r="M3218">
            <v>3.95</v>
          </cell>
          <cell r="P3218">
            <v>1</v>
          </cell>
        </row>
        <row r="3219">
          <cell r="A3219" t="str">
            <v>BPB-034-GE28SX</v>
          </cell>
          <cell r="G3219" t="str">
            <v>IDESP</v>
          </cell>
          <cell r="L3219">
            <v>40354</v>
          </cell>
          <cell r="M3219">
            <v>3.95</v>
          </cell>
          <cell r="P3219">
            <v>1</v>
          </cell>
        </row>
        <row r="3220">
          <cell r="A3220" t="str">
            <v>BPB-034-GE30-UK2RS</v>
          </cell>
          <cell r="G3220" t="str">
            <v>IDESP</v>
          </cell>
          <cell r="L3220">
            <v>39629</v>
          </cell>
          <cell r="M3220">
            <v>3.0259999999999998</v>
          </cell>
          <cell r="P3220">
            <v>2.5510000000000002</v>
          </cell>
        </row>
        <row r="3221">
          <cell r="A3221" t="str">
            <v>BPB-034-GE35-UK2RS</v>
          </cell>
          <cell r="G3221" t="str">
            <v>IDESP</v>
          </cell>
          <cell r="L3221">
            <v>39629</v>
          </cell>
          <cell r="M3221">
            <v>3.0259999999999998</v>
          </cell>
          <cell r="P3221">
            <v>3.0609999999999999</v>
          </cell>
        </row>
        <row r="3222">
          <cell r="A3222" t="str">
            <v>BPB-034-GEG-35-ES-2R</v>
          </cell>
          <cell r="G3222" t="str">
            <v>IDESP</v>
          </cell>
          <cell r="L3222">
            <v>40666</v>
          </cell>
          <cell r="M3222">
            <v>4.1100000000000003</v>
          </cell>
          <cell r="P3222">
            <v>2.536</v>
          </cell>
        </row>
        <row r="3223">
          <cell r="A3223" t="str">
            <v>BPB-034-GEG20ES-2RS</v>
          </cell>
          <cell r="G3223" t="str">
            <v xml:space="preserve">INAC </v>
          </cell>
          <cell r="L3223">
            <v>44832</v>
          </cell>
          <cell r="M3223">
            <v>152.75</v>
          </cell>
          <cell r="P3223">
            <v>22.913256955810148</v>
          </cell>
        </row>
        <row r="3224">
          <cell r="A3224" t="str">
            <v>BPB-034-GEG25ES-2RS</v>
          </cell>
          <cell r="G3224" t="str">
            <v>IDESP</v>
          </cell>
          <cell r="L3224">
            <v>39686</v>
          </cell>
          <cell r="M3224">
            <v>3.0259999999999998</v>
          </cell>
          <cell r="P3224">
            <v>0.5</v>
          </cell>
        </row>
        <row r="3225">
          <cell r="A3225" t="str">
            <v>BPB-034-GEG30ES-2RS</v>
          </cell>
          <cell r="G3225" t="str">
            <v>IDESP</v>
          </cell>
          <cell r="L3225">
            <v>39686</v>
          </cell>
          <cell r="M3225">
            <v>3.0259999999999998</v>
          </cell>
          <cell r="P3225">
            <v>0.6</v>
          </cell>
        </row>
        <row r="3226">
          <cell r="A3226" t="str">
            <v>BPB-034-GEZ-012-ES</v>
          </cell>
          <cell r="G3226" t="str">
            <v>IDESP</v>
          </cell>
          <cell r="L3226">
            <v>43320</v>
          </cell>
          <cell r="M3226">
            <v>27.9</v>
          </cell>
          <cell r="P3226">
            <v>1.43</v>
          </cell>
        </row>
        <row r="3227">
          <cell r="A3227" t="str">
            <v>BPB-034-GEZ-014-ES-2</v>
          </cell>
          <cell r="G3227" t="str">
            <v>IDESP</v>
          </cell>
          <cell r="L3227">
            <v>43320</v>
          </cell>
          <cell r="M3227">
            <v>27.9</v>
          </cell>
          <cell r="P3227">
            <v>1.74</v>
          </cell>
        </row>
        <row r="3228">
          <cell r="A3228" t="str">
            <v>BPB-034-GEZ-100-ES-2</v>
          </cell>
          <cell r="G3228" t="str">
            <v>IDESP</v>
          </cell>
          <cell r="L3228">
            <v>42678</v>
          </cell>
          <cell r="M3228">
            <v>15.31</v>
          </cell>
          <cell r="P3228">
            <v>1.6659999999999999</v>
          </cell>
        </row>
        <row r="3229">
          <cell r="A3229" t="str">
            <v>BPB-034-GEZ-104-ES-2</v>
          </cell>
          <cell r="G3229" t="str">
            <v>IDESP</v>
          </cell>
          <cell r="L3229">
            <v>39442</v>
          </cell>
          <cell r="M3229">
            <v>3.141</v>
          </cell>
          <cell r="P3229">
            <v>2.1139999999999999</v>
          </cell>
        </row>
        <row r="3230">
          <cell r="A3230" t="str">
            <v>BPB-034-GEZ-108-ES-2</v>
          </cell>
          <cell r="G3230" t="str">
            <v>IDESP</v>
          </cell>
          <cell r="L3230">
            <v>41621</v>
          </cell>
          <cell r="M3230">
            <v>6.28</v>
          </cell>
          <cell r="P3230">
            <v>3.77</v>
          </cell>
        </row>
        <row r="3231">
          <cell r="A3231" t="str">
            <v>BPB-034-GEZ-12ES-2RS</v>
          </cell>
          <cell r="G3231" t="str">
            <v>IDESP</v>
          </cell>
          <cell r="L3231">
            <v>43283</v>
          </cell>
          <cell r="M3231">
            <v>29.4</v>
          </cell>
          <cell r="P3231">
            <v>1.58</v>
          </cell>
        </row>
        <row r="3232">
          <cell r="A3232" t="str">
            <v>BPB-034-GEZ-14ES-2RS</v>
          </cell>
          <cell r="G3232" t="str">
            <v>IDESP</v>
          </cell>
          <cell r="L3232">
            <v>43283</v>
          </cell>
          <cell r="M3232">
            <v>29.4</v>
          </cell>
          <cell r="P3232">
            <v>1.81</v>
          </cell>
        </row>
        <row r="3233">
          <cell r="A3233" t="str">
            <v>BPB-034-GEZ-200-ES-2</v>
          </cell>
          <cell r="G3233" t="str">
            <v>IDESP</v>
          </cell>
          <cell r="L3233">
            <v>39442</v>
          </cell>
          <cell r="M3233">
            <v>3.141</v>
          </cell>
          <cell r="P3233">
            <v>5.3550000000000004</v>
          </cell>
        </row>
        <row r="3234">
          <cell r="A3234" t="str">
            <v>BPB-034-KM-25-D</v>
          </cell>
          <cell r="G3234" t="str">
            <v>VPRet</v>
          </cell>
          <cell r="L3234">
            <v>43033</v>
          </cell>
          <cell r="M3234">
            <v>17.78</v>
          </cell>
          <cell r="P3234">
            <v>5.7789404949381318</v>
          </cell>
        </row>
        <row r="3235">
          <cell r="A3235" t="str">
            <v>BPB-034-KM-25-I</v>
          </cell>
          <cell r="G3235" t="str">
            <v>VPRet</v>
          </cell>
          <cell r="L3235">
            <v>43033</v>
          </cell>
          <cell r="M3235">
            <v>17.78</v>
          </cell>
          <cell r="P3235">
            <v>5.7789404949381318</v>
          </cell>
        </row>
        <row r="3236">
          <cell r="A3236" t="str">
            <v>BPB-034-PHS-10-Der.</v>
          </cell>
          <cell r="G3236" t="str">
            <v>IDESP</v>
          </cell>
          <cell r="L3236">
            <v>44453</v>
          </cell>
          <cell r="M3236">
            <v>103.25</v>
          </cell>
          <cell r="P3236">
            <v>1.27</v>
          </cell>
        </row>
        <row r="3237">
          <cell r="A3237" t="str">
            <v>BPB-034-PHS-10-Izq.</v>
          </cell>
          <cell r="G3237" t="str">
            <v>IDESP</v>
          </cell>
          <cell r="L3237">
            <v>42447</v>
          </cell>
          <cell r="M3237">
            <v>15.15</v>
          </cell>
          <cell r="P3237">
            <v>1.147</v>
          </cell>
        </row>
        <row r="3238">
          <cell r="A3238" t="str">
            <v>BPB-034-PHS-12-Der.</v>
          </cell>
          <cell r="G3238" t="str">
            <v xml:space="preserve">INAC </v>
          </cell>
          <cell r="L3238">
            <v>45324</v>
          </cell>
          <cell r="M3238">
            <v>846</v>
          </cell>
          <cell r="P3238">
            <v>16.90307328605201</v>
          </cell>
        </row>
        <row r="3239">
          <cell r="A3239" t="str">
            <v>BPB-034-PHS-12-Izq.</v>
          </cell>
          <cell r="G3239" t="str">
            <v>IDESP</v>
          </cell>
          <cell r="L3239">
            <v>43320</v>
          </cell>
          <cell r="M3239">
            <v>27.9</v>
          </cell>
          <cell r="P3239">
            <v>1.55</v>
          </cell>
        </row>
        <row r="3240">
          <cell r="A3240" t="str">
            <v>BPB-034-PHS-14-Der.</v>
          </cell>
          <cell r="G3240" t="str">
            <v>IDESP</v>
          </cell>
          <cell r="L3240">
            <v>40574</v>
          </cell>
          <cell r="M3240">
            <v>4.0199999999999996</v>
          </cell>
          <cell r="P3240">
            <v>1.343</v>
          </cell>
        </row>
        <row r="3241">
          <cell r="A3241" t="str">
            <v>BPB-034-PHS-14-Izq.</v>
          </cell>
          <cell r="G3241" t="str">
            <v>IDESP</v>
          </cell>
          <cell r="L3241">
            <v>40574</v>
          </cell>
          <cell r="M3241">
            <v>4.0199999999999996</v>
          </cell>
          <cell r="P3241">
            <v>1.343</v>
          </cell>
        </row>
        <row r="3242">
          <cell r="A3242" t="str">
            <v>BPB-034-PHS-16-Der.</v>
          </cell>
          <cell r="G3242" t="str">
            <v>IDESP</v>
          </cell>
          <cell r="L3242">
            <v>40574</v>
          </cell>
          <cell r="M3242">
            <v>4.0199999999999996</v>
          </cell>
          <cell r="P3242">
            <v>1.7749999999999999</v>
          </cell>
        </row>
        <row r="3243">
          <cell r="A3243" t="str">
            <v>BPB-034-PHS-18-Der.</v>
          </cell>
          <cell r="G3243" t="str">
            <v>IDESP</v>
          </cell>
          <cell r="L3243">
            <v>40574</v>
          </cell>
          <cell r="M3243">
            <v>4.0199999999999996</v>
          </cell>
          <cell r="P3243">
            <v>2.238</v>
          </cell>
        </row>
        <row r="3244">
          <cell r="A3244" t="str">
            <v>BPB-034-PHS-18-Izq.</v>
          </cell>
          <cell r="G3244" t="str">
            <v>IDESP</v>
          </cell>
          <cell r="L3244">
            <v>40574</v>
          </cell>
          <cell r="M3244">
            <v>4.0199999999999996</v>
          </cell>
          <cell r="P3244">
            <v>2.238</v>
          </cell>
        </row>
        <row r="3245">
          <cell r="A3245" t="str">
            <v>BPB-034-PHS-20-Der.</v>
          </cell>
          <cell r="G3245" t="str">
            <v>IDESP</v>
          </cell>
          <cell r="L3245">
            <v>43521</v>
          </cell>
          <cell r="M3245">
            <v>40.1</v>
          </cell>
          <cell r="P3245">
            <v>3.84</v>
          </cell>
        </row>
        <row r="3246">
          <cell r="A3246" t="str">
            <v>BPB-034-PHS-20-Izq.</v>
          </cell>
          <cell r="G3246" t="str">
            <v>IDESP</v>
          </cell>
          <cell r="L3246">
            <v>43521</v>
          </cell>
          <cell r="M3246">
            <v>40.1</v>
          </cell>
          <cell r="P3246">
            <v>3.84</v>
          </cell>
        </row>
        <row r="3247">
          <cell r="A3247" t="str">
            <v>BPB-034-PHS-22-Der.</v>
          </cell>
          <cell r="G3247" t="str">
            <v>IDESP</v>
          </cell>
          <cell r="L3247">
            <v>40574</v>
          </cell>
          <cell r="M3247">
            <v>4.0199999999999996</v>
          </cell>
          <cell r="P3247">
            <v>3.431</v>
          </cell>
        </row>
        <row r="3248">
          <cell r="A3248" t="str">
            <v>BPB-034-PHS-22-Izq.</v>
          </cell>
          <cell r="G3248" t="str">
            <v>IDESP</v>
          </cell>
          <cell r="L3248">
            <v>40574</v>
          </cell>
          <cell r="M3248">
            <v>4.0199999999999996</v>
          </cell>
          <cell r="P3248">
            <v>3.431</v>
          </cell>
        </row>
        <row r="3249">
          <cell r="A3249" t="str">
            <v>BPB-034-PHS-25-Der.</v>
          </cell>
          <cell r="G3249" t="str">
            <v>IDESP</v>
          </cell>
          <cell r="L3249">
            <v>44453</v>
          </cell>
          <cell r="M3249">
            <v>103.25</v>
          </cell>
          <cell r="P3249">
            <v>8.0177999999999994</v>
          </cell>
        </row>
        <row r="3250">
          <cell r="A3250" t="str">
            <v>BPB-034-PHS-25-Izq.</v>
          </cell>
          <cell r="G3250" t="str">
            <v>IDESP</v>
          </cell>
          <cell r="L3250">
            <v>40574</v>
          </cell>
          <cell r="M3250">
            <v>4.0199999999999996</v>
          </cell>
          <cell r="P3250">
            <v>4.4740000000000002</v>
          </cell>
        </row>
        <row r="3251">
          <cell r="A3251" t="str">
            <v>BPB-034-PHS-5-Der.</v>
          </cell>
          <cell r="G3251" t="str">
            <v>IDESP</v>
          </cell>
          <cell r="L3251">
            <v>40574</v>
          </cell>
          <cell r="M3251">
            <v>4.0199999999999996</v>
          </cell>
          <cell r="P3251">
            <v>0.76100000000000001</v>
          </cell>
        </row>
        <row r="3252">
          <cell r="A3252" t="str">
            <v>BPB-034-PHS-5-Izq.</v>
          </cell>
          <cell r="G3252" t="str">
            <v>IDESP</v>
          </cell>
          <cell r="L3252">
            <v>40574</v>
          </cell>
          <cell r="M3252">
            <v>4.0199999999999996</v>
          </cell>
          <cell r="P3252">
            <v>0.76100000000000001</v>
          </cell>
        </row>
        <row r="3253">
          <cell r="A3253" t="str">
            <v>BPB-034-PHS-6-Der.</v>
          </cell>
          <cell r="G3253" t="str">
            <v>IDESP</v>
          </cell>
          <cell r="L3253">
            <v>45958</v>
          </cell>
          <cell r="M3253">
            <v>1460</v>
          </cell>
          <cell r="P3253">
            <v>1.07</v>
          </cell>
        </row>
        <row r="3254">
          <cell r="A3254" t="str">
            <v>BPB-034-PHS-6-Izq.</v>
          </cell>
          <cell r="G3254" t="str">
            <v>IDESP</v>
          </cell>
          <cell r="L3254">
            <v>43320</v>
          </cell>
          <cell r="M3254">
            <v>27.9</v>
          </cell>
          <cell r="P3254">
            <v>1.03</v>
          </cell>
        </row>
        <row r="3255">
          <cell r="A3255" t="str">
            <v>BPB-034-PHS-8-DER</v>
          </cell>
          <cell r="G3255" t="str">
            <v xml:space="preserve">INAC </v>
          </cell>
          <cell r="L3255">
            <v>44916</v>
          </cell>
          <cell r="M3255">
            <v>180</v>
          </cell>
          <cell r="P3255">
            <v>7.1722222222222225</v>
          </cell>
        </row>
        <row r="3256">
          <cell r="A3256" t="str">
            <v>BPB-034-PHS-8-IZQ</v>
          </cell>
          <cell r="G3256" t="str">
            <v>IDESP</v>
          </cell>
          <cell r="L3256">
            <v>44453</v>
          </cell>
          <cell r="M3256">
            <v>103.25</v>
          </cell>
          <cell r="P3256">
            <v>1.1200000000000001</v>
          </cell>
        </row>
        <row r="3257">
          <cell r="A3257" t="str">
            <v>BPB-034-PHSB-6</v>
          </cell>
          <cell r="G3257" t="str">
            <v>IDESP</v>
          </cell>
          <cell r="L3257">
            <v>42678</v>
          </cell>
          <cell r="M3257">
            <v>15.31</v>
          </cell>
          <cell r="P3257">
            <v>2.4239999999999999</v>
          </cell>
        </row>
        <row r="3258">
          <cell r="A3258" t="str">
            <v>BPB-034-PHSB-8-Der.</v>
          </cell>
          <cell r="G3258" t="str">
            <v>IDESP</v>
          </cell>
          <cell r="L3258">
            <v>43521</v>
          </cell>
          <cell r="M3258">
            <v>40.1</v>
          </cell>
          <cell r="P3258">
            <v>2.62</v>
          </cell>
        </row>
        <row r="3259">
          <cell r="A3259" t="str">
            <v>BPB-034-PORTA-ROT-D</v>
          </cell>
          <cell r="G3259" t="str">
            <v>InRet</v>
          </cell>
          <cell r="L3259">
            <v>41002</v>
          </cell>
          <cell r="M3259">
            <v>4.3899999999999997</v>
          </cell>
          <cell r="P3259">
            <v>12.072892938496585</v>
          </cell>
        </row>
        <row r="3260">
          <cell r="A3260" t="str">
            <v>BPB-034-PORTA-ROT-I</v>
          </cell>
          <cell r="G3260" t="str">
            <v>InRet</v>
          </cell>
          <cell r="L3260">
            <v>41002</v>
          </cell>
          <cell r="M3260">
            <v>4.3899999999999997</v>
          </cell>
          <cell r="P3260">
            <v>12.072892938496585</v>
          </cell>
        </row>
        <row r="3261">
          <cell r="A3261" t="str">
            <v>BPB-034-PORTAPOSB30H</v>
          </cell>
          <cell r="G3261" t="str">
            <v>InRet</v>
          </cell>
          <cell r="L3261">
            <v>40192</v>
          </cell>
          <cell r="M3261">
            <v>3.82</v>
          </cell>
          <cell r="P3261">
            <v>12.505235602094242</v>
          </cell>
        </row>
        <row r="3262">
          <cell r="A3262" t="str">
            <v>BPB-034-POS-10-Der.</v>
          </cell>
          <cell r="G3262" t="str">
            <v>IDESP</v>
          </cell>
          <cell r="L3262">
            <v>43320</v>
          </cell>
          <cell r="M3262">
            <v>27.9</v>
          </cell>
          <cell r="P3262">
            <v>1.22</v>
          </cell>
        </row>
        <row r="3263">
          <cell r="A3263" t="str">
            <v>BPB-034-POS-10-Izq.</v>
          </cell>
          <cell r="G3263" t="str">
            <v>IDESP</v>
          </cell>
          <cell r="L3263">
            <v>44453</v>
          </cell>
          <cell r="M3263">
            <v>103.25</v>
          </cell>
          <cell r="P3263">
            <v>1.34</v>
          </cell>
        </row>
        <row r="3264">
          <cell r="A3264" t="str">
            <v>BPB-034-POS-12-Der.</v>
          </cell>
          <cell r="G3264" t="str">
            <v>IDESP</v>
          </cell>
          <cell r="L3264">
            <v>44453</v>
          </cell>
          <cell r="M3264">
            <v>103.25</v>
          </cell>
          <cell r="P3264">
            <v>1.72</v>
          </cell>
        </row>
        <row r="3265">
          <cell r="A3265" t="str">
            <v>BPB-034-POS-12-Izq.</v>
          </cell>
          <cell r="G3265" t="str">
            <v>IDESP</v>
          </cell>
          <cell r="L3265">
            <v>44453</v>
          </cell>
          <cell r="M3265">
            <v>103.25</v>
          </cell>
          <cell r="P3265">
            <v>1.7</v>
          </cell>
        </row>
        <row r="3266">
          <cell r="A3266" t="str">
            <v>BPB-034-POS-14-Der.</v>
          </cell>
          <cell r="G3266" t="str">
            <v>IDESP</v>
          </cell>
          <cell r="L3266">
            <v>44453</v>
          </cell>
          <cell r="M3266">
            <v>103.25</v>
          </cell>
          <cell r="P3266">
            <v>2.12</v>
          </cell>
        </row>
        <row r="3267">
          <cell r="A3267" t="str">
            <v>BPB-034-POS-14-Izq.</v>
          </cell>
          <cell r="G3267" t="str">
            <v>IDESP</v>
          </cell>
          <cell r="L3267">
            <v>43521</v>
          </cell>
          <cell r="M3267">
            <v>40.1</v>
          </cell>
          <cell r="P3267">
            <v>1.77</v>
          </cell>
        </row>
        <row r="3268">
          <cell r="A3268" t="str">
            <v>BPB-034-POS-16-Der.</v>
          </cell>
          <cell r="G3268" t="str">
            <v>IDESP</v>
          </cell>
          <cell r="L3268">
            <v>43320</v>
          </cell>
          <cell r="M3268">
            <v>27.9</v>
          </cell>
          <cell r="P3268">
            <v>2.2599999999999998</v>
          </cell>
        </row>
        <row r="3269">
          <cell r="A3269" t="str">
            <v>BPB-034-POS-16-Izq.</v>
          </cell>
          <cell r="G3269" t="str">
            <v>IDESP</v>
          </cell>
          <cell r="L3269">
            <v>43320</v>
          </cell>
          <cell r="M3269">
            <v>27.9</v>
          </cell>
          <cell r="P3269">
            <v>2.2599999999999998</v>
          </cell>
        </row>
        <row r="3270">
          <cell r="A3270" t="str">
            <v>BPB-034-POS-18-Der.</v>
          </cell>
          <cell r="G3270" t="str">
            <v>IDESP</v>
          </cell>
          <cell r="L3270">
            <v>40574</v>
          </cell>
          <cell r="M3270">
            <v>4.0199999999999996</v>
          </cell>
          <cell r="P3270">
            <v>2.2370000000000001</v>
          </cell>
        </row>
        <row r="3271">
          <cell r="A3271" t="str">
            <v>BPB-034-POS-18-Izq.</v>
          </cell>
          <cell r="G3271" t="str">
            <v>IDESP</v>
          </cell>
          <cell r="L3271">
            <v>40574</v>
          </cell>
          <cell r="M3271">
            <v>4.0199999999999996</v>
          </cell>
          <cell r="P3271">
            <v>2.2370000000000001</v>
          </cell>
        </row>
        <row r="3272">
          <cell r="A3272" t="str">
            <v>BPB-034-POS-20-Der.</v>
          </cell>
          <cell r="G3272" t="str">
            <v>IDESP</v>
          </cell>
          <cell r="L3272">
            <v>42545</v>
          </cell>
          <cell r="M3272">
            <v>14.58</v>
          </cell>
          <cell r="P3272">
            <v>3.53</v>
          </cell>
        </row>
        <row r="3273">
          <cell r="A3273" t="str">
            <v>BPB-034-POS-20-Izq.</v>
          </cell>
          <cell r="G3273" t="str">
            <v>IDESP</v>
          </cell>
          <cell r="L3273">
            <v>40574</v>
          </cell>
          <cell r="M3273">
            <v>4.0199999999999996</v>
          </cell>
          <cell r="P3273">
            <v>2.7890000000000001</v>
          </cell>
        </row>
        <row r="3274">
          <cell r="A3274" t="str">
            <v>BPB-034-POS-22-Der.</v>
          </cell>
          <cell r="G3274" t="str">
            <v>IDESP</v>
          </cell>
          <cell r="L3274">
            <v>43320</v>
          </cell>
          <cell r="M3274">
            <v>27.9</v>
          </cell>
          <cell r="P3274">
            <v>5.45</v>
          </cell>
        </row>
        <row r="3275">
          <cell r="A3275" t="str">
            <v>BPB-034-POS-22-Izq.</v>
          </cell>
          <cell r="G3275" t="str">
            <v>IDESP</v>
          </cell>
          <cell r="L3275">
            <v>40574</v>
          </cell>
          <cell r="M3275">
            <v>4.0199999999999996</v>
          </cell>
          <cell r="P3275">
            <v>3.431</v>
          </cell>
        </row>
        <row r="3276">
          <cell r="A3276" t="str">
            <v>BPB-034-POS-25-Der.</v>
          </cell>
          <cell r="G3276" t="str">
            <v>IDESP</v>
          </cell>
          <cell r="L3276">
            <v>43851</v>
          </cell>
          <cell r="M3276">
            <v>63</v>
          </cell>
          <cell r="P3276">
            <v>6.98</v>
          </cell>
        </row>
        <row r="3277">
          <cell r="A3277" t="str">
            <v>BPB-034-POS-25-Izq.</v>
          </cell>
          <cell r="G3277" t="str">
            <v>IDESP</v>
          </cell>
          <cell r="L3277">
            <v>40574</v>
          </cell>
          <cell r="M3277">
            <v>4.0199999999999996</v>
          </cell>
          <cell r="P3277">
            <v>4.4740000000000002</v>
          </cell>
        </row>
        <row r="3278">
          <cell r="A3278" t="str">
            <v>BPB-034-POS-30-Der.</v>
          </cell>
          <cell r="G3278" t="str">
            <v>IDESP</v>
          </cell>
          <cell r="L3278">
            <v>43521</v>
          </cell>
          <cell r="M3278">
            <v>40.1</v>
          </cell>
          <cell r="P3278">
            <v>10.46</v>
          </cell>
        </row>
        <row r="3279">
          <cell r="A3279" t="str">
            <v>BPB-034-POS-30-Izq.</v>
          </cell>
          <cell r="G3279" t="str">
            <v>IDESP</v>
          </cell>
          <cell r="L3279">
            <v>43521</v>
          </cell>
          <cell r="M3279">
            <v>40.1</v>
          </cell>
          <cell r="P3279">
            <v>10.46</v>
          </cell>
        </row>
        <row r="3280">
          <cell r="A3280" t="str">
            <v>BPB-034-POS-5-Der.</v>
          </cell>
          <cell r="G3280" t="str">
            <v>IDESP</v>
          </cell>
          <cell r="L3280">
            <v>40574</v>
          </cell>
          <cell r="M3280">
            <v>4.0199999999999996</v>
          </cell>
          <cell r="P3280">
            <v>0.76100000000000001</v>
          </cell>
        </row>
        <row r="3281">
          <cell r="A3281" t="str">
            <v>BPB-034-POS-5-Izq.</v>
          </cell>
          <cell r="G3281" t="str">
            <v>IDESP</v>
          </cell>
          <cell r="L3281">
            <v>40574</v>
          </cell>
          <cell r="M3281">
            <v>4.0199999999999996</v>
          </cell>
          <cell r="P3281">
            <v>0.76100000000000001</v>
          </cell>
        </row>
        <row r="3282">
          <cell r="A3282" t="str">
            <v>BPB-034-POS-6-Der.</v>
          </cell>
          <cell r="G3282" t="str">
            <v>IDESP</v>
          </cell>
          <cell r="L3282">
            <v>42545</v>
          </cell>
          <cell r="M3282">
            <v>14.58</v>
          </cell>
          <cell r="P3282">
            <v>0.84899999999999998</v>
          </cell>
        </row>
        <row r="3283">
          <cell r="A3283" t="str">
            <v>BPB-034-POS-6-Izq.</v>
          </cell>
          <cell r="G3283" t="str">
            <v>IDESP</v>
          </cell>
          <cell r="L3283">
            <v>42545</v>
          </cell>
          <cell r="M3283">
            <v>14.58</v>
          </cell>
          <cell r="P3283">
            <v>0.84899999999999998</v>
          </cell>
        </row>
        <row r="3284">
          <cell r="A3284" t="str">
            <v>BPB-034-POS-8-DER</v>
          </cell>
          <cell r="G3284" t="str">
            <v>IDESP</v>
          </cell>
          <cell r="L3284">
            <v>42545</v>
          </cell>
          <cell r="M3284">
            <v>14.58</v>
          </cell>
          <cell r="P3284">
            <v>1.052</v>
          </cell>
        </row>
        <row r="3285">
          <cell r="A3285" t="str">
            <v>BPB-034-POS-8-IZQ</v>
          </cell>
          <cell r="G3285" t="str">
            <v>IDESP</v>
          </cell>
          <cell r="L3285">
            <v>42545</v>
          </cell>
          <cell r="M3285">
            <v>14.58</v>
          </cell>
          <cell r="P3285">
            <v>1.052</v>
          </cell>
        </row>
        <row r="3286">
          <cell r="A3286" t="str">
            <v>BPB-034-POSB-10-Der.</v>
          </cell>
          <cell r="G3286" t="str">
            <v>IDESP</v>
          </cell>
          <cell r="L3286">
            <v>41724</v>
          </cell>
          <cell r="M3286">
            <v>8.02</v>
          </cell>
          <cell r="P3286">
            <v>3.03</v>
          </cell>
        </row>
        <row r="3287">
          <cell r="A3287" t="str">
            <v>BPB-034-POSB-10-Izq.</v>
          </cell>
          <cell r="G3287" t="str">
            <v>IDESP</v>
          </cell>
          <cell r="L3287">
            <v>40784</v>
          </cell>
          <cell r="M3287">
            <v>4.21</v>
          </cell>
          <cell r="P3287">
            <v>2.964</v>
          </cell>
        </row>
        <row r="3288">
          <cell r="A3288" t="str">
            <v>BPB-034-POSB-12-Der.</v>
          </cell>
          <cell r="G3288" t="str">
            <v>IDESP</v>
          </cell>
          <cell r="L3288">
            <v>40784</v>
          </cell>
          <cell r="M3288">
            <v>4.21</v>
          </cell>
          <cell r="P3288">
            <v>5.46</v>
          </cell>
        </row>
        <row r="3289">
          <cell r="A3289" t="str">
            <v>BPB-034-POSB-12-Izq.</v>
          </cell>
          <cell r="G3289" t="str">
            <v>IDESP</v>
          </cell>
          <cell r="L3289">
            <v>40784</v>
          </cell>
          <cell r="M3289">
            <v>4.21</v>
          </cell>
          <cell r="P3289">
            <v>5.46</v>
          </cell>
        </row>
        <row r="3290">
          <cell r="A3290" t="str">
            <v>BPB-034-POSB-16-Der.</v>
          </cell>
          <cell r="G3290" t="str">
            <v>IDESP</v>
          </cell>
          <cell r="L3290">
            <v>41724</v>
          </cell>
          <cell r="M3290">
            <v>8.02</v>
          </cell>
          <cell r="P3290">
            <v>9.6</v>
          </cell>
        </row>
        <row r="3291">
          <cell r="A3291" t="str">
            <v>BPB-034-POSB-16-Izq.</v>
          </cell>
          <cell r="G3291" t="str">
            <v>IDESP</v>
          </cell>
          <cell r="L3291">
            <v>41724</v>
          </cell>
          <cell r="M3291">
            <v>8.02</v>
          </cell>
          <cell r="P3291">
            <v>9.6</v>
          </cell>
        </row>
        <row r="3292">
          <cell r="A3292" t="str">
            <v>BPB-034-POSB-3-DER</v>
          </cell>
          <cell r="G3292" t="str">
            <v>IPFAB</v>
          </cell>
          <cell r="L3292">
            <v>40991</v>
          </cell>
          <cell r="M3292">
            <v>4.38</v>
          </cell>
          <cell r="P3292">
            <v>0.6</v>
          </cell>
        </row>
        <row r="3293">
          <cell r="A3293" t="str">
            <v>BPB-034-POSB-3-IZ</v>
          </cell>
          <cell r="G3293" t="str">
            <v>IPFAB</v>
          </cell>
          <cell r="L3293">
            <v>40991</v>
          </cell>
          <cell r="M3293">
            <v>4.38</v>
          </cell>
          <cell r="P3293">
            <v>0.6</v>
          </cell>
        </row>
        <row r="3294">
          <cell r="A3294" t="str">
            <v>BPB-034-POSB-4-Der.</v>
          </cell>
          <cell r="G3294" t="str">
            <v>IDESP</v>
          </cell>
          <cell r="L3294">
            <v>40919</v>
          </cell>
          <cell r="M3294">
            <v>4.33</v>
          </cell>
          <cell r="P3294">
            <v>0.6</v>
          </cell>
        </row>
        <row r="3295">
          <cell r="A3295" t="str">
            <v>BPB-034-POSB-4-Izq.</v>
          </cell>
          <cell r="G3295" t="str">
            <v>IDESP</v>
          </cell>
          <cell r="L3295">
            <v>40919</v>
          </cell>
          <cell r="M3295">
            <v>4.33</v>
          </cell>
          <cell r="P3295">
            <v>0.6</v>
          </cell>
        </row>
        <row r="3296">
          <cell r="A3296" t="str">
            <v>BPB-034-POSB-5-Der.</v>
          </cell>
          <cell r="G3296" t="str">
            <v>IDESP</v>
          </cell>
          <cell r="L3296">
            <v>42545</v>
          </cell>
          <cell r="M3296">
            <v>14.58</v>
          </cell>
          <cell r="P3296">
            <v>1.599</v>
          </cell>
        </row>
        <row r="3297">
          <cell r="A3297" t="str">
            <v>BPB-034-POSB-5-Izq.</v>
          </cell>
          <cell r="G3297" t="str">
            <v>IDESP</v>
          </cell>
          <cell r="L3297">
            <v>42545</v>
          </cell>
          <cell r="M3297">
            <v>14.58</v>
          </cell>
          <cell r="P3297">
            <v>1.599</v>
          </cell>
        </row>
        <row r="3298">
          <cell r="A3298" t="str">
            <v>BPB-034-POSB-6</v>
          </cell>
          <cell r="G3298" t="str">
            <v>IDESP</v>
          </cell>
          <cell r="L3298">
            <v>42429</v>
          </cell>
          <cell r="M3298">
            <v>15.66</v>
          </cell>
          <cell r="P3298">
            <v>2.1040000000000001</v>
          </cell>
        </row>
        <row r="3299">
          <cell r="A3299" t="str">
            <v>BPB-034-POSB-6-Der.</v>
          </cell>
          <cell r="G3299" t="str">
            <v>IDESP</v>
          </cell>
          <cell r="L3299">
            <v>44151</v>
          </cell>
          <cell r="M3299">
            <v>85</v>
          </cell>
          <cell r="P3299">
            <v>2.544</v>
          </cell>
        </row>
        <row r="3300">
          <cell r="A3300" t="str">
            <v>BPB-034-POSB-6-Izq.</v>
          </cell>
          <cell r="G3300" t="str">
            <v>IDESP</v>
          </cell>
          <cell r="L3300">
            <v>40784</v>
          </cell>
          <cell r="M3300">
            <v>4.21</v>
          </cell>
          <cell r="P3300">
            <v>1.7629999999999999</v>
          </cell>
        </row>
        <row r="3301">
          <cell r="A3301" t="str">
            <v>BPB-034-POSB-7-Der.</v>
          </cell>
          <cell r="G3301" t="str">
            <v>IDESP</v>
          </cell>
          <cell r="L3301">
            <v>43521</v>
          </cell>
          <cell r="M3301">
            <v>40.1</v>
          </cell>
          <cell r="P3301">
            <v>2.2599999999999998</v>
          </cell>
        </row>
        <row r="3302">
          <cell r="A3302" t="str">
            <v>BPB-034-POSB-7-Izq.</v>
          </cell>
          <cell r="G3302" t="str">
            <v>IDESP</v>
          </cell>
          <cell r="L3302">
            <v>43320</v>
          </cell>
          <cell r="M3302">
            <v>27.9</v>
          </cell>
          <cell r="P3302">
            <v>2.5</v>
          </cell>
        </row>
        <row r="3303">
          <cell r="A3303" t="str">
            <v>BPB-034-POSB-8-Der.</v>
          </cell>
          <cell r="G3303" t="str">
            <v>IDESP</v>
          </cell>
          <cell r="L3303">
            <v>42545</v>
          </cell>
          <cell r="M3303">
            <v>14.58</v>
          </cell>
          <cell r="P3303">
            <v>2.4550000000000001</v>
          </cell>
        </row>
        <row r="3304">
          <cell r="A3304" t="str">
            <v>BPB-034-POSB-8-Izq.</v>
          </cell>
          <cell r="G3304" t="str">
            <v>IDESP</v>
          </cell>
          <cell r="L3304">
            <v>44453</v>
          </cell>
          <cell r="M3304">
            <v>103.25</v>
          </cell>
          <cell r="P3304">
            <v>2.76</v>
          </cell>
        </row>
        <row r="3305">
          <cell r="A3305" t="str">
            <v>BPB-034-POSB30-12DBD</v>
          </cell>
          <cell r="G3305" t="str">
            <v xml:space="preserve">INSI </v>
          </cell>
          <cell r="L3305">
            <v>43166</v>
          </cell>
          <cell r="M3305">
            <v>20.57</v>
          </cell>
          <cell r="P3305">
            <v>3.4091</v>
          </cell>
        </row>
        <row r="3306">
          <cell r="A3306" t="str">
            <v>BPB-034-POSB30-12DBI</v>
          </cell>
          <cell r="G3306" t="str">
            <v>INDEV</v>
          </cell>
          <cell r="L3306">
            <v>41506</v>
          </cell>
          <cell r="M3306">
            <v>5.59</v>
          </cell>
          <cell r="P3306">
            <v>12.639892665474061</v>
          </cell>
        </row>
        <row r="3307">
          <cell r="A3307" t="str">
            <v>BPB-034-POSB30H-12DB</v>
          </cell>
          <cell r="G3307" t="str">
            <v>IPFAB</v>
          </cell>
          <cell r="L3307">
            <v>40365</v>
          </cell>
          <cell r="M3307">
            <v>3.95</v>
          </cell>
          <cell r="P3307">
            <v>16.0321</v>
          </cell>
        </row>
        <row r="3308">
          <cell r="A3308" t="str">
            <v>BPB-034-PR-D-KM-25</v>
          </cell>
          <cell r="G3308" t="str">
            <v xml:space="preserve">INAC </v>
          </cell>
          <cell r="L3308">
            <v>39548</v>
          </cell>
          <cell r="M3308">
            <v>3.1589999999999998</v>
          </cell>
          <cell r="P3308">
            <v>13.975941753719532</v>
          </cell>
        </row>
        <row r="3309">
          <cell r="A3309" t="str">
            <v>BPB-034-PR-I-KM-25</v>
          </cell>
          <cell r="G3309" t="str">
            <v xml:space="preserve">INAC </v>
          </cell>
          <cell r="L3309">
            <v>39548</v>
          </cell>
          <cell r="M3309">
            <v>3.1589999999999998</v>
          </cell>
          <cell r="P3309">
            <v>13.975941753719532</v>
          </cell>
        </row>
        <row r="3310">
          <cell r="A3310" t="str">
            <v>BPB-034-ROD-END</v>
          </cell>
          <cell r="G3310" t="str">
            <v>IDESP</v>
          </cell>
          <cell r="L3310">
            <v>39899</v>
          </cell>
          <cell r="M3310">
            <v>3.694</v>
          </cell>
          <cell r="P3310">
            <v>4.46</v>
          </cell>
        </row>
        <row r="3311">
          <cell r="A3311" t="str">
            <v>BPB-034-SQ10-RS-1DER</v>
          </cell>
          <cell r="G3311" t="str">
            <v>IDESP</v>
          </cell>
          <cell r="L3311">
            <v>43159</v>
          </cell>
          <cell r="M3311">
            <v>20.49</v>
          </cell>
          <cell r="P3311">
            <v>1.23</v>
          </cell>
        </row>
        <row r="3312">
          <cell r="A3312" t="str">
            <v>BPB-034-SQ10-RS-1IZQ</v>
          </cell>
          <cell r="G3312" t="str">
            <v>IDESP</v>
          </cell>
          <cell r="L3312">
            <v>43159</v>
          </cell>
          <cell r="M3312">
            <v>20.49</v>
          </cell>
          <cell r="P3312">
            <v>1.23</v>
          </cell>
        </row>
        <row r="3313">
          <cell r="A3313" t="str">
            <v>BPB-034-SQME-UTV</v>
          </cell>
          <cell r="G3313" t="str">
            <v>VPRet</v>
          </cell>
          <cell r="L3313">
            <v>42543</v>
          </cell>
          <cell r="M3313">
            <v>14.21</v>
          </cell>
          <cell r="P3313">
            <v>10.617016185784657</v>
          </cell>
        </row>
        <row r="3314">
          <cell r="A3314" t="str">
            <v>BPB-034-SQME-UTV-01</v>
          </cell>
          <cell r="G3314" t="str">
            <v>IPFAP</v>
          </cell>
          <cell r="L3314">
            <v>42543</v>
          </cell>
          <cell r="M3314">
            <v>14.21</v>
          </cell>
          <cell r="P3314">
            <v>1.6216115411681913</v>
          </cell>
        </row>
        <row r="3315">
          <cell r="A3315" t="str">
            <v>BPB-034-SQME-UTV-02</v>
          </cell>
          <cell r="G3315" t="str">
            <v>IPFAP</v>
          </cell>
          <cell r="L3315">
            <v>42543</v>
          </cell>
          <cell r="M3315">
            <v>14.21</v>
          </cell>
          <cell r="P3315">
            <v>4.3513652357494719</v>
          </cell>
        </row>
        <row r="3316">
          <cell r="A3316" t="str">
            <v>BPB-034-SQME-UTV-03</v>
          </cell>
          <cell r="G3316" t="str">
            <v>IPFAP</v>
          </cell>
          <cell r="L3316">
            <v>42543</v>
          </cell>
          <cell r="M3316">
            <v>14.21</v>
          </cell>
          <cell r="P3316">
            <v>4.6440394088669947</v>
          </cell>
        </row>
        <row r="3317">
          <cell r="A3317" t="str">
            <v>BPB-034-SQME-UTV-A1</v>
          </cell>
          <cell r="G3317" t="str">
            <v>InRet</v>
          </cell>
          <cell r="L3317">
            <v>42529</v>
          </cell>
          <cell r="M3317">
            <v>14.16</v>
          </cell>
          <cell r="P3317">
            <v>1.6273375706214688</v>
          </cell>
        </row>
        <row r="3318">
          <cell r="A3318" t="str">
            <v>BPB-034-SQME-UTV-A2</v>
          </cell>
          <cell r="G3318" t="str">
            <v>InRet</v>
          </cell>
          <cell r="L3318">
            <v>42529</v>
          </cell>
          <cell r="M3318">
            <v>14.16</v>
          </cell>
          <cell r="P3318">
            <v>4.6604378531073447</v>
          </cell>
        </row>
        <row r="3319">
          <cell r="A3319" t="str">
            <v>BPB-034-SQME-UTV-A3</v>
          </cell>
          <cell r="G3319" t="str">
            <v>InRet</v>
          </cell>
          <cell r="L3319">
            <v>42529</v>
          </cell>
          <cell r="M3319">
            <v>14.16</v>
          </cell>
          <cell r="P3319">
            <v>4.3667302259887011</v>
          </cell>
        </row>
        <row r="3320">
          <cell r="A3320" t="str">
            <v>BPB-034-SQME9</v>
          </cell>
          <cell r="G3320" t="str">
            <v>InRet</v>
          </cell>
          <cell r="L3320">
            <v>41834</v>
          </cell>
          <cell r="M3320">
            <v>8.16</v>
          </cell>
          <cell r="P3320">
            <v>6.8318014705882355</v>
          </cell>
        </row>
        <row r="3321">
          <cell r="A3321" t="str">
            <v>BPB-035-BA-1816-ZOH</v>
          </cell>
          <cell r="G3321" t="str">
            <v>IDESP</v>
          </cell>
          <cell r="L3321">
            <v>43326</v>
          </cell>
          <cell r="M3321">
            <v>30.5</v>
          </cell>
          <cell r="P3321">
            <v>0.94</v>
          </cell>
        </row>
        <row r="3322">
          <cell r="A3322" t="str">
            <v>BPB-035-BA-3616-ZOH</v>
          </cell>
          <cell r="G3322" t="str">
            <v>IDESP</v>
          </cell>
          <cell r="L3322">
            <v>44396</v>
          </cell>
          <cell r="M3322">
            <v>101.25</v>
          </cell>
          <cell r="P3322">
            <v>1.383</v>
          </cell>
        </row>
        <row r="3323">
          <cell r="A3323" t="str">
            <v>BPB-035-BHA-1612-ZO</v>
          </cell>
          <cell r="G3323" t="str">
            <v>IDESP</v>
          </cell>
          <cell r="L3323">
            <v>44232</v>
          </cell>
          <cell r="M3323">
            <v>92.75</v>
          </cell>
          <cell r="P3323">
            <v>0.68</v>
          </cell>
        </row>
        <row r="3324">
          <cell r="A3324" t="str">
            <v>BPB-035-BHA-1616-ZOH</v>
          </cell>
          <cell r="G3324" t="str">
            <v>IDESP</v>
          </cell>
          <cell r="L3324">
            <v>44396</v>
          </cell>
          <cell r="M3324">
            <v>101.25</v>
          </cell>
          <cell r="P3324">
            <v>0.80200000000000005</v>
          </cell>
        </row>
        <row r="3325">
          <cell r="A3325" t="str">
            <v>BPB-035-BHA-2020-ZO</v>
          </cell>
          <cell r="G3325" t="str">
            <v>IDESP</v>
          </cell>
          <cell r="L3325">
            <v>44488</v>
          </cell>
          <cell r="M3325">
            <v>104.5</v>
          </cell>
          <cell r="P3325">
            <v>1.008</v>
          </cell>
        </row>
        <row r="3326">
          <cell r="A3326" t="str">
            <v>BPB-035-HK-1412</v>
          </cell>
          <cell r="G3326" t="str">
            <v>IDESP</v>
          </cell>
          <cell r="L3326">
            <v>44333</v>
          </cell>
          <cell r="M3326">
            <v>99</v>
          </cell>
          <cell r="P3326">
            <v>0.22</v>
          </cell>
        </row>
        <row r="3327">
          <cell r="A3327" t="str">
            <v>BPB-035-HK-2526</v>
          </cell>
          <cell r="G3327" t="str">
            <v>IDESP</v>
          </cell>
          <cell r="L3327">
            <v>45807</v>
          </cell>
          <cell r="M3327">
            <v>1195</v>
          </cell>
          <cell r="P3327">
            <v>0.64700000000000002</v>
          </cell>
        </row>
        <row r="3328">
          <cell r="A3328" t="str">
            <v>BPB-035-HK-3016</v>
          </cell>
          <cell r="G3328" t="str">
            <v>IDESP</v>
          </cell>
          <cell r="L3328">
            <v>44396</v>
          </cell>
          <cell r="M3328">
            <v>101.25</v>
          </cell>
          <cell r="P3328">
            <v>0.70899999999999996</v>
          </cell>
        </row>
        <row r="3329">
          <cell r="A3329" t="str">
            <v>BPB-035-HK-3020</v>
          </cell>
          <cell r="G3329" t="str">
            <v>IDESP</v>
          </cell>
          <cell r="L3329">
            <v>43045</v>
          </cell>
          <cell r="M3329">
            <v>17.899999999999999</v>
          </cell>
          <cell r="P3329">
            <v>0.60170000000000001</v>
          </cell>
        </row>
        <row r="3330">
          <cell r="A3330" t="str">
            <v>BPB-035-HK-3038</v>
          </cell>
          <cell r="G3330" t="str">
            <v>IDESP</v>
          </cell>
          <cell r="L3330">
            <v>45979</v>
          </cell>
          <cell r="M3330">
            <v>1415</v>
          </cell>
          <cell r="P3330">
            <v>0.91</v>
          </cell>
        </row>
        <row r="3331">
          <cell r="A3331" t="str">
            <v>BPB-035-HK-5520</v>
          </cell>
          <cell r="G3331" t="str">
            <v>IDESP</v>
          </cell>
          <cell r="L3331">
            <v>43045</v>
          </cell>
          <cell r="M3331">
            <v>17.899999999999999</v>
          </cell>
          <cell r="P3331">
            <v>1.262</v>
          </cell>
        </row>
        <row r="3332">
          <cell r="A3332" t="str">
            <v>BPB-035-HN-2820</v>
          </cell>
          <cell r="G3332" t="str">
            <v>IDESP</v>
          </cell>
          <cell r="L3332">
            <v>44396</v>
          </cell>
          <cell r="M3332">
            <v>101.25</v>
          </cell>
          <cell r="P3332">
            <v>0.65</v>
          </cell>
        </row>
        <row r="3333">
          <cell r="A3333" t="str">
            <v>BPB-035-IR-22-28-30</v>
          </cell>
          <cell r="G3333" t="str">
            <v>IDESP</v>
          </cell>
          <cell r="L3333">
            <v>43521</v>
          </cell>
          <cell r="M3333">
            <v>40.1</v>
          </cell>
          <cell r="P3333">
            <v>0.96</v>
          </cell>
        </row>
        <row r="3334">
          <cell r="A3334" t="str">
            <v>BPB-035-IR-25-29-30</v>
          </cell>
          <cell r="G3334" t="str">
            <v>IDESP</v>
          </cell>
          <cell r="L3334">
            <v>44483</v>
          </cell>
          <cell r="M3334">
            <v>104.25</v>
          </cell>
          <cell r="P3334">
            <v>0.83</v>
          </cell>
        </row>
        <row r="3335">
          <cell r="A3335" t="str">
            <v>BPB-035-K25x33x20</v>
          </cell>
          <cell r="G3335" t="str">
            <v>IDESP</v>
          </cell>
          <cell r="L3335">
            <v>44232</v>
          </cell>
          <cell r="M3335">
            <v>92.75</v>
          </cell>
          <cell r="P3335">
            <v>0.71</v>
          </cell>
        </row>
        <row r="3336">
          <cell r="A3336" t="str">
            <v>BPB-035-NA-4905</v>
          </cell>
          <cell r="G3336" t="str">
            <v>IDESP</v>
          </cell>
          <cell r="L3336">
            <v>43045</v>
          </cell>
          <cell r="M3336">
            <v>17.899999999999999</v>
          </cell>
          <cell r="P3336">
            <v>1.5145999999999999</v>
          </cell>
        </row>
        <row r="3337">
          <cell r="A3337" t="str">
            <v>BPB-035-NA4906-2RS</v>
          </cell>
          <cell r="G3337" t="str">
            <v>IDESP</v>
          </cell>
          <cell r="L3337">
            <v>40126</v>
          </cell>
          <cell r="M3337">
            <v>3.83</v>
          </cell>
          <cell r="P3337">
            <v>1.79</v>
          </cell>
        </row>
        <row r="3338">
          <cell r="A3338" t="str">
            <v>BPB-035-NA4907</v>
          </cell>
          <cell r="G3338" t="str">
            <v>INCOU</v>
          </cell>
          <cell r="L3338">
            <v>42860</v>
          </cell>
          <cell r="M3338">
            <v>15.67</v>
          </cell>
          <cell r="P3338">
            <v>0.1</v>
          </cell>
        </row>
        <row r="3339">
          <cell r="A3339" t="str">
            <v>BPB-035-NAV-4009</v>
          </cell>
          <cell r="G3339" t="str">
            <v>INDEV</v>
          </cell>
          <cell r="L3339">
            <v>41219</v>
          </cell>
          <cell r="M3339">
            <v>4.78</v>
          </cell>
          <cell r="P3339">
            <v>3.6499999999999995</v>
          </cell>
        </row>
        <row r="3340">
          <cell r="A3340" t="str">
            <v>BPB-035-NAV-4011</v>
          </cell>
          <cell r="G3340" t="str">
            <v>IDESP</v>
          </cell>
          <cell r="L3340">
            <v>40294</v>
          </cell>
          <cell r="M3340">
            <v>3.89</v>
          </cell>
          <cell r="P3340">
            <v>4.7393999999999998</v>
          </cell>
        </row>
        <row r="3341">
          <cell r="A3341" t="str">
            <v>BPB-035-NAV-4911</v>
          </cell>
          <cell r="G3341" t="str">
            <v>IDESP</v>
          </cell>
          <cell r="L3341">
            <v>39742</v>
          </cell>
          <cell r="M3341">
            <v>3.222</v>
          </cell>
          <cell r="P3341">
            <v>4.78</v>
          </cell>
        </row>
        <row r="3342">
          <cell r="A3342" t="str">
            <v>BPB-035-NFS30</v>
          </cell>
          <cell r="G3342" t="str">
            <v>IDESP</v>
          </cell>
          <cell r="L3342">
            <v>40277</v>
          </cell>
          <cell r="M3342">
            <v>3.89</v>
          </cell>
          <cell r="P3342">
            <v>32.619999999999997</v>
          </cell>
        </row>
        <row r="3343">
          <cell r="A3343" t="str">
            <v>BPB-035-NJ-208</v>
          </cell>
          <cell r="G3343" t="str">
            <v>IDESP</v>
          </cell>
          <cell r="L3343">
            <v>40275</v>
          </cell>
          <cell r="M3343">
            <v>3.89</v>
          </cell>
          <cell r="P3343">
            <v>2.73</v>
          </cell>
        </row>
        <row r="3344">
          <cell r="A3344" t="str">
            <v>BPB-035-NJ-2205</v>
          </cell>
          <cell r="G3344" t="str">
            <v>IDESP</v>
          </cell>
          <cell r="L3344">
            <v>39279</v>
          </cell>
          <cell r="M3344">
            <v>3.1</v>
          </cell>
          <cell r="P3344">
            <v>2.8650000000000002</v>
          </cell>
        </row>
        <row r="3345">
          <cell r="A3345" t="str">
            <v>BPB-035-NJ-2209</v>
          </cell>
          <cell r="G3345" t="str">
            <v xml:space="preserve">INAC </v>
          </cell>
          <cell r="L3345">
            <v>40473</v>
          </cell>
          <cell r="M3345">
            <v>3.98</v>
          </cell>
          <cell r="P3345">
            <v>9.3608291457286441</v>
          </cell>
        </row>
        <row r="3346">
          <cell r="A3346" t="str">
            <v>BPB-035-NJ-2209-ECPC</v>
          </cell>
          <cell r="G3346" t="str">
            <v>INDEV</v>
          </cell>
          <cell r="L3346">
            <v>41288</v>
          </cell>
          <cell r="M3346">
            <v>4.95</v>
          </cell>
          <cell r="P3346">
            <v>3.3594949494949495</v>
          </cell>
        </row>
        <row r="3347">
          <cell r="A3347" t="str">
            <v>BPB-035-NK-2216</v>
          </cell>
          <cell r="G3347" t="str">
            <v>IDESP</v>
          </cell>
          <cell r="L3347">
            <v>41360</v>
          </cell>
          <cell r="M3347">
            <v>5.12</v>
          </cell>
          <cell r="P3347">
            <v>1.1499999999999999</v>
          </cell>
        </row>
        <row r="3348">
          <cell r="A3348" t="str">
            <v>BPB-035-NK-2416</v>
          </cell>
          <cell r="G3348" t="str">
            <v>IDESP</v>
          </cell>
          <cell r="L3348">
            <v>41360</v>
          </cell>
          <cell r="M3348">
            <v>5.12</v>
          </cell>
          <cell r="P3348">
            <v>1.23</v>
          </cell>
        </row>
        <row r="3349">
          <cell r="A3349" t="str">
            <v>BPB-035-NK-2520</v>
          </cell>
          <cell r="G3349" t="str">
            <v>IDESP</v>
          </cell>
          <cell r="L3349">
            <v>44483</v>
          </cell>
          <cell r="M3349">
            <v>104.25</v>
          </cell>
          <cell r="P3349">
            <v>1.47</v>
          </cell>
        </row>
        <row r="3350">
          <cell r="A3350" t="str">
            <v>BPB-035-NK-2830</v>
          </cell>
          <cell r="G3350" t="str">
            <v>IDESP</v>
          </cell>
          <cell r="L3350">
            <v>44483</v>
          </cell>
          <cell r="M3350">
            <v>104.25</v>
          </cell>
          <cell r="P3350">
            <v>1.72</v>
          </cell>
        </row>
        <row r="3351">
          <cell r="A3351" t="str">
            <v>BPB-035-NK-2920</v>
          </cell>
          <cell r="G3351" t="str">
            <v>IDESP</v>
          </cell>
          <cell r="L3351">
            <v>42619</v>
          </cell>
          <cell r="M3351">
            <v>15.25</v>
          </cell>
          <cell r="P3351">
            <v>1.81</v>
          </cell>
        </row>
        <row r="3352">
          <cell r="A3352" t="str">
            <v>BPB-035-NK-2930</v>
          </cell>
          <cell r="G3352" t="str">
            <v>IDESP</v>
          </cell>
          <cell r="L3352">
            <v>44483</v>
          </cell>
          <cell r="M3352">
            <v>104.25</v>
          </cell>
          <cell r="P3352">
            <v>1.53</v>
          </cell>
        </row>
        <row r="3353">
          <cell r="A3353" t="str">
            <v>BPB-035-NK-3220</v>
          </cell>
          <cell r="G3353" t="str">
            <v>IDESP</v>
          </cell>
          <cell r="L3353">
            <v>42846</v>
          </cell>
          <cell r="M3353">
            <v>15.76</v>
          </cell>
          <cell r="P3353">
            <v>1.76</v>
          </cell>
        </row>
        <row r="3354">
          <cell r="A3354" t="str">
            <v>BPB-035-NK-3230</v>
          </cell>
          <cell r="G3354" t="str">
            <v>IDESP</v>
          </cell>
          <cell r="L3354">
            <v>45979</v>
          </cell>
          <cell r="M3354">
            <v>1415</v>
          </cell>
          <cell r="P3354">
            <v>1.67</v>
          </cell>
        </row>
        <row r="3355">
          <cell r="A3355" t="str">
            <v>BPB-035-NK-3820</v>
          </cell>
          <cell r="G3355" t="str">
            <v>IDESP</v>
          </cell>
          <cell r="L3355">
            <v>44516</v>
          </cell>
          <cell r="M3355">
            <v>105.5</v>
          </cell>
          <cell r="P3355">
            <v>1.42</v>
          </cell>
        </row>
        <row r="3356">
          <cell r="A3356" t="str">
            <v>BPB-035-NK-4230</v>
          </cell>
          <cell r="G3356" t="str">
            <v>IDESP</v>
          </cell>
          <cell r="L3356">
            <v>41360</v>
          </cell>
          <cell r="M3356">
            <v>5.12</v>
          </cell>
          <cell r="P3356">
            <v>1.63</v>
          </cell>
        </row>
        <row r="3357">
          <cell r="A3357" t="str">
            <v>BPB-035-NK-4520</v>
          </cell>
          <cell r="G3357" t="str">
            <v>IDESP</v>
          </cell>
          <cell r="L3357">
            <v>44333</v>
          </cell>
          <cell r="M3357">
            <v>99</v>
          </cell>
          <cell r="P3357">
            <v>1.73</v>
          </cell>
        </row>
        <row r="3358">
          <cell r="A3358" t="str">
            <v>BPB-035-NK-5025</v>
          </cell>
          <cell r="G3358" t="str">
            <v>IDESP</v>
          </cell>
          <cell r="L3358">
            <v>44483</v>
          </cell>
          <cell r="M3358">
            <v>104.25</v>
          </cell>
          <cell r="P3358">
            <v>2.86</v>
          </cell>
        </row>
        <row r="3359">
          <cell r="A3359" t="str">
            <v>BPB-035-NKI-2020</v>
          </cell>
          <cell r="G3359" t="str">
            <v>IDESP</v>
          </cell>
          <cell r="L3359">
            <v>45979</v>
          </cell>
          <cell r="M3359">
            <v>1415</v>
          </cell>
          <cell r="P3359">
            <v>1.43</v>
          </cell>
        </row>
        <row r="3360">
          <cell r="A3360" t="str">
            <v>BPB-035-NKI-2520</v>
          </cell>
          <cell r="G3360" t="str">
            <v>INDEV</v>
          </cell>
          <cell r="L3360">
            <v>43971</v>
          </cell>
          <cell r="M3360">
            <v>70</v>
          </cell>
          <cell r="P3360">
            <v>9.18</v>
          </cell>
        </row>
        <row r="3361">
          <cell r="A3361" t="str">
            <v>BPB-035-NTR1613-2DBL</v>
          </cell>
          <cell r="G3361" t="str">
            <v xml:space="preserve">INSI </v>
          </cell>
          <cell r="L3361">
            <v>41208</v>
          </cell>
          <cell r="M3361">
            <v>4.76</v>
          </cell>
          <cell r="P3361">
            <v>2.82</v>
          </cell>
        </row>
        <row r="3362">
          <cell r="A3362" t="str">
            <v>BPB-035-NUP-203-EM</v>
          </cell>
          <cell r="G3362" t="str">
            <v>INDEV</v>
          </cell>
          <cell r="L3362">
            <v>40917</v>
          </cell>
          <cell r="M3362">
            <v>4.33</v>
          </cell>
          <cell r="P3362">
            <v>2.2399999999999998</v>
          </cell>
        </row>
        <row r="3363">
          <cell r="A3363" t="str">
            <v>BPB-035-NUP-206</v>
          </cell>
          <cell r="G3363" t="str">
            <v>IDESP</v>
          </cell>
          <cell r="L3363">
            <v>43651</v>
          </cell>
          <cell r="M3363">
            <v>42.8</v>
          </cell>
          <cell r="P3363">
            <v>3.66</v>
          </cell>
        </row>
        <row r="3364">
          <cell r="A3364" t="str">
            <v>BPB-035-RNA-4910</v>
          </cell>
          <cell r="G3364" t="str">
            <v>INCOU</v>
          </cell>
          <cell r="L3364">
            <v>43495</v>
          </cell>
          <cell r="M3364">
            <v>38.6</v>
          </cell>
          <cell r="P3364">
            <v>2.3199999999999998</v>
          </cell>
        </row>
        <row r="3365">
          <cell r="A3365" t="str">
            <v>BPB-035-RNA-6904</v>
          </cell>
          <cell r="G3365" t="str">
            <v>IDESP</v>
          </cell>
          <cell r="L3365">
            <v>40340</v>
          </cell>
          <cell r="M3365">
            <v>3.94</v>
          </cell>
          <cell r="P3365">
            <v>1.57</v>
          </cell>
        </row>
        <row r="3366">
          <cell r="A3366" t="str">
            <v>BPB-035-RNA-6905</v>
          </cell>
          <cell r="G3366" t="str">
            <v>IDESP</v>
          </cell>
          <cell r="L3366">
            <v>40340</v>
          </cell>
          <cell r="M3366">
            <v>3.94</v>
          </cell>
          <cell r="P3366">
            <v>1.98</v>
          </cell>
        </row>
        <row r="3367">
          <cell r="A3367" t="str">
            <v>BPB-035-RNA69/28</v>
          </cell>
          <cell r="G3367" t="str">
            <v>IDESP</v>
          </cell>
          <cell r="L3367">
            <v>40373</v>
          </cell>
          <cell r="M3367">
            <v>3.96</v>
          </cell>
          <cell r="P3367">
            <v>2.97</v>
          </cell>
        </row>
        <row r="3368">
          <cell r="A3368" t="str">
            <v>BPB-035-RNB3X15-A1</v>
          </cell>
          <cell r="G3368" t="str">
            <v>IDESP</v>
          </cell>
          <cell r="L3368">
            <v>44333</v>
          </cell>
          <cell r="M3368">
            <v>99</v>
          </cell>
          <cell r="P3368">
            <v>5.7999999999999996E-3</v>
          </cell>
        </row>
        <row r="3369">
          <cell r="A3369" t="str">
            <v>BPB-035-TA-3820</v>
          </cell>
          <cell r="G3369" t="str">
            <v>IDESP</v>
          </cell>
          <cell r="L3369">
            <v>44396</v>
          </cell>
          <cell r="M3369">
            <v>101.25</v>
          </cell>
          <cell r="P3369">
            <v>1.26</v>
          </cell>
        </row>
        <row r="3370">
          <cell r="A3370" t="str">
            <v>BPB-035-YB-1816</v>
          </cell>
          <cell r="G3370" t="str">
            <v>IDESP</v>
          </cell>
          <cell r="L3370">
            <v>44488</v>
          </cell>
          <cell r="M3370">
            <v>104.5</v>
          </cell>
          <cell r="P3370">
            <v>0.76</v>
          </cell>
        </row>
        <row r="3371">
          <cell r="A3371" t="str">
            <v>BPB-035-YB-3216</v>
          </cell>
          <cell r="G3371" t="str">
            <v>IDESP</v>
          </cell>
          <cell r="L3371">
            <v>43620</v>
          </cell>
          <cell r="M3371">
            <v>45.9</v>
          </cell>
          <cell r="P3371">
            <v>1.66</v>
          </cell>
        </row>
        <row r="3372">
          <cell r="A3372" t="str">
            <v>BPB-036-PL1550</v>
          </cell>
          <cell r="G3372" t="str">
            <v>INCOU</v>
          </cell>
          <cell r="L3372">
            <v>42894</v>
          </cell>
          <cell r="M3372">
            <v>16.239999999999998</v>
          </cell>
          <cell r="P3372">
            <v>0.5</v>
          </cell>
        </row>
        <row r="3373">
          <cell r="A3373" t="str">
            <v>BPB-036-WB1630085-10</v>
          </cell>
          <cell r="G3373" t="str">
            <v>IDESP</v>
          </cell>
          <cell r="L3373">
            <v>40002</v>
          </cell>
          <cell r="M3373">
            <v>3.82</v>
          </cell>
          <cell r="P3373">
            <v>1.32</v>
          </cell>
        </row>
        <row r="3374">
          <cell r="A3374" t="str">
            <v>BPB-036-WB1630098</v>
          </cell>
          <cell r="G3374" t="str">
            <v xml:space="preserve">INSI </v>
          </cell>
          <cell r="L3374">
            <v>39799</v>
          </cell>
          <cell r="M3374">
            <v>3.4020000000000001</v>
          </cell>
          <cell r="P3374">
            <v>0.6</v>
          </cell>
        </row>
        <row r="3375">
          <cell r="A3375" t="str">
            <v>BPB-037-1-1/4-11-BSP</v>
          </cell>
          <cell r="G3375" t="str">
            <v>IDESP</v>
          </cell>
          <cell r="L3375">
            <v>40317</v>
          </cell>
          <cell r="M3375">
            <v>3.92</v>
          </cell>
          <cell r="P3375">
            <v>10</v>
          </cell>
        </row>
        <row r="3376">
          <cell r="A3376" t="str">
            <v>BPB-037-130-303</v>
          </cell>
          <cell r="G3376" t="str">
            <v>IDESP</v>
          </cell>
          <cell r="L3376">
            <v>40840</v>
          </cell>
          <cell r="M3376">
            <v>4.26</v>
          </cell>
          <cell r="P3376">
            <v>97.1</v>
          </cell>
        </row>
        <row r="3377">
          <cell r="A3377" t="str">
            <v>BPB-037-161-105</v>
          </cell>
          <cell r="G3377" t="str">
            <v>IDESP</v>
          </cell>
          <cell r="L3377">
            <v>40840</v>
          </cell>
          <cell r="M3377">
            <v>4.26</v>
          </cell>
          <cell r="P3377">
            <v>77.2</v>
          </cell>
        </row>
        <row r="3378">
          <cell r="A3378" t="str">
            <v>BPB-037-3/16-G10</v>
          </cell>
          <cell r="G3378" t="str">
            <v>IPFAP</v>
          </cell>
          <cell r="L3378">
            <v>43531</v>
          </cell>
          <cell r="M3378">
            <v>41.6</v>
          </cell>
          <cell r="P3378">
            <v>9.9999999999999985E-3</v>
          </cell>
        </row>
        <row r="3379">
          <cell r="A3379" t="str">
            <v>BPB-037-303A</v>
          </cell>
          <cell r="G3379" t="str">
            <v>IDESP</v>
          </cell>
          <cell r="L3379">
            <v>40632</v>
          </cell>
          <cell r="M3379">
            <v>4.07</v>
          </cell>
          <cell r="P3379">
            <v>21.4</v>
          </cell>
        </row>
        <row r="3380">
          <cell r="A3380" t="str">
            <v>BPB-037-30631740</v>
          </cell>
          <cell r="G3380" t="str">
            <v>InTer</v>
          </cell>
          <cell r="L3380">
            <v>43349</v>
          </cell>
          <cell r="M3380">
            <v>39</v>
          </cell>
          <cell r="P3380">
            <v>2.564102564102564E-2</v>
          </cell>
        </row>
        <row r="3381">
          <cell r="A3381" t="str">
            <v>BPB-037-30x20x2mm</v>
          </cell>
          <cell r="G3381" t="str">
            <v xml:space="preserve">INAC </v>
          </cell>
          <cell r="L3381">
            <v>43250</v>
          </cell>
          <cell r="M3381">
            <v>25.4</v>
          </cell>
          <cell r="P3381">
            <v>2.3780000000000001</v>
          </cell>
        </row>
        <row r="3382">
          <cell r="A3382" t="str">
            <v>BPB-037-41541-610</v>
          </cell>
          <cell r="G3382" t="str">
            <v>VPRet</v>
          </cell>
          <cell r="L3382">
            <v>42675</v>
          </cell>
          <cell r="M3382">
            <v>15.4</v>
          </cell>
          <cell r="P3382">
            <v>6.4935064935064929E-2</v>
          </cell>
        </row>
        <row r="3383">
          <cell r="A3383" t="str">
            <v>BPB-037-41541-610-A</v>
          </cell>
          <cell r="G3383" t="str">
            <v>InTer</v>
          </cell>
          <cell r="L3383">
            <v>42670</v>
          </cell>
          <cell r="M3383">
            <v>15.4</v>
          </cell>
          <cell r="P3383">
            <v>6.4935064935064929E-2</v>
          </cell>
        </row>
        <row r="3384">
          <cell r="A3384" t="str">
            <v>BPB-037-43100-487</v>
          </cell>
          <cell r="G3384" t="str">
            <v>VPRet</v>
          </cell>
          <cell r="L3384">
            <v>42664</v>
          </cell>
          <cell r="M3384">
            <v>15.43</v>
          </cell>
          <cell r="P3384">
            <v>6.4808813998703821E-2</v>
          </cell>
        </row>
        <row r="3385">
          <cell r="A3385" t="str">
            <v>BPB-037-43100-487-A</v>
          </cell>
          <cell r="G3385" t="str">
            <v>InTer</v>
          </cell>
          <cell r="L3385">
            <v>42649</v>
          </cell>
          <cell r="M3385">
            <v>15.49</v>
          </cell>
          <cell r="P3385">
            <v>6.4557779212395097E-2</v>
          </cell>
        </row>
        <row r="3386">
          <cell r="A3386" t="str">
            <v>BPB-037-43100-499</v>
          </cell>
          <cell r="G3386" t="str">
            <v>VPRet</v>
          </cell>
          <cell r="L3386">
            <v>42663</v>
          </cell>
          <cell r="M3386">
            <v>15.44</v>
          </cell>
          <cell r="P3386">
            <v>6.476683937823835E-2</v>
          </cell>
        </row>
        <row r="3387">
          <cell r="A3387" t="str">
            <v>BPB-037-43100-499-A</v>
          </cell>
          <cell r="G3387" t="str">
            <v>InTer</v>
          </cell>
          <cell r="L3387">
            <v>42649</v>
          </cell>
          <cell r="M3387">
            <v>15.49</v>
          </cell>
          <cell r="P3387">
            <v>6.4557779212395097E-2</v>
          </cell>
        </row>
        <row r="3388">
          <cell r="A3388" t="str">
            <v>BPB-037-43103-687</v>
          </cell>
          <cell r="G3388" t="str">
            <v>VPRet</v>
          </cell>
          <cell r="L3388">
            <v>42683</v>
          </cell>
          <cell r="M3388">
            <v>15.21</v>
          </cell>
          <cell r="P3388">
            <v>6.5746219592373437E-2</v>
          </cell>
        </row>
        <row r="3389">
          <cell r="A3389" t="str">
            <v>BPB-037-43103-687-A</v>
          </cell>
          <cell r="G3389" t="str">
            <v>InTer</v>
          </cell>
          <cell r="L3389">
            <v>42670</v>
          </cell>
          <cell r="M3389">
            <v>15.4</v>
          </cell>
          <cell r="P3389">
            <v>6.4935064935064929E-2</v>
          </cell>
        </row>
        <row r="3390">
          <cell r="A3390" t="str">
            <v>BPB-037-43103-688</v>
          </cell>
          <cell r="G3390" t="str">
            <v>VPRet</v>
          </cell>
          <cell r="L3390">
            <v>42682</v>
          </cell>
          <cell r="M3390">
            <v>15.26</v>
          </cell>
          <cell r="P3390">
            <v>6.5530799475753604E-2</v>
          </cell>
        </row>
        <row r="3391">
          <cell r="A3391" t="str">
            <v>BPB-037-43103-688-A</v>
          </cell>
          <cell r="G3391" t="str">
            <v>InTer</v>
          </cell>
          <cell r="L3391">
            <v>42670</v>
          </cell>
          <cell r="M3391">
            <v>15.4</v>
          </cell>
          <cell r="P3391">
            <v>6.4935064935064929E-2</v>
          </cell>
        </row>
        <row r="3392">
          <cell r="A3392" t="str">
            <v>BPB-037-43125-628</v>
          </cell>
          <cell r="G3392" t="str">
            <v>VPRet</v>
          </cell>
          <cell r="L3392">
            <v>42682</v>
          </cell>
          <cell r="M3392">
            <v>15.26</v>
          </cell>
          <cell r="P3392">
            <v>6.5530799475753604E-2</v>
          </cell>
        </row>
        <row r="3393">
          <cell r="A3393" t="str">
            <v>BPB-037-43125-628-A</v>
          </cell>
          <cell r="G3393" t="str">
            <v>InTer</v>
          </cell>
          <cell r="L3393">
            <v>42670</v>
          </cell>
          <cell r="M3393">
            <v>15.4</v>
          </cell>
          <cell r="P3393">
            <v>6.4935064935064929E-2</v>
          </cell>
        </row>
        <row r="3394">
          <cell r="A3394" t="str">
            <v>BPB-037-43941-929</v>
          </cell>
          <cell r="G3394" t="str">
            <v>VPRet</v>
          </cell>
          <cell r="L3394">
            <v>42660</v>
          </cell>
          <cell r="M3394">
            <v>15.39</v>
          </cell>
          <cell r="P3394">
            <v>6.4977257959714096E-2</v>
          </cell>
        </row>
        <row r="3395">
          <cell r="A3395" t="str">
            <v>BPB-037-43941-929-A</v>
          </cell>
          <cell r="G3395" t="str">
            <v>InTer</v>
          </cell>
          <cell r="L3395">
            <v>42649</v>
          </cell>
          <cell r="M3395">
            <v>15.49</v>
          </cell>
          <cell r="P3395">
            <v>6.4557779212395097E-2</v>
          </cell>
        </row>
        <row r="3396">
          <cell r="A3396" t="str">
            <v>BPB-037-44003-901</v>
          </cell>
          <cell r="G3396" t="str">
            <v>VPRet</v>
          </cell>
          <cell r="L3396">
            <v>42678</v>
          </cell>
          <cell r="M3396">
            <v>15.31</v>
          </cell>
          <cell r="P3396">
            <v>6.531678641410843E-2</v>
          </cell>
        </row>
        <row r="3397">
          <cell r="A3397" t="str">
            <v>BPB-037-44003-901-A</v>
          </cell>
          <cell r="G3397" t="str">
            <v>InTer</v>
          </cell>
          <cell r="L3397">
            <v>42670</v>
          </cell>
          <cell r="M3397">
            <v>15.4</v>
          </cell>
          <cell r="P3397">
            <v>6.4935064935064929E-2</v>
          </cell>
        </row>
        <row r="3398">
          <cell r="A3398" t="str">
            <v>BPB-037-44055-974</v>
          </cell>
          <cell r="G3398" t="str">
            <v>VPRet</v>
          </cell>
          <cell r="L3398">
            <v>42655</v>
          </cell>
          <cell r="M3398">
            <v>15.49</v>
          </cell>
          <cell r="P3398">
            <v>6.4557779212395097E-2</v>
          </cell>
        </row>
        <row r="3399">
          <cell r="A3399" t="str">
            <v>BPB-037-44055-974-A</v>
          </cell>
          <cell r="G3399" t="str">
            <v>InTer</v>
          </cell>
          <cell r="L3399">
            <v>42649</v>
          </cell>
          <cell r="M3399">
            <v>15.49</v>
          </cell>
          <cell r="P3399">
            <v>6.4557779212395097E-2</v>
          </cell>
        </row>
        <row r="3400">
          <cell r="A3400" t="str">
            <v>BPB-037-44055-998</v>
          </cell>
          <cell r="G3400" t="str">
            <v>VPRet</v>
          </cell>
          <cell r="L3400">
            <v>42654</v>
          </cell>
          <cell r="M3400">
            <v>15.49</v>
          </cell>
          <cell r="P3400">
            <v>6.4557779212395097E-2</v>
          </cell>
        </row>
        <row r="3401">
          <cell r="A3401" t="str">
            <v>BPB-037-44055-998-A</v>
          </cell>
          <cell r="G3401" t="str">
            <v>InTer</v>
          </cell>
          <cell r="L3401">
            <v>42649</v>
          </cell>
          <cell r="M3401">
            <v>15.49</v>
          </cell>
          <cell r="P3401">
            <v>6.4557779212395097E-2</v>
          </cell>
        </row>
        <row r="3402">
          <cell r="A3402" t="str">
            <v>BPB-037-440B-1.5</v>
          </cell>
          <cell r="G3402" t="str">
            <v>INPEE</v>
          </cell>
          <cell r="L3402">
            <v>44364</v>
          </cell>
          <cell r="M3402">
            <v>100.25</v>
          </cell>
          <cell r="P3402">
            <v>503.6</v>
          </cell>
        </row>
        <row r="3403">
          <cell r="A3403" t="str">
            <v>BPB-037-48703698</v>
          </cell>
          <cell r="G3403" t="str">
            <v>vpret</v>
          </cell>
          <cell r="L3403">
            <v>43620</v>
          </cell>
          <cell r="M3403">
            <v>45.9</v>
          </cell>
          <cell r="P3403">
            <v>2.178649237472767E-2</v>
          </cell>
        </row>
        <row r="3404">
          <cell r="A3404" t="str">
            <v>BPB-037-48703698-A</v>
          </cell>
          <cell r="G3404" t="str">
            <v>InTer</v>
          </cell>
          <cell r="L3404">
            <v>43615</v>
          </cell>
          <cell r="M3404">
            <v>45.4</v>
          </cell>
          <cell r="P3404">
            <v>2.2026431718061675E-2</v>
          </cell>
        </row>
        <row r="3405">
          <cell r="A3405" t="str">
            <v>BPB-037-48736-696</v>
          </cell>
          <cell r="G3405" t="str">
            <v>VPRet</v>
          </cell>
          <cell r="L3405">
            <v>42678</v>
          </cell>
          <cell r="M3405">
            <v>15.31</v>
          </cell>
          <cell r="P3405">
            <v>6.531678641410843E-2</v>
          </cell>
        </row>
        <row r="3406">
          <cell r="A3406" t="str">
            <v>BPB-037-48736-696-A</v>
          </cell>
          <cell r="G3406" t="str">
            <v>InTer</v>
          </cell>
          <cell r="L3406">
            <v>42670</v>
          </cell>
          <cell r="M3406">
            <v>15.4</v>
          </cell>
          <cell r="P3406">
            <v>6.4935064935064929E-2</v>
          </cell>
        </row>
        <row r="3407">
          <cell r="A3407" t="str">
            <v>BPB-037-48776-815-A</v>
          </cell>
          <cell r="G3407" t="str">
            <v>InTer</v>
          </cell>
          <cell r="L3407">
            <v>42718</v>
          </cell>
          <cell r="M3407">
            <v>16.22</v>
          </cell>
          <cell r="P3407">
            <v>6.1652281134401979E-2</v>
          </cell>
        </row>
        <row r="3408">
          <cell r="A3408" t="str">
            <v>BPB-037-521-112</v>
          </cell>
          <cell r="G3408" t="str">
            <v>IDESP</v>
          </cell>
          <cell r="L3408">
            <v>40840</v>
          </cell>
          <cell r="M3408">
            <v>4.26</v>
          </cell>
          <cell r="P3408">
            <v>287.89999999999998</v>
          </cell>
        </row>
        <row r="3409">
          <cell r="A3409" t="str">
            <v>BPB-037-52100Ø22.2</v>
          </cell>
          <cell r="G3409" t="str">
            <v xml:space="preserve">INAC </v>
          </cell>
          <cell r="L3409">
            <v>45495</v>
          </cell>
          <cell r="M3409">
            <v>944.5</v>
          </cell>
          <cell r="P3409">
            <v>84.934092112228697</v>
          </cell>
        </row>
        <row r="3410">
          <cell r="A3410" t="str">
            <v>BPB-037-5717-00-8541</v>
          </cell>
          <cell r="G3410" t="str">
            <v>IDESP</v>
          </cell>
          <cell r="L3410">
            <v>43899</v>
          </cell>
          <cell r="M3410">
            <v>64</v>
          </cell>
          <cell r="P3410">
            <v>450</v>
          </cell>
        </row>
        <row r="3411">
          <cell r="A3411" t="str">
            <v>BPB-037-593945-3</v>
          </cell>
          <cell r="G3411" t="str">
            <v xml:space="preserve">CR   </v>
          </cell>
          <cell r="L3411">
            <v>43585.433738425927</v>
          </cell>
          <cell r="M3411">
            <v>45.3</v>
          </cell>
          <cell r="P3411">
            <v>1</v>
          </cell>
        </row>
        <row r="3412">
          <cell r="A3412" t="str">
            <v>BPB-037-59501-04-D</v>
          </cell>
          <cell r="G3412" t="str">
            <v xml:space="preserve">INAC </v>
          </cell>
          <cell r="L3412">
            <v>41002</v>
          </cell>
          <cell r="M3412">
            <v>4.3899999999999997</v>
          </cell>
          <cell r="P3412">
            <v>1.1389521640091116</v>
          </cell>
        </row>
        <row r="3413">
          <cell r="A3413" t="str">
            <v>BPB-037-59501-04-I</v>
          </cell>
          <cell r="G3413" t="str">
            <v xml:space="preserve">INAC </v>
          </cell>
          <cell r="L3413">
            <v>41002</v>
          </cell>
          <cell r="M3413">
            <v>4.3899999999999997</v>
          </cell>
          <cell r="P3413">
            <v>1.1389521640091116</v>
          </cell>
        </row>
        <row r="3414">
          <cell r="A3414" t="str">
            <v>BPB-037-609010</v>
          </cell>
          <cell r="G3414" t="str">
            <v>IDESP</v>
          </cell>
          <cell r="L3414">
            <v>44743</v>
          </cell>
          <cell r="M3414">
            <v>130</v>
          </cell>
          <cell r="P3414">
            <v>23.56</v>
          </cell>
        </row>
        <row r="3415">
          <cell r="A3415" t="str">
            <v>BPB-037-609011</v>
          </cell>
          <cell r="G3415" t="str">
            <v>IDESP</v>
          </cell>
          <cell r="L3415">
            <v>44743</v>
          </cell>
          <cell r="M3415">
            <v>130</v>
          </cell>
          <cell r="P3415">
            <v>17.88</v>
          </cell>
        </row>
        <row r="3416">
          <cell r="A3416" t="str">
            <v>BPB-037-609013</v>
          </cell>
          <cell r="G3416" t="str">
            <v>InTer</v>
          </cell>
          <cell r="L3416">
            <v>44508</v>
          </cell>
          <cell r="M3416">
            <v>105.25</v>
          </cell>
          <cell r="P3416">
            <v>9.5011876484560574E-3</v>
          </cell>
        </row>
        <row r="3417">
          <cell r="A3417" t="str">
            <v>BPB-037-81210</v>
          </cell>
          <cell r="G3417" t="str">
            <v>IDESP</v>
          </cell>
          <cell r="L3417">
            <v>44449</v>
          </cell>
          <cell r="M3417">
            <v>103.25</v>
          </cell>
          <cell r="P3417">
            <v>5.41</v>
          </cell>
        </row>
        <row r="3418">
          <cell r="A3418" t="str">
            <v>BPB-037-81212</v>
          </cell>
          <cell r="G3418" t="str">
            <v>IDESP</v>
          </cell>
          <cell r="L3418">
            <v>44449</v>
          </cell>
          <cell r="M3418">
            <v>103.25</v>
          </cell>
          <cell r="P3418">
            <v>7.86</v>
          </cell>
        </row>
        <row r="3419">
          <cell r="A3419" t="str">
            <v>BPB-037-9010</v>
          </cell>
          <cell r="G3419" t="str">
            <v>vpret</v>
          </cell>
          <cell r="L3419">
            <v>44777</v>
          </cell>
          <cell r="M3419">
            <v>138.75</v>
          </cell>
          <cell r="P3419">
            <v>21.522378378378377</v>
          </cell>
        </row>
        <row r="3420">
          <cell r="A3420" t="str">
            <v>BPB-037-9011</v>
          </cell>
          <cell r="G3420" t="str">
            <v>vpret</v>
          </cell>
          <cell r="L3420">
            <v>44777</v>
          </cell>
          <cell r="M3420">
            <v>138.75</v>
          </cell>
          <cell r="P3420">
            <v>16.333621621621621</v>
          </cell>
        </row>
        <row r="3421">
          <cell r="A3421" t="str">
            <v>BPB-037-9013</v>
          </cell>
          <cell r="G3421" t="str">
            <v>vpret</v>
          </cell>
          <cell r="L3421">
            <v>44564</v>
          </cell>
          <cell r="M3421">
            <v>107.75</v>
          </cell>
          <cell r="P3421">
            <v>9.2807424593967514E-3</v>
          </cell>
        </row>
        <row r="3422">
          <cell r="A3422" t="str">
            <v>BPB-037-9014</v>
          </cell>
          <cell r="G3422" t="str">
            <v>vpret</v>
          </cell>
          <cell r="L3422">
            <v>44564</v>
          </cell>
          <cell r="M3422">
            <v>107.75</v>
          </cell>
          <cell r="P3422">
            <v>15.428491879350348</v>
          </cell>
        </row>
        <row r="3423">
          <cell r="A3423" t="str">
            <v>BPB-037-AG590026-4-A</v>
          </cell>
          <cell r="G3423" t="str">
            <v xml:space="preserve">INAC </v>
          </cell>
          <cell r="L3423">
            <v>44574</v>
          </cell>
          <cell r="M3423">
            <v>108.75</v>
          </cell>
          <cell r="P3423">
            <v>0.78274942528735625</v>
          </cell>
        </row>
        <row r="3424">
          <cell r="A3424" t="str">
            <v>BPB-037-AISI-304-1.5</v>
          </cell>
          <cell r="G3424" t="str">
            <v xml:space="preserve">INAC </v>
          </cell>
          <cell r="L3424">
            <v>43292</v>
          </cell>
          <cell r="M3424">
            <v>27.8</v>
          </cell>
          <cell r="P3424">
            <v>15.53956834532374</v>
          </cell>
        </row>
        <row r="3425">
          <cell r="A3425" t="str">
            <v>BPB-037-AISI304ESP-1</v>
          </cell>
          <cell r="G3425" t="str">
            <v xml:space="preserve">INAC </v>
          </cell>
          <cell r="L3425">
            <v>42053</v>
          </cell>
          <cell r="M3425">
            <v>8.7100000000000009</v>
          </cell>
          <cell r="P3425">
            <v>172.2046039035591</v>
          </cell>
        </row>
        <row r="3426">
          <cell r="A3426" t="str">
            <v>BPB-037-AISI304Ø12</v>
          </cell>
          <cell r="G3426" t="str">
            <v xml:space="preserve">INAC </v>
          </cell>
          <cell r="L3426">
            <v>43385</v>
          </cell>
          <cell r="M3426">
            <v>37.5</v>
          </cell>
          <cell r="P3426">
            <v>6.46272</v>
          </cell>
        </row>
        <row r="3427">
          <cell r="A3427" t="str">
            <v>BPB-037-AISI316LØ40</v>
          </cell>
          <cell r="G3427" t="str">
            <v xml:space="preserve">INAC </v>
          </cell>
          <cell r="L3427">
            <v>42774</v>
          </cell>
          <cell r="M3427">
            <v>16.059999999999999</v>
          </cell>
          <cell r="P3427">
            <v>96.155697384806984</v>
          </cell>
        </row>
        <row r="3428">
          <cell r="A3428" t="str">
            <v>BPB-037-AL6061</v>
          </cell>
          <cell r="G3428" t="str">
            <v xml:space="preserve">INAC </v>
          </cell>
          <cell r="L3428">
            <v>43241</v>
          </cell>
          <cell r="M3428">
            <v>24.9</v>
          </cell>
          <cell r="P3428">
            <v>15.768674698795181</v>
          </cell>
        </row>
        <row r="3429">
          <cell r="A3429" t="str">
            <v>BPB-037-AL70751/2X70</v>
          </cell>
          <cell r="G3429" t="str">
            <v>IPFAP</v>
          </cell>
          <cell r="L3429">
            <v>43171</v>
          </cell>
          <cell r="M3429">
            <v>20.57</v>
          </cell>
          <cell r="P3429">
            <v>71.497671366067095</v>
          </cell>
        </row>
        <row r="3430">
          <cell r="A3430" t="str">
            <v>BPB-037-AL707510X60</v>
          </cell>
          <cell r="G3430" t="str">
            <v>IPFAP</v>
          </cell>
          <cell r="L3430">
            <v>43171</v>
          </cell>
          <cell r="M3430">
            <v>20.57</v>
          </cell>
          <cell r="P3430">
            <v>49.441818181818178</v>
          </cell>
        </row>
        <row r="3431">
          <cell r="A3431" t="str">
            <v>BPB-037-AL7075Ø52</v>
          </cell>
          <cell r="G3431" t="str">
            <v>IPFAP</v>
          </cell>
          <cell r="L3431">
            <v>43174</v>
          </cell>
          <cell r="M3431">
            <v>20.53</v>
          </cell>
          <cell r="P3431">
            <v>67.803214807598636</v>
          </cell>
        </row>
        <row r="3432">
          <cell r="A3432" t="str">
            <v>BPB-037-ALEMIT1/4X28</v>
          </cell>
          <cell r="G3432" t="str">
            <v xml:space="preserve">INAC </v>
          </cell>
          <cell r="L3432">
            <v>40546</v>
          </cell>
          <cell r="M3432">
            <v>4.01</v>
          </cell>
          <cell r="P3432">
            <v>7.7306733167082295E-2</v>
          </cell>
        </row>
        <row r="3433">
          <cell r="A3433" t="str">
            <v>BPB-037-ALEMIT6x1x8</v>
          </cell>
          <cell r="G3433" t="str">
            <v xml:space="preserve">INAC </v>
          </cell>
          <cell r="L3433">
            <v>40625</v>
          </cell>
          <cell r="M3433">
            <v>4.0599999999999996</v>
          </cell>
          <cell r="P3433">
            <v>7.9556650246305427E-2</v>
          </cell>
        </row>
        <row r="3434">
          <cell r="A3434" t="str">
            <v>BPB-037-ALLEN8X1.25</v>
          </cell>
          <cell r="G3434" t="str">
            <v xml:space="preserve">INAC </v>
          </cell>
          <cell r="L3434">
            <v>43510</v>
          </cell>
          <cell r="M3434">
            <v>39.1</v>
          </cell>
          <cell r="P3434">
            <v>6.9386189258312025E-2</v>
          </cell>
        </row>
        <row r="3435">
          <cell r="A3435" t="str">
            <v>BPB-037-ARAPZ5/16</v>
          </cell>
          <cell r="G3435" t="str">
            <v xml:space="preserve">INAC </v>
          </cell>
          <cell r="L3435">
            <v>43510</v>
          </cell>
          <cell r="M3435">
            <v>39.1</v>
          </cell>
          <cell r="P3435">
            <v>2.0355498721227622E-2</v>
          </cell>
        </row>
        <row r="3436">
          <cell r="A3436" t="str">
            <v>BPB-037-ATL-1206</v>
          </cell>
          <cell r="G3436" t="str">
            <v>IDESP</v>
          </cell>
          <cell r="L3436">
            <v>43756</v>
          </cell>
          <cell r="M3436">
            <v>59.5</v>
          </cell>
          <cell r="P3436">
            <v>44</v>
          </cell>
        </row>
        <row r="3437">
          <cell r="A3437" t="str">
            <v>BPB-037-ATL-1608</v>
          </cell>
          <cell r="G3437" t="str">
            <v>IPFAP</v>
          </cell>
          <cell r="L3437">
            <v>44075</v>
          </cell>
          <cell r="M3437">
            <v>78</v>
          </cell>
          <cell r="P3437">
            <v>44</v>
          </cell>
        </row>
        <row r="3438">
          <cell r="A3438" t="str">
            <v>BPB-037-ATL-X000-03</v>
          </cell>
          <cell r="G3438" t="str">
            <v>IDESP</v>
          </cell>
          <cell r="L3438">
            <v>44628</v>
          </cell>
          <cell r="M3438">
            <v>113.5</v>
          </cell>
          <cell r="P3438">
            <v>0.49</v>
          </cell>
        </row>
        <row r="3439">
          <cell r="A3439" t="str">
            <v>BPB-037-B2001</v>
          </cell>
          <cell r="G3439" t="str">
            <v>IDESP</v>
          </cell>
          <cell r="L3439">
            <v>40365</v>
          </cell>
          <cell r="M3439">
            <v>3.95</v>
          </cell>
          <cell r="P3439">
            <v>0.85099999999999998</v>
          </cell>
        </row>
        <row r="3440">
          <cell r="A3440" t="str">
            <v>BPB-037-BF5023</v>
          </cell>
          <cell r="G3440" t="str">
            <v>IPFAP</v>
          </cell>
          <cell r="L3440">
            <v>45370</v>
          </cell>
          <cell r="M3440">
            <v>871</v>
          </cell>
          <cell r="P3440">
            <v>42.606498277841567</v>
          </cell>
        </row>
        <row r="3441">
          <cell r="A3441" t="str">
            <v>BPB-037-BP-12011-03</v>
          </cell>
          <cell r="G3441" t="str">
            <v>IPFAP</v>
          </cell>
          <cell r="L3441">
            <v>42779</v>
          </cell>
          <cell r="M3441">
            <v>15.92</v>
          </cell>
          <cell r="P3441">
            <v>1.665389447236181</v>
          </cell>
        </row>
        <row r="3442">
          <cell r="A3442" t="str">
            <v>BPB-037-BP-12011-A3</v>
          </cell>
          <cell r="G3442" t="str">
            <v xml:space="preserve">CR   </v>
          </cell>
          <cell r="L3442">
            <v>43126.701226851852</v>
          </cell>
          <cell r="M3442">
            <v>19.86</v>
          </cell>
          <cell r="P3442">
            <v>0.16112789526686808</v>
          </cell>
        </row>
        <row r="3443">
          <cell r="A3443" t="str">
            <v>BPB-037-BP-12011-B3</v>
          </cell>
          <cell r="G3443" t="str">
            <v>IPFAP</v>
          </cell>
          <cell r="L3443">
            <v>42773</v>
          </cell>
          <cell r="M3443">
            <v>16.09</v>
          </cell>
          <cell r="P3443">
            <v>1.5972653822249845</v>
          </cell>
        </row>
        <row r="3444">
          <cell r="A3444" t="str">
            <v>BPB-037-BP-12011-BD</v>
          </cell>
          <cell r="G3444" t="str">
            <v>IDESP</v>
          </cell>
          <cell r="L3444">
            <v>43994</v>
          </cell>
          <cell r="M3444">
            <v>71.5</v>
          </cell>
          <cell r="P3444">
            <v>2.44</v>
          </cell>
        </row>
        <row r="3445">
          <cell r="A3445" t="str">
            <v>BPB-037-BP-12011-BD2</v>
          </cell>
          <cell r="G3445" t="str">
            <v>IDESP</v>
          </cell>
          <cell r="L3445">
            <v>44851</v>
          </cell>
          <cell r="M3445">
            <v>157.25</v>
          </cell>
          <cell r="P3445">
            <v>2.99</v>
          </cell>
        </row>
        <row r="3446">
          <cell r="A3446" t="str">
            <v>BPB-037-BP-12011-BI</v>
          </cell>
          <cell r="G3446" t="str">
            <v>IDESP</v>
          </cell>
          <cell r="L3446">
            <v>43994</v>
          </cell>
          <cell r="M3446">
            <v>71.5</v>
          </cell>
          <cell r="P3446">
            <v>2.44</v>
          </cell>
        </row>
        <row r="3447">
          <cell r="A3447" t="str">
            <v>BPB-037-BP-12011-BI2</v>
          </cell>
          <cell r="G3447" t="str">
            <v>IDESP</v>
          </cell>
          <cell r="L3447">
            <v>44851</v>
          </cell>
          <cell r="M3447">
            <v>157.25</v>
          </cell>
          <cell r="P3447">
            <v>2.99</v>
          </cell>
        </row>
        <row r="3448">
          <cell r="A3448" t="str">
            <v>BPB-037-BP-13009-6</v>
          </cell>
          <cell r="G3448" t="str">
            <v>IPFAP</v>
          </cell>
          <cell r="L3448">
            <v>41990</v>
          </cell>
          <cell r="M3448">
            <v>8.58</v>
          </cell>
          <cell r="P3448">
            <v>0.42886946386946384</v>
          </cell>
        </row>
        <row r="3449">
          <cell r="A3449" t="str">
            <v>BPB-037-BP-16006</v>
          </cell>
          <cell r="G3449" t="str">
            <v>IPFAP</v>
          </cell>
          <cell r="L3449">
            <v>42545</v>
          </cell>
          <cell r="M3449">
            <v>14.58</v>
          </cell>
          <cell r="P3449">
            <v>0.90333333333333332</v>
          </cell>
        </row>
        <row r="3450">
          <cell r="A3450" t="str">
            <v>BPB-037-BP-16006-A</v>
          </cell>
          <cell r="G3450" t="str">
            <v>InRet</v>
          </cell>
          <cell r="L3450">
            <v>42545</v>
          </cell>
          <cell r="M3450">
            <v>14.58</v>
          </cell>
          <cell r="P3450">
            <v>0.90333333333333332</v>
          </cell>
        </row>
        <row r="3451">
          <cell r="A3451" t="str">
            <v>BPB-037-BP-16007</v>
          </cell>
          <cell r="G3451" t="str">
            <v>InRet</v>
          </cell>
          <cell r="L3451">
            <v>43605</v>
          </cell>
          <cell r="M3451">
            <v>46</v>
          </cell>
          <cell r="P3451">
            <v>0.80958695652173918</v>
          </cell>
        </row>
        <row r="3452">
          <cell r="A3452" t="str">
            <v>BPB-037-BP-16007-A</v>
          </cell>
          <cell r="G3452" t="str">
            <v>vpret</v>
          </cell>
          <cell r="L3452">
            <v>43593</v>
          </cell>
          <cell r="M3452">
            <v>46.3</v>
          </cell>
          <cell r="P3452">
            <v>0.66179265658747299</v>
          </cell>
        </row>
        <row r="3453">
          <cell r="A3453" t="str">
            <v>BPB-037-BP-16012-02</v>
          </cell>
          <cell r="G3453" t="str">
            <v>VPRet</v>
          </cell>
          <cell r="L3453">
            <v>42825</v>
          </cell>
          <cell r="M3453">
            <v>15.71</v>
          </cell>
          <cell r="P3453">
            <v>1.9659586250795671</v>
          </cell>
        </row>
        <row r="3454">
          <cell r="A3454" t="str">
            <v>BPB-037-BP-17007</v>
          </cell>
          <cell r="G3454" t="str">
            <v>IDESP</v>
          </cell>
          <cell r="L3454">
            <v>43620</v>
          </cell>
          <cell r="M3454">
            <v>45.9</v>
          </cell>
          <cell r="P3454">
            <v>1.32E-2</v>
          </cell>
        </row>
        <row r="3455">
          <cell r="A3455" t="str">
            <v>BPB-037-BP-17010</v>
          </cell>
          <cell r="G3455" t="str">
            <v>vpret</v>
          </cell>
          <cell r="L3455">
            <v>45964</v>
          </cell>
          <cell r="M3455">
            <v>1475</v>
          </cell>
          <cell r="P3455">
            <v>2.601428474576271</v>
          </cell>
        </row>
        <row r="3456">
          <cell r="A3456" t="str">
            <v>BPB-037-BP-17010-05</v>
          </cell>
          <cell r="G3456" t="str">
            <v xml:space="preserve">INAC </v>
          </cell>
          <cell r="L3456">
            <v>43111</v>
          </cell>
          <cell r="M3456">
            <v>18.95</v>
          </cell>
          <cell r="P3456">
            <v>0.10026385224274406</v>
          </cell>
        </row>
        <row r="3457">
          <cell r="A3457" t="str">
            <v>BPB-037-BP-17011</v>
          </cell>
          <cell r="G3457" t="str">
            <v>VPRet</v>
          </cell>
          <cell r="L3457">
            <v>43185</v>
          </cell>
          <cell r="M3457">
            <v>20.55</v>
          </cell>
          <cell r="P3457">
            <v>11.861995133819951</v>
          </cell>
        </row>
        <row r="3458">
          <cell r="A3458" t="str">
            <v>BPB-037-BP-17011-02</v>
          </cell>
          <cell r="G3458" t="str">
            <v>InRet</v>
          </cell>
          <cell r="L3458">
            <v>43180</v>
          </cell>
          <cell r="M3458">
            <v>20.57</v>
          </cell>
          <cell r="P3458">
            <v>3.1920272241127856</v>
          </cell>
        </row>
        <row r="3459">
          <cell r="A3459" t="str">
            <v>BPB-037-BP-17011-03</v>
          </cell>
          <cell r="G3459" t="str">
            <v xml:space="preserve">INAC </v>
          </cell>
          <cell r="L3459">
            <v>43180</v>
          </cell>
          <cell r="M3459">
            <v>20.57</v>
          </cell>
          <cell r="P3459">
            <v>0.62518230432668931</v>
          </cell>
        </row>
        <row r="3460">
          <cell r="A3460" t="str">
            <v>BPB-037-BP-17011-A2</v>
          </cell>
          <cell r="G3460" t="str">
            <v>vpret</v>
          </cell>
          <cell r="L3460">
            <v>43083</v>
          </cell>
          <cell r="M3460">
            <v>17.66</v>
          </cell>
          <cell r="P3460">
            <v>1.6766704416761042</v>
          </cell>
        </row>
        <row r="3461">
          <cell r="A3461" t="str">
            <v>BPB-037-BP-17011-B2</v>
          </cell>
          <cell r="G3461" t="str">
            <v>InRet</v>
          </cell>
          <cell r="L3461">
            <v>43096</v>
          </cell>
          <cell r="M3461">
            <v>18.61</v>
          </cell>
          <cell r="P3461">
            <v>3.203116603976357</v>
          </cell>
        </row>
        <row r="3462">
          <cell r="A3462" t="str">
            <v>BPB-037-BP-17011-C2</v>
          </cell>
          <cell r="G3462" t="str">
            <v>vpret</v>
          </cell>
          <cell r="L3462">
            <v>43140</v>
          </cell>
          <cell r="M3462">
            <v>20.23</v>
          </cell>
          <cell r="P3462">
            <v>2.9466139396935245</v>
          </cell>
        </row>
        <row r="3463">
          <cell r="A3463" t="str">
            <v>BPB-037-BP-18002</v>
          </cell>
          <cell r="G3463" t="str">
            <v>IDESP</v>
          </cell>
          <cell r="L3463">
            <v>44137</v>
          </cell>
          <cell r="M3463">
            <v>83.5</v>
          </cell>
          <cell r="P3463">
            <v>109.05500000000001</v>
          </cell>
        </row>
        <row r="3464">
          <cell r="A3464" t="str">
            <v>BPB-037-BP-18013-03</v>
          </cell>
          <cell r="G3464" t="str">
            <v>vpret</v>
          </cell>
          <cell r="L3464">
            <v>43711</v>
          </cell>
          <cell r="M3464">
            <v>57</v>
          </cell>
          <cell r="P3464">
            <v>9.9723684210526312E-2</v>
          </cell>
        </row>
        <row r="3465">
          <cell r="A3465" t="str">
            <v>BPB-037-BP-18013-05</v>
          </cell>
          <cell r="G3465" t="str">
            <v>vpret</v>
          </cell>
          <cell r="L3465">
            <v>44536</v>
          </cell>
          <cell r="M3465">
            <v>106.25</v>
          </cell>
          <cell r="P3465">
            <v>0.12996705882352941</v>
          </cell>
        </row>
        <row r="3466">
          <cell r="A3466" t="str">
            <v>BPB-037-BP-18017-A2</v>
          </cell>
          <cell r="G3466" t="str">
            <v>vpret</v>
          </cell>
          <cell r="L3466">
            <v>43563</v>
          </cell>
          <cell r="M3466">
            <v>44.9</v>
          </cell>
          <cell r="P3466">
            <v>7.56064587973274E-2</v>
          </cell>
        </row>
        <row r="3467">
          <cell r="A3467" t="str">
            <v>BPB-037-BP-18018</v>
          </cell>
          <cell r="G3467" t="str">
            <v>vpret</v>
          </cell>
          <cell r="L3467">
            <v>43706</v>
          </cell>
          <cell r="M3467">
            <v>60</v>
          </cell>
          <cell r="P3467">
            <v>2.25</v>
          </cell>
        </row>
        <row r="3468">
          <cell r="A3468" t="str">
            <v>BPB-037-BP-18018-A2</v>
          </cell>
          <cell r="G3468" t="str">
            <v xml:space="preserve">INAC </v>
          </cell>
          <cell r="L3468">
            <v>43685</v>
          </cell>
          <cell r="M3468">
            <v>46.6</v>
          </cell>
          <cell r="P3468">
            <v>2.8969957081545061</v>
          </cell>
        </row>
        <row r="3469">
          <cell r="A3469" t="str">
            <v>BPB-037-BP-18018-BD</v>
          </cell>
          <cell r="G3469" t="str">
            <v>IDESP</v>
          </cell>
          <cell r="L3469">
            <v>45020</v>
          </cell>
          <cell r="M3469">
            <v>216.5</v>
          </cell>
          <cell r="P3469">
            <v>4.24</v>
          </cell>
        </row>
        <row r="3470">
          <cell r="A3470" t="str">
            <v>BPB-037-BP-18018-BI</v>
          </cell>
          <cell r="G3470" t="str">
            <v>IDESP</v>
          </cell>
          <cell r="L3470">
            <v>45020</v>
          </cell>
          <cell r="M3470">
            <v>216.5</v>
          </cell>
          <cell r="P3470">
            <v>4.24</v>
          </cell>
        </row>
        <row r="3471">
          <cell r="A3471" t="str">
            <v>BPB-037-BP-18019-D</v>
          </cell>
          <cell r="G3471" t="str">
            <v>IDESP</v>
          </cell>
          <cell r="L3471">
            <v>44979</v>
          </cell>
          <cell r="M3471">
            <v>199.25</v>
          </cell>
          <cell r="P3471">
            <v>11.24</v>
          </cell>
        </row>
        <row r="3472">
          <cell r="A3472" t="str">
            <v>BPB-037-BP-18019-I</v>
          </cell>
          <cell r="G3472" t="str">
            <v>IDESP</v>
          </cell>
          <cell r="L3472">
            <v>44979</v>
          </cell>
          <cell r="M3472">
            <v>199.25</v>
          </cell>
          <cell r="P3472">
            <v>11.24</v>
          </cell>
        </row>
        <row r="3473">
          <cell r="A3473" t="str">
            <v>BPB-037-BP-18020</v>
          </cell>
          <cell r="G3473" t="str">
            <v>vpret</v>
          </cell>
          <cell r="L3473">
            <v>45601</v>
          </cell>
          <cell r="M3473">
            <v>1013</v>
          </cell>
          <cell r="P3473">
            <v>42.334409674234941</v>
          </cell>
        </row>
        <row r="3474">
          <cell r="A3474" t="str">
            <v>BPB-037-BP-18020B</v>
          </cell>
          <cell r="G3474" t="str">
            <v>InTer</v>
          </cell>
          <cell r="L3474">
            <v>43377</v>
          </cell>
          <cell r="M3474">
            <v>38.6</v>
          </cell>
          <cell r="P3474">
            <v>25</v>
          </cell>
        </row>
        <row r="3475">
          <cell r="A3475" t="str">
            <v>BPB-037-BP-18030</v>
          </cell>
          <cell r="G3475" t="str">
            <v>vpret</v>
          </cell>
          <cell r="L3475">
            <v>45204</v>
          </cell>
          <cell r="M3475">
            <v>365.5</v>
          </cell>
          <cell r="P3475">
            <v>17.621326949384407</v>
          </cell>
        </row>
        <row r="3476">
          <cell r="A3476" t="str">
            <v>BPB-037-BP-18030-02A</v>
          </cell>
          <cell r="G3476" t="str">
            <v>INCOU</v>
          </cell>
          <cell r="L3476">
            <v>43928</v>
          </cell>
          <cell r="M3476">
            <v>66.25</v>
          </cell>
          <cell r="P3476">
            <v>1.1000000000000001</v>
          </cell>
        </row>
        <row r="3477">
          <cell r="A3477" t="str">
            <v>BPB-037-BP-19004</v>
          </cell>
          <cell r="G3477" t="str">
            <v>IDESP</v>
          </cell>
          <cell r="L3477">
            <v>43720</v>
          </cell>
          <cell r="M3477">
            <v>57</v>
          </cell>
          <cell r="P3477">
            <v>0.25</v>
          </cell>
        </row>
        <row r="3478">
          <cell r="A3478" t="str">
            <v>BPB-037-BP-19007</v>
          </cell>
          <cell r="G3478" t="str">
            <v>IDESP</v>
          </cell>
          <cell r="L3478">
            <v>43720</v>
          </cell>
          <cell r="M3478">
            <v>57</v>
          </cell>
          <cell r="P3478">
            <v>0.3</v>
          </cell>
        </row>
        <row r="3479">
          <cell r="A3479" t="str">
            <v>BPB-037-BP-20001</v>
          </cell>
          <cell r="G3479" t="str">
            <v>vpret</v>
          </cell>
          <cell r="L3479">
            <v>44536</v>
          </cell>
          <cell r="M3479">
            <v>106.25</v>
          </cell>
          <cell r="P3479">
            <v>3.5335341176470587</v>
          </cell>
        </row>
        <row r="3480">
          <cell r="A3480" t="str">
            <v>BPB-037-BP-20001-01</v>
          </cell>
          <cell r="G3480" t="str">
            <v>IDESP</v>
          </cell>
          <cell r="L3480">
            <v>44449</v>
          </cell>
          <cell r="M3480">
            <v>103.25</v>
          </cell>
          <cell r="P3480">
            <v>2.2599999999999998</v>
          </cell>
        </row>
        <row r="3481">
          <cell r="A3481" t="str">
            <v>BPB-037-BP-20001-02</v>
          </cell>
          <cell r="G3481" t="str">
            <v>IDESP</v>
          </cell>
          <cell r="L3481">
            <v>44449</v>
          </cell>
          <cell r="M3481">
            <v>103.25</v>
          </cell>
          <cell r="P3481">
            <v>0.8095</v>
          </cell>
        </row>
        <row r="3482">
          <cell r="A3482" t="str">
            <v>BPB-037-BP-20001-03</v>
          </cell>
          <cell r="G3482" t="str">
            <v>IDESP</v>
          </cell>
          <cell r="L3482">
            <v>44449</v>
          </cell>
          <cell r="M3482">
            <v>103.25</v>
          </cell>
          <cell r="P3482">
            <v>0.16189999999999999</v>
          </cell>
        </row>
        <row r="3483">
          <cell r="A3483" t="str">
            <v>BPB-037-BP-20001-04</v>
          </cell>
          <cell r="G3483" t="str">
            <v>IDESP</v>
          </cell>
          <cell r="L3483">
            <v>44449</v>
          </cell>
          <cell r="M3483">
            <v>103.25</v>
          </cell>
          <cell r="P3483">
            <v>0.16189999999999999</v>
          </cell>
        </row>
        <row r="3484">
          <cell r="A3484" t="str">
            <v>BPB-037-BP-20001-05</v>
          </cell>
          <cell r="G3484" t="str">
            <v>IDESP</v>
          </cell>
          <cell r="L3484">
            <v>44449</v>
          </cell>
          <cell r="M3484">
            <v>103.25</v>
          </cell>
          <cell r="P3484">
            <v>0.2429</v>
          </cell>
        </row>
        <row r="3485">
          <cell r="A3485" t="str">
            <v>BPB-037-BP-21003</v>
          </cell>
          <cell r="G3485" t="str">
            <v>IPFAB</v>
          </cell>
          <cell r="L3485">
            <v>44370</v>
          </cell>
          <cell r="M3485">
            <v>100.25</v>
          </cell>
          <cell r="P3485">
            <v>110</v>
          </cell>
        </row>
        <row r="3486">
          <cell r="A3486" t="str">
            <v>BPB-037-BP-KM-25</v>
          </cell>
          <cell r="G3486" t="str">
            <v xml:space="preserve">INAC </v>
          </cell>
          <cell r="L3486">
            <v>39604</v>
          </cell>
          <cell r="M3486">
            <v>3.0739999999999998</v>
          </cell>
          <cell r="P3486">
            <v>2.4072869225764477</v>
          </cell>
        </row>
        <row r="3487">
          <cell r="A3487" t="str">
            <v>BPB-037-BP17010-04A</v>
          </cell>
          <cell r="G3487" t="str">
            <v xml:space="preserve">INAC </v>
          </cell>
          <cell r="L3487">
            <v>43046</v>
          </cell>
          <cell r="M3487">
            <v>17.899999999999999</v>
          </cell>
          <cell r="P3487">
            <v>0.67039106145251404</v>
          </cell>
        </row>
        <row r="3488">
          <cell r="A3488" t="str">
            <v>BPB-037-BR-KM-25</v>
          </cell>
          <cell r="G3488" t="str">
            <v xml:space="preserve">INAC </v>
          </cell>
          <cell r="L3488">
            <v>39604</v>
          </cell>
          <cell r="M3488">
            <v>3.0739999999999998</v>
          </cell>
          <cell r="P3488">
            <v>2.6350032530904359</v>
          </cell>
        </row>
        <row r="3489">
          <cell r="A3489" t="str">
            <v>BPB-037-CAGE207-27</v>
          </cell>
          <cell r="G3489" t="str">
            <v>INCOU</v>
          </cell>
          <cell r="L3489">
            <v>41186</v>
          </cell>
          <cell r="M3489">
            <v>4.71</v>
          </cell>
          <cell r="P3489">
            <v>0.10440000000000001</v>
          </cell>
        </row>
        <row r="3490">
          <cell r="A3490" t="str">
            <v>BPB-037-CAGE209</v>
          </cell>
          <cell r="G3490" t="str">
            <v>INCOU</v>
          </cell>
          <cell r="L3490">
            <v>41186</v>
          </cell>
          <cell r="M3490">
            <v>4.71</v>
          </cell>
          <cell r="P3490">
            <v>0.21229999999999999</v>
          </cell>
        </row>
        <row r="3491">
          <cell r="A3491" t="str">
            <v>BPB-037-CAGE5209</v>
          </cell>
          <cell r="G3491" t="str">
            <v xml:space="preserve">INAC </v>
          </cell>
          <cell r="L3491">
            <v>42438</v>
          </cell>
          <cell r="M3491">
            <v>15.66</v>
          </cell>
          <cell r="P3491">
            <v>0.33971902937420179</v>
          </cell>
        </row>
        <row r="3492">
          <cell r="A3492" t="str">
            <v>BPB-037-CAZ-ME9</v>
          </cell>
          <cell r="G3492" t="str">
            <v xml:space="preserve">INSI </v>
          </cell>
          <cell r="L3492">
            <v>41009</v>
          </cell>
          <cell r="M3492">
            <v>4.4000000000000004</v>
          </cell>
          <cell r="P3492">
            <v>51.844099999999997</v>
          </cell>
        </row>
        <row r="3493">
          <cell r="A3493" t="str">
            <v>BPB-037-CB6203-1450A</v>
          </cell>
          <cell r="G3493" t="str">
            <v>vpret</v>
          </cell>
          <cell r="L3493">
            <v>43503</v>
          </cell>
          <cell r="M3493">
            <v>38.4</v>
          </cell>
          <cell r="P3493">
            <v>4.4879687500000003</v>
          </cell>
        </row>
        <row r="3494">
          <cell r="A3494" t="str">
            <v>BPB-037-CB6203-1450B</v>
          </cell>
          <cell r="G3494" t="str">
            <v>InRet</v>
          </cell>
          <cell r="L3494">
            <v>43510</v>
          </cell>
          <cell r="M3494">
            <v>39.1</v>
          </cell>
          <cell r="P3494">
            <v>7.2209207161125324</v>
          </cell>
        </row>
        <row r="3495">
          <cell r="A3495" t="str">
            <v>BPB-037-CF204-01-B1</v>
          </cell>
          <cell r="G3495" t="str">
            <v>InRet</v>
          </cell>
          <cell r="L3495">
            <v>43998</v>
          </cell>
          <cell r="M3495">
            <v>72</v>
          </cell>
          <cell r="P3495">
            <v>3.123573611111111</v>
          </cell>
        </row>
        <row r="3496">
          <cell r="A3496" t="str">
            <v>BPB-037-CF204-02-B1</v>
          </cell>
          <cell r="G3496" t="str">
            <v>InRet</v>
          </cell>
          <cell r="L3496">
            <v>43998</v>
          </cell>
          <cell r="M3496">
            <v>72</v>
          </cell>
          <cell r="P3496">
            <v>6.2791541666666673</v>
          </cell>
        </row>
        <row r="3497">
          <cell r="A3497" t="str">
            <v>BPB-037-CF5202-01-A1</v>
          </cell>
          <cell r="G3497" t="str">
            <v>InRet</v>
          </cell>
          <cell r="L3497">
            <v>43999</v>
          </cell>
          <cell r="M3497">
            <v>72.25</v>
          </cell>
          <cell r="P3497">
            <v>1.7910034602076126</v>
          </cell>
        </row>
        <row r="3498">
          <cell r="A3498" t="str">
            <v>BPB-037-CF5202-02-B1</v>
          </cell>
          <cell r="G3498" t="str">
            <v>InRet</v>
          </cell>
          <cell r="L3498">
            <v>43998</v>
          </cell>
          <cell r="M3498">
            <v>72</v>
          </cell>
          <cell r="P3498">
            <v>0.81246388888888887</v>
          </cell>
        </row>
        <row r="3499">
          <cell r="A3499" t="str">
            <v>BPB-037-CHAPA-N14</v>
          </cell>
          <cell r="G3499" t="str">
            <v xml:space="preserve">INAC </v>
          </cell>
          <cell r="L3499">
            <v>42725</v>
          </cell>
          <cell r="M3499">
            <v>16.18</v>
          </cell>
          <cell r="P3499">
            <v>2.5710754017305316E-3</v>
          </cell>
        </row>
        <row r="3500">
          <cell r="A3500" t="str">
            <v>BPB-037-DIN-471-20</v>
          </cell>
          <cell r="G3500" t="str">
            <v xml:space="preserve">INAC </v>
          </cell>
          <cell r="L3500">
            <v>42318</v>
          </cell>
          <cell r="M3500">
            <v>9.67</v>
          </cell>
          <cell r="P3500">
            <v>7.6421923474663908E-2</v>
          </cell>
        </row>
        <row r="3501">
          <cell r="A3501" t="str">
            <v>BPB-037-DIN-471.28</v>
          </cell>
          <cell r="G3501" t="str">
            <v xml:space="preserve">INAC </v>
          </cell>
          <cell r="L3501">
            <v>45859</v>
          </cell>
          <cell r="M3501">
            <v>1300</v>
          </cell>
          <cell r="P3501">
            <v>0.19136615384615385</v>
          </cell>
        </row>
        <row r="3502">
          <cell r="A3502" t="str">
            <v>BPB-037-DIN-471.60M</v>
          </cell>
          <cell r="G3502" t="str">
            <v>IDESP</v>
          </cell>
          <cell r="L3502">
            <v>44973</v>
          </cell>
          <cell r="M3502">
            <v>198.25</v>
          </cell>
          <cell r="P3502">
            <v>0.09</v>
          </cell>
        </row>
        <row r="3503">
          <cell r="A3503" t="str">
            <v>BPB-037-DIN-472-40</v>
          </cell>
          <cell r="G3503" t="str">
            <v>IPFAP</v>
          </cell>
          <cell r="L3503">
            <v>44964</v>
          </cell>
          <cell r="M3503">
            <v>196</v>
          </cell>
          <cell r="P3503">
            <v>0.85</v>
          </cell>
        </row>
        <row r="3504">
          <cell r="A3504" t="str">
            <v>BPB-037-DIN-472-47</v>
          </cell>
          <cell r="G3504" t="str">
            <v xml:space="preserve">INAC </v>
          </cell>
          <cell r="L3504">
            <v>45924</v>
          </cell>
          <cell r="M3504">
            <v>1385</v>
          </cell>
          <cell r="P3504">
            <v>0.20386945848375451</v>
          </cell>
        </row>
        <row r="3505">
          <cell r="A3505" t="str">
            <v>BPB-037-DIN-472-62</v>
          </cell>
          <cell r="G3505" t="str">
            <v>INNFA</v>
          </cell>
          <cell r="L3505">
            <v>45455</v>
          </cell>
          <cell r="M3505">
            <v>921</v>
          </cell>
          <cell r="P3505">
            <v>0.78407709011943538</v>
          </cell>
        </row>
        <row r="3506">
          <cell r="A3506" t="str">
            <v>BPB-037-DIN-472-65</v>
          </cell>
          <cell r="G3506" t="str">
            <v xml:space="preserve">INAC </v>
          </cell>
          <cell r="L3506">
            <v>45603</v>
          </cell>
          <cell r="M3506">
            <v>1014</v>
          </cell>
          <cell r="P3506">
            <v>0.96051775147928997</v>
          </cell>
        </row>
        <row r="3507">
          <cell r="A3507" t="str">
            <v>BPB-037-DIN-472-75</v>
          </cell>
          <cell r="G3507" t="str">
            <v>IDESP</v>
          </cell>
          <cell r="L3507">
            <v>45020</v>
          </cell>
          <cell r="M3507">
            <v>216.5</v>
          </cell>
          <cell r="P3507">
            <v>0.33</v>
          </cell>
        </row>
        <row r="3508">
          <cell r="A3508" t="str">
            <v>BPB-037-F490MGL01</v>
          </cell>
          <cell r="G3508" t="str">
            <v>VPRet</v>
          </cell>
          <cell r="L3508">
            <v>42660</v>
          </cell>
          <cell r="M3508">
            <v>15.39</v>
          </cell>
          <cell r="P3508">
            <v>0.79077322936972061</v>
          </cell>
        </row>
        <row r="3509">
          <cell r="A3509" t="str">
            <v>BPB-037-F490MGL02</v>
          </cell>
          <cell r="G3509" t="str">
            <v xml:space="preserve">INAC </v>
          </cell>
          <cell r="L3509">
            <v>42696</v>
          </cell>
          <cell r="M3509">
            <v>15.62</v>
          </cell>
          <cell r="P3509">
            <v>0.32138284250960308</v>
          </cell>
        </row>
        <row r="3510">
          <cell r="A3510" t="str">
            <v>BPB-037-GU6008</v>
          </cell>
          <cell r="G3510" t="str">
            <v>IDESP</v>
          </cell>
          <cell r="L3510">
            <v>43249</v>
          </cell>
          <cell r="M3510">
            <v>25.2</v>
          </cell>
          <cell r="P3510">
            <v>0.16</v>
          </cell>
        </row>
        <row r="3511">
          <cell r="A3511" t="str">
            <v>BPB-037-HS13B3C-12TN</v>
          </cell>
          <cell r="G3511" t="str">
            <v>IDESP</v>
          </cell>
          <cell r="L3511">
            <v>40294</v>
          </cell>
          <cell r="M3511">
            <v>3.89</v>
          </cell>
          <cell r="P3511">
            <v>674.2</v>
          </cell>
        </row>
        <row r="3512">
          <cell r="A3512" t="str">
            <v>BPB-037-IR-6905-FR</v>
          </cell>
          <cell r="G3512" t="str">
            <v>IDESP</v>
          </cell>
          <cell r="L3512">
            <v>39672</v>
          </cell>
          <cell r="M3512">
            <v>3.0329999999999999</v>
          </cell>
          <cell r="P3512">
            <v>0.11210000000000001</v>
          </cell>
        </row>
        <row r="3513">
          <cell r="A3513" t="str">
            <v>BPB-037-KM-04</v>
          </cell>
          <cell r="G3513" t="str">
            <v xml:space="preserve">INAC </v>
          </cell>
          <cell r="L3513">
            <v>43705</v>
          </cell>
          <cell r="M3513">
            <v>58</v>
          </cell>
          <cell r="P3513">
            <v>0.53876551724137933</v>
          </cell>
        </row>
        <row r="3514">
          <cell r="A3514" t="str">
            <v>BPB-037-KM-05</v>
          </cell>
          <cell r="G3514" t="str">
            <v xml:space="preserve">INAC </v>
          </cell>
          <cell r="L3514">
            <v>43705</v>
          </cell>
          <cell r="M3514">
            <v>58</v>
          </cell>
          <cell r="P3514">
            <v>0.63075344827586211</v>
          </cell>
        </row>
        <row r="3515">
          <cell r="A3515" t="str">
            <v>BPB-037-KM-08</v>
          </cell>
          <cell r="G3515" t="str">
            <v xml:space="preserve">INAC </v>
          </cell>
          <cell r="L3515">
            <v>43783</v>
          </cell>
          <cell r="M3515">
            <v>62.75</v>
          </cell>
          <cell r="P3515">
            <v>1.0933498007968128</v>
          </cell>
        </row>
        <row r="3516">
          <cell r="A3516" t="str">
            <v>BPB-037-KM-10</v>
          </cell>
          <cell r="G3516" t="str">
            <v>IDESP</v>
          </cell>
          <cell r="L3516">
            <v>41436</v>
          </cell>
          <cell r="M3516">
            <v>5.31</v>
          </cell>
          <cell r="P3516">
            <v>0.73</v>
          </cell>
        </row>
        <row r="3517">
          <cell r="A3517" t="str">
            <v>BPB-037-KM-16</v>
          </cell>
          <cell r="G3517" t="str">
            <v xml:space="preserve">INAC </v>
          </cell>
          <cell r="L3517">
            <v>40595</v>
          </cell>
          <cell r="M3517">
            <v>4.05</v>
          </cell>
          <cell r="P3517">
            <v>3.7283456790123459</v>
          </cell>
        </row>
        <row r="3518">
          <cell r="A3518" t="str">
            <v>BPB-037-KM-8</v>
          </cell>
          <cell r="G3518" t="str">
            <v xml:space="preserve">INAC </v>
          </cell>
          <cell r="L3518">
            <v>42263</v>
          </cell>
          <cell r="M3518">
            <v>9.41</v>
          </cell>
          <cell r="P3518">
            <v>2.763018065887354</v>
          </cell>
        </row>
        <row r="3519">
          <cell r="A3519" t="str">
            <v>BPB-037-Leaf-Chair</v>
          </cell>
          <cell r="G3519" t="str">
            <v>IDESP</v>
          </cell>
          <cell r="L3519">
            <v>43313</v>
          </cell>
          <cell r="M3519">
            <v>27.9</v>
          </cell>
          <cell r="P3519">
            <v>230</v>
          </cell>
        </row>
        <row r="3520">
          <cell r="A3520" t="str">
            <v>BPB-037-Little-Table</v>
          </cell>
          <cell r="G3520" t="str">
            <v>IDESP</v>
          </cell>
          <cell r="L3520">
            <v>41465</v>
          </cell>
          <cell r="M3520">
            <v>5.41</v>
          </cell>
          <cell r="P3520">
            <v>70</v>
          </cell>
        </row>
        <row r="3521">
          <cell r="A3521" t="str">
            <v>BPB-037-MB-04</v>
          </cell>
          <cell r="G3521" t="str">
            <v xml:space="preserve">INAC </v>
          </cell>
          <cell r="L3521">
            <v>43705</v>
          </cell>
          <cell r="M3521">
            <v>58</v>
          </cell>
          <cell r="P3521">
            <v>5.986206896551724E-2</v>
          </cell>
        </row>
        <row r="3522">
          <cell r="A3522" t="str">
            <v>BPB-037-MB-05</v>
          </cell>
          <cell r="G3522" t="str">
            <v xml:space="preserve">INAC </v>
          </cell>
          <cell r="L3522">
            <v>43705</v>
          </cell>
          <cell r="M3522">
            <v>58</v>
          </cell>
          <cell r="P3522">
            <v>7.0068965517241386E-2</v>
          </cell>
        </row>
        <row r="3523">
          <cell r="A3523" t="str">
            <v>BPB-037-MB-08</v>
          </cell>
          <cell r="G3523" t="str">
            <v>IDESP</v>
          </cell>
          <cell r="L3523">
            <v>43042</v>
          </cell>
          <cell r="M3523">
            <v>17.850000000000001</v>
          </cell>
          <cell r="P3523">
            <v>5.2999999999999999E-2</v>
          </cell>
        </row>
        <row r="3524">
          <cell r="A3524" t="str">
            <v>BPB-037-MB-16</v>
          </cell>
          <cell r="G3524" t="str">
            <v xml:space="preserve">INAC </v>
          </cell>
          <cell r="L3524">
            <v>40315</v>
          </cell>
          <cell r="M3524">
            <v>3.92</v>
          </cell>
          <cell r="P3524">
            <v>1.7244897959183674</v>
          </cell>
        </row>
        <row r="3525">
          <cell r="A3525" t="str">
            <v>BPB-037-MP81100</v>
          </cell>
          <cell r="G3525" t="str">
            <v>IDESP</v>
          </cell>
          <cell r="L3525">
            <v>44910</v>
          </cell>
          <cell r="M3525">
            <v>178.5</v>
          </cell>
          <cell r="P3525">
            <v>346</v>
          </cell>
        </row>
        <row r="3526">
          <cell r="A3526" t="str">
            <v>BPB-037-OR-6905-FR</v>
          </cell>
          <cell r="G3526" t="str">
            <v>IDESP</v>
          </cell>
          <cell r="L3526">
            <v>39672</v>
          </cell>
          <cell r="M3526">
            <v>3.0329999999999999</v>
          </cell>
          <cell r="P3526">
            <v>0.13869999999999999</v>
          </cell>
        </row>
        <row r="3527">
          <cell r="A3527" t="str">
            <v>BPB-037-PORCELAIN</v>
          </cell>
          <cell r="G3527" t="str">
            <v>IDESP</v>
          </cell>
          <cell r="L3527">
            <v>44007</v>
          </cell>
          <cell r="M3527">
            <v>73</v>
          </cell>
          <cell r="P3527">
            <v>14</v>
          </cell>
        </row>
        <row r="3528">
          <cell r="A3528" t="str">
            <v>BPB-037-PRI-5/16x24</v>
          </cell>
          <cell r="G3528" t="str">
            <v xml:space="preserve">INSI </v>
          </cell>
          <cell r="L3528">
            <v>42971</v>
          </cell>
          <cell r="M3528">
            <v>17.59</v>
          </cell>
          <cell r="P3528">
            <v>5.6899999999999999E-2</v>
          </cell>
        </row>
        <row r="3529">
          <cell r="A3529" t="str">
            <v>BPB-037-PRISI-1/4X28</v>
          </cell>
          <cell r="G3529" t="str">
            <v>INCOU</v>
          </cell>
          <cell r="L3529">
            <v>42971</v>
          </cell>
          <cell r="M3529">
            <v>17.59</v>
          </cell>
          <cell r="P3529">
            <v>5.7299999999999997E-2</v>
          </cell>
        </row>
        <row r="3530">
          <cell r="A3530" t="str">
            <v>BPB-037-PRISI-6x1x10</v>
          </cell>
          <cell r="G3530" t="str">
            <v>InRet</v>
          </cell>
          <cell r="L3530">
            <v>40486</v>
          </cell>
          <cell r="M3530">
            <v>3.98</v>
          </cell>
          <cell r="P3530">
            <v>0.30449748743718591</v>
          </cell>
        </row>
        <row r="3531">
          <cell r="A3531" t="str">
            <v>BPB-037-PRISI-6x1x8</v>
          </cell>
          <cell r="G3531" t="str">
            <v>IPFAB</v>
          </cell>
          <cell r="L3531">
            <v>42520</v>
          </cell>
          <cell r="M3531">
            <v>14.36</v>
          </cell>
          <cell r="P3531">
            <v>0.08</v>
          </cell>
        </row>
        <row r="3532">
          <cell r="A3532" t="str">
            <v>BPB-037-PRISI-M8X50</v>
          </cell>
          <cell r="G3532" t="str">
            <v xml:space="preserve">INAC </v>
          </cell>
          <cell r="L3532">
            <v>43424</v>
          </cell>
          <cell r="M3532">
            <v>36.9</v>
          </cell>
          <cell r="P3532">
            <v>2.468</v>
          </cell>
        </row>
        <row r="3533">
          <cell r="A3533" t="str">
            <v>BPB-037-RET/SET-6905</v>
          </cell>
          <cell r="G3533" t="str">
            <v>IDESP</v>
          </cell>
          <cell r="L3533">
            <v>39672</v>
          </cell>
          <cell r="M3533">
            <v>3.0329999999999999</v>
          </cell>
          <cell r="P3533">
            <v>2.1899999999999999E-2</v>
          </cell>
        </row>
        <row r="3534">
          <cell r="A3534" t="str">
            <v>BPB-037-RNB1/4X1/2</v>
          </cell>
          <cell r="G3534" t="str">
            <v>IDESP</v>
          </cell>
          <cell r="L3534">
            <v>40444</v>
          </cell>
          <cell r="M3534">
            <v>3.97</v>
          </cell>
          <cell r="P3534">
            <v>0.02</v>
          </cell>
        </row>
        <row r="3535">
          <cell r="A3535" t="str">
            <v>BPB-037-RNB1/4X3/4</v>
          </cell>
          <cell r="G3535" t="str">
            <v>IDESP</v>
          </cell>
          <cell r="L3535">
            <v>40444</v>
          </cell>
          <cell r="M3535">
            <v>3.97</v>
          </cell>
          <cell r="P3535">
            <v>2.2499999999999999E-2</v>
          </cell>
        </row>
        <row r="3536">
          <cell r="A3536" t="str">
            <v>BPB-037-RNB1/4X5/8</v>
          </cell>
          <cell r="G3536" t="str">
            <v>IDESP</v>
          </cell>
          <cell r="L3536">
            <v>40592</v>
          </cell>
          <cell r="M3536">
            <v>4.05</v>
          </cell>
          <cell r="P3536">
            <v>1.9199999999999998E-2</v>
          </cell>
        </row>
        <row r="3537">
          <cell r="A3537" t="str">
            <v>BPB-037-RNB4-5X12</v>
          </cell>
          <cell r="G3537" t="str">
            <v>IDESP</v>
          </cell>
          <cell r="L3537">
            <v>41834</v>
          </cell>
          <cell r="M3537">
            <v>8.16</v>
          </cell>
          <cell r="P3537">
            <v>1.66E-2</v>
          </cell>
        </row>
        <row r="3538">
          <cell r="A3538" t="str">
            <v>BPB-037-RNB6X12</v>
          </cell>
          <cell r="G3538" t="str">
            <v>IDESP</v>
          </cell>
          <cell r="L3538">
            <v>40234</v>
          </cell>
          <cell r="M3538">
            <v>3.88</v>
          </cell>
          <cell r="P3538">
            <v>1.1599999999999999E-2</v>
          </cell>
        </row>
        <row r="3539">
          <cell r="A3539" t="str">
            <v>BPB-037-RNB6X16</v>
          </cell>
          <cell r="G3539" t="str">
            <v>IDESP</v>
          </cell>
          <cell r="L3539">
            <v>44756</v>
          </cell>
          <cell r="M3539">
            <v>135</v>
          </cell>
          <cell r="P3539">
            <v>3.4000000000000002E-2</v>
          </cell>
        </row>
        <row r="3540">
          <cell r="A3540" t="str">
            <v>BPB-037-RNB8-5X10</v>
          </cell>
          <cell r="G3540" t="str">
            <v>INCOU</v>
          </cell>
          <cell r="L3540">
            <v>41172</v>
          </cell>
          <cell r="M3540">
            <v>4.6900000000000004</v>
          </cell>
          <cell r="P3540">
            <v>0.2132</v>
          </cell>
        </row>
        <row r="3541">
          <cell r="A3541" t="str">
            <v>BPB-037-RODILLO-1450</v>
          </cell>
          <cell r="G3541" t="str">
            <v xml:space="preserve">INAC </v>
          </cell>
          <cell r="L3541">
            <v>45166</v>
          </cell>
          <cell r="M3541">
            <v>365.5</v>
          </cell>
          <cell r="P3541">
            <v>8.180574555403556</v>
          </cell>
        </row>
        <row r="3542">
          <cell r="A3542" t="str">
            <v>BPB-037-RS-6202-BLUE</v>
          </cell>
          <cell r="G3542" t="str">
            <v>IDESP</v>
          </cell>
          <cell r="L3542">
            <v>39462</v>
          </cell>
          <cell r="M3542">
            <v>3.137</v>
          </cell>
          <cell r="P3542">
            <v>1.54E-2</v>
          </cell>
        </row>
        <row r="3543">
          <cell r="A3543" t="str">
            <v>BPB-037-RS-6204-BLUE</v>
          </cell>
          <cell r="G3543" t="str">
            <v>IDESP</v>
          </cell>
          <cell r="L3543">
            <v>39462</v>
          </cell>
          <cell r="M3543">
            <v>3.137</v>
          </cell>
          <cell r="P3543">
            <v>2.1000000000000001E-2</v>
          </cell>
        </row>
        <row r="3544">
          <cell r="A3544" t="str">
            <v>BPB-037-SAE1010Ø21.3</v>
          </cell>
          <cell r="G3544" t="str">
            <v xml:space="preserve">INAC </v>
          </cell>
          <cell r="L3544">
            <v>44502</v>
          </cell>
          <cell r="M3544">
            <v>105</v>
          </cell>
          <cell r="P3544">
            <v>6.5714285714285712</v>
          </cell>
        </row>
        <row r="3545">
          <cell r="A3545" t="str">
            <v>BPB-037-SAE1045</v>
          </cell>
          <cell r="G3545" t="str">
            <v xml:space="preserve">INAC </v>
          </cell>
          <cell r="L3545">
            <v>45994</v>
          </cell>
          <cell r="M3545">
            <v>1480</v>
          </cell>
          <cell r="P3545">
            <v>20.049976081081081</v>
          </cell>
        </row>
        <row r="3546">
          <cell r="A3546" t="str">
            <v>BPB-037-SAE1045Ø140</v>
          </cell>
          <cell r="G3546" t="str">
            <v xml:space="preserve">INAC </v>
          </cell>
          <cell r="L3546">
            <v>44704</v>
          </cell>
          <cell r="M3546">
            <v>123.75</v>
          </cell>
          <cell r="P3546">
            <v>453.67951515151515</v>
          </cell>
        </row>
        <row r="3547">
          <cell r="A3547" t="str">
            <v>BPB-037-SAE1045Ø25.4</v>
          </cell>
          <cell r="G3547" t="str">
            <v xml:space="preserve">INAC </v>
          </cell>
          <cell r="L3547">
            <v>43438</v>
          </cell>
          <cell r="M3547">
            <v>37.4</v>
          </cell>
          <cell r="P3547">
            <v>6.9084224598930488</v>
          </cell>
        </row>
        <row r="3548">
          <cell r="A3548" t="str">
            <v>BPB-037-SAE1045Ø31.7</v>
          </cell>
          <cell r="G3548" t="str">
            <v xml:space="preserve">INAC </v>
          </cell>
          <cell r="L3548">
            <v>42552</v>
          </cell>
          <cell r="M3548">
            <v>15.21</v>
          </cell>
          <cell r="P3548">
            <v>13.628369493754109</v>
          </cell>
        </row>
        <row r="3549">
          <cell r="A3549" t="str">
            <v>BPB-037-SAE1045Ø40</v>
          </cell>
          <cell r="G3549" t="str">
            <v>IPFAP</v>
          </cell>
          <cell r="L3549">
            <v>45694</v>
          </cell>
          <cell r="M3549">
            <v>1074.5</v>
          </cell>
          <cell r="P3549">
            <v>0.34036603071195903</v>
          </cell>
        </row>
        <row r="3550">
          <cell r="A3550" t="str">
            <v>BPB-037-SAE1045Ø41.3</v>
          </cell>
          <cell r="G3550" t="str">
            <v xml:space="preserve">INAC </v>
          </cell>
          <cell r="L3550">
            <v>45867</v>
          </cell>
          <cell r="M3550">
            <v>1305</v>
          </cell>
          <cell r="P3550">
            <v>34.197777777777773</v>
          </cell>
        </row>
        <row r="3551">
          <cell r="A3551" t="str">
            <v>BPB-037-SAE4140Ø15.8</v>
          </cell>
          <cell r="G3551" t="str">
            <v xml:space="preserve">INAC </v>
          </cell>
          <cell r="L3551">
            <v>43549</v>
          </cell>
          <cell r="M3551">
            <v>42.8</v>
          </cell>
          <cell r="P3551">
            <v>4.1745327102803742</v>
          </cell>
        </row>
        <row r="3552">
          <cell r="A3552" t="str">
            <v>BPB-037-SAE4140Ø60.3</v>
          </cell>
          <cell r="G3552" t="str">
            <v xml:space="preserve">INAC </v>
          </cell>
          <cell r="L3552">
            <v>44312</v>
          </cell>
          <cell r="M3552">
            <v>98.25</v>
          </cell>
          <cell r="P3552">
            <v>45.258306361323157</v>
          </cell>
        </row>
        <row r="3553">
          <cell r="A3553" t="str">
            <v>BPB-037-SAE4140Ø95</v>
          </cell>
          <cell r="G3553" t="str">
            <v xml:space="preserve">INAC </v>
          </cell>
          <cell r="L3553">
            <v>44312</v>
          </cell>
          <cell r="M3553">
            <v>98.25</v>
          </cell>
          <cell r="P3553">
            <v>132.06153893129772</v>
          </cell>
        </row>
        <row r="3554">
          <cell r="A3554" t="str">
            <v>BPB-037-SAE52100Ø25</v>
          </cell>
          <cell r="G3554" t="str">
            <v xml:space="preserve">INAC </v>
          </cell>
          <cell r="L3554">
            <v>43682</v>
          </cell>
          <cell r="M3554">
            <v>45.6</v>
          </cell>
          <cell r="P3554">
            <v>42.214912280701753</v>
          </cell>
        </row>
        <row r="3555">
          <cell r="A3555" t="str">
            <v>BPB-037-SAE52100Ø38</v>
          </cell>
          <cell r="G3555" t="str">
            <v>IPFAP</v>
          </cell>
          <cell r="L3555">
            <v>45694</v>
          </cell>
          <cell r="M3555">
            <v>1074.5</v>
          </cell>
          <cell r="P3555">
            <v>119.82759422987436</v>
          </cell>
        </row>
        <row r="3556">
          <cell r="A3556" t="str">
            <v>BPB-037-SAE52100Ø47.</v>
          </cell>
          <cell r="G3556" t="str">
            <v>IPFAP</v>
          </cell>
          <cell r="L3556">
            <v>43164</v>
          </cell>
          <cell r="M3556">
            <v>20.51</v>
          </cell>
          <cell r="P3556">
            <v>131.9483178937104</v>
          </cell>
        </row>
        <row r="3557">
          <cell r="A3557" t="str">
            <v>BPB-037-SAE52100Ø50</v>
          </cell>
          <cell r="G3557" t="str">
            <v xml:space="preserve">INAC </v>
          </cell>
          <cell r="L3557">
            <v>45398</v>
          </cell>
          <cell r="M3557">
            <v>887</v>
          </cell>
          <cell r="P3557">
            <v>153.39233370913192</v>
          </cell>
        </row>
        <row r="3558">
          <cell r="A3558" t="str">
            <v>BPB-037-SAE52100Ø55</v>
          </cell>
          <cell r="G3558" t="str">
            <v xml:space="preserve">INAC </v>
          </cell>
          <cell r="L3558">
            <v>43158</v>
          </cell>
          <cell r="M3558">
            <v>20.420000000000002</v>
          </cell>
          <cell r="P3558">
            <v>133.74828599412339</v>
          </cell>
        </row>
        <row r="3559">
          <cell r="A3559" t="str">
            <v>BPB-037-SAE52100Ø57</v>
          </cell>
          <cell r="G3559" t="str">
            <v>IPFAP</v>
          </cell>
          <cell r="L3559">
            <v>45694</v>
          </cell>
          <cell r="M3559">
            <v>1074.5</v>
          </cell>
          <cell r="P3559">
            <v>165.45869995346672</v>
          </cell>
        </row>
        <row r="3560">
          <cell r="A3560" t="str">
            <v>BPB-037-SAE52100Ø63.</v>
          </cell>
          <cell r="G3560" t="str">
            <v xml:space="preserve">INAC </v>
          </cell>
          <cell r="L3560">
            <v>43158</v>
          </cell>
          <cell r="M3560">
            <v>20.420000000000002</v>
          </cell>
          <cell r="P3560">
            <v>254.71547502448578</v>
          </cell>
        </row>
        <row r="3561">
          <cell r="A3561" t="str">
            <v>BPB-037-SAE52100Ø70</v>
          </cell>
          <cell r="G3561" t="str">
            <v xml:space="preserve">INAC </v>
          </cell>
          <cell r="L3561">
            <v>45398</v>
          </cell>
          <cell r="M3561">
            <v>887</v>
          </cell>
          <cell r="P3561">
            <v>310.27085682074409</v>
          </cell>
        </row>
        <row r="3562">
          <cell r="A3562" t="str">
            <v>BPB-037-SAE8620Ø101.</v>
          </cell>
          <cell r="G3562" t="str">
            <v xml:space="preserve">INAC </v>
          </cell>
          <cell r="L3562">
            <v>43041</v>
          </cell>
          <cell r="M3562">
            <v>17.88</v>
          </cell>
          <cell r="P3562">
            <v>302.65875279642057</v>
          </cell>
        </row>
        <row r="3563">
          <cell r="A3563" t="str">
            <v>BPB-037-SAE8620Ø15.8</v>
          </cell>
          <cell r="G3563" t="str">
            <v xml:space="preserve">INAC </v>
          </cell>
          <cell r="L3563">
            <v>44384</v>
          </cell>
          <cell r="M3563">
            <v>101</v>
          </cell>
          <cell r="P3563">
            <v>5.6255445544554448</v>
          </cell>
        </row>
        <row r="3564">
          <cell r="A3564" t="str">
            <v>BPB-037-SAE8620Ø22.2</v>
          </cell>
          <cell r="G3564" t="str">
            <v>INPEE</v>
          </cell>
          <cell r="L3564">
            <v>43979</v>
          </cell>
          <cell r="M3564">
            <v>70.25</v>
          </cell>
          <cell r="P3564">
            <v>7.3</v>
          </cell>
        </row>
        <row r="3565">
          <cell r="A3565" t="str">
            <v>BPB-037-SAE8620Ø50.8</v>
          </cell>
          <cell r="G3565" t="str">
            <v xml:space="preserve">INAC </v>
          </cell>
          <cell r="L3565">
            <v>45223</v>
          </cell>
          <cell r="M3565">
            <v>365.5</v>
          </cell>
          <cell r="P3565">
            <v>75.983333242134066</v>
          </cell>
        </row>
        <row r="3566">
          <cell r="A3566" t="str">
            <v>BPB-037-SAE8620Ø54</v>
          </cell>
          <cell r="G3566" t="str">
            <v xml:space="preserve">INAC </v>
          </cell>
          <cell r="L3566">
            <v>43041</v>
          </cell>
          <cell r="M3566">
            <v>17.88</v>
          </cell>
          <cell r="P3566">
            <v>61.334843400447426</v>
          </cell>
        </row>
        <row r="3567">
          <cell r="A3567" t="str">
            <v>BPB-037-SAE8620Ø63.5</v>
          </cell>
          <cell r="G3567" t="str">
            <v>IPFAP</v>
          </cell>
          <cell r="L3567">
            <v>45694</v>
          </cell>
          <cell r="M3567">
            <v>1074.5</v>
          </cell>
          <cell r="P3567">
            <v>40.235047277803623</v>
          </cell>
        </row>
        <row r="3568">
          <cell r="A3568" t="str">
            <v>BPB-037-SP-40</v>
          </cell>
          <cell r="G3568" t="str">
            <v xml:space="preserve">INAC </v>
          </cell>
          <cell r="L3568">
            <v>41838</v>
          </cell>
          <cell r="M3568">
            <v>8.17</v>
          </cell>
          <cell r="P3568">
            <v>0.36844553243574052</v>
          </cell>
        </row>
        <row r="3569">
          <cell r="A3569" t="str">
            <v>BPB-037-SP-80</v>
          </cell>
          <cell r="G3569" t="str">
            <v xml:space="preserve">INAC </v>
          </cell>
          <cell r="L3569">
            <v>43580</v>
          </cell>
          <cell r="M3569">
            <v>44.9</v>
          </cell>
          <cell r="P3569">
            <v>0.35867706013363032</v>
          </cell>
        </row>
        <row r="3570">
          <cell r="A3570" t="str">
            <v>BPB-037-SS12-BK-RD</v>
          </cell>
          <cell r="G3570" t="str">
            <v>IDESP</v>
          </cell>
          <cell r="L3570">
            <v>40540</v>
          </cell>
          <cell r="M3570">
            <v>4</v>
          </cell>
          <cell r="P3570">
            <v>80.8</v>
          </cell>
        </row>
        <row r="3571">
          <cell r="A3571" t="str">
            <v>BPB-037-SS2-BK</v>
          </cell>
          <cell r="G3571" t="str">
            <v>IDESP</v>
          </cell>
          <cell r="L3571">
            <v>40540</v>
          </cell>
          <cell r="M3571">
            <v>4</v>
          </cell>
          <cell r="P3571">
            <v>63</v>
          </cell>
        </row>
        <row r="3572">
          <cell r="A3572" t="str">
            <v>BPB-037-SUP-ENG-08</v>
          </cell>
          <cell r="G3572" t="str">
            <v xml:space="preserve">INAC </v>
          </cell>
          <cell r="L3572">
            <v>45133</v>
          </cell>
          <cell r="M3572">
            <v>283.5</v>
          </cell>
          <cell r="P3572">
            <v>0.24195767195767195</v>
          </cell>
        </row>
        <row r="3573">
          <cell r="A3573" t="str">
            <v>BPB-037-SUPL.140X180</v>
          </cell>
          <cell r="G3573" t="str">
            <v>IDESP</v>
          </cell>
          <cell r="L3573">
            <v>43749</v>
          </cell>
          <cell r="M3573">
            <v>59.5</v>
          </cell>
          <cell r="P3573">
            <v>1.119</v>
          </cell>
        </row>
        <row r="3574">
          <cell r="A3574" t="str">
            <v>BPB-037-T-A-M04X5-20</v>
          </cell>
          <cell r="G3574" t="str">
            <v xml:space="preserve">INAC </v>
          </cell>
          <cell r="L3574">
            <v>40892</v>
          </cell>
          <cell r="M3574">
            <v>4.3</v>
          </cell>
          <cell r="P3574">
            <v>5.3488372093023262E-2</v>
          </cell>
        </row>
        <row r="3575">
          <cell r="A3575" t="str">
            <v>BPB-037-T-A-M05X1-25</v>
          </cell>
          <cell r="G3575" t="str">
            <v xml:space="preserve">INAC </v>
          </cell>
          <cell r="L3575">
            <v>40892</v>
          </cell>
          <cell r="M3575">
            <v>4.3</v>
          </cell>
          <cell r="P3575">
            <v>5.8139534883720929E-2</v>
          </cell>
        </row>
        <row r="3576">
          <cell r="A3576" t="str">
            <v>BPB-037-TAUT8X1.25</v>
          </cell>
          <cell r="G3576" t="str">
            <v xml:space="preserve">INAC </v>
          </cell>
          <cell r="L3576">
            <v>43510</v>
          </cell>
          <cell r="M3576">
            <v>39.1</v>
          </cell>
          <cell r="P3576">
            <v>2.4322250639386186E-2</v>
          </cell>
        </row>
        <row r="3577">
          <cell r="A3577" t="str">
            <v>BPB-037-TO1/4X1/2-CT</v>
          </cell>
          <cell r="G3577" t="str">
            <v xml:space="preserve">INSI </v>
          </cell>
          <cell r="L3577">
            <v>39773</v>
          </cell>
          <cell r="M3577">
            <v>3.3290000000000002</v>
          </cell>
          <cell r="P3577">
            <v>0.129829</v>
          </cell>
        </row>
        <row r="3578">
          <cell r="A3578" t="str">
            <v>BPB-037-TO1/4x5/8-CT</v>
          </cell>
          <cell r="G3578" t="str">
            <v xml:space="preserve">INSI </v>
          </cell>
          <cell r="L3578">
            <v>39773</v>
          </cell>
          <cell r="M3578">
            <v>3.3290000000000002</v>
          </cell>
          <cell r="P3578">
            <v>0.13750000000000001</v>
          </cell>
        </row>
        <row r="3579">
          <cell r="A3579" t="str">
            <v>BPB-037-TO7X10-CT</v>
          </cell>
          <cell r="G3579" t="str">
            <v>INMUE</v>
          </cell>
          <cell r="L3579">
            <v>39848</v>
          </cell>
          <cell r="M3579">
            <v>3.5</v>
          </cell>
          <cell r="P3579">
            <v>0.15131428571428571</v>
          </cell>
        </row>
        <row r="3580">
          <cell r="A3580" t="str">
            <v>BPB-037-TO7X16-CT</v>
          </cell>
          <cell r="G3580" t="str">
            <v xml:space="preserve">CR   </v>
          </cell>
          <cell r="L3580">
            <v>43004.449050925927</v>
          </cell>
          <cell r="M3580">
            <v>17.600000000000001</v>
          </cell>
          <cell r="P3580">
            <v>5.6818181818181818E-5</v>
          </cell>
        </row>
        <row r="3581">
          <cell r="A3581" t="str">
            <v>BPB-037-TO8x20-CT</v>
          </cell>
          <cell r="G3581" t="str">
            <v xml:space="preserve">INAC </v>
          </cell>
          <cell r="L3581">
            <v>45988</v>
          </cell>
          <cell r="M3581">
            <v>1475</v>
          </cell>
          <cell r="P3581">
            <v>2.7633016949152541E-2</v>
          </cell>
        </row>
        <row r="3582">
          <cell r="A3582" t="str">
            <v>BPB-037-UPN40x20</v>
          </cell>
          <cell r="G3582" t="str">
            <v xml:space="preserve">INAC </v>
          </cell>
          <cell r="L3582">
            <v>45988</v>
          </cell>
          <cell r="M3582">
            <v>1475</v>
          </cell>
          <cell r="P3582">
            <v>3.8545644745762715</v>
          </cell>
        </row>
        <row r="3583">
          <cell r="A3583" t="str">
            <v>BPB-037-Z-6203</v>
          </cell>
          <cell r="G3583" t="str">
            <v>InRet</v>
          </cell>
          <cell r="L3583">
            <v>40035</v>
          </cell>
          <cell r="M3583">
            <v>3.84</v>
          </cell>
          <cell r="P3583">
            <v>1.0989583333333334E-2</v>
          </cell>
        </row>
        <row r="3584">
          <cell r="A3584" t="str">
            <v>BPB-037-ZEGGER472-42</v>
          </cell>
          <cell r="G3584" t="str">
            <v xml:space="preserve">INAC </v>
          </cell>
          <cell r="L3584">
            <v>40421</v>
          </cell>
          <cell r="M3584">
            <v>3.96</v>
          </cell>
          <cell r="P3584">
            <v>1.1739898989898989</v>
          </cell>
        </row>
        <row r="3585">
          <cell r="A3585" t="str">
            <v>BPB-037-ZEGGER472-47</v>
          </cell>
          <cell r="G3585" t="str">
            <v xml:space="preserve">INAC </v>
          </cell>
          <cell r="L3585">
            <v>40970</v>
          </cell>
          <cell r="M3585">
            <v>4.37</v>
          </cell>
          <cell r="P3585">
            <v>0.40732265446224258</v>
          </cell>
        </row>
        <row r="3586">
          <cell r="A3586" t="str">
            <v>BPB-037-ZERK-PS-18</v>
          </cell>
          <cell r="G3586" t="str">
            <v>InRet</v>
          </cell>
          <cell r="L3586">
            <v>40232</v>
          </cell>
          <cell r="M3586">
            <v>3.88</v>
          </cell>
          <cell r="P3586">
            <v>2.5000000000000001E-2</v>
          </cell>
        </row>
        <row r="3587">
          <cell r="A3587" t="str">
            <v>BPB-037-ZF-1/4-28UNF</v>
          </cell>
          <cell r="G3587" t="str">
            <v>IDESP</v>
          </cell>
          <cell r="L3587">
            <v>44406</v>
          </cell>
          <cell r="M3587">
            <v>101.75</v>
          </cell>
          <cell r="P3587">
            <v>4.2000000000000003E-2</v>
          </cell>
        </row>
        <row r="3588">
          <cell r="A3588" t="str">
            <v>BPB-037-ZMT-36</v>
          </cell>
          <cell r="G3588" t="str">
            <v>IDESP</v>
          </cell>
          <cell r="L3588">
            <v>40052</v>
          </cell>
          <cell r="M3588">
            <v>3.86</v>
          </cell>
          <cell r="P3588">
            <v>94.5</v>
          </cell>
        </row>
        <row r="3589">
          <cell r="A3589" t="str">
            <v>BPB-040-1205</v>
          </cell>
          <cell r="G3589" t="str">
            <v xml:space="preserve">INSI </v>
          </cell>
          <cell r="L3589">
            <v>41222</v>
          </cell>
          <cell r="M3589">
            <v>4.79</v>
          </cell>
          <cell r="P3589">
            <v>0.87919999999999998</v>
          </cell>
        </row>
        <row r="3590">
          <cell r="A3590" t="str">
            <v>BPB-040-1206</v>
          </cell>
          <cell r="G3590" t="str">
            <v>INDEV</v>
          </cell>
          <cell r="L3590">
            <v>41057</v>
          </cell>
          <cell r="M3590">
            <v>4.49</v>
          </cell>
          <cell r="P3590">
            <v>1.05</v>
          </cell>
        </row>
        <row r="3591">
          <cell r="A3591" t="str">
            <v>BPB-040-1207</v>
          </cell>
          <cell r="G3591" t="str">
            <v>IPFAP</v>
          </cell>
          <cell r="L3591">
            <v>42879</v>
          </cell>
          <cell r="M3591">
            <v>16.37</v>
          </cell>
          <cell r="P3591">
            <v>2.5565058032987169</v>
          </cell>
        </row>
        <row r="3592">
          <cell r="A3592" t="str">
            <v>BPB-040-1208-K</v>
          </cell>
          <cell r="G3592" t="str">
            <v>IDESP</v>
          </cell>
          <cell r="L3592">
            <v>40575</v>
          </cell>
          <cell r="M3592">
            <v>4.03</v>
          </cell>
          <cell r="P3592">
            <v>1.8</v>
          </cell>
        </row>
        <row r="3593">
          <cell r="A3593" t="str">
            <v>BPB-040-1209</v>
          </cell>
          <cell r="G3593" t="str">
            <v>IPFAP</v>
          </cell>
          <cell r="L3593">
            <v>42433</v>
          </cell>
          <cell r="M3593">
            <v>15.73</v>
          </cell>
          <cell r="P3593">
            <v>2.0630006357279083</v>
          </cell>
        </row>
        <row r="3594">
          <cell r="A3594" t="str">
            <v>BPB-040-1209-C3</v>
          </cell>
          <cell r="G3594" t="str">
            <v xml:space="preserve">INSI </v>
          </cell>
          <cell r="L3594">
            <v>40190</v>
          </cell>
          <cell r="M3594">
            <v>3.82</v>
          </cell>
          <cell r="P3594">
            <v>3.56</v>
          </cell>
        </row>
        <row r="3595">
          <cell r="A3595" t="str">
            <v>BPB-040-1209-K</v>
          </cell>
          <cell r="G3595" t="str">
            <v>IDESP</v>
          </cell>
          <cell r="L3595">
            <v>40982</v>
          </cell>
          <cell r="M3595">
            <v>4.3600000000000003</v>
          </cell>
          <cell r="P3595">
            <v>2.0630000000000002</v>
          </cell>
        </row>
        <row r="3596">
          <cell r="A3596" t="str">
            <v>BPB-040-1210</v>
          </cell>
          <cell r="G3596" t="str">
            <v>IPFAB</v>
          </cell>
          <cell r="L3596">
            <v>41149</v>
          </cell>
          <cell r="M3596">
            <v>4.6399999999999997</v>
          </cell>
          <cell r="P3596">
            <v>2.5436000000000001</v>
          </cell>
        </row>
        <row r="3597">
          <cell r="A3597" t="str">
            <v>BPB-040-1211</v>
          </cell>
          <cell r="G3597" t="str">
            <v>IDESP</v>
          </cell>
          <cell r="L3597">
            <v>39679</v>
          </cell>
          <cell r="M3597">
            <v>3.03</v>
          </cell>
          <cell r="P3597">
            <v>2.911</v>
          </cell>
        </row>
        <row r="3598">
          <cell r="A3598" t="str">
            <v>BPB-040-1305</v>
          </cell>
          <cell r="G3598" t="str">
            <v xml:space="preserve">INAC </v>
          </cell>
          <cell r="L3598">
            <v>42657</v>
          </cell>
          <cell r="M3598">
            <v>15.39</v>
          </cell>
          <cell r="P3598">
            <v>2.5735542560103961</v>
          </cell>
        </row>
        <row r="3599">
          <cell r="A3599" t="str">
            <v>BPB-040-1306</v>
          </cell>
          <cell r="G3599" t="str">
            <v>IDESP</v>
          </cell>
          <cell r="L3599">
            <v>40365</v>
          </cell>
          <cell r="M3599">
            <v>3.95</v>
          </cell>
          <cell r="P3599">
            <v>2.0520999999999998</v>
          </cell>
        </row>
        <row r="3600">
          <cell r="A3600" t="str">
            <v>BPB-040-1307</v>
          </cell>
          <cell r="G3600" t="str">
            <v>IDESP</v>
          </cell>
          <cell r="L3600">
            <v>40274</v>
          </cell>
          <cell r="M3600">
            <v>3.89</v>
          </cell>
          <cell r="P3600">
            <v>2.5369999999999999</v>
          </cell>
        </row>
        <row r="3601">
          <cell r="A3601" t="str">
            <v>BPB-040-1309</v>
          </cell>
          <cell r="G3601" t="str">
            <v xml:space="preserve">INSI </v>
          </cell>
          <cell r="L3601">
            <v>41865</v>
          </cell>
          <cell r="M3601">
            <v>8.27</v>
          </cell>
          <cell r="P3601">
            <v>4.1779000000000002</v>
          </cell>
        </row>
        <row r="3602">
          <cell r="A3602" t="str">
            <v>BPB-040-1310</v>
          </cell>
          <cell r="G3602" t="str">
            <v xml:space="preserve">INSI </v>
          </cell>
          <cell r="L3602">
            <v>43076</v>
          </cell>
          <cell r="M3602">
            <v>17.64</v>
          </cell>
          <cell r="P3602">
            <v>9.0342000000000002</v>
          </cell>
        </row>
        <row r="3603">
          <cell r="A3603" t="str">
            <v>BPB-040-1310-K</v>
          </cell>
          <cell r="G3603" t="str">
            <v>IDESP</v>
          </cell>
          <cell r="L3603">
            <v>40473</v>
          </cell>
          <cell r="M3603">
            <v>3.98</v>
          </cell>
          <cell r="P3603">
            <v>5.8339999999999996</v>
          </cell>
        </row>
        <row r="3604">
          <cell r="A3604" t="str">
            <v>BPB-040-1312</v>
          </cell>
          <cell r="G3604" t="str">
            <v>IDESP</v>
          </cell>
          <cell r="L3604">
            <v>39706</v>
          </cell>
          <cell r="M3604">
            <v>3.0819999999999999</v>
          </cell>
          <cell r="P3604">
            <v>7.3113999999999999</v>
          </cell>
        </row>
        <row r="3605">
          <cell r="A3605" t="str">
            <v>BPB-040-175306</v>
          </cell>
          <cell r="G3605" t="str">
            <v>IPFAB</v>
          </cell>
          <cell r="L3605">
            <v>40228</v>
          </cell>
          <cell r="M3605">
            <v>3.88</v>
          </cell>
          <cell r="P3605">
            <v>0.25773200000000002</v>
          </cell>
        </row>
        <row r="3606">
          <cell r="A3606" t="str">
            <v>BPB-040-2200</v>
          </cell>
          <cell r="G3606" t="str">
            <v>IDESP</v>
          </cell>
          <cell r="L3606">
            <v>40340</v>
          </cell>
          <cell r="M3606">
            <v>3.94</v>
          </cell>
          <cell r="P3606">
            <v>0.84940000000000004</v>
          </cell>
        </row>
        <row r="3607">
          <cell r="A3607" t="str">
            <v>BPB-040-2202</v>
          </cell>
          <cell r="G3607" t="str">
            <v>IDESP</v>
          </cell>
          <cell r="L3607">
            <v>39899</v>
          </cell>
          <cell r="M3607">
            <v>3.694</v>
          </cell>
          <cell r="P3607">
            <v>1.0555000000000001</v>
          </cell>
        </row>
        <row r="3608">
          <cell r="A3608" t="str">
            <v>BPB-040-2204</v>
          </cell>
          <cell r="G3608" t="str">
            <v>IPFAP</v>
          </cell>
          <cell r="L3608">
            <v>44328</v>
          </cell>
          <cell r="M3608">
            <v>99</v>
          </cell>
          <cell r="P3608">
            <v>4.3938383838383839E-2</v>
          </cell>
        </row>
        <row r="3609">
          <cell r="A3609" t="str">
            <v>BPB-040-2204-2RS</v>
          </cell>
          <cell r="G3609" t="str">
            <v xml:space="preserve">INAC </v>
          </cell>
          <cell r="L3609">
            <v>43490</v>
          </cell>
          <cell r="M3609">
            <v>38.299999999999997</v>
          </cell>
          <cell r="P3609">
            <v>2.8720626631853787</v>
          </cell>
        </row>
        <row r="3610">
          <cell r="A3610" t="str">
            <v>BPB-040-2205</v>
          </cell>
          <cell r="G3610" t="str">
            <v>IDESP</v>
          </cell>
          <cell r="L3610">
            <v>40620</v>
          </cell>
          <cell r="M3610">
            <v>4.0599999999999996</v>
          </cell>
          <cell r="P3610">
            <v>1.5680000000000001</v>
          </cell>
        </row>
        <row r="3611">
          <cell r="A3611" t="str">
            <v>BPB-040-2206</v>
          </cell>
          <cell r="G3611" t="str">
            <v>IPFAP</v>
          </cell>
          <cell r="L3611">
            <v>42433</v>
          </cell>
          <cell r="M3611">
            <v>15.73</v>
          </cell>
          <cell r="P3611">
            <v>1.6130006357279083</v>
          </cell>
        </row>
        <row r="3612">
          <cell r="A3612" t="str">
            <v>BPB-040-2207</v>
          </cell>
          <cell r="G3612" t="str">
            <v>INDEV</v>
          </cell>
          <cell r="L3612">
            <v>41043</v>
          </cell>
          <cell r="M3612">
            <v>4.46</v>
          </cell>
          <cell r="P3612">
            <v>7.4058295964125564</v>
          </cell>
        </row>
        <row r="3613">
          <cell r="A3613" t="str">
            <v>BPB-040-2208</v>
          </cell>
          <cell r="G3613" t="str">
            <v>IDESP</v>
          </cell>
          <cell r="L3613">
            <v>40982</v>
          </cell>
          <cell r="M3613">
            <v>4.3600000000000003</v>
          </cell>
          <cell r="P3613">
            <v>2.4380000000000002</v>
          </cell>
        </row>
        <row r="3614">
          <cell r="A3614" t="str">
            <v>BPB-040-2208-K</v>
          </cell>
          <cell r="G3614" t="str">
            <v xml:space="preserve">INAC </v>
          </cell>
          <cell r="L3614">
            <v>39351</v>
          </cell>
          <cell r="M3614">
            <v>3.1469999999999998</v>
          </cell>
          <cell r="P3614">
            <v>0.5719733079122975</v>
          </cell>
        </row>
        <row r="3615">
          <cell r="A3615" t="str">
            <v>BPB-040-2209</v>
          </cell>
          <cell r="G3615" t="str">
            <v>IPFAB</v>
          </cell>
          <cell r="L3615">
            <v>41891</v>
          </cell>
          <cell r="M3615">
            <v>8.41</v>
          </cell>
          <cell r="P3615">
            <v>2.7662</v>
          </cell>
        </row>
        <row r="3616">
          <cell r="A3616" t="str">
            <v>BPB-040-2210</v>
          </cell>
          <cell r="G3616" t="str">
            <v>IDESP</v>
          </cell>
          <cell r="L3616">
            <v>39573</v>
          </cell>
          <cell r="M3616">
            <v>3.1720000000000002</v>
          </cell>
          <cell r="P3616">
            <v>3.2825000000000002</v>
          </cell>
        </row>
        <row r="3617">
          <cell r="A3617" t="str">
            <v>BPB-040-2210-K</v>
          </cell>
          <cell r="G3617" t="str">
            <v>IPFAB</v>
          </cell>
          <cell r="L3617">
            <v>39883</v>
          </cell>
          <cell r="M3617">
            <v>3.637</v>
          </cell>
          <cell r="P3617">
            <v>0.27495199999999997</v>
          </cell>
        </row>
        <row r="3618">
          <cell r="A3618" t="str">
            <v>BPB-040-2306</v>
          </cell>
          <cell r="G3618" t="str">
            <v>IPFAB</v>
          </cell>
          <cell r="L3618">
            <v>39882</v>
          </cell>
          <cell r="M3618">
            <v>3.637</v>
          </cell>
          <cell r="P3618">
            <v>0.27495199999999997</v>
          </cell>
        </row>
        <row r="3619">
          <cell r="A3619" t="str">
            <v>BPB-040-2307</v>
          </cell>
          <cell r="G3619" t="str">
            <v>INDEV</v>
          </cell>
          <cell r="L3619">
            <v>41569</v>
          </cell>
          <cell r="M3619">
            <v>5.86</v>
          </cell>
          <cell r="P3619">
            <v>0.17597269624573375</v>
          </cell>
        </row>
        <row r="3620">
          <cell r="A3620" t="str">
            <v>BPB-040-30205-25.4</v>
          </cell>
          <cell r="G3620" t="str">
            <v>InRet</v>
          </cell>
          <cell r="L3620">
            <v>39952</v>
          </cell>
          <cell r="M3620">
            <v>3.74</v>
          </cell>
          <cell r="P3620">
            <v>1.6238502673796791</v>
          </cell>
        </row>
        <row r="3621">
          <cell r="A3621" t="str">
            <v>BPB-040-3209</v>
          </cell>
          <cell r="G3621" t="str">
            <v>IDESP</v>
          </cell>
          <cell r="L3621">
            <v>39741</v>
          </cell>
          <cell r="M3621">
            <v>3.2120000000000002</v>
          </cell>
          <cell r="P3621">
            <v>5</v>
          </cell>
        </row>
        <row r="3622">
          <cell r="A3622" t="str">
            <v>BPB-040-3209-2RS</v>
          </cell>
          <cell r="G3622" t="str">
            <v xml:space="preserve">CR   </v>
          </cell>
          <cell r="L3622">
            <v>40428.376423611109</v>
          </cell>
          <cell r="M3622">
            <v>3.97</v>
          </cell>
          <cell r="P3622">
            <v>4.6020000000000003</v>
          </cell>
        </row>
        <row r="3623">
          <cell r="A3623" t="str">
            <v>BPB-040-3214</v>
          </cell>
          <cell r="G3623" t="str">
            <v>IDESP</v>
          </cell>
          <cell r="L3623">
            <v>40361</v>
          </cell>
          <cell r="M3623">
            <v>3.95</v>
          </cell>
          <cell r="P3623">
            <v>11.682</v>
          </cell>
        </row>
        <row r="3624">
          <cell r="A3624" t="str">
            <v>BPB-040-3215</v>
          </cell>
          <cell r="G3624" t="str">
            <v>IDESP</v>
          </cell>
          <cell r="L3624">
            <v>40361</v>
          </cell>
          <cell r="M3624">
            <v>3.95</v>
          </cell>
          <cell r="P3624">
            <v>14.114000000000001</v>
          </cell>
        </row>
        <row r="3625">
          <cell r="A3625" t="str">
            <v>BPB-040-32213</v>
          </cell>
          <cell r="G3625" t="str">
            <v>IPFAB</v>
          </cell>
          <cell r="L3625">
            <v>40879</v>
          </cell>
          <cell r="M3625">
            <v>4.3</v>
          </cell>
          <cell r="P3625">
            <v>2.3010000000000002</v>
          </cell>
        </row>
        <row r="3626">
          <cell r="A3626" t="str">
            <v>BPB-040-32214</v>
          </cell>
          <cell r="G3626" t="str">
            <v xml:space="preserve">CR   </v>
          </cell>
          <cell r="L3626">
            <v>40428.376423611109</v>
          </cell>
          <cell r="M3626">
            <v>3.97</v>
          </cell>
          <cell r="P3626">
            <v>2.3010000000000002</v>
          </cell>
        </row>
        <row r="3627">
          <cell r="A3627" t="str">
            <v>BPB-040-3310</v>
          </cell>
          <cell r="G3627" t="str">
            <v>IPFAB</v>
          </cell>
          <cell r="L3627">
            <v>39854</v>
          </cell>
          <cell r="M3627">
            <v>3.4870000000000001</v>
          </cell>
          <cell r="P3627">
            <v>0.28677900000000001</v>
          </cell>
        </row>
        <row r="3628">
          <cell r="A3628" t="str">
            <v>BPB-040-51102</v>
          </cell>
          <cell r="G3628" t="str">
            <v>IDESP</v>
          </cell>
          <cell r="L3628">
            <v>42654</v>
          </cell>
          <cell r="M3628">
            <v>15.49</v>
          </cell>
          <cell r="P3628">
            <v>0.34</v>
          </cell>
        </row>
        <row r="3629">
          <cell r="A3629" t="str">
            <v>BPB-040-51103</v>
          </cell>
          <cell r="G3629" t="str">
            <v>IDESP</v>
          </cell>
          <cell r="L3629">
            <v>44449</v>
          </cell>
          <cell r="M3629">
            <v>103.25</v>
          </cell>
          <cell r="P3629">
            <v>0.33</v>
          </cell>
        </row>
        <row r="3630">
          <cell r="A3630" t="str">
            <v>BPB-040-51104</v>
          </cell>
          <cell r="G3630" t="str">
            <v>IDESP</v>
          </cell>
          <cell r="L3630">
            <v>44204</v>
          </cell>
          <cell r="M3630">
            <v>90</v>
          </cell>
          <cell r="P3630">
            <v>0.34</v>
          </cell>
        </row>
        <row r="3631">
          <cell r="A3631" t="str">
            <v>BPB-040-51105</v>
          </cell>
          <cell r="G3631" t="str">
            <v>IDESP</v>
          </cell>
          <cell r="L3631">
            <v>43319</v>
          </cell>
          <cell r="M3631">
            <v>27.9</v>
          </cell>
          <cell r="P3631">
            <v>0.41</v>
          </cell>
        </row>
        <row r="3632">
          <cell r="A3632" t="str">
            <v>BPB-040-51109</v>
          </cell>
          <cell r="G3632" t="str">
            <v>IDESP</v>
          </cell>
          <cell r="L3632">
            <v>42654</v>
          </cell>
          <cell r="M3632">
            <v>15.49</v>
          </cell>
          <cell r="P3632">
            <v>0.93</v>
          </cell>
        </row>
        <row r="3633">
          <cell r="A3633" t="str">
            <v>BPB-040-51110</v>
          </cell>
          <cell r="G3633" t="str">
            <v>IDESP</v>
          </cell>
          <cell r="L3633">
            <v>44449</v>
          </cell>
          <cell r="M3633">
            <v>103.25</v>
          </cell>
          <cell r="P3633">
            <v>0.96</v>
          </cell>
        </row>
        <row r="3634">
          <cell r="A3634" t="str">
            <v>BPB-040-51111</v>
          </cell>
          <cell r="G3634" t="str">
            <v>IDESP</v>
          </cell>
          <cell r="L3634">
            <v>39679</v>
          </cell>
          <cell r="M3634">
            <v>3.03</v>
          </cell>
          <cell r="P3634">
            <v>1.389</v>
          </cell>
        </row>
        <row r="3635">
          <cell r="A3635" t="str">
            <v>BPB-040-51112</v>
          </cell>
          <cell r="G3635" t="str">
            <v>IDESP</v>
          </cell>
          <cell r="L3635">
            <v>44151</v>
          </cell>
          <cell r="M3635">
            <v>85</v>
          </cell>
          <cell r="P3635">
            <v>1.56</v>
          </cell>
        </row>
        <row r="3636">
          <cell r="A3636" t="str">
            <v>BPB-040-51113</v>
          </cell>
          <cell r="G3636" t="str">
            <v>IDESP</v>
          </cell>
          <cell r="L3636">
            <v>42879</v>
          </cell>
          <cell r="M3636">
            <v>16.37</v>
          </cell>
          <cell r="P3636">
            <v>1.29</v>
          </cell>
        </row>
        <row r="3637">
          <cell r="A3637" t="str">
            <v>BPB-040-51114</v>
          </cell>
          <cell r="G3637" t="str">
            <v>IDESP</v>
          </cell>
          <cell r="L3637">
            <v>44449</v>
          </cell>
          <cell r="M3637">
            <v>103.25</v>
          </cell>
          <cell r="P3637">
            <v>1.6</v>
          </cell>
        </row>
        <row r="3638">
          <cell r="A3638" t="str">
            <v>BPB-040-51115</v>
          </cell>
          <cell r="G3638" t="str">
            <v>IDESP</v>
          </cell>
          <cell r="L3638">
            <v>44449</v>
          </cell>
          <cell r="M3638">
            <v>103.25</v>
          </cell>
          <cell r="P3638">
            <v>1.8</v>
          </cell>
        </row>
        <row r="3639">
          <cell r="A3639" t="str">
            <v>BPB-040-51116</v>
          </cell>
          <cell r="G3639" t="str">
            <v>IDESP</v>
          </cell>
          <cell r="L3639">
            <v>42654</v>
          </cell>
          <cell r="M3639">
            <v>15.49</v>
          </cell>
          <cell r="P3639">
            <v>2.38</v>
          </cell>
        </row>
        <row r="3640">
          <cell r="A3640" t="str">
            <v>BPB-040-51117</v>
          </cell>
          <cell r="G3640" t="str">
            <v>IDESP</v>
          </cell>
          <cell r="L3640">
            <v>42654</v>
          </cell>
          <cell r="M3640">
            <v>15.49</v>
          </cell>
          <cell r="P3640">
            <v>2.8</v>
          </cell>
        </row>
        <row r="3641">
          <cell r="A3641" t="str">
            <v>BPB-040-51118</v>
          </cell>
          <cell r="G3641" t="str">
            <v>VPRet</v>
          </cell>
          <cell r="L3641">
            <v>43006</v>
          </cell>
          <cell r="M3641">
            <v>17.86</v>
          </cell>
          <cell r="P3641">
            <v>3.9605000000000006</v>
          </cell>
        </row>
        <row r="3642">
          <cell r="A3642" t="str">
            <v>BPB-040-51204</v>
          </cell>
          <cell r="G3642" t="str">
            <v>IDESP</v>
          </cell>
          <cell r="L3642">
            <v>45979</v>
          </cell>
          <cell r="M3642">
            <v>1415</v>
          </cell>
          <cell r="P3642">
            <v>0.6</v>
          </cell>
        </row>
        <row r="3643">
          <cell r="A3643" t="str">
            <v>BPB-040-51205</v>
          </cell>
          <cell r="G3643" t="str">
            <v>IDESP</v>
          </cell>
          <cell r="L3643">
            <v>42654</v>
          </cell>
          <cell r="M3643">
            <v>15.49</v>
          </cell>
          <cell r="P3643">
            <v>0.72</v>
          </cell>
        </row>
        <row r="3644">
          <cell r="A3644" t="str">
            <v>BPB-040-51208</v>
          </cell>
          <cell r="G3644" t="str">
            <v>IDESP</v>
          </cell>
          <cell r="L3644">
            <v>42654</v>
          </cell>
          <cell r="M3644">
            <v>15.49</v>
          </cell>
          <cell r="P3644">
            <v>1.43</v>
          </cell>
        </row>
        <row r="3645">
          <cell r="A3645" t="str">
            <v>BPB-040-51209</v>
          </cell>
          <cell r="G3645" t="str">
            <v>IPFAB</v>
          </cell>
          <cell r="L3645">
            <v>39861</v>
          </cell>
          <cell r="M3645">
            <v>3.4969999999999999</v>
          </cell>
          <cell r="P3645">
            <v>0.28595900000000002</v>
          </cell>
        </row>
        <row r="3646">
          <cell r="A3646" t="str">
            <v>BPB-040-51210</v>
          </cell>
          <cell r="G3646" t="str">
            <v>IDESP</v>
          </cell>
          <cell r="L3646">
            <v>42654</v>
          </cell>
          <cell r="M3646">
            <v>15.49</v>
          </cell>
          <cell r="P3646">
            <v>1.86</v>
          </cell>
        </row>
        <row r="3647">
          <cell r="A3647" t="str">
            <v>BPB-040-51211</v>
          </cell>
          <cell r="G3647" t="str">
            <v>IDESP</v>
          </cell>
          <cell r="L3647">
            <v>42654</v>
          </cell>
          <cell r="M3647">
            <v>15.49</v>
          </cell>
          <cell r="P3647">
            <v>2.38</v>
          </cell>
        </row>
        <row r="3648">
          <cell r="A3648" t="str">
            <v>BPB-040-51214</v>
          </cell>
          <cell r="G3648" t="str">
            <v>IDESP</v>
          </cell>
          <cell r="L3648">
            <v>42654</v>
          </cell>
          <cell r="M3648">
            <v>15.49</v>
          </cell>
          <cell r="P3648">
            <v>3.28</v>
          </cell>
        </row>
        <row r="3649">
          <cell r="A3649" t="str">
            <v>BPB-040-51215</v>
          </cell>
          <cell r="G3649" t="str">
            <v>IDESP</v>
          </cell>
          <cell r="L3649">
            <v>42849</v>
          </cell>
          <cell r="M3649">
            <v>15.78</v>
          </cell>
          <cell r="P3649">
            <v>4.5599999999999996</v>
          </cell>
        </row>
        <row r="3650">
          <cell r="A3650" t="str">
            <v>BPB-040-51217</v>
          </cell>
          <cell r="G3650" t="str">
            <v>IDESP</v>
          </cell>
          <cell r="L3650">
            <v>43525</v>
          </cell>
          <cell r="M3650">
            <v>40.1</v>
          </cell>
          <cell r="P3650">
            <v>5.12</v>
          </cell>
        </row>
        <row r="3651">
          <cell r="A3651" t="str">
            <v>BPB-040-51310</v>
          </cell>
          <cell r="G3651" t="str">
            <v>IDESP</v>
          </cell>
          <cell r="L3651">
            <v>44301</v>
          </cell>
          <cell r="M3651">
            <v>98.25</v>
          </cell>
          <cell r="P3651">
            <v>3.14</v>
          </cell>
        </row>
        <row r="3652">
          <cell r="A3652" t="str">
            <v>BPB-040-5203-2RS</v>
          </cell>
          <cell r="G3652" t="str">
            <v>INDEV</v>
          </cell>
          <cell r="L3652">
            <v>41411</v>
          </cell>
          <cell r="M3652">
            <v>5.24</v>
          </cell>
          <cell r="P3652">
            <v>7.4236641221374038</v>
          </cell>
        </row>
        <row r="3653">
          <cell r="A3653" t="str">
            <v>BPB-040-5207-2RS</v>
          </cell>
          <cell r="G3653" t="str">
            <v>IDESP</v>
          </cell>
          <cell r="L3653">
            <v>40630</v>
          </cell>
          <cell r="M3653">
            <v>4.0599999999999996</v>
          </cell>
          <cell r="P3653">
            <v>3.06</v>
          </cell>
        </row>
        <row r="3654">
          <cell r="A3654" t="str">
            <v>BPB-040-5210-2RS-C3</v>
          </cell>
          <cell r="G3654" t="str">
            <v>IDESP</v>
          </cell>
          <cell r="L3654">
            <v>44162</v>
          </cell>
          <cell r="M3654">
            <v>86</v>
          </cell>
          <cell r="P3654">
            <v>5.2584</v>
          </cell>
        </row>
        <row r="3655">
          <cell r="A3655" t="str">
            <v>BPB-040-5211-2RST</v>
          </cell>
          <cell r="G3655" t="str">
            <v>IPFAP</v>
          </cell>
          <cell r="L3655">
            <v>42248</v>
          </cell>
          <cell r="M3655">
            <v>9.35</v>
          </cell>
          <cell r="P3655">
            <v>7.9513048128342252</v>
          </cell>
        </row>
        <row r="3656">
          <cell r="A3656" t="str">
            <v>BPB-040-6200</v>
          </cell>
          <cell r="G3656" t="str">
            <v>IPFAB</v>
          </cell>
          <cell r="L3656">
            <v>40505</v>
          </cell>
          <cell r="M3656">
            <v>3.99</v>
          </cell>
          <cell r="P3656">
            <v>0.25059999999999999</v>
          </cell>
        </row>
        <row r="3657">
          <cell r="A3657" t="str">
            <v>BPB-040-7002C-TAP4</v>
          </cell>
          <cell r="G3657" t="str">
            <v xml:space="preserve">INSI </v>
          </cell>
          <cell r="L3657">
            <v>39799</v>
          </cell>
          <cell r="M3657">
            <v>3.4020000000000001</v>
          </cell>
          <cell r="P3657">
            <v>5.5</v>
          </cell>
        </row>
        <row r="3658">
          <cell r="A3658" t="str">
            <v>BPB-040-7206-B</v>
          </cell>
          <cell r="G3658" t="str">
            <v>IPFAB</v>
          </cell>
          <cell r="L3658">
            <v>40084</v>
          </cell>
          <cell r="M3658">
            <v>3.85</v>
          </cell>
          <cell r="P3658">
            <v>0.25974000000000003</v>
          </cell>
        </row>
        <row r="3659">
          <cell r="A3659" t="str">
            <v>BPB-040-7207-B</v>
          </cell>
          <cell r="G3659" t="str">
            <v>VPRet</v>
          </cell>
          <cell r="L3659">
            <v>43159</v>
          </cell>
          <cell r="M3659">
            <v>20.49</v>
          </cell>
          <cell r="P3659">
            <v>1.8528000000000002</v>
          </cell>
        </row>
        <row r="3660">
          <cell r="A3660" t="str">
            <v>BPB-040-7207-B-TN</v>
          </cell>
          <cell r="G3660" t="str">
            <v>IDESP</v>
          </cell>
          <cell r="L3660">
            <v>43462</v>
          </cell>
          <cell r="M3660">
            <v>39.299999999999997</v>
          </cell>
          <cell r="P3660">
            <v>1.5980000000000001</v>
          </cell>
        </row>
        <row r="3661">
          <cell r="A3661" t="str">
            <v>BPB-040-7209-B</v>
          </cell>
          <cell r="G3661" t="str">
            <v>VPRet</v>
          </cell>
          <cell r="L3661">
            <v>43159</v>
          </cell>
          <cell r="M3661">
            <v>20.49</v>
          </cell>
          <cell r="P3661">
            <v>2.6276000000000002</v>
          </cell>
        </row>
        <row r="3662">
          <cell r="A3662" t="str">
            <v>BPB-040-7209-B-TN</v>
          </cell>
          <cell r="G3662" t="str">
            <v>IDESP</v>
          </cell>
          <cell r="L3662">
            <v>43462</v>
          </cell>
          <cell r="M3662">
            <v>39.299999999999997</v>
          </cell>
          <cell r="P3662">
            <v>2.4750000000000001</v>
          </cell>
        </row>
        <row r="3663">
          <cell r="A3663" t="str">
            <v>BPB-040-7209-TN</v>
          </cell>
          <cell r="G3663" t="str">
            <v xml:space="preserve">INAC </v>
          </cell>
          <cell r="L3663">
            <v>42901</v>
          </cell>
          <cell r="M3663">
            <v>16.16</v>
          </cell>
          <cell r="P3663">
            <v>6.6212871287128712</v>
          </cell>
        </row>
        <row r="3664">
          <cell r="A3664" t="str">
            <v>BPB-040-BP-12005</v>
          </cell>
          <cell r="G3664" t="str">
            <v xml:space="preserve">INAC </v>
          </cell>
          <cell r="L3664">
            <v>41067</v>
          </cell>
          <cell r="M3664">
            <v>4.5</v>
          </cell>
          <cell r="P3664">
            <v>119.73333333333332</v>
          </cell>
        </row>
        <row r="3665">
          <cell r="A3665" t="str">
            <v>BPB-040-MG-206-RR3</v>
          </cell>
          <cell r="G3665" t="str">
            <v>IDESP</v>
          </cell>
          <cell r="L3665">
            <v>45916</v>
          </cell>
          <cell r="M3665">
            <v>1475</v>
          </cell>
          <cell r="P3665">
            <v>4.2</v>
          </cell>
        </row>
        <row r="3666">
          <cell r="A3666" t="str">
            <v>BPB-040-MG-5306-KRR3</v>
          </cell>
          <cell r="G3666" t="str">
            <v>vpret</v>
          </cell>
          <cell r="L3666">
            <v>45953</v>
          </cell>
          <cell r="M3666">
            <v>1515</v>
          </cell>
          <cell r="P3666">
            <v>0.79183498349834991</v>
          </cell>
        </row>
        <row r="3667">
          <cell r="A3667" t="str">
            <v>BPB-040-P18X1"-DOBLE</v>
          </cell>
          <cell r="G3667" t="str">
            <v xml:space="preserve">INAC </v>
          </cell>
          <cell r="L3667">
            <v>39199</v>
          </cell>
          <cell r="M3667">
            <v>3.0880000000000001</v>
          </cell>
          <cell r="P3667">
            <v>38.860103626943001</v>
          </cell>
        </row>
        <row r="3668">
          <cell r="A3668" t="str">
            <v>BPB-040-P21X1"-DOBLE</v>
          </cell>
          <cell r="G3668" t="str">
            <v xml:space="preserve">INAC </v>
          </cell>
          <cell r="L3668">
            <v>39199</v>
          </cell>
          <cell r="M3668">
            <v>3.0880000000000001</v>
          </cell>
          <cell r="P3668">
            <v>53.432642487046628</v>
          </cell>
        </row>
        <row r="3669">
          <cell r="A3669" t="str">
            <v>BPB-040-TT010</v>
          </cell>
          <cell r="G3669" t="str">
            <v xml:space="preserve">INAC </v>
          </cell>
          <cell r="L3669">
            <v>40241</v>
          </cell>
          <cell r="M3669">
            <v>3.88</v>
          </cell>
          <cell r="P3669">
            <v>8.5558762886597943</v>
          </cell>
        </row>
        <row r="3670">
          <cell r="A3670" t="str">
            <v>BPB-040-UC-208</v>
          </cell>
          <cell r="G3670" t="str">
            <v xml:space="preserve">INAC </v>
          </cell>
          <cell r="L3670">
            <v>40683</v>
          </cell>
          <cell r="M3670">
            <v>4.12</v>
          </cell>
          <cell r="P3670">
            <v>7.0388349514563107</v>
          </cell>
        </row>
        <row r="3671">
          <cell r="A3671" t="str">
            <v>BPB-040-UCF-204</v>
          </cell>
          <cell r="G3671" t="str">
            <v xml:space="preserve">CR   </v>
          </cell>
          <cell r="L3671">
            <v>40428.376423611109</v>
          </cell>
          <cell r="M3671">
            <v>3.97</v>
          </cell>
          <cell r="P3671">
            <v>1.929</v>
          </cell>
        </row>
        <row r="3672">
          <cell r="A3672" t="str">
            <v>BPB-040-V70062RZHQ1P</v>
          </cell>
          <cell r="G3672" t="str">
            <v>INCOU</v>
          </cell>
          <cell r="L3672">
            <v>42873</v>
          </cell>
          <cell r="M3672">
            <v>15.91</v>
          </cell>
          <cell r="P3672">
            <v>92.65</v>
          </cell>
        </row>
        <row r="3673">
          <cell r="A3673" t="str">
            <v>BPB-040-V70092RZHQ1P</v>
          </cell>
          <cell r="G3673" t="str">
            <v>INCOU</v>
          </cell>
          <cell r="L3673">
            <v>42873</v>
          </cell>
          <cell r="M3673">
            <v>15.91</v>
          </cell>
          <cell r="P3673">
            <v>137</v>
          </cell>
        </row>
        <row r="3674">
          <cell r="A3674" t="str">
            <v>BPB-041-1311</v>
          </cell>
          <cell r="G3674" t="str">
            <v>INDEV</v>
          </cell>
          <cell r="L3674">
            <v>40736</v>
          </cell>
          <cell r="M3674">
            <v>4.1500000000000004</v>
          </cell>
          <cell r="P3674">
            <v>4.5279999999999996</v>
          </cell>
        </row>
        <row r="3675">
          <cell r="A3675" t="str">
            <v>BPB-041-1311-K</v>
          </cell>
          <cell r="G3675" t="str">
            <v>INDEV</v>
          </cell>
          <cell r="L3675">
            <v>40736</v>
          </cell>
          <cell r="M3675">
            <v>4.1500000000000004</v>
          </cell>
          <cell r="P3675">
            <v>4.4758554216867461</v>
          </cell>
        </row>
        <row r="3676">
          <cell r="A3676" t="str">
            <v>BPB-041-16006</v>
          </cell>
          <cell r="G3676" t="str">
            <v>INDEV</v>
          </cell>
          <cell r="L3676">
            <v>40490</v>
          </cell>
          <cell r="M3676">
            <v>3.98</v>
          </cell>
          <cell r="P3676">
            <v>0.54550251256281412</v>
          </cell>
        </row>
        <row r="3677">
          <cell r="A3677" t="str">
            <v>BPB-041-1604-ZZ</v>
          </cell>
          <cell r="G3677" t="str">
            <v>IDESP</v>
          </cell>
          <cell r="L3677">
            <v>40294</v>
          </cell>
          <cell r="M3677">
            <v>3.89</v>
          </cell>
          <cell r="P3677">
            <v>0.25600000000000001</v>
          </cell>
        </row>
        <row r="3678">
          <cell r="A3678" t="str">
            <v>BPB-041-1607-ZZ</v>
          </cell>
          <cell r="G3678" t="str">
            <v>IDESP</v>
          </cell>
          <cell r="L3678">
            <v>40294</v>
          </cell>
          <cell r="M3678">
            <v>3.89</v>
          </cell>
          <cell r="P3678">
            <v>0.26700000000000002</v>
          </cell>
        </row>
        <row r="3679">
          <cell r="A3679" t="str">
            <v>BPB-041-1621-2RS</v>
          </cell>
          <cell r="G3679" t="str">
            <v>IDESP</v>
          </cell>
          <cell r="L3679">
            <v>43697</v>
          </cell>
          <cell r="M3679">
            <v>57</v>
          </cell>
          <cell r="P3679">
            <v>0.47</v>
          </cell>
        </row>
        <row r="3680">
          <cell r="A3680" t="str">
            <v>BPB-041-1635-2RLD</v>
          </cell>
          <cell r="G3680" t="str">
            <v>IDESP</v>
          </cell>
          <cell r="L3680">
            <v>44125</v>
          </cell>
          <cell r="M3680">
            <v>82.75</v>
          </cell>
          <cell r="P3680">
            <v>1.0449999999999999</v>
          </cell>
        </row>
        <row r="3681">
          <cell r="A3681" t="str">
            <v>BPB-041-1635-2RS</v>
          </cell>
          <cell r="G3681" t="str">
            <v>IDESP</v>
          </cell>
          <cell r="L3681">
            <v>42633</v>
          </cell>
          <cell r="M3681">
            <v>15.46</v>
          </cell>
          <cell r="P3681">
            <v>0.81</v>
          </cell>
        </row>
        <row r="3682">
          <cell r="A3682" t="str">
            <v>BPB-041-3308-2RS</v>
          </cell>
          <cell r="G3682" t="str">
            <v xml:space="preserve">CR   </v>
          </cell>
          <cell r="L3682">
            <v>40428.376423611109</v>
          </cell>
          <cell r="M3682">
            <v>3.97</v>
          </cell>
          <cell r="P3682">
            <v>5.8090000000000002</v>
          </cell>
        </row>
        <row r="3683">
          <cell r="A3683" t="str">
            <v>BPB-041-5206-2RS</v>
          </cell>
          <cell r="G3683" t="str">
            <v xml:space="preserve">INAC </v>
          </cell>
          <cell r="L3683">
            <v>43812</v>
          </cell>
          <cell r="M3683">
            <v>63</v>
          </cell>
          <cell r="P3683">
            <v>3.8807999999999998</v>
          </cell>
        </row>
        <row r="3684">
          <cell r="A3684" t="str">
            <v>BPB-041-5206-2RST</v>
          </cell>
          <cell r="G3684" t="str">
            <v>IDESP</v>
          </cell>
          <cell r="L3684">
            <v>41584</v>
          </cell>
          <cell r="M3684">
            <v>5.95</v>
          </cell>
          <cell r="P3684">
            <v>2.95</v>
          </cell>
        </row>
        <row r="3685">
          <cell r="A3685" t="str">
            <v>BPB-041-5207</v>
          </cell>
          <cell r="G3685" t="str">
            <v>IDESP</v>
          </cell>
          <cell r="L3685">
            <v>42949</v>
          </cell>
          <cell r="M3685">
            <v>17.91</v>
          </cell>
          <cell r="P3685">
            <v>2.3050000000000002</v>
          </cell>
        </row>
        <row r="3686">
          <cell r="A3686" t="str">
            <v>BPB-041-5208-2RS</v>
          </cell>
          <cell r="G3686" t="str">
            <v xml:space="preserve">INAC </v>
          </cell>
          <cell r="L3686">
            <v>45866</v>
          </cell>
          <cell r="M3686">
            <v>1295</v>
          </cell>
          <cell r="P3686">
            <v>17.522154440154438</v>
          </cell>
        </row>
        <row r="3687">
          <cell r="A3687" t="str">
            <v>BPB-041-5210</v>
          </cell>
          <cell r="G3687" t="str">
            <v>IPFAP</v>
          </cell>
          <cell r="L3687">
            <v>41957</v>
          </cell>
          <cell r="M3687">
            <v>8.52</v>
          </cell>
          <cell r="P3687">
            <v>0.26109154929577466</v>
          </cell>
        </row>
        <row r="3688">
          <cell r="A3688" t="str">
            <v>BPB-041-5210-2RST</v>
          </cell>
          <cell r="G3688" t="str">
            <v>IPFAP</v>
          </cell>
          <cell r="L3688">
            <v>42963</v>
          </cell>
          <cell r="M3688">
            <v>17.43</v>
          </cell>
          <cell r="P3688">
            <v>8.2199999999999989</v>
          </cell>
        </row>
        <row r="3689">
          <cell r="A3689" t="str">
            <v>BPB-041-5210-2RST-C0</v>
          </cell>
          <cell r="G3689" t="str">
            <v>InRet</v>
          </cell>
          <cell r="L3689">
            <v>40571</v>
          </cell>
          <cell r="M3689">
            <v>4.0199999999999996</v>
          </cell>
          <cell r="P3689">
            <v>18.538606965174132</v>
          </cell>
        </row>
        <row r="3690">
          <cell r="A3690" t="str">
            <v>BPB-041-5210-2RST-C3</v>
          </cell>
          <cell r="G3690" t="str">
            <v>VPRet</v>
          </cell>
          <cell r="L3690">
            <v>42472</v>
          </cell>
          <cell r="M3690">
            <v>14.8</v>
          </cell>
          <cell r="P3690">
            <v>8.691602702702701</v>
          </cell>
        </row>
        <row r="3691">
          <cell r="A3691" t="str">
            <v>BPB-041-5212-2RS</v>
          </cell>
          <cell r="G3691" t="str">
            <v>IDESP</v>
          </cell>
          <cell r="L3691">
            <v>39910</v>
          </cell>
          <cell r="M3691">
            <v>3.6739999999999999</v>
          </cell>
          <cell r="P3691">
            <v>0.5</v>
          </cell>
        </row>
        <row r="3692">
          <cell r="A3692" t="str">
            <v>BPB-041-5307</v>
          </cell>
          <cell r="G3692" t="str">
            <v>IPFAB</v>
          </cell>
          <cell r="L3692">
            <v>40197</v>
          </cell>
          <cell r="M3692">
            <v>3.83</v>
          </cell>
          <cell r="P3692">
            <v>3.9823</v>
          </cell>
        </row>
        <row r="3693">
          <cell r="A3693" t="str">
            <v>BPB-041-5307-2RS-C3</v>
          </cell>
          <cell r="G3693" t="str">
            <v>IDESP</v>
          </cell>
          <cell r="L3693">
            <v>43413</v>
          </cell>
          <cell r="M3693">
            <v>36.4</v>
          </cell>
          <cell r="P3693">
            <v>4.3120000000000003</v>
          </cell>
        </row>
        <row r="3694">
          <cell r="A3694" t="str">
            <v>BPB-041-5307-2RSC3NR</v>
          </cell>
          <cell r="G3694" t="str">
            <v>vpret</v>
          </cell>
          <cell r="L3694">
            <v>43581</v>
          </cell>
          <cell r="M3694">
            <v>45.9</v>
          </cell>
          <cell r="P3694">
            <v>4.3810239651416127</v>
          </cell>
        </row>
        <row r="3695">
          <cell r="A3695" t="str">
            <v>BPB-041-6000-2RLD</v>
          </cell>
          <cell r="G3695" t="str">
            <v xml:space="preserve">INAC </v>
          </cell>
          <cell r="L3695">
            <v>42487</v>
          </cell>
          <cell r="M3695">
            <v>14.7</v>
          </cell>
          <cell r="P3695">
            <v>0.81632653061224492</v>
          </cell>
        </row>
        <row r="3696">
          <cell r="A3696" t="str">
            <v>BPB-041-6001-2RLD</v>
          </cell>
          <cell r="G3696" t="str">
            <v xml:space="preserve">CR   </v>
          </cell>
          <cell r="L3696">
            <v>40428.376423611109</v>
          </cell>
          <cell r="M3696">
            <v>3.97</v>
          </cell>
          <cell r="P3696">
            <v>0.26700000000000002</v>
          </cell>
        </row>
        <row r="3697">
          <cell r="A3697" t="str">
            <v>BPB-041-6003</v>
          </cell>
          <cell r="G3697" t="str">
            <v>INDEV</v>
          </cell>
          <cell r="L3697">
            <v>40539</v>
          </cell>
          <cell r="M3697">
            <v>4</v>
          </cell>
          <cell r="P3697">
            <v>0.94</v>
          </cell>
        </row>
        <row r="3698">
          <cell r="A3698" t="str">
            <v>BPB-041-6003-2RLD</v>
          </cell>
          <cell r="G3698" t="str">
            <v>IDESP</v>
          </cell>
          <cell r="L3698">
            <v>40490</v>
          </cell>
          <cell r="M3698">
            <v>3.98</v>
          </cell>
          <cell r="P3698">
            <v>0.314</v>
          </cell>
        </row>
        <row r="3699">
          <cell r="A3699" t="str">
            <v>BPB-041-6003-2RST</v>
          </cell>
          <cell r="G3699" t="str">
            <v>IDESP</v>
          </cell>
          <cell r="L3699">
            <v>40619</v>
          </cell>
          <cell r="M3699">
            <v>4.0599999999999996</v>
          </cell>
          <cell r="P3699">
            <v>0.41799999999999998</v>
          </cell>
        </row>
        <row r="3700">
          <cell r="A3700" t="str">
            <v>BPB-041-6004-2RLD-C3</v>
          </cell>
          <cell r="G3700" t="str">
            <v xml:space="preserve">INSI </v>
          </cell>
          <cell r="L3700">
            <v>41162</v>
          </cell>
          <cell r="M3700">
            <v>4.67</v>
          </cell>
          <cell r="P3700">
            <v>0.41599999999999998</v>
          </cell>
        </row>
        <row r="3701">
          <cell r="A3701" t="str">
            <v>BPB-041-6004-2RLD076</v>
          </cell>
          <cell r="G3701" t="str">
            <v>INPE$</v>
          </cell>
          <cell r="L3701">
            <v>40534</v>
          </cell>
          <cell r="M3701">
            <v>4</v>
          </cell>
          <cell r="P3701">
            <v>0.88</v>
          </cell>
        </row>
        <row r="3702">
          <cell r="A3702" t="str">
            <v>BPB-041-6004-2RST</v>
          </cell>
          <cell r="G3702" t="str">
            <v>IDESP</v>
          </cell>
          <cell r="L3702">
            <v>40633</v>
          </cell>
          <cell r="M3702">
            <v>4.07</v>
          </cell>
          <cell r="P3702">
            <v>0.52400000000000002</v>
          </cell>
        </row>
        <row r="3703">
          <cell r="A3703" t="str">
            <v>BPB-041-6004-2RST-C3</v>
          </cell>
          <cell r="G3703" t="str">
            <v>INDEV</v>
          </cell>
          <cell r="L3703">
            <v>39504</v>
          </cell>
          <cell r="M3703">
            <v>3.1579999999999999</v>
          </cell>
          <cell r="P3703">
            <v>0.28853704876504116</v>
          </cell>
        </row>
        <row r="3704">
          <cell r="A3704" t="str">
            <v>BPB-041-6005</v>
          </cell>
          <cell r="G3704" t="str">
            <v>IPFAP</v>
          </cell>
          <cell r="L3704">
            <v>41900</v>
          </cell>
          <cell r="M3704">
            <v>8.41</v>
          </cell>
          <cell r="P3704">
            <v>0.65992865636147435</v>
          </cell>
        </row>
        <row r="3705">
          <cell r="A3705" t="str">
            <v>BPB-041-6005-2RLD-C3</v>
          </cell>
          <cell r="G3705" t="str">
            <v>IPFAB</v>
          </cell>
          <cell r="L3705">
            <v>41886</v>
          </cell>
          <cell r="M3705">
            <v>8.41</v>
          </cell>
          <cell r="P3705">
            <v>7.7600000000000002E-2</v>
          </cell>
        </row>
        <row r="3706">
          <cell r="A3706" t="str">
            <v>BPB-041-6005-2RLD1C3</v>
          </cell>
          <cell r="G3706" t="str">
            <v>IDESP</v>
          </cell>
          <cell r="L3706">
            <v>40093</v>
          </cell>
          <cell r="M3706">
            <v>3.85</v>
          </cell>
          <cell r="P3706">
            <v>0.72299999999999998</v>
          </cell>
        </row>
        <row r="3707">
          <cell r="A3707" t="str">
            <v>BPB-041-6005-2RST</v>
          </cell>
          <cell r="G3707" t="str">
            <v xml:space="preserve">CR   </v>
          </cell>
          <cell r="L3707">
            <v>40428.376423611109</v>
          </cell>
          <cell r="M3707">
            <v>3.97</v>
          </cell>
          <cell r="P3707">
            <v>0.35899999999999999</v>
          </cell>
        </row>
        <row r="3708">
          <cell r="A3708" t="str">
            <v>BPB-041-6005-C3-DEV</v>
          </cell>
          <cell r="G3708" t="str">
            <v xml:space="preserve">INAC </v>
          </cell>
          <cell r="L3708">
            <v>41908</v>
          </cell>
          <cell r="M3708">
            <v>8.41</v>
          </cell>
          <cell r="P3708">
            <v>2.2104637336504163</v>
          </cell>
        </row>
        <row r="3709">
          <cell r="A3709" t="str">
            <v>BPB-041-6005-ZZ</v>
          </cell>
          <cell r="G3709" t="str">
            <v xml:space="preserve">CR   </v>
          </cell>
          <cell r="L3709">
            <v>40428.376423611109</v>
          </cell>
          <cell r="M3709">
            <v>3.97</v>
          </cell>
          <cell r="P3709">
            <v>0.379</v>
          </cell>
        </row>
        <row r="3710">
          <cell r="A3710" t="str">
            <v>BPB-041-6006</v>
          </cell>
          <cell r="G3710" t="str">
            <v>IPFAP</v>
          </cell>
          <cell r="L3710">
            <v>42837</v>
          </cell>
          <cell r="M3710">
            <v>15.61</v>
          </cell>
          <cell r="P3710">
            <v>1.9859064702114031</v>
          </cell>
        </row>
        <row r="3711">
          <cell r="A3711" t="str">
            <v>BPB-041-6006-2RLD1C3</v>
          </cell>
          <cell r="G3711" t="str">
            <v>INCOU</v>
          </cell>
          <cell r="L3711">
            <v>41186</v>
          </cell>
          <cell r="M3711">
            <v>4.71</v>
          </cell>
          <cell r="P3711">
            <v>0.21229999999999999</v>
          </cell>
        </row>
        <row r="3712">
          <cell r="A3712" t="str">
            <v>BPB-041-6006-2RLD2C3</v>
          </cell>
          <cell r="G3712" t="str">
            <v xml:space="preserve">INSI </v>
          </cell>
          <cell r="L3712">
            <v>41162</v>
          </cell>
          <cell r="M3712">
            <v>4.67</v>
          </cell>
          <cell r="P3712">
            <v>1.1499999999999999</v>
          </cell>
        </row>
        <row r="3713">
          <cell r="A3713" t="str">
            <v>BPB-041-6006-2RSRC3</v>
          </cell>
          <cell r="G3713" t="str">
            <v>IPFAB</v>
          </cell>
          <cell r="L3713">
            <v>39968</v>
          </cell>
          <cell r="M3713">
            <v>3.76</v>
          </cell>
          <cell r="P3713">
            <v>0.47</v>
          </cell>
        </row>
        <row r="3714">
          <cell r="A3714" t="str">
            <v>BPB-041-6006-2RST-M</v>
          </cell>
          <cell r="G3714" t="str">
            <v>IDESP</v>
          </cell>
          <cell r="L3714">
            <v>40164</v>
          </cell>
          <cell r="M3714">
            <v>3.83</v>
          </cell>
          <cell r="P3714">
            <v>0.57499999999999996</v>
          </cell>
        </row>
        <row r="3715">
          <cell r="A3715" t="str">
            <v>BPB-041-6007</v>
          </cell>
          <cell r="G3715" t="str">
            <v>IPFAP</v>
          </cell>
          <cell r="L3715">
            <v>43469</v>
          </cell>
          <cell r="M3715">
            <v>38.4</v>
          </cell>
          <cell r="P3715">
            <v>1.4389010416666668</v>
          </cell>
        </row>
        <row r="3716">
          <cell r="A3716" t="str">
            <v>BPB-041-6007-2RLD1N</v>
          </cell>
          <cell r="G3716" t="str">
            <v xml:space="preserve">CR   </v>
          </cell>
          <cell r="L3716">
            <v>40428.376423611109</v>
          </cell>
          <cell r="M3716">
            <v>3.97</v>
          </cell>
          <cell r="P3716">
            <v>0.91400000000000003</v>
          </cell>
        </row>
        <row r="3717">
          <cell r="A3717" t="str">
            <v>BPB-041-6007-2RS</v>
          </cell>
          <cell r="G3717" t="str">
            <v>INDEV</v>
          </cell>
          <cell r="L3717">
            <v>41394</v>
          </cell>
          <cell r="M3717">
            <v>5.18</v>
          </cell>
          <cell r="P3717">
            <v>1.501930501930502</v>
          </cell>
        </row>
        <row r="3718">
          <cell r="A3718" t="str">
            <v>BPB-041-6007-2RST</v>
          </cell>
          <cell r="G3718" t="str">
            <v>IDESP</v>
          </cell>
          <cell r="L3718">
            <v>40840</v>
          </cell>
          <cell r="M3718">
            <v>4.26</v>
          </cell>
          <cell r="P3718">
            <v>1.28</v>
          </cell>
        </row>
        <row r="3719">
          <cell r="A3719" t="str">
            <v>BPB-041-6008-2RST</v>
          </cell>
          <cell r="G3719" t="str">
            <v>IPFAB</v>
          </cell>
          <cell r="L3719">
            <v>40717</v>
          </cell>
          <cell r="M3719">
            <v>4.13</v>
          </cell>
          <cell r="P3719">
            <v>1.2170000000000001</v>
          </cell>
        </row>
        <row r="3720">
          <cell r="A3720" t="str">
            <v>BPB-041-6009</v>
          </cell>
          <cell r="G3720" t="str">
            <v>IPFAP</v>
          </cell>
          <cell r="L3720">
            <v>42921</v>
          </cell>
          <cell r="M3720">
            <v>17.170000000000002</v>
          </cell>
          <cell r="P3720">
            <v>2.1788002329644724</v>
          </cell>
        </row>
        <row r="3721">
          <cell r="A3721" t="str">
            <v>BPB-041-6010</v>
          </cell>
          <cell r="G3721" t="str">
            <v xml:space="preserve">CR   </v>
          </cell>
          <cell r="L3721">
            <v>40428.376423611109</v>
          </cell>
          <cell r="M3721">
            <v>3.97</v>
          </cell>
          <cell r="P3721">
            <v>1.3420000000000001</v>
          </cell>
        </row>
        <row r="3722">
          <cell r="A3722" t="str">
            <v>BPB-041-6010-2RLD</v>
          </cell>
          <cell r="G3722" t="str">
            <v xml:space="preserve">CR   </v>
          </cell>
          <cell r="L3722">
            <v>40428.376423611109</v>
          </cell>
          <cell r="M3722">
            <v>3.97</v>
          </cell>
          <cell r="P3722">
            <v>1.0129999999999999</v>
          </cell>
        </row>
        <row r="3723">
          <cell r="A3723" t="str">
            <v>BPB-041-6010-2RLD-SO</v>
          </cell>
          <cell r="G3723" t="str">
            <v xml:space="preserve">INSI </v>
          </cell>
          <cell r="L3723">
            <v>39556</v>
          </cell>
          <cell r="M3723">
            <v>3.1720000000000002</v>
          </cell>
          <cell r="P3723">
            <v>1.1299999999999999</v>
          </cell>
        </row>
        <row r="3724">
          <cell r="A3724" t="str">
            <v>BPB-041-6010-2RST</v>
          </cell>
          <cell r="G3724" t="str">
            <v>INDEV</v>
          </cell>
          <cell r="L3724">
            <v>39503</v>
          </cell>
          <cell r="M3724">
            <v>3.157</v>
          </cell>
          <cell r="P3724">
            <v>1.0319923978460563</v>
          </cell>
        </row>
        <row r="3725">
          <cell r="A3725" t="str">
            <v>BPB-041-6010-2RST-C3</v>
          </cell>
          <cell r="G3725" t="str">
            <v>IDESP</v>
          </cell>
          <cell r="L3725">
            <v>40675</v>
          </cell>
          <cell r="M3725">
            <v>4.12</v>
          </cell>
          <cell r="P3725">
            <v>1.6120000000000001</v>
          </cell>
        </row>
        <row r="3726">
          <cell r="A3726" t="str">
            <v>BPB-041-6010-2RST-SO</v>
          </cell>
          <cell r="G3726" t="str">
            <v>IPFAB</v>
          </cell>
          <cell r="L3726">
            <v>39518</v>
          </cell>
          <cell r="M3726">
            <v>3.1579999999999999</v>
          </cell>
          <cell r="P3726">
            <v>1.0317000000000001</v>
          </cell>
        </row>
        <row r="3727">
          <cell r="A3727" t="str">
            <v>BPB-041-6011</v>
          </cell>
          <cell r="G3727" t="str">
            <v xml:space="preserve">INAC </v>
          </cell>
          <cell r="L3727">
            <v>43179</v>
          </cell>
          <cell r="M3727">
            <v>20.56</v>
          </cell>
          <cell r="P3727">
            <v>5.7168142023346311</v>
          </cell>
        </row>
        <row r="3728">
          <cell r="A3728" t="str">
            <v>BPB-041-6011-2RS</v>
          </cell>
          <cell r="G3728" t="str">
            <v>INDEV</v>
          </cell>
          <cell r="L3728">
            <v>40490</v>
          </cell>
          <cell r="M3728">
            <v>3.98</v>
          </cell>
          <cell r="P3728">
            <v>1.6610050251256283</v>
          </cell>
        </row>
        <row r="3729">
          <cell r="A3729" t="str">
            <v>BPB-041-6012</v>
          </cell>
          <cell r="G3729" t="str">
            <v xml:space="preserve">CR   </v>
          </cell>
          <cell r="L3729">
            <v>40428.376423611109</v>
          </cell>
          <cell r="M3729">
            <v>3.97</v>
          </cell>
          <cell r="P3729">
            <v>1.5509999999999999</v>
          </cell>
        </row>
        <row r="3730">
          <cell r="A3730" t="str">
            <v>BPB-041-6012-2RS</v>
          </cell>
          <cell r="G3730" t="str">
            <v>IDESP</v>
          </cell>
          <cell r="L3730">
            <v>40442</v>
          </cell>
          <cell r="M3730">
            <v>3.97</v>
          </cell>
          <cell r="P3730">
            <v>1.6559999999999999</v>
          </cell>
        </row>
        <row r="3731">
          <cell r="A3731" t="str">
            <v>BPB-041-6013</v>
          </cell>
          <cell r="G3731" t="str">
            <v>IPFAP</v>
          </cell>
          <cell r="L3731">
            <v>43469</v>
          </cell>
          <cell r="M3731">
            <v>38.4</v>
          </cell>
          <cell r="P3731">
            <v>2.4900000000000002</v>
          </cell>
        </row>
        <row r="3732">
          <cell r="A3732" t="str">
            <v>BPB-041-6013-2RS</v>
          </cell>
          <cell r="G3732" t="str">
            <v>INDEV</v>
          </cell>
          <cell r="L3732">
            <v>40540</v>
          </cell>
          <cell r="M3732">
            <v>4</v>
          </cell>
          <cell r="P3732">
            <v>2.0720000000000001</v>
          </cell>
        </row>
        <row r="3733">
          <cell r="A3733" t="str">
            <v>BPB-041-6013-2RS-22</v>
          </cell>
          <cell r="G3733" t="str">
            <v xml:space="preserve">INAC </v>
          </cell>
          <cell r="L3733">
            <v>40578</v>
          </cell>
          <cell r="M3733">
            <v>4.04</v>
          </cell>
          <cell r="P3733">
            <v>38.573440594059406</v>
          </cell>
        </row>
        <row r="3734">
          <cell r="A3734" t="str">
            <v>BPB-041-6013-2RS-C3</v>
          </cell>
          <cell r="G3734" t="str">
            <v xml:space="preserve">CR   </v>
          </cell>
          <cell r="L3734">
            <v>40428.376423611109</v>
          </cell>
          <cell r="M3734">
            <v>3.97</v>
          </cell>
          <cell r="P3734">
            <v>2.5089999999999999</v>
          </cell>
        </row>
        <row r="3735">
          <cell r="A3735" t="str">
            <v>BPB-041-6013-2RST-22</v>
          </cell>
          <cell r="G3735" t="str">
            <v>IDESP</v>
          </cell>
          <cell r="L3735">
            <v>43292</v>
          </cell>
          <cell r="M3735">
            <v>27.8</v>
          </cell>
          <cell r="P3735">
            <v>4.43</v>
          </cell>
        </row>
        <row r="3736">
          <cell r="A3736" t="str">
            <v>BPB-041-6014</v>
          </cell>
          <cell r="G3736" t="str">
            <v>INDEV</v>
          </cell>
          <cell r="L3736">
            <v>39736</v>
          </cell>
          <cell r="M3736">
            <v>3.1920000000000002</v>
          </cell>
          <cell r="P3736">
            <v>2</v>
          </cell>
        </row>
        <row r="3737">
          <cell r="A3737" t="str">
            <v>BPB-041-6014-2RS</v>
          </cell>
          <cell r="G3737" t="str">
            <v>IDESP</v>
          </cell>
          <cell r="L3737">
            <v>40896</v>
          </cell>
          <cell r="M3737">
            <v>4.3099999999999996</v>
          </cell>
          <cell r="P3737">
            <v>3.04</v>
          </cell>
        </row>
        <row r="3738">
          <cell r="A3738" t="str">
            <v>BPB-041-6015-2RS</v>
          </cell>
          <cell r="G3738" t="str">
            <v xml:space="preserve">CR   </v>
          </cell>
          <cell r="L3738">
            <v>40428.376423611109</v>
          </cell>
          <cell r="M3738">
            <v>3.97</v>
          </cell>
          <cell r="P3738">
            <v>2.5630000000000002</v>
          </cell>
        </row>
        <row r="3739">
          <cell r="A3739" t="str">
            <v>BPB-041-6016-2RS</v>
          </cell>
          <cell r="G3739" t="str">
            <v>IDESP</v>
          </cell>
          <cell r="L3739">
            <v>41666</v>
          </cell>
          <cell r="M3739">
            <v>8.0299999999999994</v>
          </cell>
          <cell r="P3739">
            <v>5.03</v>
          </cell>
        </row>
        <row r="3740">
          <cell r="A3740" t="str">
            <v>BPB-041-6017</v>
          </cell>
          <cell r="G3740" t="str">
            <v>IPFAP</v>
          </cell>
          <cell r="L3740">
            <v>43469</v>
          </cell>
          <cell r="M3740">
            <v>38.4</v>
          </cell>
          <cell r="P3740">
            <v>1.7096171874999999</v>
          </cell>
        </row>
        <row r="3741">
          <cell r="A3741" t="str">
            <v>BPB-041-6018-2RS</v>
          </cell>
          <cell r="G3741" t="str">
            <v>INDEV</v>
          </cell>
          <cell r="L3741">
            <v>41368</v>
          </cell>
          <cell r="M3741">
            <v>5.13</v>
          </cell>
          <cell r="P3741">
            <v>6.36</v>
          </cell>
        </row>
        <row r="3742">
          <cell r="A3742" t="str">
            <v>BPB-041-6019-2RS</v>
          </cell>
          <cell r="G3742" t="str">
            <v xml:space="preserve">CR   </v>
          </cell>
          <cell r="L3742">
            <v>40428.376423611109</v>
          </cell>
          <cell r="M3742">
            <v>3.97</v>
          </cell>
          <cell r="P3742">
            <v>6.16</v>
          </cell>
        </row>
        <row r="3743">
          <cell r="A3743" t="str">
            <v>BPB-041-6020-2RS</v>
          </cell>
          <cell r="G3743" t="str">
            <v>IDESP</v>
          </cell>
          <cell r="L3743">
            <v>40724</v>
          </cell>
          <cell r="M3743">
            <v>4.1399999999999997</v>
          </cell>
          <cell r="P3743">
            <v>7</v>
          </cell>
        </row>
        <row r="3744">
          <cell r="A3744" t="str">
            <v>BPB-041-6021</v>
          </cell>
          <cell r="G3744" t="str">
            <v xml:space="preserve">CR   </v>
          </cell>
          <cell r="L3744">
            <v>40428.376423611109</v>
          </cell>
          <cell r="M3744">
            <v>3.97</v>
          </cell>
          <cell r="P3744">
            <v>0.315</v>
          </cell>
        </row>
        <row r="3745">
          <cell r="A3745" t="str">
            <v>BPB-041-6026-2RS</v>
          </cell>
          <cell r="G3745" t="str">
            <v xml:space="preserve">INAC </v>
          </cell>
          <cell r="L3745">
            <v>42514</v>
          </cell>
          <cell r="M3745">
            <v>14.35</v>
          </cell>
          <cell r="P3745">
            <v>84.632055749128924</v>
          </cell>
        </row>
        <row r="3746">
          <cell r="A3746" t="str">
            <v>BPB-041-6028</v>
          </cell>
          <cell r="G3746" t="str">
            <v xml:space="preserve">INAC </v>
          </cell>
          <cell r="L3746">
            <v>42464</v>
          </cell>
          <cell r="M3746">
            <v>15.03</v>
          </cell>
          <cell r="P3746">
            <v>86.493679308050574</v>
          </cell>
        </row>
        <row r="3747">
          <cell r="A3747" t="str">
            <v>BPB-041-607-2RS</v>
          </cell>
          <cell r="G3747" t="str">
            <v>IDESP</v>
          </cell>
          <cell r="L3747">
            <v>43278</v>
          </cell>
          <cell r="M3747">
            <v>27.6</v>
          </cell>
          <cell r="P3747">
            <v>0.19900000000000001</v>
          </cell>
        </row>
        <row r="3748">
          <cell r="A3748" t="str">
            <v>BPB-041-607-ZZ</v>
          </cell>
          <cell r="G3748" t="str">
            <v>IDESP</v>
          </cell>
          <cell r="L3748">
            <v>42733</v>
          </cell>
          <cell r="M3748">
            <v>16.079999999999998</v>
          </cell>
          <cell r="P3748">
            <v>0.21609999999999999</v>
          </cell>
        </row>
        <row r="3749">
          <cell r="A3749" t="str">
            <v>BPB-041-607-ZZ-C</v>
          </cell>
          <cell r="G3749" t="str">
            <v>IDESP</v>
          </cell>
          <cell r="L3749">
            <v>39974</v>
          </cell>
          <cell r="M3749">
            <v>3.77</v>
          </cell>
          <cell r="P3749">
            <v>0.11899999999999999</v>
          </cell>
        </row>
        <row r="3750">
          <cell r="A3750" t="str">
            <v>BPB-041-608</v>
          </cell>
          <cell r="G3750" t="str">
            <v>IDESP</v>
          </cell>
          <cell r="L3750">
            <v>42936</v>
          </cell>
          <cell r="M3750">
            <v>17.510000000000002</v>
          </cell>
          <cell r="P3750">
            <v>0.23250000000000001</v>
          </cell>
        </row>
        <row r="3751">
          <cell r="A3751" t="str">
            <v>BPB-041-608-2RLD</v>
          </cell>
          <cell r="G3751" t="str">
            <v>IPFAB</v>
          </cell>
          <cell r="L3751">
            <v>41388</v>
          </cell>
          <cell r="M3751">
            <v>5.17</v>
          </cell>
          <cell r="P3751">
            <v>0.15629999999999999</v>
          </cell>
        </row>
        <row r="3752">
          <cell r="A3752" t="str">
            <v>BPB-041-608-2RS</v>
          </cell>
          <cell r="G3752" t="str">
            <v>IDESP</v>
          </cell>
          <cell r="L3752">
            <v>43278</v>
          </cell>
          <cell r="M3752">
            <v>27.6</v>
          </cell>
          <cell r="P3752">
            <v>0.19</v>
          </cell>
        </row>
        <row r="3753">
          <cell r="A3753" t="str">
            <v>BPB-041-608-ZZ</v>
          </cell>
          <cell r="G3753" t="str">
            <v>IDESP</v>
          </cell>
          <cell r="L3753">
            <v>45951</v>
          </cell>
          <cell r="M3753">
            <v>1495</v>
          </cell>
          <cell r="P3753">
            <v>0.219</v>
          </cell>
        </row>
        <row r="3754">
          <cell r="A3754" t="str">
            <v>BPB-041-608-ZZ-C</v>
          </cell>
          <cell r="G3754" t="str">
            <v>IDESP</v>
          </cell>
          <cell r="L3754">
            <v>39974</v>
          </cell>
          <cell r="M3754">
            <v>3.77</v>
          </cell>
          <cell r="P3754">
            <v>0.11899999999999999</v>
          </cell>
        </row>
        <row r="3755">
          <cell r="A3755" t="str">
            <v>BPB-041-608-ZZ1C3</v>
          </cell>
          <cell r="G3755" t="str">
            <v>IDESP</v>
          </cell>
          <cell r="L3755">
            <v>39974</v>
          </cell>
          <cell r="M3755">
            <v>3.77</v>
          </cell>
          <cell r="P3755">
            <v>0.12</v>
          </cell>
        </row>
        <row r="3756">
          <cell r="A3756" t="str">
            <v>BPB-041-609-2RLD</v>
          </cell>
          <cell r="G3756" t="str">
            <v>IDESP</v>
          </cell>
          <cell r="L3756">
            <v>45951</v>
          </cell>
          <cell r="M3756">
            <v>1495</v>
          </cell>
          <cell r="P3756">
            <v>0.245</v>
          </cell>
        </row>
        <row r="3757">
          <cell r="A3757" t="str">
            <v>BPB-041-609-ZZ</v>
          </cell>
          <cell r="G3757" t="str">
            <v>IDESP</v>
          </cell>
          <cell r="L3757">
            <v>45951</v>
          </cell>
          <cell r="M3757">
            <v>1495</v>
          </cell>
          <cell r="P3757">
            <v>0.24</v>
          </cell>
        </row>
        <row r="3758">
          <cell r="A3758" t="str">
            <v>BPB-041-617-3-ZZ</v>
          </cell>
          <cell r="G3758" t="str">
            <v>IDESP</v>
          </cell>
          <cell r="L3758">
            <v>43720</v>
          </cell>
          <cell r="M3758">
            <v>57</v>
          </cell>
          <cell r="P3758">
            <v>0.23</v>
          </cell>
        </row>
        <row r="3759">
          <cell r="A3759" t="str">
            <v>BPB-041-61910-2RS</v>
          </cell>
          <cell r="G3759" t="str">
            <v xml:space="preserve">INAC </v>
          </cell>
          <cell r="L3759">
            <v>39967</v>
          </cell>
          <cell r="M3759">
            <v>3.76</v>
          </cell>
          <cell r="P3759">
            <v>4.1090425531914896</v>
          </cell>
        </row>
        <row r="3760">
          <cell r="A3760" t="str">
            <v>BPB-041-61916-2RS-C3</v>
          </cell>
          <cell r="G3760" t="str">
            <v xml:space="preserve">CR   </v>
          </cell>
          <cell r="L3760">
            <v>40428.376423611109</v>
          </cell>
          <cell r="M3760">
            <v>3.97</v>
          </cell>
          <cell r="P3760">
            <v>5.4379999999999997</v>
          </cell>
        </row>
        <row r="3761">
          <cell r="A3761" t="str">
            <v>BPB-041-6200-2RLD</v>
          </cell>
          <cell r="G3761" t="str">
            <v xml:space="preserve">CR   </v>
          </cell>
          <cell r="L3761">
            <v>40428.376423611109</v>
          </cell>
          <cell r="M3761">
            <v>3.97</v>
          </cell>
          <cell r="P3761">
            <v>0.31</v>
          </cell>
        </row>
        <row r="3762">
          <cell r="A3762" t="str">
            <v>BPB-041-6201-2RLD</v>
          </cell>
          <cell r="G3762" t="str">
            <v xml:space="preserve">INAC </v>
          </cell>
          <cell r="L3762">
            <v>41611</v>
          </cell>
          <cell r="M3762">
            <v>6.16</v>
          </cell>
          <cell r="P3762">
            <v>0.5892857142857143</v>
          </cell>
        </row>
        <row r="3763">
          <cell r="A3763" t="str">
            <v>BPB-041-6201-2RST</v>
          </cell>
          <cell r="G3763" t="str">
            <v xml:space="preserve">CR   </v>
          </cell>
          <cell r="L3763">
            <v>40428.376423611109</v>
          </cell>
          <cell r="M3763">
            <v>3.97</v>
          </cell>
          <cell r="P3763">
            <v>0.309</v>
          </cell>
        </row>
        <row r="3764">
          <cell r="A3764" t="str">
            <v>BPB-041-6201-8-2RLD</v>
          </cell>
          <cell r="G3764" t="str">
            <v>IDESP</v>
          </cell>
          <cell r="L3764">
            <v>40002</v>
          </cell>
          <cell r="M3764">
            <v>3.82</v>
          </cell>
          <cell r="P3764">
            <v>0.26900000000000002</v>
          </cell>
        </row>
        <row r="3765">
          <cell r="A3765" t="str">
            <v>BPB-041-6202-2RLD-C0</v>
          </cell>
          <cell r="G3765" t="str">
            <v>INDEV</v>
          </cell>
          <cell r="L3765">
            <v>41471</v>
          </cell>
          <cell r="M3765">
            <v>5.43</v>
          </cell>
          <cell r="P3765">
            <v>0.54696132596685088</v>
          </cell>
        </row>
        <row r="3766">
          <cell r="A3766" t="str">
            <v>BPB-041-6202-2RLD-C3</v>
          </cell>
          <cell r="G3766" t="str">
            <v>vpret</v>
          </cell>
          <cell r="L3766">
            <v>44546</v>
          </cell>
          <cell r="M3766">
            <v>107</v>
          </cell>
          <cell r="P3766">
            <v>0.11857009345794392</v>
          </cell>
        </row>
        <row r="3767">
          <cell r="A3767" t="str">
            <v>BPB-041-6202-2RS</v>
          </cell>
          <cell r="G3767" t="str">
            <v xml:space="preserve">CR   </v>
          </cell>
          <cell r="L3767">
            <v>40428.376423611109</v>
          </cell>
          <cell r="M3767">
            <v>3.97</v>
          </cell>
          <cell r="P3767">
            <v>0.34499999999999997</v>
          </cell>
        </row>
        <row r="3768">
          <cell r="A3768" t="str">
            <v>BPB-041-6202-2RST</v>
          </cell>
          <cell r="G3768" t="str">
            <v xml:space="preserve">INSI </v>
          </cell>
          <cell r="L3768">
            <v>40645</v>
          </cell>
          <cell r="M3768">
            <v>4.08</v>
          </cell>
          <cell r="P3768">
            <v>1.4657</v>
          </cell>
        </row>
        <row r="3769">
          <cell r="A3769" t="str">
            <v>BPB-041-6202-2RSTM</v>
          </cell>
          <cell r="G3769" t="str">
            <v>INDEV</v>
          </cell>
          <cell r="L3769">
            <v>41166</v>
          </cell>
          <cell r="M3769">
            <v>4.68</v>
          </cell>
          <cell r="P3769">
            <v>0.352008547008547</v>
          </cell>
        </row>
        <row r="3770">
          <cell r="A3770" t="str">
            <v>BPB-041-6202-ZZ</v>
          </cell>
          <cell r="G3770" t="str">
            <v>IPFAP</v>
          </cell>
          <cell r="L3770">
            <v>44678</v>
          </cell>
          <cell r="M3770">
            <v>119.75</v>
          </cell>
          <cell r="P3770">
            <v>6.3156576200417536E-2</v>
          </cell>
        </row>
        <row r="3771">
          <cell r="A3771" t="str">
            <v>BPB-041-6203-2RLD-C0</v>
          </cell>
          <cell r="G3771" t="str">
            <v>IPFAP</v>
          </cell>
          <cell r="L3771">
            <v>41400</v>
          </cell>
          <cell r="M3771">
            <v>5.2</v>
          </cell>
          <cell r="P3771">
            <v>0.7038461538461539</v>
          </cell>
        </row>
        <row r="3772">
          <cell r="A3772" t="str">
            <v>BPB-041-6203-2RLD-C3</v>
          </cell>
          <cell r="G3772" t="str">
            <v>IPFAP</v>
          </cell>
          <cell r="L3772">
            <v>42229</v>
          </cell>
          <cell r="M3772">
            <v>9.27</v>
          </cell>
          <cell r="P3772">
            <v>0.32199568500539377</v>
          </cell>
        </row>
        <row r="3773">
          <cell r="A3773" t="str">
            <v>BPB-041-6203-2RLD1C3</v>
          </cell>
          <cell r="G3773" t="str">
            <v xml:space="preserve">INSI </v>
          </cell>
          <cell r="L3773">
            <v>41162</v>
          </cell>
          <cell r="M3773">
            <v>4.67</v>
          </cell>
          <cell r="P3773">
            <v>0.442</v>
          </cell>
        </row>
        <row r="3774">
          <cell r="A3774" t="str">
            <v>BPB-041-6203-2RS</v>
          </cell>
          <cell r="G3774" t="str">
            <v xml:space="preserve">INAC </v>
          </cell>
          <cell r="L3774">
            <v>42828</v>
          </cell>
          <cell r="M3774">
            <v>15.68</v>
          </cell>
          <cell r="P3774">
            <v>1.2308673469387756</v>
          </cell>
        </row>
        <row r="3775">
          <cell r="A3775" t="str">
            <v>BPB-041-6203-2RST</v>
          </cell>
          <cell r="G3775" t="str">
            <v xml:space="preserve">INAC </v>
          </cell>
          <cell r="L3775">
            <v>41368</v>
          </cell>
          <cell r="M3775">
            <v>5.13</v>
          </cell>
          <cell r="P3775">
            <v>0.79922027290448339</v>
          </cell>
        </row>
        <row r="3776">
          <cell r="A3776" t="str">
            <v>BPB-041-6203-D-C3</v>
          </cell>
          <cell r="G3776" t="str">
            <v>IPFAP</v>
          </cell>
          <cell r="L3776">
            <v>41591</v>
          </cell>
          <cell r="M3776">
            <v>5.97</v>
          </cell>
          <cell r="P3776">
            <v>0.66323283082077056</v>
          </cell>
        </row>
        <row r="3777">
          <cell r="A3777" t="str">
            <v>BPB-041-6204</v>
          </cell>
          <cell r="G3777" t="str">
            <v>INPE$</v>
          </cell>
          <cell r="L3777">
            <v>40673</v>
          </cell>
          <cell r="M3777">
            <v>4.1100000000000003</v>
          </cell>
          <cell r="P3777">
            <v>1.1411192214111923</v>
          </cell>
        </row>
        <row r="3778">
          <cell r="A3778" t="str">
            <v>BPB-041-6204-1RS</v>
          </cell>
          <cell r="G3778" t="str">
            <v>IPFAB</v>
          </cell>
          <cell r="L3778">
            <v>39385</v>
          </cell>
          <cell r="M3778">
            <v>3.157</v>
          </cell>
          <cell r="P3778">
            <v>0.35</v>
          </cell>
        </row>
        <row r="3779">
          <cell r="A3779" t="str">
            <v>BPB-041-6204-2RLD-C3</v>
          </cell>
          <cell r="G3779" t="str">
            <v>IPFAB</v>
          </cell>
          <cell r="L3779">
            <v>40700</v>
          </cell>
          <cell r="M3779">
            <v>4.12</v>
          </cell>
          <cell r="P3779">
            <v>1.2136</v>
          </cell>
        </row>
        <row r="3780">
          <cell r="A3780" t="str">
            <v>BPB-041-6204-2RS</v>
          </cell>
          <cell r="G3780" t="str">
            <v xml:space="preserve">CR   </v>
          </cell>
          <cell r="L3780">
            <v>40428.376423611109</v>
          </cell>
          <cell r="M3780">
            <v>3.97</v>
          </cell>
          <cell r="P3780">
            <v>0.55600000000000005</v>
          </cell>
        </row>
        <row r="3781">
          <cell r="A3781" t="str">
            <v>BPB-041-6204-2RST</v>
          </cell>
          <cell r="G3781" t="str">
            <v>IPFAB</v>
          </cell>
          <cell r="L3781">
            <v>41463</v>
          </cell>
          <cell r="M3781">
            <v>5.41</v>
          </cell>
          <cell r="P3781">
            <v>0.60019999999999996</v>
          </cell>
        </row>
        <row r="3782">
          <cell r="A3782" t="str">
            <v>BPB-041-6204-2RSTDL</v>
          </cell>
          <cell r="G3782" t="str">
            <v>IPFAB</v>
          </cell>
          <cell r="L3782">
            <v>40515</v>
          </cell>
          <cell r="M3782">
            <v>4</v>
          </cell>
          <cell r="P3782">
            <v>6.04</v>
          </cell>
        </row>
        <row r="3783">
          <cell r="A3783" t="str">
            <v>BPB-041-6204-2RSTM</v>
          </cell>
          <cell r="G3783" t="str">
            <v>IDESP</v>
          </cell>
          <cell r="L3783">
            <v>39329</v>
          </cell>
          <cell r="M3783">
            <v>3.1619999999999999</v>
          </cell>
          <cell r="P3783">
            <v>0.48299999999999998</v>
          </cell>
        </row>
        <row r="3784">
          <cell r="A3784" t="str">
            <v>BPB-041-62042RST-HC</v>
          </cell>
          <cell r="G3784" t="str">
            <v xml:space="preserve">CR   </v>
          </cell>
          <cell r="L3784">
            <v>40428.376423611109</v>
          </cell>
          <cell r="M3784">
            <v>3.97</v>
          </cell>
          <cell r="P3784">
            <v>0.29599999999999999</v>
          </cell>
        </row>
        <row r="3785">
          <cell r="A3785" t="str">
            <v>BPB-041-6205</v>
          </cell>
          <cell r="G3785" t="str">
            <v>InRet</v>
          </cell>
          <cell r="L3785">
            <v>40343</v>
          </cell>
          <cell r="M3785">
            <v>3.94</v>
          </cell>
          <cell r="P3785">
            <v>1.1388578680203045</v>
          </cell>
        </row>
        <row r="3786">
          <cell r="A3786" t="str">
            <v>BPB-041-6205-2RLD-C3</v>
          </cell>
          <cell r="G3786" t="str">
            <v xml:space="preserve">INSI </v>
          </cell>
          <cell r="L3786">
            <v>41753</v>
          </cell>
          <cell r="M3786">
            <v>8.0500000000000007</v>
          </cell>
          <cell r="P3786">
            <v>0.35389999999999999</v>
          </cell>
        </row>
        <row r="3787">
          <cell r="A3787" t="str">
            <v>BPB-041-6205-2RST</v>
          </cell>
          <cell r="G3787" t="str">
            <v>INDEV</v>
          </cell>
          <cell r="L3787">
            <v>40497</v>
          </cell>
          <cell r="M3787">
            <v>3.98</v>
          </cell>
          <cell r="P3787">
            <v>0.82500000000000007</v>
          </cell>
        </row>
        <row r="3788">
          <cell r="A3788" t="str">
            <v>BPB-041-6205-2RSTNR</v>
          </cell>
          <cell r="G3788" t="str">
            <v>IPFAP</v>
          </cell>
          <cell r="L3788">
            <v>41719</v>
          </cell>
          <cell r="M3788">
            <v>7.94</v>
          </cell>
          <cell r="P3788">
            <v>0.12594458438287154</v>
          </cell>
        </row>
        <row r="3789">
          <cell r="A3789" t="str">
            <v>BPB-041-6205-D-C0</v>
          </cell>
          <cell r="G3789" t="str">
            <v>InRet</v>
          </cell>
          <cell r="L3789">
            <v>40442</v>
          </cell>
          <cell r="M3789">
            <v>3.97</v>
          </cell>
          <cell r="P3789">
            <v>1.3412846347607053</v>
          </cell>
        </row>
        <row r="3790">
          <cell r="A3790" t="str">
            <v>BPB-041-6205-D-C3</v>
          </cell>
          <cell r="G3790" t="str">
            <v>InRet</v>
          </cell>
          <cell r="L3790">
            <v>40442</v>
          </cell>
          <cell r="M3790">
            <v>3.97</v>
          </cell>
          <cell r="P3790">
            <v>1.3412846347607053</v>
          </cell>
        </row>
        <row r="3791">
          <cell r="A3791" t="str">
            <v>BPB-041-6205-ZZ</v>
          </cell>
          <cell r="G3791" t="str">
            <v>IDESP</v>
          </cell>
          <cell r="L3791">
            <v>39653</v>
          </cell>
          <cell r="M3791">
            <v>3.0179999999999998</v>
          </cell>
          <cell r="P3791">
            <v>0.43</v>
          </cell>
        </row>
        <row r="3792">
          <cell r="A3792" t="str">
            <v>BPB-041-6206</v>
          </cell>
          <cell r="G3792" t="str">
            <v>InRet</v>
          </cell>
          <cell r="L3792">
            <v>41550</v>
          </cell>
          <cell r="M3792">
            <v>5.8</v>
          </cell>
          <cell r="P3792">
            <v>0.93793103448275872</v>
          </cell>
        </row>
        <row r="3793">
          <cell r="A3793" t="str">
            <v>BPB-041-6206-2RLD</v>
          </cell>
          <cell r="G3793" t="str">
            <v xml:space="preserve">INSI </v>
          </cell>
          <cell r="L3793">
            <v>41753</v>
          </cell>
          <cell r="M3793">
            <v>8.0500000000000007</v>
          </cell>
          <cell r="P3793">
            <v>0.69110000000000005</v>
          </cell>
        </row>
        <row r="3794">
          <cell r="A3794" t="str">
            <v>BPB-041-6206-2RST</v>
          </cell>
          <cell r="G3794" t="str">
            <v>IDESP</v>
          </cell>
          <cell r="L3794">
            <v>40696</v>
          </cell>
          <cell r="M3794">
            <v>4.12</v>
          </cell>
          <cell r="P3794">
            <v>0.96160000000000001</v>
          </cell>
        </row>
        <row r="3795">
          <cell r="A3795" t="str">
            <v>BPB-041-6206-2RSTNR</v>
          </cell>
          <cell r="G3795" t="str">
            <v>IPFAP</v>
          </cell>
          <cell r="L3795">
            <v>41719</v>
          </cell>
          <cell r="M3795">
            <v>7.94</v>
          </cell>
          <cell r="P3795">
            <v>0.12594458438287154</v>
          </cell>
        </row>
        <row r="3796">
          <cell r="A3796" t="str">
            <v>BPB-041-6207</v>
          </cell>
          <cell r="G3796" t="str">
            <v xml:space="preserve">INSI </v>
          </cell>
          <cell r="L3796">
            <v>41600</v>
          </cell>
          <cell r="M3796">
            <v>6.05</v>
          </cell>
          <cell r="P3796">
            <v>6.9420999999999999</v>
          </cell>
        </row>
        <row r="3797">
          <cell r="A3797" t="str">
            <v>BPB-041-6207-2RST</v>
          </cell>
          <cell r="G3797" t="str">
            <v>IDESP</v>
          </cell>
          <cell r="L3797">
            <v>41380</v>
          </cell>
          <cell r="M3797">
            <v>5.15</v>
          </cell>
          <cell r="P3797">
            <v>1.3049999999999999</v>
          </cell>
        </row>
        <row r="3798">
          <cell r="A3798" t="str">
            <v>BPB-041-6207-C0</v>
          </cell>
          <cell r="G3798" t="str">
            <v>INPE$</v>
          </cell>
          <cell r="L3798">
            <v>40498</v>
          </cell>
          <cell r="M3798">
            <v>3.98</v>
          </cell>
          <cell r="P3798">
            <v>1.7613065326633166</v>
          </cell>
        </row>
        <row r="3799">
          <cell r="A3799" t="str">
            <v>BPB-041-6207-C3</v>
          </cell>
          <cell r="G3799" t="str">
            <v>INPE$</v>
          </cell>
          <cell r="L3799">
            <v>40582</v>
          </cell>
          <cell r="M3799">
            <v>4.04</v>
          </cell>
          <cell r="P3799">
            <v>1.7599009900990099</v>
          </cell>
        </row>
        <row r="3800">
          <cell r="A3800" t="str">
            <v>BPB-041-6207-ZZ-C3</v>
          </cell>
          <cell r="G3800" t="str">
            <v xml:space="preserve">INSI </v>
          </cell>
          <cell r="L3800">
            <v>39617</v>
          </cell>
          <cell r="M3800">
            <v>3.04</v>
          </cell>
          <cell r="P3800">
            <v>0.01</v>
          </cell>
        </row>
        <row r="3801">
          <cell r="A3801" t="str">
            <v>BPB-041-6208</v>
          </cell>
          <cell r="G3801" t="str">
            <v>IPFAP</v>
          </cell>
          <cell r="L3801">
            <v>44658</v>
          </cell>
          <cell r="M3801">
            <v>117</v>
          </cell>
          <cell r="P3801">
            <v>1.6643717948717949</v>
          </cell>
        </row>
        <row r="3802">
          <cell r="A3802" t="str">
            <v>BPB-041-6208-2RST</v>
          </cell>
          <cell r="G3802" t="str">
            <v>InRet</v>
          </cell>
          <cell r="L3802">
            <v>40827</v>
          </cell>
          <cell r="M3802">
            <v>4.24</v>
          </cell>
          <cell r="P3802">
            <v>1.9209905660377355</v>
          </cell>
        </row>
        <row r="3803">
          <cell r="A3803" t="str">
            <v>BPB-041-6209</v>
          </cell>
          <cell r="G3803" t="str">
            <v>IPFAP</v>
          </cell>
          <cell r="L3803">
            <v>43461</v>
          </cell>
          <cell r="M3803">
            <v>39.5</v>
          </cell>
          <cell r="P3803">
            <v>3.3886075949367087</v>
          </cell>
        </row>
        <row r="3804">
          <cell r="A3804" t="str">
            <v>BPB-041-6209-2RST</v>
          </cell>
          <cell r="G3804" t="str">
            <v>VPRet</v>
          </cell>
          <cell r="L3804">
            <v>41634</v>
          </cell>
          <cell r="M3804">
            <v>6.45</v>
          </cell>
          <cell r="P3804">
            <v>1.3652868217054264</v>
          </cell>
        </row>
        <row r="3805">
          <cell r="A3805" t="str">
            <v>BPB-041-6209-2RSTKC3</v>
          </cell>
          <cell r="G3805" t="str">
            <v>IPFAP</v>
          </cell>
          <cell r="L3805">
            <v>42095</v>
          </cell>
          <cell r="M3805">
            <v>8.85</v>
          </cell>
          <cell r="P3805">
            <v>3.8010395480225991</v>
          </cell>
        </row>
        <row r="3806">
          <cell r="A3806" t="str">
            <v>BPB-041-6210</v>
          </cell>
          <cell r="G3806" t="str">
            <v>IPFAP</v>
          </cell>
          <cell r="L3806">
            <v>44120</v>
          </cell>
          <cell r="M3806">
            <v>82.5</v>
          </cell>
          <cell r="P3806">
            <v>1.0181818181818181</v>
          </cell>
        </row>
        <row r="3807">
          <cell r="A3807" t="str">
            <v>BPB-041-6210-2RS</v>
          </cell>
          <cell r="G3807" t="str">
            <v>IDESP</v>
          </cell>
          <cell r="L3807">
            <v>44300</v>
          </cell>
          <cell r="M3807">
            <v>98</v>
          </cell>
          <cell r="P3807">
            <v>2.0699999999999998</v>
          </cell>
        </row>
        <row r="3808">
          <cell r="A3808" t="str">
            <v>BPB-041-6211</v>
          </cell>
          <cell r="G3808" t="str">
            <v xml:space="preserve">INAC </v>
          </cell>
          <cell r="L3808">
            <v>43179</v>
          </cell>
          <cell r="M3808">
            <v>20.56</v>
          </cell>
          <cell r="P3808">
            <v>4.411770428015565</v>
          </cell>
        </row>
        <row r="3809">
          <cell r="A3809" t="str">
            <v>BPB-041-6211-2RS</v>
          </cell>
          <cell r="G3809" t="str">
            <v>IDESP</v>
          </cell>
          <cell r="L3809">
            <v>40473</v>
          </cell>
          <cell r="M3809">
            <v>3.98</v>
          </cell>
          <cell r="P3809">
            <v>2.5299999999999998</v>
          </cell>
        </row>
        <row r="3810">
          <cell r="A3810" t="str">
            <v>BPB-041-6212-2RS</v>
          </cell>
          <cell r="G3810" t="str">
            <v xml:space="preserve">CR   </v>
          </cell>
          <cell r="L3810">
            <v>43126.703275462962</v>
          </cell>
          <cell r="M3810">
            <v>19.86</v>
          </cell>
          <cell r="P3810">
            <v>2.3110271903323261</v>
          </cell>
        </row>
        <row r="3811">
          <cell r="A3811" t="str">
            <v>BPB-041-6215</v>
          </cell>
          <cell r="G3811" t="str">
            <v xml:space="preserve">CR   </v>
          </cell>
          <cell r="L3811">
            <v>40428.376423611109</v>
          </cell>
          <cell r="M3811">
            <v>3.97</v>
          </cell>
          <cell r="P3811">
            <v>4.8620000000000001</v>
          </cell>
        </row>
        <row r="3812">
          <cell r="A3812" t="str">
            <v>BPB-041-6215-2RS</v>
          </cell>
          <cell r="G3812" t="str">
            <v xml:space="preserve">CR   </v>
          </cell>
          <cell r="L3812">
            <v>40428.376423611109</v>
          </cell>
          <cell r="M3812">
            <v>3.97</v>
          </cell>
          <cell r="P3812">
            <v>5.1260000000000003</v>
          </cell>
        </row>
        <row r="3813">
          <cell r="A3813" t="str">
            <v>BPB-041-6216</v>
          </cell>
          <cell r="G3813" t="str">
            <v xml:space="preserve">CR   </v>
          </cell>
          <cell r="L3813">
            <v>40428.376423611109</v>
          </cell>
          <cell r="M3813">
            <v>3.97</v>
          </cell>
          <cell r="P3813">
            <v>5.3789999999999996</v>
          </cell>
        </row>
        <row r="3814">
          <cell r="A3814" t="str">
            <v>BPB-041-6216-2RS</v>
          </cell>
          <cell r="G3814" t="str">
            <v xml:space="preserve">CR   </v>
          </cell>
          <cell r="L3814">
            <v>40428.376423611109</v>
          </cell>
          <cell r="M3814">
            <v>3.97</v>
          </cell>
          <cell r="P3814">
            <v>5.9950000000000001</v>
          </cell>
        </row>
        <row r="3815">
          <cell r="A3815" t="str">
            <v>BPB-041-6218-2RS</v>
          </cell>
          <cell r="G3815" t="str">
            <v xml:space="preserve">CR   </v>
          </cell>
          <cell r="L3815">
            <v>40428.376423611109</v>
          </cell>
          <cell r="M3815">
            <v>3.97</v>
          </cell>
          <cell r="P3815">
            <v>8.8109999999999999</v>
          </cell>
        </row>
        <row r="3816">
          <cell r="A3816" t="str">
            <v>BPB-041-6220</v>
          </cell>
          <cell r="G3816" t="str">
            <v xml:space="preserve">CR   </v>
          </cell>
          <cell r="L3816">
            <v>40428.376423611109</v>
          </cell>
          <cell r="M3816">
            <v>3.97</v>
          </cell>
          <cell r="P3816">
            <v>11.247</v>
          </cell>
        </row>
        <row r="3817">
          <cell r="A3817" t="str">
            <v>BPB-041-6220-2RS</v>
          </cell>
          <cell r="G3817" t="str">
            <v xml:space="preserve">CR   </v>
          </cell>
          <cell r="L3817">
            <v>40428.376423611109</v>
          </cell>
          <cell r="M3817">
            <v>3.97</v>
          </cell>
          <cell r="P3817">
            <v>12.73</v>
          </cell>
        </row>
        <row r="3818">
          <cell r="A3818" t="str">
            <v>BPB-041-62203-2RS</v>
          </cell>
          <cell r="G3818" t="str">
            <v>IDESP</v>
          </cell>
          <cell r="L3818">
            <v>39573</v>
          </cell>
          <cell r="M3818">
            <v>3.1720000000000002</v>
          </cell>
          <cell r="P3818">
            <v>0.45500000000000002</v>
          </cell>
        </row>
        <row r="3819">
          <cell r="A3819" t="str">
            <v>BPB-041-62204-2RS</v>
          </cell>
          <cell r="G3819" t="str">
            <v>IDESP</v>
          </cell>
          <cell r="L3819">
            <v>39573</v>
          </cell>
          <cell r="M3819">
            <v>3.1720000000000002</v>
          </cell>
          <cell r="P3819">
            <v>0.51200000000000001</v>
          </cell>
        </row>
        <row r="3820">
          <cell r="A3820" t="str">
            <v>BPB-041-62205-2RS</v>
          </cell>
          <cell r="G3820" t="str">
            <v>IDESP</v>
          </cell>
          <cell r="L3820">
            <v>39702</v>
          </cell>
          <cell r="M3820">
            <v>3.0739999999999998</v>
          </cell>
          <cell r="P3820">
            <v>0.67100000000000004</v>
          </cell>
        </row>
        <row r="3821">
          <cell r="A3821" t="str">
            <v>BPB-041-62206-2RS</v>
          </cell>
          <cell r="G3821" t="str">
            <v>IDESP</v>
          </cell>
          <cell r="L3821">
            <v>39702</v>
          </cell>
          <cell r="M3821">
            <v>3.0739999999999998</v>
          </cell>
          <cell r="P3821">
            <v>0.93200000000000005</v>
          </cell>
        </row>
        <row r="3822">
          <cell r="A3822" t="str">
            <v>BPB-041-62207-2RS</v>
          </cell>
          <cell r="G3822" t="str">
            <v>IDESP</v>
          </cell>
          <cell r="L3822">
            <v>39702</v>
          </cell>
          <cell r="M3822">
            <v>3.0739999999999998</v>
          </cell>
          <cell r="P3822">
            <v>1.25</v>
          </cell>
        </row>
        <row r="3823">
          <cell r="A3823" t="str">
            <v>BPB-041-62208-2RS</v>
          </cell>
          <cell r="G3823" t="str">
            <v>IDESP</v>
          </cell>
          <cell r="L3823">
            <v>39702</v>
          </cell>
          <cell r="M3823">
            <v>3.0739999999999998</v>
          </cell>
          <cell r="P3823">
            <v>1.569</v>
          </cell>
        </row>
        <row r="3824">
          <cell r="A3824" t="str">
            <v>BPB-041-62210-2RS</v>
          </cell>
          <cell r="G3824" t="str">
            <v>IDESP</v>
          </cell>
          <cell r="L3824">
            <v>43899</v>
          </cell>
          <cell r="M3824">
            <v>64</v>
          </cell>
          <cell r="P3824">
            <v>2.71</v>
          </cell>
        </row>
        <row r="3825">
          <cell r="A3825" t="str">
            <v>BPB-041-62309-2RLD</v>
          </cell>
          <cell r="G3825" t="str">
            <v>IDESP</v>
          </cell>
          <cell r="L3825">
            <v>40051</v>
          </cell>
          <cell r="M3825">
            <v>3.86</v>
          </cell>
          <cell r="P3825">
            <v>4.1532999999999998</v>
          </cell>
        </row>
        <row r="3826">
          <cell r="A3826" t="str">
            <v>BPB-041-625-2Z-C3P62</v>
          </cell>
          <cell r="G3826" t="str">
            <v>IDESP</v>
          </cell>
          <cell r="L3826">
            <v>41666</v>
          </cell>
          <cell r="M3826">
            <v>8.0299999999999994</v>
          </cell>
          <cell r="P3826">
            <v>0.20200000000000001</v>
          </cell>
        </row>
        <row r="3827">
          <cell r="A3827" t="str">
            <v>BPB-041-626-2RLD</v>
          </cell>
          <cell r="G3827" t="str">
            <v>IDESP</v>
          </cell>
          <cell r="L3827">
            <v>39462</v>
          </cell>
          <cell r="M3827">
            <v>3.137</v>
          </cell>
          <cell r="P3827">
            <v>0.19400000000000001</v>
          </cell>
        </row>
        <row r="3828">
          <cell r="A3828" t="str">
            <v>BPB-041-627-ZZ</v>
          </cell>
          <cell r="G3828" t="str">
            <v>IDESP</v>
          </cell>
          <cell r="L3828">
            <v>42733</v>
          </cell>
          <cell r="M3828">
            <v>16.079999999999998</v>
          </cell>
          <cell r="P3828">
            <v>0.21609999999999999</v>
          </cell>
        </row>
        <row r="3829">
          <cell r="A3829" t="str">
            <v>BPB-041-627-ZZ-C</v>
          </cell>
          <cell r="G3829" t="str">
            <v>IDESP</v>
          </cell>
          <cell r="L3829">
            <v>39974</v>
          </cell>
          <cell r="M3829">
            <v>3.77</v>
          </cell>
          <cell r="P3829">
            <v>0.11899999999999999</v>
          </cell>
        </row>
        <row r="3830">
          <cell r="A3830" t="str">
            <v>BPB-041-628-ZZ</v>
          </cell>
          <cell r="G3830" t="str">
            <v>IDESP</v>
          </cell>
          <cell r="L3830">
            <v>42733</v>
          </cell>
          <cell r="M3830">
            <v>16.079999999999998</v>
          </cell>
          <cell r="P3830">
            <v>0.25829999999999997</v>
          </cell>
        </row>
        <row r="3831">
          <cell r="A3831" t="str">
            <v>BPB-041-629-2RLD</v>
          </cell>
          <cell r="G3831" t="str">
            <v>INDEV</v>
          </cell>
          <cell r="L3831">
            <v>41057</v>
          </cell>
          <cell r="M3831">
            <v>4.49</v>
          </cell>
          <cell r="P3831">
            <v>0.22200445434298441</v>
          </cell>
        </row>
        <row r="3832">
          <cell r="A3832" t="str">
            <v>BPB-041-6300-D-C3</v>
          </cell>
          <cell r="G3832" t="str">
            <v>IPFAP</v>
          </cell>
          <cell r="L3832">
            <v>42849</v>
          </cell>
          <cell r="M3832">
            <v>15.78</v>
          </cell>
          <cell r="P3832">
            <v>0.57600126742712299</v>
          </cell>
        </row>
        <row r="3833">
          <cell r="A3833" t="str">
            <v>BPB-041-6301-2RS</v>
          </cell>
          <cell r="G3833" t="str">
            <v xml:space="preserve">CR   </v>
          </cell>
          <cell r="L3833">
            <v>40428.376423611109</v>
          </cell>
          <cell r="M3833">
            <v>3.97</v>
          </cell>
          <cell r="P3833">
            <v>0.371</v>
          </cell>
        </row>
        <row r="3834">
          <cell r="A3834" t="str">
            <v>BPB-041-6302-2RS</v>
          </cell>
          <cell r="G3834" t="str">
            <v xml:space="preserve">CR   </v>
          </cell>
          <cell r="L3834">
            <v>40428.376423611109</v>
          </cell>
          <cell r="M3834">
            <v>3.97</v>
          </cell>
          <cell r="P3834">
            <v>0.432</v>
          </cell>
        </row>
        <row r="3835">
          <cell r="A3835" t="str">
            <v>BPB-041-6303-2RLD-C3</v>
          </cell>
          <cell r="G3835" t="str">
            <v>InRet</v>
          </cell>
          <cell r="L3835">
            <v>40816</v>
          </cell>
          <cell r="M3835">
            <v>4.2300000000000004</v>
          </cell>
          <cell r="P3835">
            <v>0.60463356973995264</v>
          </cell>
        </row>
        <row r="3836">
          <cell r="A3836" t="str">
            <v>BPB-041-6303-2RST</v>
          </cell>
          <cell r="G3836" t="str">
            <v>IDESP</v>
          </cell>
          <cell r="L3836">
            <v>40672</v>
          </cell>
          <cell r="M3836">
            <v>4.1100000000000003</v>
          </cell>
          <cell r="P3836">
            <v>0.70299999999999996</v>
          </cell>
        </row>
        <row r="3837">
          <cell r="A3837" t="str">
            <v>BPB-041-6306</v>
          </cell>
          <cell r="G3837" t="str">
            <v>IPFAP</v>
          </cell>
          <cell r="L3837">
            <v>45862</v>
          </cell>
          <cell r="M3837">
            <v>1275</v>
          </cell>
          <cell r="P3837">
            <v>1.7820000000000003</v>
          </cell>
        </row>
        <row r="3838">
          <cell r="A3838" t="str">
            <v>BPB-041-6306-2RLD-C3</v>
          </cell>
          <cell r="G3838" t="str">
            <v xml:space="preserve">INAC </v>
          </cell>
          <cell r="L3838">
            <v>42668</v>
          </cell>
          <cell r="M3838">
            <v>15.31</v>
          </cell>
          <cell r="P3838">
            <v>4.4284781188765505</v>
          </cell>
        </row>
        <row r="3839">
          <cell r="A3839" t="str">
            <v>BPB-041-6306-NR-TN9</v>
          </cell>
          <cell r="G3839" t="str">
            <v xml:space="preserve">INAC </v>
          </cell>
          <cell r="L3839">
            <v>41136</v>
          </cell>
          <cell r="M3839">
            <v>4.62</v>
          </cell>
          <cell r="P3839">
            <v>19.480519480519479</v>
          </cell>
        </row>
        <row r="3840">
          <cell r="A3840" t="str">
            <v>BPB-041-6307</v>
          </cell>
          <cell r="G3840" t="str">
            <v>IPFAP</v>
          </cell>
          <cell r="L3840">
            <v>44330</v>
          </cell>
          <cell r="M3840">
            <v>99</v>
          </cell>
          <cell r="P3840">
            <v>2.3530000000000002</v>
          </cell>
        </row>
        <row r="3841">
          <cell r="A3841" t="str">
            <v>BPB-041-6307-2RST</v>
          </cell>
          <cell r="G3841" t="str">
            <v>IDESP</v>
          </cell>
          <cell r="L3841">
            <v>41584</v>
          </cell>
          <cell r="M3841">
            <v>5.95</v>
          </cell>
          <cell r="P3841">
            <v>2.5499999999999998</v>
          </cell>
        </row>
        <row r="3842">
          <cell r="A3842" t="str">
            <v>BPB-041-6308</v>
          </cell>
          <cell r="G3842" t="str">
            <v>IPFAP</v>
          </cell>
          <cell r="L3842">
            <v>42915</v>
          </cell>
          <cell r="M3842">
            <v>16.68</v>
          </cell>
          <cell r="P3842">
            <v>7.7131894484412475</v>
          </cell>
        </row>
        <row r="3843">
          <cell r="A3843" t="str">
            <v>BPB-041-6308-2RLD-C3</v>
          </cell>
          <cell r="G3843" t="str">
            <v>IDESP</v>
          </cell>
          <cell r="L3843">
            <v>39791</v>
          </cell>
          <cell r="M3843">
            <v>3.468</v>
          </cell>
          <cell r="P3843">
            <v>2.67</v>
          </cell>
        </row>
        <row r="3844">
          <cell r="A3844" t="str">
            <v>BPB-041-6308-2RST</v>
          </cell>
          <cell r="G3844" t="str">
            <v>IDESP</v>
          </cell>
          <cell r="L3844">
            <v>40595</v>
          </cell>
          <cell r="M3844">
            <v>4.05</v>
          </cell>
          <cell r="P3844">
            <v>3.2</v>
          </cell>
        </row>
        <row r="3845">
          <cell r="A3845" t="str">
            <v>BPB-041-6310</v>
          </cell>
          <cell r="G3845" t="str">
            <v xml:space="preserve">CR   </v>
          </cell>
          <cell r="L3845">
            <v>40428.376423611109</v>
          </cell>
          <cell r="M3845">
            <v>3.97</v>
          </cell>
          <cell r="P3845">
            <v>3.59</v>
          </cell>
        </row>
        <row r="3846">
          <cell r="A3846" t="str">
            <v>BPB-041-6310-2RS</v>
          </cell>
          <cell r="G3846" t="str">
            <v>IDESP</v>
          </cell>
          <cell r="L3846">
            <v>40724</v>
          </cell>
          <cell r="M3846">
            <v>4.1399999999999997</v>
          </cell>
          <cell r="P3846">
            <v>4.58</v>
          </cell>
        </row>
        <row r="3847">
          <cell r="A3847" t="str">
            <v>BPB-041-6310-2RS-22</v>
          </cell>
          <cell r="G3847" t="str">
            <v xml:space="preserve">INAC </v>
          </cell>
          <cell r="L3847">
            <v>39351</v>
          </cell>
          <cell r="M3847">
            <v>3.1469999999999998</v>
          </cell>
          <cell r="P3847">
            <v>5.7197330791229746</v>
          </cell>
        </row>
        <row r="3848">
          <cell r="A3848" t="str">
            <v>BPB-041-6310-2RS-K</v>
          </cell>
          <cell r="G3848" t="str">
            <v>IPFAP</v>
          </cell>
          <cell r="L3848">
            <v>41351</v>
          </cell>
          <cell r="M3848">
            <v>5.09</v>
          </cell>
          <cell r="P3848">
            <v>1.4479960707269157</v>
          </cell>
        </row>
        <row r="3849">
          <cell r="A3849" t="str">
            <v>BPB-041-6311-2RS</v>
          </cell>
          <cell r="G3849" t="str">
            <v xml:space="preserve">CR   </v>
          </cell>
          <cell r="L3849">
            <v>40428.376423611109</v>
          </cell>
          <cell r="M3849">
            <v>3.97</v>
          </cell>
          <cell r="P3849">
            <v>4.2539999999999996</v>
          </cell>
        </row>
        <row r="3850">
          <cell r="A3850" t="str">
            <v>BPB-041-6311-2RSK</v>
          </cell>
          <cell r="G3850" t="str">
            <v>IPFAP</v>
          </cell>
          <cell r="L3850">
            <v>41351</v>
          </cell>
          <cell r="M3850">
            <v>5.09</v>
          </cell>
          <cell r="P3850">
            <v>2.9182711198428288</v>
          </cell>
        </row>
        <row r="3851">
          <cell r="A3851" t="str">
            <v>BPB-041-6312</v>
          </cell>
          <cell r="G3851" t="str">
            <v xml:space="preserve">CR   </v>
          </cell>
          <cell r="L3851">
            <v>40428.376423611109</v>
          </cell>
          <cell r="M3851">
            <v>3.97</v>
          </cell>
          <cell r="P3851">
            <v>5.4619999999999997</v>
          </cell>
        </row>
        <row r="3852">
          <cell r="A3852" t="str">
            <v>BPB-041-6312-2RS</v>
          </cell>
          <cell r="G3852" t="str">
            <v xml:space="preserve">CR   </v>
          </cell>
          <cell r="L3852">
            <v>40428.376423611109</v>
          </cell>
          <cell r="M3852">
            <v>3.97</v>
          </cell>
          <cell r="P3852">
            <v>1.945088161209068</v>
          </cell>
        </row>
        <row r="3853">
          <cell r="A3853" t="str">
            <v>BPB-041-6316-D-C3</v>
          </cell>
          <cell r="G3853" t="str">
            <v xml:space="preserve">INAC </v>
          </cell>
          <cell r="L3853">
            <v>42534</v>
          </cell>
          <cell r="M3853">
            <v>14.13</v>
          </cell>
          <cell r="P3853">
            <v>111.88004246284501</v>
          </cell>
        </row>
        <row r="3854">
          <cell r="A3854" t="str">
            <v>BPB-041-6802-2RS</v>
          </cell>
          <cell r="G3854" t="str">
            <v>IDESP</v>
          </cell>
          <cell r="L3854">
            <v>43207</v>
          </cell>
          <cell r="M3854">
            <v>20.47</v>
          </cell>
          <cell r="P3854">
            <v>0.26900000000000002</v>
          </cell>
        </row>
        <row r="3855">
          <cell r="A3855" t="str">
            <v>BPB-041-6805-2RLD-C3</v>
          </cell>
          <cell r="G3855" t="str">
            <v xml:space="preserve">INSI </v>
          </cell>
          <cell r="L3855">
            <v>41162</v>
          </cell>
          <cell r="M3855">
            <v>4.67</v>
          </cell>
          <cell r="P3855">
            <v>0.317</v>
          </cell>
        </row>
        <row r="3856">
          <cell r="A3856" t="str">
            <v>BPB-041-6900-2RS</v>
          </cell>
          <cell r="G3856" t="str">
            <v xml:space="preserve">INSI </v>
          </cell>
          <cell r="L3856">
            <v>41129</v>
          </cell>
          <cell r="M3856">
            <v>4.6100000000000003</v>
          </cell>
          <cell r="P3856">
            <v>0.03</v>
          </cell>
        </row>
        <row r="3857">
          <cell r="A3857" t="str">
            <v>BPB-041-6904-2RLD-C3</v>
          </cell>
          <cell r="G3857" t="str">
            <v xml:space="preserve">INSI </v>
          </cell>
          <cell r="L3857">
            <v>41162</v>
          </cell>
          <cell r="M3857">
            <v>4.67</v>
          </cell>
          <cell r="P3857">
            <v>0.33400000000000002</v>
          </cell>
        </row>
        <row r="3858">
          <cell r="A3858" t="str">
            <v>BPB-041-6905-2HLCD21</v>
          </cell>
          <cell r="G3858" t="str">
            <v xml:space="preserve">CR   </v>
          </cell>
          <cell r="L3858">
            <v>40428.376423611109</v>
          </cell>
          <cell r="M3858">
            <v>3.97</v>
          </cell>
          <cell r="P3858">
            <v>0.42399999999999999</v>
          </cell>
        </row>
        <row r="3859">
          <cell r="A3859" t="str">
            <v>BPB-041-6905-2HLCDC3</v>
          </cell>
          <cell r="G3859" t="str">
            <v xml:space="preserve">CR   </v>
          </cell>
          <cell r="L3859">
            <v>40428.376423611109</v>
          </cell>
          <cell r="M3859">
            <v>3.97</v>
          </cell>
          <cell r="P3859">
            <v>0.38500000000000001</v>
          </cell>
        </row>
        <row r="3860">
          <cell r="A3860" t="str">
            <v>BPB-041-6905-2RLD-C3</v>
          </cell>
          <cell r="G3860" t="str">
            <v xml:space="preserve">INAC </v>
          </cell>
          <cell r="L3860">
            <v>44307</v>
          </cell>
          <cell r="M3860">
            <v>98.25</v>
          </cell>
          <cell r="P3860">
            <v>0.42500050890585245</v>
          </cell>
        </row>
        <row r="3861">
          <cell r="A3861" t="str">
            <v>BPB-041-7005-D</v>
          </cell>
          <cell r="G3861" t="str">
            <v xml:space="preserve">INAC </v>
          </cell>
          <cell r="L3861">
            <v>42395</v>
          </cell>
          <cell r="M3861">
            <v>14.07</v>
          </cell>
          <cell r="P3861">
            <v>12.01137171286425</v>
          </cell>
        </row>
        <row r="3862">
          <cell r="A3862" t="str">
            <v>BPB-041-99502-H</v>
          </cell>
          <cell r="G3862" t="str">
            <v>IDESP</v>
          </cell>
          <cell r="L3862">
            <v>40724</v>
          </cell>
          <cell r="M3862">
            <v>4.1399999999999997</v>
          </cell>
          <cell r="P3862">
            <v>0.4375</v>
          </cell>
        </row>
        <row r="3863">
          <cell r="A3863" t="str">
            <v>BPB-041-BP-13006</v>
          </cell>
          <cell r="G3863" t="str">
            <v xml:space="preserve">CR   </v>
          </cell>
          <cell r="L3863">
            <v>43126.703275462962</v>
          </cell>
          <cell r="M3863">
            <v>19.86</v>
          </cell>
          <cell r="P3863">
            <v>0.5375629405840886</v>
          </cell>
        </row>
        <row r="3864">
          <cell r="A3864" t="str">
            <v>BPB-041-BP-13007</v>
          </cell>
          <cell r="G3864" t="str">
            <v xml:space="preserve">CR   </v>
          </cell>
          <cell r="L3864">
            <v>43126.703275462962</v>
          </cell>
          <cell r="M3864">
            <v>19.86</v>
          </cell>
          <cell r="P3864">
            <v>0.55146022155085606</v>
          </cell>
        </row>
        <row r="3865">
          <cell r="A3865" t="str">
            <v>BPB-041-BP-13008</v>
          </cell>
          <cell r="G3865" t="str">
            <v xml:space="preserve">CR   </v>
          </cell>
          <cell r="L3865">
            <v>43126.703275462962</v>
          </cell>
          <cell r="M3865">
            <v>19.86</v>
          </cell>
          <cell r="P3865">
            <v>6.7083585095669696</v>
          </cell>
        </row>
        <row r="3866">
          <cell r="A3866" t="str">
            <v>BPB-041-BP-13008-D</v>
          </cell>
          <cell r="G3866" t="str">
            <v xml:space="preserve">CR   </v>
          </cell>
          <cell r="L3866">
            <v>44824.549375000002</v>
          </cell>
          <cell r="M3866">
            <v>150</v>
          </cell>
          <cell r="P3866">
            <v>1.5</v>
          </cell>
        </row>
        <row r="3867">
          <cell r="A3867" t="str">
            <v>BPB-041-BP-13009</v>
          </cell>
          <cell r="G3867" t="str">
            <v xml:space="preserve">INAC </v>
          </cell>
          <cell r="L3867">
            <v>41873</v>
          </cell>
          <cell r="M3867">
            <v>8.36</v>
          </cell>
          <cell r="P3867">
            <v>52.033492822966508</v>
          </cell>
        </row>
        <row r="3868">
          <cell r="A3868" t="str">
            <v>BPB-041-BP-13011</v>
          </cell>
          <cell r="G3868" t="str">
            <v xml:space="preserve">CR   </v>
          </cell>
          <cell r="L3868">
            <v>43126.703275462962</v>
          </cell>
          <cell r="M3868">
            <v>19.86</v>
          </cell>
          <cell r="P3868">
            <v>2.4916918429003023</v>
          </cell>
        </row>
        <row r="3869">
          <cell r="A3869" t="str">
            <v>BPB-041-BP-13019</v>
          </cell>
          <cell r="G3869" t="str">
            <v>IDESP</v>
          </cell>
          <cell r="L3869">
            <v>42800</v>
          </cell>
          <cell r="M3869">
            <v>15.81</v>
          </cell>
          <cell r="P3869">
            <v>0.69299999999999995</v>
          </cell>
        </row>
        <row r="3870">
          <cell r="A3870" t="str">
            <v>BPB-041-BP-13020</v>
          </cell>
          <cell r="G3870" t="str">
            <v>IDESP</v>
          </cell>
          <cell r="L3870">
            <v>42800</v>
          </cell>
          <cell r="M3870">
            <v>15.81</v>
          </cell>
          <cell r="P3870">
            <v>0.69299999999999995</v>
          </cell>
        </row>
        <row r="3871">
          <cell r="A3871" t="str">
            <v>BPB-041-BP-18017</v>
          </cell>
          <cell r="G3871" t="str">
            <v>vpret</v>
          </cell>
          <cell r="L3871">
            <v>43566</v>
          </cell>
          <cell r="M3871">
            <v>44</v>
          </cell>
          <cell r="P3871">
            <v>1.5762045454545452</v>
          </cell>
        </row>
        <row r="3872">
          <cell r="A3872" t="str">
            <v>BPB-041-BP-18017-01</v>
          </cell>
          <cell r="G3872" t="str">
            <v>IDESP</v>
          </cell>
          <cell r="L3872">
            <v>43634</v>
          </cell>
          <cell r="M3872">
            <v>45</v>
          </cell>
          <cell r="P3872">
            <v>1.4690000000000001</v>
          </cell>
        </row>
        <row r="3873">
          <cell r="A3873" t="str">
            <v>BPB-041-BT6006-2RS1</v>
          </cell>
          <cell r="G3873" t="str">
            <v>IDESP</v>
          </cell>
          <cell r="L3873">
            <v>39910</v>
          </cell>
          <cell r="M3873">
            <v>3.6739999999999999</v>
          </cell>
          <cell r="P3873">
            <v>0.5</v>
          </cell>
        </row>
        <row r="3874">
          <cell r="A3874" t="str">
            <v>BPB-041-HD01-2RLD</v>
          </cell>
          <cell r="G3874" t="str">
            <v xml:space="preserve">INSI </v>
          </cell>
          <cell r="L3874">
            <v>43893</v>
          </cell>
          <cell r="M3874">
            <v>64</v>
          </cell>
          <cell r="P3874">
            <v>0.41860000000000003</v>
          </cell>
        </row>
        <row r="3875">
          <cell r="A3875" t="str">
            <v>BPB-041-HD01-2RS</v>
          </cell>
          <cell r="G3875" t="str">
            <v>VPPRT</v>
          </cell>
          <cell r="L3875">
            <v>44642</v>
          </cell>
          <cell r="M3875">
            <v>115</v>
          </cell>
          <cell r="P3875">
            <v>0.44409999999999999</v>
          </cell>
        </row>
        <row r="3876">
          <cell r="A3876" t="str">
            <v>BPB-041-HD02-2RLD</v>
          </cell>
          <cell r="G3876" t="str">
            <v>IDESP</v>
          </cell>
          <cell r="L3876">
            <v>42733</v>
          </cell>
          <cell r="M3876">
            <v>16.079999999999998</v>
          </cell>
          <cell r="P3876">
            <v>0.55220000000000002</v>
          </cell>
        </row>
        <row r="3877">
          <cell r="A3877" t="str">
            <v>BPB-041-HD04-2RS</v>
          </cell>
          <cell r="G3877" t="str">
            <v>VPPRT</v>
          </cell>
          <cell r="L3877">
            <v>44694</v>
          </cell>
          <cell r="M3877">
            <v>122.5</v>
          </cell>
          <cell r="P3877">
            <v>0.80920000000000003</v>
          </cell>
        </row>
        <row r="3878">
          <cell r="A3878" t="str">
            <v>BPB-041-HD04-2RST</v>
          </cell>
          <cell r="G3878" t="str">
            <v>VPRet</v>
          </cell>
          <cell r="L3878">
            <v>42634</v>
          </cell>
          <cell r="M3878">
            <v>15.46</v>
          </cell>
          <cell r="P3878">
            <v>0.99353169469598956</v>
          </cell>
        </row>
        <row r="3879">
          <cell r="A3879" t="str">
            <v>BPB-041-HD05-2RS</v>
          </cell>
          <cell r="G3879" t="str">
            <v>VPPRT</v>
          </cell>
          <cell r="L3879">
            <v>44642</v>
          </cell>
          <cell r="M3879">
            <v>115</v>
          </cell>
          <cell r="P3879">
            <v>1.1315999999999999</v>
          </cell>
        </row>
        <row r="3880">
          <cell r="A3880" t="str">
            <v>BPB-041-HD05-2RST</v>
          </cell>
          <cell r="G3880" t="str">
            <v>IDESP</v>
          </cell>
          <cell r="L3880">
            <v>42613</v>
          </cell>
          <cell r="M3880">
            <v>15.36</v>
          </cell>
          <cell r="P3880">
            <v>1.2290000000000001</v>
          </cell>
        </row>
        <row r="3881">
          <cell r="A3881" t="str">
            <v>BPB-041-HD05-D</v>
          </cell>
          <cell r="G3881" t="str">
            <v>IPFAP</v>
          </cell>
          <cell r="L3881">
            <v>45964</v>
          </cell>
          <cell r="M3881">
            <v>1475</v>
          </cell>
          <cell r="P3881">
            <v>1.2290000000000001</v>
          </cell>
        </row>
        <row r="3882">
          <cell r="A3882" t="str">
            <v>BPB-041-HD06-1RS</v>
          </cell>
          <cell r="G3882" t="str">
            <v>IPFAB</v>
          </cell>
          <cell r="L3882">
            <v>42734</v>
          </cell>
          <cell r="M3882">
            <v>16.28</v>
          </cell>
          <cell r="P3882">
            <v>4.4717000000000002</v>
          </cell>
        </row>
        <row r="3883">
          <cell r="A3883" t="str">
            <v>BPB-041-HD06-1RST</v>
          </cell>
          <cell r="G3883" t="str">
            <v>vpret</v>
          </cell>
          <cell r="L3883">
            <v>43272</v>
          </cell>
          <cell r="M3883">
            <v>28.2</v>
          </cell>
          <cell r="P3883">
            <v>0.99787234042553197</v>
          </cell>
        </row>
        <row r="3884">
          <cell r="A3884" t="str">
            <v>BPB-041-HD06-2RS</v>
          </cell>
          <cell r="G3884" t="str">
            <v>VPPRT</v>
          </cell>
          <cell r="L3884">
            <v>44643</v>
          </cell>
          <cell r="M3884">
            <v>115.25</v>
          </cell>
          <cell r="P3884">
            <v>1.5985</v>
          </cell>
        </row>
        <row r="3885">
          <cell r="A3885" t="str">
            <v>BPB-041-HD06-2RST</v>
          </cell>
          <cell r="G3885" t="str">
            <v>VPRet</v>
          </cell>
          <cell r="L3885">
            <v>42872</v>
          </cell>
          <cell r="M3885">
            <v>15.9</v>
          </cell>
          <cell r="P3885">
            <v>1.885051572327044</v>
          </cell>
        </row>
        <row r="3886">
          <cell r="A3886" t="str">
            <v>BPB-041-HD06-2RST1</v>
          </cell>
          <cell r="G3886" t="str">
            <v>VPPRT</v>
          </cell>
          <cell r="L3886">
            <v>44427</v>
          </cell>
          <cell r="M3886">
            <v>102.25</v>
          </cell>
          <cell r="P3886">
            <v>1.85</v>
          </cell>
        </row>
        <row r="3887">
          <cell r="A3887" t="str">
            <v>BPB-041-HD07-2RS</v>
          </cell>
          <cell r="G3887" t="str">
            <v>VPPRT</v>
          </cell>
          <cell r="L3887">
            <v>44643</v>
          </cell>
          <cell r="M3887">
            <v>115.25</v>
          </cell>
          <cell r="P3887">
            <v>2.1981999999999999</v>
          </cell>
        </row>
        <row r="3888">
          <cell r="A3888" t="str">
            <v>BPB-041-HD07-2RST</v>
          </cell>
          <cell r="G3888" t="str">
            <v>IDESP</v>
          </cell>
          <cell r="L3888">
            <v>44098</v>
          </cell>
          <cell r="M3888">
            <v>79.5</v>
          </cell>
          <cell r="P3888">
            <v>2.3530000000000002</v>
          </cell>
        </row>
        <row r="3889">
          <cell r="A3889" t="str">
            <v>BPB-041-HD07-D</v>
          </cell>
          <cell r="G3889" t="str">
            <v>VPPRT</v>
          </cell>
          <cell r="L3889">
            <v>44643</v>
          </cell>
          <cell r="M3889">
            <v>115.25</v>
          </cell>
          <cell r="P3889">
            <v>2.0785</v>
          </cell>
        </row>
        <row r="3890">
          <cell r="A3890" t="str">
            <v>BPB-041-HD08-D</v>
          </cell>
          <cell r="G3890" t="str">
            <v>IDESP</v>
          </cell>
          <cell r="L3890">
            <v>43837</v>
          </cell>
          <cell r="M3890">
            <v>63</v>
          </cell>
          <cell r="P3890">
            <v>2.3959999999999999</v>
          </cell>
        </row>
        <row r="3891">
          <cell r="A3891" t="str">
            <v>BPB-041-HD09-2RS</v>
          </cell>
          <cell r="G3891" t="str">
            <v>IDESP</v>
          </cell>
          <cell r="L3891">
            <v>43283</v>
          </cell>
          <cell r="M3891">
            <v>29.4</v>
          </cell>
          <cell r="P3891">
            <v>3.86</v>
          </cell>
        </row>
        <row r="3892">
          <cell r="A3892" t="str">
            <v>BPB-041-HD10-2RS</v>
          </cell>
          <cell r="G3892" t="str">
            <v>IDESP</v>
          </cell>
          <cell r="L3892">
            <v>42879</v>
          </cell>
          <cell r="M3892">
            <v>16.37</v>
          </cell>
          <cell r="P3892">
            <v>2.93</v>
          </cell>
        </row>
        <row r="3893">
          <cell r="A3893" t="str">
            <v>BPB-041-HD11-2RS</v>
          </cell>
          <cell r="G3893" t="str">
            <v>IDESP</v>
          </cell>
          <cell r="L3893">
            <v>43283</v>
          </cell>
          <cell r="M3893">
            <v>29.4</v>
          </cell>
          <cell r="P3893">
            <v>5.97</v>
          </cell>
        </row>
        <row r="3894">
          <cell r="A3894" t="str">
            <v>BPB-041-HD13-2RS</v>
          </cell>
          <cell r="G3894" t="str">
            <v>IDESP</v>
          </cell>
          <cell r="L3894">
            <v>43283</v>
          </cell>
          <cell r="M3894">
            <v>29.4</v>
          </cell>
          <cell r="P3894">
            <v>9.0500000000000007</v>
          </cell>
        </row>
        <row r="3895">
          <cell r="A3895" t="str">
            <v>BPB-041-HD14-2RS</v>
          </cell>
          <cell r="G3895" t="str">
            <v>INDEV</v>
          </cell>
          <cell r="L3895">
            <v>43298</v>
          </cell>
          <cell r="M3895">
            <v>27.8</v>
          </cell>
          <cell r="P3895">
            <v>10.8</v>
          </cell>
        </row>
        <row r="3896">
          <cell r="A3896" t="str">
            <v>BPB-041-HD18-2RS</v>
          </cell>
          <cell r="G3896" t="str">
            <v>IDESP</v>
          </cell>
          <cell r="L3896">
            <v>43235</v>
          </cell>
          <cell r="M3896">
            <v>25.51</v>
          </cell>
          <cell r="P3896">
            <v>20.059999999999999</v>
          </cell>
        </row>
        <row r="3897">
          <cell r="A3897" t="str">
            <v>BPB-041-LS00-2RLD</v>
          </cell>
          <cell r="G3897" t="str">
            <v>IDESP</v>
          </cell>
          <cell r="L3897">
            <v>42654</v>
          </cell>
          <cell r="M3897">
            <v>15.49</v>
          </cell>
          <cell r="P3897">
            <v>0.27039999999999997</v>
          </cell>
        </row>
        <row r="3898">
          <cell r="A3898" t="str">
            <v>BPB-041-LS00-2RS</v>
          </cell>
          <cell r="G3898" t="str">
            <v>IDESP</v>
          </cell>
          <cell r="L3898">
            <v>43837</v>
          </cell>
          <cell r="M3898">
            <v>63</v>
          </cell>
          <cell r="P3898">
            <v>0.21199999999999999</v>
          </cell>
        </row>
        <row r="3899">
          <cell r="A3899" t="str">
            <v>BPB-041-LS01-2RLD</v>
          </cell>
          <cell r="G3899" t="str">
            <v>IDESP</v>
          </cell>
          <cell r="L3899">
            <v>42733</v>
          </cell>
          <cell r="M3899">
            <v>16.079999999999998</v>
          </cell>
          <cell r="P3899">
            <v>0.28120000000000001</v>
          </cell>
        </row>
        <row r="3900">
          <cell r="A3900" t="str">
            <v>BPB-041-LS02-2RLD</v>
          </cell>
          <cell r="G3900" t="str">
            <v>IDESP</v>
          </cell>
          <cell r="L3900">
            <v>43326</v>
          </cell>
          <cell r="M3900">
            <v>30.5</v>
          </cell>
          <cell r="P3900">
            <v>0.30659999999999998</v>
          </cell>
        </row>
        <row r="3901">
          <cell r="A3901" t="str">
            <v>BPB-041-LS03-2RLD</v>
          </cell>
          <cell r="G3901" t="str">
            <v>IDESP</v>
          </cell>
          <cell r="L3901">
            <v>44055</v>
          </cell>
          <cell r="M3901">
            <v>77</v>
          </cell>
          <cell r="P3901">
            <v>0.30499999999999999</v>
          </cell>
        </row>
        <row r="3902">
          <cell r="A3902" t="str">
            <v>BPB-041-LS03-2RS</v>
          </cell>
          <cell r="G3902" t="str">
            <v>VPPRT</v>
          </cell>
          <cell r="L3902">
            <v>44708</v>
          </cell>
          <cell r="M3902">
            <v>124.25</v>
          </cell>
          <cell r="P3902">
            <v>0.32400000000000001</v>
          </cell>
        </row>
        <row r="3903">
          <cell r="A3903" t="str">
            <v>BPB-041-LS03-2RST</v>
          </cell>
          <cell r="G3903" t="str">
            <v>IDESP</v>
          </cell>
          <cell r="L3903">
            <v>42829</v>
          </cell>
          <cell r="M3903">
            <v>15.72</v>
          </cell>
          <cell r="P3903">
            <v>0.43640000000000001</v>
          </cell>
        </row>
        <row r="3904">
          <cell r="A3904" t="str">
            <v>BPB-041-LS04-2RS</v>
          </cell>
          <cell r="G3904" t="str">
            <v>VPPRT</v>
          </cell>
          <cell r="L3904">
            <v>44694</v>
          </cell>
          <cell r="M3904">
            <v>122.5</v>
          </cell>
          <cell r="P3904">
            <v>0.4178</v>
          </cell>
        </row>
        <row r="3905">
          <cell r="A3905" t="str">
            <v>BPB-041-LS04-2RST</v>
          </cell>
          <cell r="G3905" t="str">
            <v>VPPRT</v>
          </cell>
          <cell r="L3905">
            <v>44460</v>
          </cell>
          <cell r="M3905">
            <v>103.75</v>
          </cell>
          <cell r="P3905">
            <v>0.55859999999999999</v>
          </cell>
        </row>
        <row r="3906">
          <cell r="A3906" t="str">
            <v>BPB-041-LS05-2RST</v>
          </cell>
          <cell r="G3906" t="str">
            <v>VPRet</v>
          </cell>
          <cell r="L3906">
            <v>42957</v>
          </cell>
          <cell r="M3906">
            <v>18.04</v>
          </cell>
          <cell r="P3906">
            <v>1.1176465631929047</v>
          </cell>
        </row>
        <row r="3907">
          <cell r="A3907" t="str">
            <v>BPB-041-LS06-2RS</v>
          </cell>
          <cell r="G3907" t="str">
            <v>VPPRT</v>
          </cell>
          <cell r="L3907">
            <v>44701</v>
          </cell>
          <cell r="M3907">
            <v>123.5</v>
          </cell>
          <cell r="P3907">
            <v>0.70399999999999996</v>
          </cell>
        </row>
        <row r="3908">
          <cell r="A3908" t="str">
            <v>BPB-041-LS06-2RST</v>
          </cell>
          <cell r="G3908" t="str">
            <v>VPRet</v>
          </cell>
          <cell r="L3908">
            <v>42836</v>
          </cell>
          <cell r="M3908">
            <v>15.6</v>
          </cell>
          <cell r="P3908">
            <v>1.2497923076923076</v>
          </cell>
        </row>
        <row r="3909">
          <cell r="A3909" t="str">
            <v>BPB-041-LS06-2RST-C0</v>
          </cell>
          <cell r="G3909" t="str">
            <v>IPFAP</v>
          </cell>
          <cell r="L3909">
            <v>42514</v>
          </cell>
          <cell r="M3909">
            <v>14.35</v>
          </cell>
          <cell r="P3909">
            <v>0.56273170731707323</v>
          </cell>
        </row>
        <row r="3910">
          <cell r="A3910" t="str">
            <v>BPB-041-LS06-D</v>
          </cell>
          <cell r="G3910" t="str">
            <v>vpret</v>
          </cell>
          <cell r="L3910">
            <v>44974</v>
          </cell>
          <cell r="M3910">
            <v>198.5</v>
          </cell>
          <cell r="P3910">
            <v>0.70134005037783376</v>
          </cell>
        </row>
        <row r="3911">
          <cell r="A3911" t="str">
            <v>BPB-041-LS07-2RST</v>
          </cell>
          <cell r="G3911" t="str">
            <v>IDESP</v>
          </cell>
          <cell r="L3911">
            <v>42915</v>
          </cell>
          <cell r="M3911">
            <v>16.68</v>
          </cell>
          <cell r="P3911">
            <v>1.4389000000000001</v>
          </cell>
        </row>
        <row r="3912">
          <cell r="A3912" t="str">
            <v>BPB-041-LS07-2RST1</v>
          </cell>
          <cell r="G3912" t="str">
            <v>IDESP</v>
          </cell>
          <cell r="L3912">
            <v>43985</v>
          </cell>
          <cell r="M3912">
            <v>70.5</v>
          </cell>
          <cell r="P3912">
            <v>0.98299999999999998</v>
          </cell>
        </row>
        <row r="3913">
          <cell r="A3913" t="str">
            <v>BPB-041-LS08-2RST1</v>
          </cell>
          <cell r="G3913" t="str">
            <v>IDESP</v>
          </cell>
          <cell r="L3913">
            <v>43985</v>
          </cell>
          <cell r="M3913">
            <v>70.5</v>
          </cell>
          <cell r="P3913">
            <v>1.1850000000000001</v>
          </cell>
        </row>
        <row r="3914">
          <cell r="A3914" t="str">
            <v>BPB-041-LS09-2RS</v>
          </cell>
          <cell r="G3914" t="str">
            <v>IDESP</v>
          </cell>
          <cell r="L3914">
            <v>43462</v>
          </cell>
          <cell r="M3914">
            <v>39.299999999999997</v>
          </cell>
          <cell r="P3914">
            <v>1.4</v>
          </cell>
        </row>
        <row r="3915">
          <cell r="A3915" t="str">
            <v>BPB-041-LS10-2RS</v>
          </cell>
          <cell r="G3915" t="str">
            <v>IDESP</v>
          </cell>
          <cell r="L3915">
            <v>44708</v>
          </cell>
          <cell r="M3915">
            <v>124.25</v>
          </cell>
          <cell r="P3915">
            <v>1.4870000000000001</v>
          </cell>
        </row>
        <row r="3916">
          <cell r="A3916" t="str">
            <v>BPB-041-LS10-2RST</v>
          </cell>
          <cell r="G3916" t="str">
            <v>IPFAP</v>
          </cell>
          <cell r="L3916">
            <v>42249</v>
          </cell>
          <cell r="M3916">
            <v>9.35</v>
          </cell>
          <cell r="P3916">
            <v>1.6120000000000001</v>
          </cell>
        </row>
        <row r="3917">
          <cell r="A3917" t="str">
            <v>BPB-041-LS11-2RS</v>
          </cell>
          <cell r="G3917" t="str">
            <v>IDESP</v>
          </cell>
          <cell r="L3917">
            <v>43837</v>
          </cell>
          <cell r="M3917">
            <v>63</v>
          </cell>
          <cell r="P3917">
            <v>1.91</v>
          </cell>
        </row>
        <row r="3918">
          <cell r="A3918" t="str">
            <v>BPB-041-LS11-2RST</v>
          </cell>
          <cell r="G3918" t="str">
            <v>INDEV</v>
          </cell>
          <cell r="L3918">
            <v>40490</v>
          </cell>
          <cell r="M3918">
            <v>3.98</v>
          </cell>
          <cell r="P3918">
            <v>2.2199999999999998</v>
          </cell>
        </row>
        <row r="3919">
          <cell r="A3919" t="str">
            <v>BPB-041-LS11-D</v>
          </cell>
          <cell r="G3919" t="str">
            <v>IDESP</v>
          </cell>
          <cell r="L3919">
            <v>44053</v>
          </cell>
          <cell r="M3919">
            <v>76.75</v>
          </cell>
          <cell r="P3919">
            <v>1.661</v>
          </cell>
        </row>
        <row r="3920">
          <cell r="A3920" t="str">
            <v>BPB-041-LS12-2RS</v>
          </cell>
          <cell r="G3920" t="str">
            <v>IDESP</v>
          </cell>
          <cell r="L3920">
            <v>43283</v>
          </cell>
          <cell r="M3920">
            <v>29.4</v>
          </cell>
          <cell r="P3920">
            <v>2.27</v>
          </cell>
        </row>
        <row r="3921">
          <cell r="A3921" t="str">
            <v>BPB-041-LS13-2RS</v>
          </cell>
          <cell r="G3921" t="str">
            <v>IDESP</v>
          </cell>
          <cell r="L3921">
            <v>44053</v>
          </cell>
          <cell r="M3921">
            <v>76.75</v>
          </cell>
          <cell r="P3921">
            <v>2.3719999999999999</v>
          </cell>
        </row>
        <row r="3922">
          <cell r="A3922" t="str">
            <v>BPB-041-LS15-2RS</v>
          </cell>
          <cell r="G3922" t="str">
            <v>IDESP</v>
          </cell>
          <cell r="L3922">
            <v>42879</v>
          </cell>
          <cell r="M3922">
            <v>16.37</v>
          </cell>
          <cell r="P3922">
            <v>2.831</v>
          </cell>
        </row>
        <row r="3923">
          <cell r="A3923" t="str">
            <v>BPB-041-LS15-2RS-C0</v>
          </cell>
          <cell r="G3923" t="str">
            <v>IPFAP</v>
          </cell>
          <cell r="L3923">
            <v>42984</v>
          </cell>
          <cell r="M3923">
            <v>17.7</v>
          </cell>
          <cell r="P3923">
            <v>2.831</v>
          </cell>
        </row>
        <row r="3924">
          <cell r="A3924" t="str">
            <v>BPB-041-LS17-2RS</v>
          </cell>
          <cell r="G3924" t="str">
            <v>IDESP</v>
          </cell>
          <cell r="L3924">
            <v>42879</v>
          </cell>
          <cell r="M3924">
            <v>16.37</v>
          </cell>
          <cell r="P3924">
            <v>3.7090000000000001</v>
          </cell>
        </row>
        <row r="3925">
          <cell r="A3925" t="str">
            <v>BPB-041-LS17-2RS-C0</v>
          </cell>
          <cell r="G3925" t="str">
            <v>IPFAP</v>
          </cell>
          <cell r="L3925">
            <v>42984</v>
          </cell>
          <cell r="M3925">
            <v>17.7</v>
          </cell>
          <cell r="P3925">
            <v>3.7090000000000001</v>
          </cell>
        </row>
        <row r="3926">
          <cell r="A3926" t="str">
            <v>BPB-041-LS18-2RS</v>
          </cell>
          <cell r="G3926" t="str">
            <v>IDESP</v>
          </cell>
          <cell r="L3926">
            <v>42879</v>
          </cell>
          <cell r="M3926">
            <v>16.37</v>
          </cell>
          <cell r="P3926">
            <v>4.49</v>
          </cell>
        </row>
        <row r="3927">
          <cell r="A3927" t="str">
            <v>BPB-041-LS18-2RS-C0</v>
          </cell>
          <cell r="G3927" t="str">
            <v>IPFAP</v>
          </cell>
          <cell r="L3927">
            <v>42984</v>
          </cell>
          <cell r="M3927">
            <v>17.7</v>
          </cell>
          <cell r="P3927">
            <v>4.49</v>
          </cell>
        </row>
        <row r="3928">
          <cell r="A3928" t="str">
            <v>BPB-041-LS20-2RS</v>
          </cell>
          <cell r="G3928" t="str">
            <v>IDESP</v>
          </cell>
          <cell r="L3928">
            <v>42879</v>
          </cell>
          <cell r="M3928">
            <v>16.37</v>
          </cell>
          <cell r="P3928">
            <v>5.3680000000000003</v>
          </cell>
        </row>
        <row r="3929">
          <cell r="A3929" t="str">
            <v>BPB-041-LS20-2RS-C0</v>
          </cell>
          <cell r="G3929" t="str">
            <v>IPFAP</v>
          </cell>
          <cell r="L3929">
            <v>42984</v>
          </cell>
          <cell r="M3929">
            <v>17.7</v>
          </cell>
          <cell r="P3929">
            <v>5.3680000000000003</v>
          </cell>
        </row>
        <row r="3930">
          <cell r="A3930" t="str">
            <v>BPB-041-LS26-2RS</v>
          </cell>
          <cell r="G3930" t="str">
            <v>IDESP</v>
          </cell>
          <cell r="L3930">
            <v>44162</v>
          </cell>
          <cell r="M3930">
            <v>86</v>
          </cell>
          <cell r="P3930">
            <v>15.3216</v>
          </cell>
        </row>
        <row r="3931">
          <cell r="A3931" t="str">
            <v>BPB-041-LS26-2RS-C0</v>
          </cell>
          <cell r="G3931" t="str">
            <v>IPFAP</v>
          </cell>
          <cell r="L3931">
            <v>42984</v>
          </cell>
          <cell r="M3931">
            <v>17.7</v>
          </cell>
          <cell r="P3931">
            <v>12.687000000000001</v>
          </cell>
        </row>
        <row r="3932">
          <cell r="A3932" t="str">
            <v>BPB-041-LS28-2RS</v>
          </cell>
          <cell r="G3932" t="str">
            <v>IDESP</v>
          </cell>
          <cell r="L3932">
            <v>42879</v>
          </cell>
          <cell r="M3932">
            <v>16.37</v>
          </cell>
          <cell r="P3932">
            <v>14.151</v>
          </cell>
        </row>
        <row r="3933">
          <cell r="A3933" t="str">
            <v>BPB-041-LS28-2RS-C0</v>
          </cell>
          <cell r="G3933" t="str">
            <v>IPFAP</v>
          </cell>
          <cell r="L3933">
            <v>42984</v>
          </cell>
          <cell r="M3933">
            <v>17.7</v>
          </cell>
          <cell r="P3933">
            <v>14.151000000000002</v>
          </cell>
        </row>
        <row r="3934">
          <cell r="A3934" t="str">
            <v>BPB-041-MS00-2RLD</v>
          </cell>
          <cell r="G3934" t="str">
            <v>IDESP</v>
          </cell>
          <cell r="L3934">
            <v>42654</v>
          </cell>
          <cell r="M3934">
            <v>15.49</v>
          </cell>
          <cell r="P3934">
            <v>0.30659999999999998</v>
          </cell>
        </row>
        <row r="3935">
          <cell r="A3935" t="str">
            <v>BPB-041-MS00-2RS</v>
          </cell>
          <cell r="G3935" t="str">
            <v>VPPRT</v>
          </cell>
          <cell r="L3935">
            <v>44459</v>
          </cell>
          <cell r="M3935">
            <v>103.5</v>
          </cell>
          <cell r="P3935">
            <v>0.28539999999999999</v>
          </cell>
        </row>
        <row r="3936">
          <cell r="A3936" t="str">
            <v>BPB-041-MS00-2RST</v>
          </cell>
          <cell r="G3936" t="str">
            <v>VPRet</v>
          </cell>
          <cell r="L3936">
            <v>42803</v>
          </cell>
          <cell r="M3936">
            <v>15.93</v>
          </cell>
          <cell r="P3936">
            <v>0.40994350282485875</v>
          </cell>
        </row>
        <row r="3937">
          <cell r="A3937" t="str">
            <v>BPB-041-MS01-2RS</v>
          </cell>
          <cell r="G3937" t="str">
            <v>VPPRT</v>
          </cell>
          <cell r="L3937">
            <v>44641</v>
          </cell>
          <cell r="M3937">
            <v>114.75</v>
          </cell>
          <cell r="P3937">
            <v>0.26400000000000001</v>
          </cell>
        </row>
        <row r="3938">
          <cell r="A3938" t="str">
            <v>BPB-041-MS01-2RST</v>
          </cell>
          <cell r="G3938" t="str">
            <v>VPPRT</v>
          </cell>
          <cell r="L3938">
            <v>44783</v>
          </cell>
          <cell r="M3938">
            <v>140</v>
          </cell>
          <cell r="P3938">
            <v>0.43980000000000002</v>
          </cell>
        </row>
        <row r="3939">
          <cell r="A3939" t="str">
            <v>BPB-041-MS01-2RST1</v>
          </cell>
          <cell r="G3939" t="str">
            <v>IDESP</v>
          </cell>
          <cell r="L3939">
            <v>43553</v>
          </cell>
          <cell r="M3939">
            <v>44.6</v>
          </cell>
          <cell r="P3939">
            <v>0.28899999999999998</v>
          </cell>
        </row>
        <row r="3940">
          <cell r="A3940" t="str">
            <v>BPB-041-MS02-2RS</v>
          </cell>
          <cell r="G3940" t="str">
            <v>VPPRT</v>
          </cell>
          <cell r="L3940">
            <v>44636</v>
          </cell>
          <cell r="M3940">
            <v>114.5</v>
          </cell>
          <cell r="P3940">
            <v>0.30769999999999997</v>
          </cell>
        </row>
        <row r="3941">
          <cell r="A3941" t="str">
            <v>BPB-041-MS03-2RS</v>
          </cell>
          <cell r="G3941" t="str">
            <v>VPPRT</v>
          </cell>
          <cell r="L3941">
            <v>44636</v>
          </cell>
          <cell r="M3941">
            <v>114.5</v>
          </cell>
          <cell r="P3941">
            <v>0.36919999999999997</v>
          </cell>
        </row>
        <row r="3942">
          <cell r="A3942" t="str">
            <v>BPB-041-MS03-2RST</v>
          </cell>
          <cell r="G3942" t="str">
            <v xml:space="preserve">INSI </v>
          </cell>
          <cell r="L3942">
            <v>41753</v>
          </cell>
          <cell r="M3942">
            <v>8.0500000000000007</v>
          </cell>
          <cell r="P3942">
            <v>0.49099999999999999</v>
          </cell>
        </row>
        <row r="3943">
          <cell r="A3943" t="str">
            <v>BPB-041-MS03-2RST-C0</v>
          </cell>
          <cell r="G3943" t="str">
            <v>INDEV</v>
          </cell>
          <cell r="L3943">
            <v>41767</v>
          </cell>
          <cell r="M3943">
            <v>8.0500000000000007</v>
          </cell>
          <cell r="P3943">
            <v>0.60993788819875772</v>
          </cell>
        </row>
        <row r="3944">
          <cell r="A3944" t="str">
            <v>BPB-041-MS04-1RLD-C3</v>
          </cell>
          <cell r="G3944" t="str">
            <v>VPRet</v>
          </cell>
          <cell r="L3944">
            <v>42859</v>
          </cell>
          <cell r="M3944">
            <v>15.63</v>
          </cell>
          <cell r="P3944">
            <v>1.5883445297504797</v>
          </cell>
        </row>
        <row r="3945">
          <cell r="A3945" t="str">
            <v>BPB-041-MS04-2RS</v>
          </cell>
          <cell r="G3945" t="str">
            <v>VPPRT</v>
          </cell>
          <cell r="L3945">
            <v>44635</v>
          </cell>
          <cell r="M3945">
            <v>114.25</v>
          </cell>
          <cell r="P3945">
            <v>0.57599999999999996</v>
          </cell>
        </row>
        <row r="3946">
          <cell r="A3946" t="str">
            <v>BPB-041-MS04-2RST</v>
          </cell>
          <cell r="G3946" t="str">
            <v xml:space="preserve">CR   </v>
          </cell>
          <cell r="L3946">
            <v>43126.703275462962</v>
          </cell>
          <cell r="M3946">
            <v>19.86</v>
          </cell>
          <cell r="P3946">
            <v>0.4989929506545821</v>
          </cell>
        </row>
        <row r="3947">
          <cell r="A3947" t="str">
            <v>BPB-041-MS04-2RST-C0</v>
          </cell>
          <cell r="G3947" t="str">
            <v>IPFAP</v>
          </cell>
          <cell r="L3947">
            <v>41879</v>
          </cell>
          <cell r="M3947">
            <v>8.41</v>
          </cell>
          <cell r="P3947">
            <v>0.81394768133174789</v>
          </cell>
        </row>
        <row r="3948">
          <cell r="A3948" t="str">
            <v>BPB-041-MS05-2RS</v>
          </cell>
          <cell r="G3948" t="str">
            <v>VPPRT</v>
          </cell>
          <cell r="L3948">
            <v>44636</v>
          </cell>
          <cell r="M3948">
            <v>114.5</v>
          </cell>
          <cell r="P3948">
            <v>0.66159999999999997</v>
          </cell>
        </row>
        <row r="3949">
          <cell r="A3949" t="str">
            <v>BPB-041-MS05-2RST</v>
          </cell>
          <cell r="G3949" t="str">
            <v>VPRet</v>
          </cell>
          <cell r="L3949">
            <v>42720</v>
          </cell>
          <cell r="M3949">
            <v>16.23</v>
          </cell>
          <cell r="P3949">
            <v>1.5129747381392482</v>
          </cell>
        </row>
        <row r="3950">
          <cell r="A3950" t="str">
            <v>BPB-041-MS05-2RST-C0</v>
          </cell>
          <cell r="G3950" t="str">
            <v>IPFAP</v>
          </cell>
          <cell r="L3950">
            <v>42216</v>
          </cell>
          <cell r="M3950">
            <v>9.23</v>
          </cell>
          <cell r="P3950">
            <v>1.6950162513542795</v>
          </cell>
        </row>
        <row r="3951">
          <cell r="A3951" t="str">
            <v>BPB-041-MS05-D</v>
          </cell>
          <cell r="G3951" t="str">
            <v>IPFAP</v>
          </cell>
          <cell r="L3951">
            <v>45964</v>
          </cell>
          <cell r="M3951">
            <v>1475</v>
          </cell>
          <cell r="P3951">
            <v>0.83360000000000001</v>
          </cell>
        </row>
        <row r="3952">
          <cell r="A3952" t="str">
            <v>BPB-041-MS06-2RS</v>
          </cell>
          <cell r="G3952" t="str">
            <v>VPPRT</v>
          </cell>
          <cell r="L3952">
            <v>44943</v>
          </cell>
          <cell r="M3952">
            <v>189</v>
          </cell>
          <cell r="P3952">
            <v>0.70950000000000002</v>
          </cell>
        </row>
        <row r="3953">
          <cell r="A3953" t="str">
            <v>BPB-041-MS06-2RST</v>
          </cell>
          <cell r="G3953" t="str">
            <v xml:space="preserve">CR   </v>
          </cell>
          <cell r="L3953">
            <v>43126.703275462962</v>
          </cell>
          <cell r="M3953">
            <v>19.86</v>
          </cell>
          <cell r="P3953">
            <v>0.86253776435045315</v>
          </cell>
        </row>
        <row r="3954">
          <cell r="A3954" t="str">
            <v>BPB-041-MS07-2RS</v>
          </cell>
          <cell r="G3954" t="str">
            <v>VPPRT</v>
          </cell>
          <cell r="L3954">
            <v>44643</v>
          </cell>
          <cell r="M3954">
            <v>115.25</v>
          </cell>
          <cell r="P3954">
            <v>1.387</v>
          </cell>
        </row>
        <row r="3955">
          <cell r="A3955" t="str">
            <v>BPB-041-MS07-2RST</v>
          </cell>
          <cell r="G3955" t="str">
            <v>IDESP</v>
          </cell>
          <cell r="L3955">
            <v>43580</v>
          </cell>
          <cell r="M3955">
            <v>44.9</v>
          </cell>
          <cell r="P3955">
            <v>1.095</v>
          </cell>
        </row>
        <row r="3956">
          <cell r="A3956" t="str">
            <v>BPB-041-MS07-D</v>
          </cell>
          <cell r="G3956" t="str">
            <v>IPFAP</v>
          </cell>
          <cell r="L3956">
            <v>45456</v>
          </cell>
          <cell r="M3956">
            <v>921.5</v>
          </cell>
          <cell r="P3956">
            <v>1.387</v>
          </cell>
        </row>
        <row r="3957">
          <cell r="A3957" t="str">
            <v>BPB-041-MS08-2RLD</v>
          </cell>
          <cell r="G3957" t="str">
            <v>VPPRT</v>
          </cell>
          <cell r="L3957">
            <v>44461</v>
          </cell>
          <cell r="M3957">
            <v>103.75</v>
          </cell>
          <cell r="P3957">
            <v>1.9561999999999999</v>
          </cell>
        </row>
        <row r="3958">
          <cell r="A3958" t="str">
            <v>BPB-041-MS08-2RLD-N</v>
          </cell>
          <cell r="G3958" t="str">
            <v>IPFAP</v>
          </cell>
          <cell r="L3958">
            <v>42242</v>
          </cell>
          <cell r="M3958">
            <v>9.31</v>
          </cell>
          <cell r="P3958">
            <v>1.8410311493018259</v>
          </cell>
        </row>
        <row r="3959">
          <cell r="A3959" t="str">
            <v>BPB-041-MS08-2RS</v>
          </cell>
          <cell r="G3959" t="str">
            <v>IPFAP</v>
          </cell>
          <cell r="L3959">
            <v>42970</v>
          </cell>
          <cell r="M3959">
            <v>17.57</v>
          </cell>
          <cell r="P3959">
            <v>2.994308480364257</v>
          </cell>
        </row>
        <row r="3960">
          <cell r="A3960" t="str">
            <v>BPB-041-MS09-2RLD</v>
          </cell>
          <cell r="G3960" t="str">
            <v>IPFAP</v>
          </cell>
          <cell r="L3960">
            <v>42926</v>
          </cell>
          <cell r="M3960">
            <v>17.28</v>
          </cell>
          <cell r="P3960">
            <v>0.21796296296296294</v>
          </cell>
        </row>
        <row r="3961">
          <cell r="A3961" t="str">
            <v>BPB-041-MS09-2RS</v>
          </cell>
          <cell r="G3961" t="str">
            <v>VPPRT</v>
          </cell>
          <cell r="L3961">
            <v>44708</v>
          </cell>
          <cell r="M3961">
            <v>124.25</v>
          </cell>
          <cell r="P3961">
            <v>1.8720000000000001</v>
          </cell>
        </row>
        <row r="3962">
          <cell r="A3962" t="str">
            <v>BPB-041-MS09-2RSTK</v>
          </cell>
          <cell r="G3962" t="str">
            <v>IPFAP</v>
          </cell>
          <cell r="L3962">
            <v>42249</v>
          </cell>
          <cell r="M3962">
            <v>9.35</v>
          </cell>
          <cell r="P3962">
            <v>3.5977754010695193</v>
          </cell>
        </row>
        <row r="3963">
          <cell r="A3963" t="str">
            <v>BPB-041-MS09-D</v>
          </cell>
          <cell r="G3963" t="str">
            <v>IDESP</v>
          </cell>
          <cell r="L3963">
            <v>43684</v>
          </cell>
          <cell r="M3963">
            <v>46.3</v>
          </cell>
          <cell r="P3963">
            <v>1.538</v>
          </cell>
        </row>
        <row r="3964">
          <cell r="A3964" t="str">
            <v>BPB-041-MS10-2RS</v>
          </cell>
          <cell r="G3964" t="str">
            <v>IDESP</v>
          </cell>
          <cell r="L3964">
            <v>44708</v>
          </cell>
          <cell r="M3964">
            <v>124.25</v>
          </cell>
          <cell r="P3964">
            <v>2.0510000000000002</v>
          </cell>
        </row>
        <row r="3965">
          <cell r="A3965" t="str">
            <v>BPB-041-MS11-2RS</v>
          </cell>
          <cell r="G3965" t="str">
            <v>IDESP</v>
          </cell>
          <cell r="L3965">
            <v>43264</v>
          </cell>
          <cell r="M3965">
            <v>26.3</v>
          </cell>
          <cell r="P3965">
            <v>2.98</v>
          </cell>
        </row>
        <row r="3966">
          <cell r="A3966" t="str">
            <v>BPB-041-MS11-D</v>
          </cell>
          <cell r="G3966" t="str">
            <v>IDESP</v>
          </cell>
          <cell r="L3966">
            <v>43553</v>
          </cell>
          <cell r="M3966">
            <v>44.6</v>
          </cell>
          <cell r="P3966">
            <v>2.5339999999999998</v>
          </cell>
        </row>
        <row r="3967">
          <cell r="A3967" t="str">
            <v>BPB-041-MS12-2RS</v>
          </cell>
          <cell r="G3967" t="str">
            <v>IDESP</v>
          </cell>
          <cell r="L3967">
            <v>43462</v>
          </cell>
          <cell r="M3967">
            <v>39.299999999999997</v>
          </cell>
          <cell r="P3967">
            <v>3.7</v>
          </cell>
        </row>
        <row r="3968">
          <cell r="A3968" t="str">
            <v>BPB-041-MS13-2RS</v>
          </cell>
          <cell r="G3968" t="str">
            <v>IDESP</v>
          </cell>
          <cell r="L3968">
            <v>43553</v>
          </cell>
          <cell r="M3968">
            <v>44.6</v>
          </cell>
          <cell r="P3968">
            <v>4.3979999999999997</v>
          </cell>
        </row>
        <row r="3969">
          <cell r="A3969" t="str">
            <v>BPB-041-MS15-2RS</v>
          </cell>
          <cell r="G3969" t="str">
            <v>IDESP</v>
          </cell>
          <cell r="L3969">
            <v>43283</v>
          </cell>
          <cell r="M3969">
            <v>29.4</v>
          </cell>
          <cell r="P3969">
            <v>5.77</v>
          </cell>
        </row>
        <row r="3970">
          <cell r="A3970" t="str">
            <v>BPB-041-MS16-2RS</v>
          </cell>
          <cell r="G3970" t="str">
            <v xml:space="preserve">INAC </v>
          </cell>
          <cell r="L3970">
            <v>45337</v>
          </cell>
          <cell r="M3970">
            <v>853</v>
          </cell>
          <cell r="P3970">
            <v>60.609613130128956</v>
          </cell>
        </row>
        <row r="3971">
          <cell r="A3971" t="str">
            <v>BPB-041-MS18-2RS</v>
          </cell>
          <cell r="G3971" t="str">
            <v>IDESP</v>
          </cell>
          <cell r="L3971">
            <v>43283</v>
          </cell>
          <cell r="M3971">
            <v>29.4</v>
          </cell>
          <cell r="P3971">
            <v>10.29</v>
          </cell>
        </row>
        <row r="3972">
          <cell r="A3972" t="str">
            <v>BPB-041-P-204-MX</v>
          </cell>
          <cell r="G3972" t="str">
            <v>INDEV</v>
          </cell>
          <cell r="L3972">
            <v>40267</v>
          </cell>
          <cell r="M3972">
            <v>3.89</v>
          </cell>
          <cell r="P3972">
            <v>1.05</v>
          </cell>
        </row>
        <row r="3973">
          <cell r="A3973" t="str">
            <v>BPB-041-R2-5ZZ</v>
          </cell>
          <cell r="G3973" t="str">
            <v>IDESP</v>
          </cell>
          <cell r="L3973">
            <v>40137</v>
          </cell>
          <cell r="M3973">
            <v>3.82</v>
          </cell>
          <cell r="P3973">
            <v>0.43</v>
          </cell>
        </row>
        <row r="3974">
          <cell r="A3974" t="str">
            <v>BPB-041-SNR144TLWZ</v>
          </cell>
          <cell r="G3974" t="str">
            <v>IDESP</v>
          </cell>
          <cell r="L3974">
            <v>40137</v>
          </cell>
          <cell r="M3974">
            <v>3.82</v>
          </cell>
          <cell r="P3974">
            <v>1.5</v>
          </cell>
        </row>
        <row r="3975">
          <cell r="A3975" t="str">
            <v>BPB-041-SS-6201-2RS</v>
          </cell>
          <cell r="G3975" t="str">
            <v>IDESP</v>
          </cell>
          <cell r="L3975">
            <v>41690</v>
          </cell>
          <cell r="M3975">
            <v>7.79</v>
          </cell>
          <cell r="P3975">
            <v>1.1000000000000001</v>
          </cell>
        </row>
        <row r="3976">
          <cell r="A3976" t="str">
            <v>BPB-041-SS-6202-2RS</v>
          </cell>
          <cell r="G3976" t="str">
            <v>IDESP</v>
          </cell>
          <cell r="L3976">
            <v>41690</v>
          </cell>
          <cell r="M3976">
            <v>7.79</v>
          </cell>
          <cell r="P3976">
            <v>1.2</v>
          </cell>
        </row>
        <row r="3977">
          <cell r="A3977" t="str">
            <v>BPB-041-SS-6203-2RS</v>
          </cell>
          <cell r="G3977" t="str">
            <v>IDESP</v>
          </cell>
          <cell r="L3977">
            <v>40674</v>
          </cell>
          <cell r="M3977">
            <v>4.1100000000000003</v>
          </cell>
          <cell r="P3977">
            <v>1.5</v>
          </cell>
        </row>
        <row r="3978">
          <cell r="A3978" t="str">
            <v>BPB-041-SS-6204-2RS</v>
          </cell>
          <cell r="G3978" t="str">
            <v>IDESP</v>
          </cell>
          <cell r="L3978">
            <v>43697</v>
          </cell>
          <cell r="M3978">
            <v>57</v>
          </cell>
          <cell r="P3978">
            <v>1.78</v>
          </cell>
        </row>
        <row r="3979">
          <cell r="A3979" t="str">
            <v>BPB-041-SS-6205-2RS</v>
          </cell>
          <cell r="G3979" t="str">
            <v>IDESP</v>
          </cell>
          <cell r="L3979">
            <v>40674</v>
          </cell>
          <cell r="M3979">
            <v>4.1100000000000003</v>
          </cell>
          <cell r="P3979">
            <v>2.5569999999999999</v>
          </cell>
        </row>
        <row r="3980">
          <cell r="A3980" t="str">
            <v>BPB-041-SS-6206-2RS</v>
          </cell>
          <cell r="G3980" t="str">
            <v>InRet</v>
          </cell>
          <cell r="L3980">
            <v>40952</v>
          </cell>
          <cell r="M3980">
            <v>4.3600000000000003</v>
          </cell>
          <cell r="P3980">
            <v>3.6193119266055045</v>
          </cell>
        </row>
        <row r="3981">
          <cell r="A3981" t="str">
            <v>BPB-041-SS-6207-2RS</v>
          </cell>
          <cell r="G3981" t="str">
            <v>IDESP</v>
          </cell>
          <cell r="L3981">
            <v>39671</v>
          </cell>
          <cell r="M3981">
            <v>3.052</v>
          </cell>
          <cell r="P3981">
            <v>4.4930000000000003</v>
          </cell>
        </row>
        <row r="3982">
          <cell r="A3982" t="str">
            <v>BPB-041-SS-6208-2RS</v>
          </cell>
          <cell r="G3982" t="str">
            <v>IDESP</v>
          </cell>
          <cell r="L3982">
            <v>41690</v>
          </cell>
          <cell r="M3982">
            <v>7.79</v>
          </cell>
          <cell r="P3982">
            <v>6.66</v>
          </cell>
        </row>
        <row r="3983">
          <cell r="A3983" t="str">
            <v>BPB-041-SS-6209-2RS</v>
          </cell>
          <cell r="G3983" t="str">
            <v>IDESP</v>
          </cell>
          <cell r="L3983">
            <v>40051</v>
          </cell>
          <cell r="M3983">
            <v>3.86</v>
          </cell>
          <cell r="P3983">
            <v>8.8640000000000008</v>
          </cell>
        </row>
        <row r="3984">
          <cell r="A3984" t="str">
            <v>BPB-041-SS-6210-2RS</v>
          </cell>
          <cell r="G3984" t="str">
            <v>IDESP</v>
          </cell>
          <cell r="L3984">
            <v>40051</v>
          </cell>
          <cell r="M3984">
            <v>3.86</v>
          </cell>
          <cell r="P3984">
            <v>11.08</v>
          </cell>
        </row>
        <row r="3985">
          <cell r="A3985" t="str">
            <v>BPB-041-TS00-2RS</v>
          </cell>
          <cell r="G3985" t="str">
            <v>IDESP</v>
          </cell>
          <cell r="L3985">
            <v>43230</v>
          </cell>
          <cell r="M3985">
            <v>23.12</v>
          </cell>
          <cell r="P3985">
            <v>0.24199999999999999</v>
          </cell>
        </row>
        <row r="3986">
          <cell r="A3986" t="str">
            <v>BPB-041-TS06-2RS</v>
          </cell>
          <cell r="G3986" t="str">
            <v>VPPRT</v>
          </cell>
          <cell r="L3986">
            <v>44963</v>
          </cell>
          <cell r="M3986">
            <v>195</v>
          </cell>
          <cell r="P3986">
            <v>0.51400000000000001</v>
          </cell>
        </row>
        <row r="3987">
          <cell r="A3987" t="str">
            <v>BPB-041-TS06-ZZ</v>
          </cell>
          <cell r="G3987" t="str">
            <v>IDESP</v>
          </cell>
          <cell r="L3987">
            <v>42947</v>
          </cell>
          <cell r="M3987">
            <v>18.100000000000001</v>
          </cell>
          <cell r="P3987">
            <v>0.4289</v>
          </cell>
        </row>
        <row r="3988">
          <cell r="A3988" t="str">
            <v>BPB-041-UC-204-DBL</v>
          </cell>
          <cell r="G3988" t="str">
            <v>INDEV</v>
          </cell>
          <cell r="L3988">
            <v>41613</v>
          </cell>
          <cell r="M3988">
            <v>6.2</v>
          </cell>
          <cell r="P3988">
            <v>1.48</v>
          </cell>
        </row>
        <row r="3989">
          <cell r="A3989" t="str">
            <v>BPB-041-W6905-21RSC3</v>
          </cell>
          <cell r="G3989" t="str">
            <v xml:space="preserve">INSI </v>
          </cell>
          <cell r="L3989">
            <v>41162</v>
          </cell>
          <cell r="M3989">
            <v>4.67</v>
          </cell>
          <cell r="P3989">
            <v>0.42699999999999999</v>
          </cell>
        </row>
        <row r="3990">
          <cell r="A3990" t="str">
            <v>BPB-041-W6905-22RSC3</v>
          </cell>
          <cell r="G3990" t="str">
            <v xml:space="preserve">INSI </v>
          </cell>
          <cell r="L3990">
            <v>41162</v>
          </cell>
          <cell r="M3990">
            <v>4.67</v>
          </cell>
          <cell r="P3990">
            <v>0.42699999999999999</v>
          </cell>
        </row>
        <row r="3991">
          <cell r="A3991" t="str">
            <v>BPB-042-1207-K</v>
          </cell>
          <cell r="G3991" t="str">
            <v>INDEV</v>
          </cell>
          <cell r="L3991">
            <v>40267</v>
          </cell>
          <cell r="M3991">
            <v>3.89</v>
          </cell>
          <cell r="P3991">
            <v>0.28678663239074548</v>
          </cell>
        </row>
        <row r="3992">
          <cell r="A3992" t="str">
            <v>BPB-042-21310-CW33C3</v>
          </cell>
          <cell r="G3992" t="str">
            <v>IDESP</v>
          </cell>
          <cell r="L3992">
            <v>41864</v>
          </cell>
          <cell r="M3992">
            <v>8.27</v>
          </cell>
          <cell r="P3992">
            <v>16.22</v>
          </cell>
        </row>
        <row r="3993">
          <cell r="A3993" t="str">
            <v>BPB-042-21310-MBW33C</v>
          </cell>
          <cell r="G3993" t="str">
            <v>IDESP</v>
          </cell>
          <cell r="L3993">
            <v>40399</v>
          </cell>
          <cell r="M3993">
            <v>3.96</v>
          </cell>
          <cell r="P3993">
            <v>16.05</v>
          </cell>
        </row>
        <row r="3994">
          <cell r="A3994" t="str">
            <v>BPB-042-22205-CW33C3</v>
          </cell>
          <cell r="G3994" t="str">
            <v>IDESP</v>
          </cell>
          <cell r="L3994">
            <v>44449</v>
          </cell>
          <cell r="M3994">
            <v>103.25</v>
          </cell>
          <cell r="P3994">
            <v>4.12</v>
          </cell>
        </row>
        <row r="3995">
          <cell r="A3995" t="str">
            <v>BPB-042-22205CKW33C3</v>
          </cell>
          <cell r="G3995" t="str">
            <v>IDESP</v>
          </cell>
          <cell r="L3995">
            <v>43413</v>
          </cell>
          <cell r="M3995">
            <v>36.4</v>
          </cell>
          <cell r="P3995">
            <v>4.8600000000000003</v>
          </cell>
        </row>
        <row r="3996">
          <cell r="A3996" t="str">
            <v>BPB-042-22206-CW33C3</v>
          </cell>
          <cell r="G3996" t="str">
            <v>IDESP</v>
          </cell>
          <cell r="L3996">
            <v>43413</v>
          </cell>
          <cell r="M3996">
            <v>36.4</v>
          </cell>
          <cell r="P3996">
            <v>4.53</v>
          </cell>
        </row>
        <row r="3997">
          <cell r="A3997" t="str">
            <v>BPB-042-22206CKW33C3</v>
          </cell>
          <cell r="G3997" t="str">
            <v>IDESP</v>
          </cell>
          <cell r="L3997">
            <v>43413</v>
          </cell>
          <cell r="M3997">
            <v>36.4</v>
          </cell>
          <cell r="P3997">
            <v>4.53</v>
          </cell>
        </row>
        <row r="3998">
          <cell r="A3998" t="str">
            <v>BPB-042-22207-CW33C3</v>
          </cell>
          <cell r="G3998" t="str">
            <v>IDESP</v>
          </cell>
          <cell r="L3998">
            <v>44449</v>
          </cell>
          <cell r="M3998">
            <v>103.25</v>
          </cell>
          <cell r="P3998">
            <v>5.5739999999999998</v>
          </cell>
        </row>
        <row r="3999">
          <cell r="A3999" t="str">
            <v>BPB-042-22207CKW33C3</v>
          </cell>
          <cell r="G3999" t="str">
            <v>IDESP</v>
          </cell>
          <cell r="L3999">
            <v>43413</v>
          </cell>
          <cell r="M3999">
            <v>36.4</v>
          </cell>
          <cell r="P3999">
            <v>5.5</v>
          </cell>
        </row>
        <row r="4000">
          <cell r="A4000" t="str">
            <v>BPB-042-22208CKW33C3</v>
          </cell>
          <cell r="G4000" t="str">
            <v>IDESP</v>
          </cell>
          <cell r="L4000">
            <v>43413</v>
          </cell>
          <cell r="M4000">
            <v>36.4</v>
          </cell>
          <cell r="P4000">
            <v>5.83</v>
          </cell>
        </row>
        <row r="4001">
          <cell r="A4001" t="str">
            <v>BPB-042-22209-CW33C3</v>
          </cell>
          <cell r="G4001" t="str">
            <v>IDESP</v>
          </cell>
          <cell r="L4001">
            <v>44449</v>
          </cell>
          <cell r="M4001">
            <v>103.25</v>
          </cell>
          <cell r="P4001">
            <v>6.3</v>
          </cell>
        </row>
        <row r="4002">
          <cell r="A4002" t="str">
            <v>BPB-042-22209CKW33C3</v>
          </cell>
          <cell r="G4002" t="str">
            <v>IDESP</v>
          </cell>
          <cell r="L4002">
            <v>43413</v>
          </cell>
          <cell r="M4002">
            <v>36.4</v>
          </cell>
          <cell r="P4002">
            <v>6.15</v>
          </cell>
        </row>
        <row r="4003">
          <cell r="A4003" t="str">
            <v>BPB-042-22210-CW33C3</v>
          </cell>
          <cell r="G4003" t="str">
            <v>IDESP</v>
          </cell>
          <cell r="L4003">
            <v>44449</v>
          </cell>
          <cell r="M4003">
            <v>103.25</v>
          </cell>
          <cell r="P4003">
            <v>5.97</v>
          </cell>
        </row>
        <row r="4004">
          <cell r="A4004" t="str">
            <v>BPB-042-22210CKW33C3</v>
          </cell>
          <cell r="G4004" t="str">
            <v>IDESP</v>
          </cell>
          <cell r="L4004">
            <v>43413</v>
          </cell>
          <cell r="M4004">
            <v>36.4</v>
          </cell>
          <cell r="P4004">
            <v>6.47</v>
          </cell>
        </row>
        <row r="4005">
          <cell r="A4005" t="str">
            <v>BPB-042-22211-CW33C3</v>
          </cell>
          <cell r="G4005" t="str">
            <v>IDESP</v>
          </cell>
          <cell r="L4005">
            <v>43413</v>
          </cell>
          <cell r="M4005">
            <v>36.4</v>
          </cell>
          <cell r="P4005">
            <v>8.09</v>
          </cell>
        </row>
        <row r="4006">
          <cell r="A4006" t="str">
            <v>BPB-042-22211CKW33C3</v>
          </cell>
          <cell r="G4006" t="str">
            <v>IDESP</v>
          </cell>
          <cell r="L4006">
            <v>43413</v>
          </cell>
          <cell r="M4006">
            <v>36.4</v>
          </cell>
          <cell r="P4006">
            <v>8.09</v>
          </cell>
        </row>
        <row r="4007">
          <cell r="A4007" t="str">
            <v>BPB-042-22212-CW33C3</v>
          </cell>
          <cell r="G4007" t="str">
            <v>INDEV</v>
          </cell>
          <cell r="L4007">
            <v>40821</v>
          </cell>
          <cell r="M4007">
            <v>4.2300000000000004</v>
          </cell>
          <cell r="P4007">
            <v>7.0638297872340416</v>
          </cell>
        </row>
        <row r="4008">
          <cell r="A4008" t="str">
            <v>BPB-042-22212CKW33C3</v>
          </cell>
          <cell r="G4008" t="str">
            <v>IDESP</v>
          </cell>
          <cell r="L4008">
            <v>43413</v>
          </cell>
          <cell r="M4008">
            <v>36.4</v>
          </cell>
          <cell r="P4008">
            <v>9.06</v>
          </cell>
        </row>
        <row r="4009">
          <cell r="A4009" t="str">
            <v>BPB-042-22213CKW33</v>
          </cell>
          <cell r="G4009" t="str">
            <v>IDESP</v>
          </cell>
          <cell r="L4009">
            <v>40982</v>
          </cell>
          <cell r="M4009">
            <v>4.3600000000000003</v>
          </cell>
          <cell r="P4009">
            <v>8.25</v>
          </cell>
        </row>
        <row r="4010">
          <cell r="A4010" t="str">
            <v>BPB-042-22213CW33C3</v>
          </cell>
          <cell r="G4010" t="str">
            <v>IDESP</v>
          </cell>
          <cell r="L4010">
            <v>44162</v>
          </cell>
          <cell r="M4010">
            <v>86</v>
          </cell>
          <cell r="P4010">
            <v>12.875999999999999</v>
          </cell>
        </row>
        <row r="4011">
          <cell r="A4011" t="str">
            <v>BPB-042-22214-CW33C3</v>
          </cell>
          <cell r="G4011" t="str">
            <v>IDESP</v>
          </cell>
          <cell r="L4011">
            <v>44449</v>
          </cell>
          <cell r="M4011">
            <v>103.25</v>
          </cell>
          <cell r="P4011">
            <v>12.41</v>
          </cell>
        </row>
        <row r="4012">
          <cell r="A4012" t="str">
            <v>BPB-042-22214-MBW33C</v>
          </cell>
          <cell r="G4012" t="str">
            <v>IDESP</v>
          </cell>
          <cell r="L4012">
            <v>39895</v>
          </cell>
          <cell r="M4012">
            <v>3.657</v>
          </cell>
          <cell r="P4012">
            <v>15.6</v>
          </cell>
        </row>
        <row r="4013">
          <cell r="A4013" t="str">
            <v>BPB-042-22215-CKW33C</v>
          </cell>
          <cell r="G4013" t="str">
            <v>IPFAP</v>
          </cell>
          <cell r="L4013">
            <v>42209</v>
          </cell>
          <cell r="M4013">
            <v>9.1999999999999993</v>
          </cell>
          <cell r="P4013">
            <v>10.200000000000001</v>
          </cell>
        </row>
        <row r="4014">
          <cell r="A4014" t="str">
            <v>BPB-042-22215-CW33C3</v>
          </cell>
          <cell r="G4014" t="str">
            <v>IDESP</v>
          </cell>
          <cell r="L4014">
            <v>44449</v>
          </cell>
          <cell r="M4014">
            <v>103.25</v>
          </cell>
          <cell r="P4014">
            <v>12.78</v>
          </cell>
        </row>
        <row r="4015">
          <cell r="A4015" t="str">
            <v>BPB-042-22216-C3W33</v>
          </cell>
          <cell r="G4015" t="str">
            <v>IDESP</v>
          </cell>
          <cell r="L4015">
            <v>42375</v>
          </cell>
          <cell r="M4015">
            <v>13.77</v>
          </cell>
          <cell r="P4015">
            <v>12.6334</v>
          </cell>
        </row>
        <row r="4016">
          <cell r="A4016" t="str">
            <v>BPB-042-22216CKW33C3</v>
          </cell>
          <cell r="G4016" t="str">
            <v>IDESP</v>
          </cell>
          <cell r="L4016">
            <v>43413</v>
          </cell>
          <cell r="M4016">
            <v>36.4</v>
          </cell>
          <cell r="P4016">
            <v>14.56</v>
          </cell>
        </row>
        <row r="4017">
          <cell r="A4017" t="str">
            <v>BPB-042-22217-CW33C3</v>
          </cell>
          <cell r="G4017" t="str">
            <v>IDESP</v>
          </cell>
          <cell r="L4017">
            <v>43413</v>
          </cell>
          <cell r="M4017">
            <v>36.4</v>
          </cell>
          <cell r="P4017">
            <v>17.79</v>
          </cell>
        </row>
        <row r="4018">
          <cell r="A4018" t="str">
            <v>BPB-042-22217CKW33C3</v>
          </cell>
          <cell r="G4018" t="str">
            <v>IDESP</v>
          </cell>
          <cell r="L4018">
            <v>43413</v>
          </cell>
          <cell r="M4018">
            <v>36.4</v>
          </cell>
          <cell r="P4018">
            <v>17.79</v>
          </cell>
        </row>
        <row r="4019">
          <cell r="A4019" t="str">
            <v>BPB-042-22218-CKW33C</v>
          </cell>
          <cell r="G4019" t="str">
            <v>IDESP</v>
          </cell>
          <cell r="L4019">
            <v>42709</v>
          </cell>
          <cell r="M4019">
            <v>16.170000000000002</v>
          </cell>
          <cell r="P4019">
            <v>16.725200000000001</v>
          </cell>
        </row>
        <row r="4020">
          <cell r="A4020" t="str">
            <v>BPB-042-22218-CW33C3</v>
          </cell>
          <cell r="G4020" t="str">
            <v>VPRet</v>
          </cell>
          <cell r="L4020">
            <v>43047</v>
          </cell>
          <cell r="M4020">
            <v>17.91</v>
          </cell>
          <cell r="P4020">
            <v>15.1595</v>
          </cell>
        </row>
        <row r="4021">
          <cell r="A4021" t="str">
            <v>BPB-042-22222-CW33C3</v>
          </cell>
          <cell r="G4021" t="str">
            <v>IDESP</v>
          </cell>
          <cell r="L4021">
            <v>40379</v>
          </cell>
          <cell r="M4021">
            <v>3.95</v>
          </cell>
          <cell r="P4021">
            <v>26.25</v>
          </cell>
        </row>
        <row r="4022">
          <cell r="A4022" t="str">
            <v>BPB-042-22222-KMBW33</v>
          </cell>
          <cell r="G4022" t="str">
            <v>IDESP</v>
          </cell>
          <cell r="L4022">
            <v>44125</v>
          </cell>
          <cell r="M4022">
            <v>82.75</v>
          </cell>
          <cell r="P4022">
            <v>23</v>
          </cell>
        </row>
        <row r="4023">
          <cell r="A4023" t="str">
            <v>BPB-042-22309-CW33</v>
          </cell>
          <cell r="G4023" t="str">
            <v xml:space="preserve">INAC </v>
          </cell>
          <cell r="L4023">
            <v>39345</v>
          </cell>
          <cell r="M4023">
            <v>3.1309999999999998</v>
          </cell>
          <cell r="P4023">
            <v>19.845161290322583</v>
          </cell>
        </row>
        <row r="4024">
          <cell r="A4024" t="str">
            <v>BPB-042-22309-CW33C3</v>
          </cell>
          <cell r="G4024" t="str">
            <v>IPFAB</v>
          </cell>
          <cell r="L4024">
            <v>40049</v>
          </cell>
          <cell r="M4024">
            <v>3.86</v>
          </cell>
          <cell r="P4024">
            <v>0.25906699999999999</v>
          </cell>
        </row>
        <row r="4025">
          <cell r="A4025" t="str">
            <v>BPB-042-22311-CW33C3</v>
          </cell>
          <cell r="G4025" t="str">
            <v xml:space="preserve">CR   </v>
          </cell>
          <cell r="L4025">
            <v>41103.497800925928</v>
          </cell>
          <cell r="M4025">
            <v>4.5599999999999996</v>
          </cell>
          <cell r="P4025">
            <v>9.8000000000000007</v>
          </cell>
        </row>
        <row r="4026">
          <cell r="A4026" t="str">
            <v>BPB-042-22315-CKW33</v>
          </cell>
          <cell r="G4026" t="str">
            <v xml:space="preserve">INAC </v>
          </cell>
          <cell r="L4026">
            <v>39219</v>
          </cell>
          <cell r="M4026">
            <v>3.077</v>
          </cell>
          <cell r="P4026">
            <v>44.328891777705557</v>
          </cell>
        </row>
        <row r="4027">
          <cell r="A4027" t="str">
            <v>BPB-042-23218-KMC3W3</v>
          </cell>
          <cell r="G4027" t="str">
            <v xml:space="preserve">INAC </v>
          </cell>
          <cell r="L4027">
            <v>39288</v>
          </cell>
          <cell r="M4027">
            <v>3.16</v>
          </cell>
          <cell r="P4027">
            <v>54.303797468354425</v>
          </cell>
        </row>
        <row r="4028">
          <cell r="A4028" t="str">
            <v>BPB-042-H-2318</v>
          </cell>
          <cell r="G4028" t="str">
            <v>IDESP</v>
          </cell>
          <cell r="L4028">
            <v>40889</v>
          </cell>
          <cell r="M4028">
            <v>4.3</v>
          </cell>
          <cell r="P4028">
            <v>7.6</v>
          </cell>
        </row>
        <row r="4029">
          <cell r="A4029" t="str">
            <v>BPB-043-BP-14001</v>
          </cell>
          <cell r="G4029" t="str">
            <v xml:space="preserve">INSI </v>
          </cell>
          <cell r="L4029">
            <v>41852</v>
          </cell>
          <cell r="M4029">
            <v>8.2200000000000006</v>
          </cell>
          <cell r="P4029">
            <v>0.1217</v>
          </cell>
        </row>
        <row r="4030">
          <cell r="A4030" t="str">
            <v>BPB-043-CB-6203-1250</v>
          </cell>
          <cell r="G4030" t="str">
            <v>IPFAB</v>
          </cell>
          <cell r="L4030">
            <v>39861</v>
          </cell>
          <cell r="M4030">
            <v>3.4969999999999999</v>
          </cell>
          <cell r="P4030">
            <v>0.28595900000000002</v>
          </cell>
        </row>
        <row r="4031">
          <cell r="A4031" t="str">
            <v>BPB-043-CB6203-1450</v>
          </cell>
          <cell r="G4031" t="str">
            <v>vpret</v>
          </cell>
          <cell r="L4031">
            <v>45273</v>
          </cell>
          <cell r="M4031">
            <v>820</v>
          </cell>
          <cell r="P4031">
            <v>0.42547073170731708</v>
          </cell>
        </row>
        <row r="4032">
          <cell r="A4032" t="str">
            <v>BPB-043-CB6203-1550</v>
          </cell>
          <cell r="G4032" t="str">
            <v xml:space="preserve">INAC </v>
          </cell>
          <cell r="L4032">
            <v>41600</v>
          </cell>
          <cell r="M4032">
            <v>6.05</v>
          </cell>
          <cell r="P4032">
            <v>10.641322314049587</v>
          </cell>
        </row>
        <row r="4033">
          <cell r="A4033" t="str">
            <v>BPB-043-CF18</v>
          </cell>
          <cell r="G4033" t="str">
            <v xml:space="preserve">INSI </v>
          </cell>
          <cell r="L4033">
            <v>39952</v>
          </cell>
          <cell r="M4033">
            <v>3.74</v>
          </cell>
          <cell r="P4033">
            <v>3.3820000000000001</v>
          </cell>
        </row>
        <row r="4034">
          <cell r="A4034" t="str">
            <v>BPB-043-CR-18-UU</v>
          </cell>
          <cell r="G4034" t="str">
            <v>IDESP</v>
          </cell>
          <cell r="L4034">
            <v>40116</v>
          </cell>
          <cell r="M4034">
            <v>3.83</v>
          </cell>
          <cell r="P4034">
            <v>5.4333999999999998</v>
          </cell>
        </row>
        <row r="4035">
          <cell r="A4035" t="str">
            <v>BPB-043-FRN32-EI</v>
          </cell>
          <cell r="G4035" t="str">
            <v>INCOU</v>
          </cell>
          <cell r="L4035">
            <v>43495</v>
          </cell>
          <cell r="M4035">
            <v>38.6</v>
          </cell>
          <cell r="P4035">
            <v>10.06</v>
          </cell>
        </row>
        <row r="4036">
          <cell r="A4036" t="str">
            <v>BPB-043-FRNR32-EI</v>
          </cell>
          <cell r="G4036" t="str">
            <v>INCOU</v>
          </cell>
          <cell r="L4036">
            <v>43495</v>
          </cell>
          <cell r="M4036">
            <v>38.6</v>
          </cell>
          <cell r="P4036">
            <v>10.9</v>
          </cell>
        </row>
        <row r="4037">
          <cell r="A4037" t="str">
            <v>BPB-043-NUKR52</v>
          </cell>
          <cell r="G4037" t="str">
            <v xml:space="preserve">INSI </v>
          </cell>
          <cell r="L4037">
            <v>39952</v>
          </cell>
          <cell r="M4037">
            <v>3.74</v>
          </cell>
          <cell r="P4037">
            <v>8.5</v>
          </cell>
        </row>
        <row r="4038">
          <cell r="A4038" t="str">
            <v>BPB-044-BP-17010-01Z</v>
          </cell>
          <cell r="G4038" t="str">
            <v>InRet</v>
          </cell>
          <cell r="L4038">
            <v>45922</v>
          </cell>
          <cell r="M4038">
            <v>1515</v>
          </cell>
          <cell r="P4038">
            <v>2.1197392739273928</v>
          </cell>
        </row>
        <row r="4039">
          <cell r="A4039" t="str">
            <v>BPB-044-BP-17010-02Z</v>
          </cell>
          <cell r="G4039" t="str">
            <v>InRet</v>
          </cell>
          <cell r="L4039">
            <v>45883</v>
          </cell>
          <cell r="M4039">
            <v>1325</v>
          </cell>
          <cell r="P4039">
            <v>8.913984905660377E-2</v>
          </cell>
        </row>
        <row r="4040">
          <cell r="A4040" t="str">
            <v>BPB-044-BP-17010-A3</v>
          </cell>
          <cell r="G4040" t="str">
            <v>vpret</v>
          </cell>
          <cell r="L4040">
            <v>45888</v>
          </cell>
          <cell r="M4040">
            <v>1315</v>
          </cell>
          <cell r="P4040">
            <v>1.6968859315589355</v>
          </cell>
        </row>
        <row r="4041">
          <cell r="A4041" t="str">
            <v>BPB-044-BP-18020-01</v>
          </cell>
          <cell r="G4041" t="str">
            <v>InRet</v>
          </cell>
          <cell r="L4041">
            <v>44622</v>
          </cell>
          <cell r="M4041">
            <v>112.5</v>
          </cell>
          <cell r="P4041">
            <v>1.2746062222222223</v>
          </cell>
        </row>
        <row r="4042">
          <cell r="A4042" t="str">
            <v>BPB-044-BP-18020-01B</v>
          </cell>
          <cell r="G4042" t="str">
            <v>IPFAP</v>
          </cell>
          <cell r="L4042">
            <v>44606</v>
          </cell>
          <cell r="M4042">
            <v>111.25</v>
          </cell>
          <cell r="P4042">
            <v>54.2</v>
          </cell>
        </row>
        <row r="4043">
          <cell r="A4043" t="str">
            <v>BPB-044-BP-18020-04</v>
          </cell>
          <cell r="G4043" t="str">
            <v>IDESP</v>
          </cell>
          <cell r="L4043">
            <v>44274</v>
          </cell>
          <cell r="M4043">
            <v>96.5</v>
          </cell>
          <cell r="P4043">
            <v>0.16400000000000001</v>
          </cell>
        </row>
        <row r="4044">
          <cell r="A4044" t="str">
            <v>BPB-044-BP-18020-A1</v>
          </cell>
          <cell r="G4044" t="str">
            <v>IDESP</v>
          </cell>
          <cell r="L4044">
            <v>44134</v>
          </cell>
          <cell r="M4044">
            <v>83.5</v>
          </cell>
          <cell r="P4044">
            <v>18.52</v>
          </cell>
        </row>
        <row r="4045">
          <cell r="A4045" t="str">
            <v>BPB-044-BP-18020-B1</v>
          </cell>
          <cell r="G4045" t="str">
            <v>InRet</v>
          </cell>
          <cell r="L4045">
            <v>43273</v>
          </cell>
          <cell r="M4045">
            <v>28</v>
          </cell>
          <cell r="P4045">
            <v>9.1857142857142851</v>
          </cell>
        </row>
        <row r="4046">
          <cell r="A4046" t="str">
            <v>BPB-044-BP-18030-01</v>
          </cell>
          <cell r="G4046" t="str">
            <v>InRet</v>
          </cell>
          <cell r="L4046">
            <v>44622</v>
          </cell>
          <cell r="M4046">
            <v>112.5</v>
          </cell>
          <cell r="P4046">
            <v>2.2740782222222222</v>
          </cell>
        </row>
        <row r="4047">
          <cell r="A4047" t="str">
            <v>BPB-044-BP-18030-01B</v>
          </cell>
          <cell r="G4047" t="str">
            <v>IPFAP</v>
          </cell>
          <cell r="L4047">
            <v>44606</v>
          </cell>
          <cell r="M4047">
            <v>111.25</v>
          </cell>
          <cell r="P4047">
            <v>64.146067415730343</v>
          </cell>
        </row>
        <row r="4048">
          <cell r="A4048" t="str">
            <v>BPB-044-BP-18030-04</v>
          </cell>
          <cell r="G4048" t="str">
            <v>IDESP</v>
          </cell>
          <cell r="L4048">
            <v>44274</v>
          </cell>
          <cell r="M4048">
            <v>96.5</v>
          </cell>
          <cell r="P4048">
            <v>0.23599999999999999</v>
          </cell>
        </row>
        <row r="4049">
          <cell r="A4049" t="str">
            <v>BPB-044-BP-18030-A2</v>
          </cell>
          <cell r="G4049" t="str">
            <v>IDESP</v>
          </cell>
          <cell r="L4049">
            <v>44134</v>
          </cell>
          <cell r="M4049">
            <v>83.5</v>
          </cell>
          <cell r="P4049">
            <v>24.27</v>
          </cell>
        </row>
        <row r="4050">
          <cell r="A4050" t="str">
            <v>BPB-044-BP17010-01</v>
          </cell>
          <cell r="G4050" t="str">
            <v>vpret</v>
          </cell>
          <cell r="L4050">
            <v>45915</v>
          </cell>
          <cell r="M4050">
            <v>1465</v>
          </cell>
          <cell r="P4050">
            <v>2.0623924914675769</v>
          </cell>
        </row>
        <row r="4051">
          <cell r="A4051" t="str">
            <v>BPB-044-BP17010-02</v>
          </cell>
          <cell r="G4051" t="str">
            <v>vpret</v>
          </cell>
          <cell r="L4051">
            <v>45866</v>
          </cell>
          <cell r="M4051">
            <v>1295</v>
          </cell>
          <cell r="P4051">
            <v>0.63039691119691121</v>
          </cell>
        </row>
        <row r="4052">
          <cell r="A4052" t="str">
            <v>BPB-044-BP17010-03</v>
          </cell>
          <cell r="G4052" t="str">
            <v>vpret</v>
          </cell>
          <cell r="L4052">
            <v>45888</v>
          </cell>
          <cell r="M4052">
            <v>1315</v>
          </cell>
          <cell r="P4052">
            <v>1.6968859315589355</v>
          </cell>
        </row>
        <row r="4053">
          <cell r="A4053" t="str">
            <v>BPB-044-BP17010-04</v>
          </cell>
          <cell r="G4053" t="str">
            <v xml:space="preserve">INAC </v>
          </cell>
          <cell r="L4053">
            <v>45902</v>
          </cell>
          <cell r="M4053">
            <v>1385</v>
          </cell>
          <cell r="P4053">
            <v>0.5703971119133574</v>
          </cell>
        </row>
        <row r="4054">
          <cell r="A4054" t="str">
            <v>BPB-044-BP17010-04A</v>
          </cell>
          <cell r="G4054" t="str">
            <v>IPFAP</v>
          </cell>
          <cell r="L4054">
            <v>43118</v>
          </cell>
          <cell r="M4054">
            <v>19.2</v>
          </cell>
          <cell r="P4054">
            <v>0.625</v>
          </cell>
        </row>
        <row r="4055">
          <cell r="A4055" t="str">
            <v>BPB-044-BP17010-05</v>
          </cell>
          <cell r="G4055" t="str">
            <v>INPEE</v>
          </cell>
          <cell r="L4055">
            <v>45874</v>
          </cell>
          <cell r="M4055">
            <v>1370</v>
          </cell>
          <cell r="P4055">
            <v>0.18</v>
          </cell>
        </row>
        <row r="4056">
          <cell r="A4056" t="str">
            <v>BPB-044-BP17011-01</v>
          </cell>
          <cell r="G4056" t="str">
            <v>VPRet</v>
          </cell>
          <cell r="L4056">
            <v>43182</v>
          </cell>
          <cell r="M4056">
            <v>20.61</v>
          </cell>
          <cell r="P4056">
            <v>7.046948083454633</v>
          </cell>
        </row>
        <row r="4057">
          <cell r="A4057" t="str">
            <v>BPB-044-BP17011-A1</v>
          </cell>
          <cell r="G4057" t="str">
            <v>vpret</v>
          </cell>
          <cell r="L4057">
            <v>43140</v>
          </cell>
          <cell r="M4057">
            <v>20.23</v>
          </cell>
          <cell r="P4057">
            <v>5.8940978744438954</v>
          </cell>
        </row>
        <row r="4058">
          <cell r="A4058" t="str">
            <v>BPB-044-BP17011-B1</v>
          </cell>
          <cell r="G4058" t="str">
            <v>InRet</v>
          </cell>
          <cell r="L4058">
            <v>43180</v>
          </cell>
          <cell r="M4058">
            <v>20.57</v>
          </cell>
          <cell r="P4058">
            <v>7.0606514341273696</v>
          </cell>
        </row>
        <row r="4059">
          <cell r="A4059" t="str">
            <v>BPB-044-M041300001</v>
          </cell>
          <cell r="G4059" t="str">
            <v>vpret</v>
          </cell>
          <cell r="L4059">
            <v>45996</v>
          </cell>
          <cell r="M4059">
            <v>1470</v>
          </cell>
          <cell r="P4059">
            <v>2.9007564625850342</v>
          </cell>
        </row>
        <row r="4060">
          <cell r="A4060" t="str">
            <v>BPB-045-BP-19001-01</v>
          </cell>
          <cell r="G4060" t="str">
            <v>IDESP</v>
          </cell>
          <cell r="L4060">
            <v>44204</v>
          </cell>
          <cell r="M4060">
            <v>90</v>
          </cell>
          <cell r="P4060">
            <v>0.34</v>
          </cell>
        </row>
        <row r="4061">
          <cell r="A4061" t="str">
            <v>BPB-045-PF-203</v>
          </cell>
          <cell r="G4061" t="str">
            <v>IPFAB</v>
          </cell>
          <cell r="L4061">
            <v>40785</v>
          </cell>
          <cell r="M4061">
            <v>4.22</v>
          </cell>
          <cell r="P4061">
            <v>0.40899999999999997</v>
          </cell>
        </row>
        <row r="4062">
          <cell r="A4062" t="str">
            <v>BPB-045-PF-3-ZM</v>
          </cell>
          <cell r="G4062" t="str">
            <v xml:space="preserve">CR   </v>
          </cell>
          <cell r="L4062">
            <v>41547.999988425923</v>
          </cell>
          <cell r="M4062">
            <v>5.79</v>
          </cell>
          <cell r="P4062">
            <v>3.4542314335060449E-2</v>
          </cell>
        </row>
        <row r="4063">
          <cell r="A4063" t="str">
            <v>BPB-045-PF-4-ZM</v>
          </cell>
          <cell r="G4063" t="str">
            <v>IDESP</v>
          </cell>
          <cell r="L4063">
            <v>44333</v>
          </cell>
          <cell r="M4063">
            <v>99</v>
          </cell>
          <cell r="P4063">
            <v>0.68</v>
          </cell>
        </row>
        <row r="4064">
          <cell r="A4064" t="str">
            <v>BPB-045-PF-5-ZM</v>
          </cell>
          <cell r="G4064" t="str">
            <v xml:space="preserve">INAC </v>
          </cell>
          <cell r="L4064">
            <v>45254</v>
          </cell>
          <cell r="M4064">
            <v>372.5</v>
          </cell>
          <cell r="P4064">
            <v>0.82421476510067104</v>
          </cell>
        </row>
        <row r="4065">
          <cell r="A4065" t="str">
            <v>BPB-045-PF-6-ZM</v>
          </cell>
          <cell r="G4065" t="str">
            <v>INDEV</v>
          </cell>
          <cell r="L4065">
            <v>41456</v>
          </cell>
          <cell r="M4065">
            <v>5.39</v>
          </cell>
          <cell r="P4065">
            <v>0.54966604823747678</v>
          </cell>
        </row>
        <row r="4066">
          <cell r="A4066" t="str">
            <v>BPB-045-PF-7-ZM</v>
          </cell>
          <cell r="G4066" t="str">
            <v xml:space="preserve">INAC </v>
          </cell>
          <cell r="L4066">
            <v>45488</v>
          </cell>
          <cell r="M4066">
            <v>940</v>
          </cell>
          <cell r="P4066">
            <v>1.7889720212765958</v>
          </cell>
        </row>
        <row r="4067">
          <cell r="A4067" t="str">
            <v>BPB-045-PF-8-ZM</v>
          </cell>
          <cell r="G4067" t="str">
            <v xml:space="preserve">INAC </v>
          </cell>
          <cell r="L4067">
            <v>41996</v>
          </cell>
          <cell r="M4067">
            <v>8.58</v>
          </cell>
          <cell r="P4067">
            <v>1.5406060606060608</v>
          </cell>
        </row>
        <row r="4068">
          <cell r="A4068" t="str">
            <v>BPB-045-PFD-5-Z</v>
          </cell>
          <cell r="G4068" t="str">
            <v>IDESP</v>
          </cell>
          <cell r="L4068">
            <v>43278</v>
          </cell>
          <cell r="M4068">
            <v>27.6</v>
          </cell>
          <cell r="P4068">
            <v>0.78</v>
          </cell>
        </row>
        <row r="4069">
          <cell r="A4069" t="str">
            <v>BPB-045-PFF-10-ZM</v>
          </cell>
          <cell r="G4069" t="str">
            <v>IPFAB</v>
          </cell>
          <cell r="L4069">
            <v>42782</v>
          </cell>
          <cell r="M4069">
            <v>15.8</v>
          </cell>
          <cell r="P4069">
            <v>3.0449000000000002</v>
          </cell>
        </row>
        <row r="4070">
          <cell r="A4070" t="str">
            <v>BPB-045-PFF-11-ZM</v>
          </cell>
          <cell r="G4070" t="str">
            <v>IDESP</v>
          </cell>
          <cell r="L4070">
            <v>44333</v>
          </cell>
          <cell r="M4070">
            <v>99</v>
          </cell>
          <cell r="P4070">
            <v>2.83</v>
          </cell>
        </row>
        <row r="4071">
          <cell r="A4071" t="str">
            <v>BPB-045-PFF-6-Z</v>
          </cell>
          <cell r="G4071" t="str">
            <v>IPFAB</v>
          </cell>
          <cell r="L4071">
            <v>40605</v>
          </cell>
          <cell r="M4071">
            <v>4.0599999999999996</v>
          </cell>
          <cell r="P4071">
            <v>0.68899999999999995</v>
          </cell>
        </row>
        <row r="4072">
          <cell r="A4072" t="str">
            <v>BPB-045-PFF-7-ZM</v>
          </cell>
          <cell r="G4072" t="str">
            <v xml:space="preserve">INSI </v>
          </cell>
          <cell r="L4072">
            <v>42746</v>
          </cell>
          <cell r="M4072">
            <v>16.329999999999998</v>
          </cell>
          <cell r="P4072">
            <v>0.24129999999999999</v>
          </cell>
        </row>
        <row r="4073">
          <cell r="A4073" t="str">
            <v>BPB-045-PFF-8-ZM</v>
          </cell>
          <cell r="G4073" t="str">
            <v>IDESP</v>
          </cell>
          <cell r="L4073">
            <v>44333</v>
          </cell>
          <cell r="M4073">
            <v>99</v>
          </cell>
          <cell r="P4073">
            <v>2.13</v>
          </cell>
        </row>
        <row r="4074">
          <cell r="A4074" t="str">
            <v>BPB-045-PFF-9-M</v>
          </cell>
          <cell r="G4074" t="str">
            <v>vpret</v>
          </cell>
          <cell r="L4074">
            <v>45965</v>
          </cell>
          <cell r="M4074">
            <v>1500</v>
          </cell>
          <cell r="P4074">
            <v>2.8516666666666666</v>
          </cell>
        </row>
        <row r="4075">
          <cell r="A4075" t="str">
            <v>BPB-045-PFF-9-ZM</v>
          </cell>
          <cell r="G4075" t="str">
            <v>IDESP</v>
          </cell>
          <cell r="L4075">
            <v>44174</v>
          </cell>
          <cell r="M4075">
            <v>86.75</v>
          </cell>
          <cell r="P4075">
            <v>2.73</v>
          </cell>
        </row>
        <row r="4076">
          <cell r="A4076" t="str">
            <v>BPB-045-PFL-4-ZM</v>
          </cell>
          <cell r="G4076" t="str">
            <v>IDESP</v>
          </cell>
          <cell r="L4076">
            <v>41621</v>
          </cell>
          <cell r="M4076">
            <v>6.28</v>
          </cell>
          <cell r="P4076">
            <v>0.33</v>
          </cell>
        </row>
        <row r="4077">
          <cell r="A4077" t="str">
            <v>BPB-045-PFL-5-Z</v>
          </cell>
          <cell r="G4077" t="str">
            <v xml:space="preserve">INSI </v>
          </cell>
          <cell r="L4077">
            <v>44635</v>
          </cell>
          <cell r="M4077">
            <v>114.25</v>
          </cell>
          <cell r="P4077">
            <v>0.51</v>
          </cell>
        </row>
        <row r="4078">
          <cell r="A4078" t="str">
            <v>BPB-045-PFL-6-ZM</v>
          </cell>
          <cell r="G4078" t="str">
            <v>InRet</v>
          </cell>
          <cell r="L4078">
            <v>45191</v>
          </cell>
          <cell r="M4078">
            <v>365.5</v>
          </cell>
          <cell r="P4078">
            <v>6.0342818057455547</v>
          </cell>
        </row>
        <row r="4079">
          <cell r="A4079" t="str">
            <v>BPB-045-PFL-8-ZM</v>
          </cell>
          <cell r="G4079" t="str">
            <v>IDESP</v>
          </cell>
          <cell r="L4079">
            <v>44174</v>
          </cell>
          <cell r="M4079">
            <v>86.75</v>
          </cell>
          <cell r="P4079">
            <v>1.4473</v>
          </cell>
        </row>
        <row r="4080">
          <cell r="A4080" t="str">
            <v>BPB-045-PFL-KRR6</v>
          </cell>
          <cell r="G4080" t="str">
            <v xml:space="preserve">INSI </v>
          </cell>
          <cell r="L4080">
            <v>43395</v>
          </cell>
          <cell r="M4080">
            <v>37.5</v>
          </cell>
          <cell r="P4080">
            <v>1</v>
          </cell>
        </row>
        <row r="4081">
          <cell r="A4081" t="str">
            <v>BPB-045-PFS-6-Z</v>
          </cell>
          <cell r="G4081" t="str">
            <v>InRet</v>
          </cell>
          <cell r="L4081">
            <v>40274</v>
          </cell>
          <cell r="M4081">
            <v>3.89</v>
          </cell>
          <cell r="P4081">
            <v>0.64267352185089976</v>
          </cell>
        </row>
        <row r="4082">
          <cell r="A4082" t="str">
            <v>BPB-045-PFT-4-ZM</v>
          </cell>
          <cell r="G4082" t="str">
            <v>IDESP</v>
          </cell>
          <cell r="L4082">
            <v>43292</v>
          </cell>
          <cell r="M4082">
            <v>27.8</v>
          </cell>
          <cell r="P4082">
            <v>0.52</v>
          </cell>
        </row>
        <row r="4083">
          <cell r="A4083" t="str">
            <v>BPB-045-PFT-5-ZM</v>
          </cell>
          <cell r="G4083" t="str">
            <v>IDESP</v>
          </cell>
          <cell r="L4083">
            <v>44333</v>
          </cell>
          <cell r="M4083">
            <v>99</v>
          </cell>
          <cell r="P4083">
            <v>0.55000000000000004</v>
          </cell>
        </row>
        <row r="4084">
          <cell r="A4084" t="str">
            <v>BPB-045-PFT-6-ZM</v>
          </cell>
          <cell r="G4084" t="str">
            <v>IPFAB</v>
          </cell>
          <cell r="L4084">
            <v>42915</v>
          </cell>
          <cell r="M4084">
            <v>16.68</v>
          </cell>
          <cell r="P4084">
            <v>0.64</v>
          </cell>
        </row>
        <row r="4085">
          <cell r="A4085" t="str">
            <v>BPB-045-PFT-7-ZM</v>
          </cell>
          <cell r="G4085" t="str">
            <v>IDESP</v>
          </cell>
          <cell r="L4085">
            <v>43116</v>
          </cell>
          <cell r="M4085">
            <v>19.09</v>
          </cell>
          <cell r="P4085">
            <v>0.97</v>
          </cell>
        </row>
        <row r="4086">
          <cell r="A4086" t="str">
            <v>BPB-045-PFX-7-Z</v>
          </cell>
          <cell r="G4086" t="str">
            <v xml:space="preserve">INAC </v>
          </cell>
          <cell r="L4086">
            <v>43515</v>
          </cell>
          <cell r="M4086">
            <v>39.700000000000003</v>
          </cell>
          <cell r="P4086">
            <v>1.1528387909319897</v>
          </cell>
        </row>
        <row r="4087">
          <cell r="A4087" t="str">
            <v>BPB-045-PP-4-Z</v>
          </cell>
          <cell r="G4087" t="str">
            <v>IPFAB</v>
          </cell>
          <cell r="L4087">
            <v>42782</v>
          </cell>
          <cell r="M4087">
            <v>15.8</v>
          </cell>
          <cell r="P4087">
            <v>0.6008</v>
          </cell>
        </row>
        <row r="4088">
          <cell r="A4088" t="str">
            <v>BPB-045-PP-5-Z</v>
          </cell>
          <cell r="G4088" t="str">
            <v>IDESP</v>
          </cell>
          <cell r="L4088">
            <v>40378</v>
          </cell>
          <cell r="M4088">
            <v>3.95</v>
          </cell>
          <cell r="P4088">
            <v>0.38600000000000001</v>
          </cell>
        </row>
        <row r="4089">
          <cell r="A4089" t="str">
            <v>BPB-045-PP-6-Z</v>
          </cell>
          <cell r="G4089" t="str">
            <v>IPFAB</v>
          </cell>
          <cell r="L4089">
            <v>40645</v>
          </cell>
          <cell r="M4089">
            <v>4.08</v>
          </cell>
          <cell r="P4089">
            <v>0.49399999999999999</v>
          </cell>
        </row>
        <row r="4090">
          <cell r="A4090" t="str">
            <v>BPB-045-PP-7-Z</v>
          </cell>
          <cell r="G4090" t="str">
            <v>IDESP</v>
          </cell>
          <cell r="L4090">
            <v>41212</v>
          </cell>
          <cell r="M4090">
            <v>4.76</v>
          </cell>
          <cell r="P4090">
            <v>0.86</v>
          </cell>
        </row>
        <row r="4091">
          <cell r="A4091" t="str">
            <v>BPB-046-6204-2RS-RC</v>
          </cell>
          <cell r="G4091" t="str">
            <v>vpret</v>
          </cell>
          <cell r="L4091">
            <v>45607</v>
          </cell>
          <cell r="M4091">
            <v>1016.5</v>
          </cell>
          <cell r="P4091">
            <v>1.0140973930152484</v>
          </cell>
        </row>
        <row r="4092">
          <cell r="A4092" t="str">
            <v>BPB-046-SABF205-25L</v>
          </cell>
          <cell r="G4092" t="str">
            <v>IDESP</v>
          </cell>
          <cell r="L4092">
            <v>43255</v>
          </cell>
          <cell r="M4092">
            <v>25.4</v>
          </cell>
          <cell r="P4092">
            <v>1.75</v>
          </cell>
        </row>
        <row r="4093">
          <cell r="A4093" t="str">
            <v>BPB-046-SABF206-30L</v>
          </cell>
          <cell r="G4093" t="str">
            <v>IDESP</v>
          </cell>
          <cell r="L4093">
            <v>43446</v>
          </cell>
          <cell r="M4093">
            <v>38.700000000000003</v>
          </cell>
          <cell r="P4093">
            <v>3.02</v>
          </cell>
        </row>
        <row r="4094">
          <cell r="A4094" t="str">
            <v>BPB-046-SABF207-35L</v>
          </cell>
          <cell r="G4094" t="str">
            <v>IDESP</v>
          </cell>
          <cell r="L4094">
            <v>43446</v>
          </cell>
          <cell r="M4094">
            <v>38.700000000000003</v>
          </cell>
          <cell r="P4094">
            <v>3.78</v>
          </cell>
        </row>
        <row r="4095">
          <cell r="A4095" t="str">
            <v>BPB-046-SABF208-40L</v>
          </cell>
          <cell r="G4095" t="str">
            <v>IDESP</v>
          </cell>
          <cell r="L4095">
            <v>43446</v>
          </cell>
          <cell r="M4095">
            <v>38.700000000000003</v>
          </cell>
          <cell r="P4095">
            <v>4.66</v>
          </cell>
        </row>
        <row r="4096">
          <cell r="A4096" t="str">
            <v>BPB-046-SABF209-45L</v>
          </cell>
          <cell r="G4096" t="str">
            <v>IDESP</v>
          </cell>
          <cell r="L4096">
            <v>43446</v>
          </cell>
          <cell r="M4096">
            <v>38.700000000000003</v>
          </cell>
          <cell r="P4096">
            <v>5.9</v>
          </cell>
        </row>
        <row r="4097">
          <cell r="A4097" t="str">
            <v>BPB-046-SABF210-50L</v>
          </cell>
          <cell r="G4097" t="str">
            <v>IDESP</v>
          </cell>
          <cell r="L4097">
            <v>43446</v>
          </cell>
          <cell r="M4097">
            <v>38.700000000000003</v>
          </cell>
          <cell r="P4097">
            <v>6.19</v>
          </cell>
        </row>
        <row r="4098">
          <cell r="A4098" t="str">
            <v>BPB-046-SABF213-65L</v>
          </cell>
          <cell r="G4098" t="str">
            <v>IDESP</v>
          </cell>
          <cell r="L4098">
            <v>43438</v>
          </cell>
          <cell r="M4098">
            <v>37.4</v>
          </cell>
          <cell r="P4098">
            <v>12.58</v>
          </cell>
        </row>
        <row r="4099">
          <cell r="A4099" t="str">
            <v>BPB-046-SABFB209-45L</v>
          </cell>
          <cell r="G4099" t="str">
            <v>IPFAP</v>
          </cell>
          <cell r="L4099">
            <v>44469</v>
          </cell>
          <cell r="M4099">
            <v>103.75</v>
          </cell>
          <cell r="P4099">
            <v>7.39</v>
          </cell>
        </row>
        <row r="4100">
          <cell r="A4100" t="str">
            <v>BPB-046-SABFC206-30L</v>
          </cell>
          <cell r="G4100" t="str">
            <v>IDESP</v>
          </cell>
          <cell r="L4100">
            <v>43255</v>
          </cell>
          <cell r="M4100">
            <v>25.4</v>
          </cell>
          <cell r="P4100">
            <v>3.15</v>
          </cell>
        </row>
        <row r="4101">
          <cell r="A4101" t="str">
            <v>BPB-046-SABFC208-40L</v>
          </cell>
          <cell r="G4101" t="str">
            <v>IDESP</v>
          </cell>
          <cell r="L4101">
            <v>43446</v>
          </cell>
          <cell r="M4101">
            <v>38.700000000000003</v>
          </cell>
          <cell r="P4101">
            <v>5.49</v>
          </cell>
        </row>
        <row r="4102">
          <cell r="A4102" t="str">
            <v>BPB-046-SABFL204-20L</v>
          </cell>
          <cell r="G4102" t="str">
            <v xml:space="preserve">INAC </v>
          </cell>
          <cell r="L4102">
            <v>43734</v>
          </cell>
          <cell r="M4102">
            <v>58.5</v>
          </cell>
          <cell r="P4102">
            <v>2.847863247863248</v>
          </cell>
        </row>
        <row r="4103">
          <cell r="A4103" t="str">
            <v>BPB-046-SABFL205-25L</v>
          </cell>
          <cell r="G4103" t="str">
            <v>IPFAP</v>
          </cell>
          <cell r="L4103">
            <v>43852</v>
          </cell>
          <cell r="M4103">
            <v>63</v>
          </cell>
          <cell r="P4103">
            <v>2.2188888888888889</v>
          </cell>
        </row>
        <row r="4104">
          <cell r="A4104" t="str">
            <v>BPB-046-SABFL206-30L</v>
          </cell>
          <cell r="G4104" t="str">
            <v>IDESP</v>
          </cell>
          <cell r="L4104">
            <v>43446</v>
          </cell>
          <cell r="M4104">
            <v>38.700000000000003</v>
          </cell>
          <cell r="P4104">
            <v>2.79</v>
          </cell>
        </row>
        <row r="4105">
          <cell r="A4105" t="str">
            <v>BPB-046-SABFL207-35L</v>
          </cell>
          <cell r="G4105" t="str">
            <v>IDESP</v>
          </cell>
          <cell r="L4105">
            <v>43438</v>
          </cell>
          <cell r="M4105">
            <v>37.4</v>
          </cell>
          <cell r="P4105">
            <v>3.4</v>
          </cell>
        </row>
        <row r="4106">
          <cell r="A4106" t="str">
            <v>BPB-046-SABP205-25L</v>
          </cell>
          <cell r="G4106" t="str">
            <v>IDESP</v>
          </cell>
          <cell r="L4106">
            <v>43446</v>
          </cell>
          <cell r="M4106">
            <v>38.700000000000003</v>
          </cell>
          <cell r="P4106">
            <v>2.04</v>
          </cell>
        </row>
        <row r="4107">
          <cell r="A4107" t="str">
            <v>BPB-046-SABP206-30L</v>
          </cell>
          <cell r="G4107" t="str">
            <v>IDESP</v>
          </cell>
          <cell r="L4107">
            <v>43446</v>
          </cell>
          <cell r="M4107">
            <v>38.700000000000003</v>
          </cell>
          <cell r="P4107">
            <v>3.04</v>
          </cell>
        </row>
        <row r="4108">
          <cell r="A4108" t="str">
            <v>BPB-046-SABP207-35L</v>
          </cell>
          <cell r="G4108" t="str">
            <v>IDESP</v>
          </cell>
          <cell r="L4108">
            <v>43255</v>
          </cell>
          <cell r="M4108">
            <v>25.4</v>
          </cell>
          <cell r="P4108">
            <v>3.76</v>
          </cell>
        </row>
        <row r="4109">
          <cell r="A4109" t="str">
            <v>BPB-046-SABP208-40L</v>
          </cell>
          <cell r="G4109" t="str">
            <v>IDESP</v>
          </cell>
          <cell r="L4109">
            <v>43255</v>
          </cell>
          <cell r="M4109">
            <v>25.4</v>
          </cell>
          <cell r="P4109">
            <v>4.08</v>
          </cell>
        </row>
        <row r="4110">
          <cell r="A4110" t="str">
            <v>BPB-046-SABP209-45L</v>
          </cell>
          <cell r="G4110" t="str">
            <v>IPFAP</v>
          </cell>
          <cell r="L4110">
            <v>43649</v>
          </cell>
          <cell r="M4110">
            <v>43.2</v>
          </cell>
          <cell r="P4110">
            <v>5.1899999999999995</v>
          </cell>
        </row>
        <row r="4111">
          <cell r="A4111" t="str">
            <v>BPB-046-SABP210-50L</v>
          </cell>
          <cell r="G4111" t="str">
            <v>IDESP</v>
          </cell>
          <cell r="L4111">
            <v>43255</v>
          </cell>
          <cell r="M4111">
            <v>25.4</v>
          </cell>
          <cell r="P4111">
            <v>6.19</v>
          </cell>
        </row>
        <row r="4112">
          <cell r="A4112" t="str">
            <v>BPB-046-SABP213-65L</v>
          </cell>
          <cell r="G4112" t="str">
            <v>IDESP</v>
          </cell>
          <cell r="L4112">
            <v>43462</v>
          </cell>
          <cell r="M4112">
            <v>39.299999999999997</v>
          </cell>
          <cell r="P4112">
            <v>12.43</v>
          </cell>
        </row>
        <row r="4113">
          <cell r="A4113" t="str">
            <v>BPB-046-SABP214-70L</v>
          </cell>
          <cell r="G4113" t="str">
            <v>IDESP</v>
          </cell>
          <cell r="L4113">
            <v>43438</v>
          </cell>
          <cell r="M4113">
            <v>37.4</v>
          </cell>
          <cell r="P4113">
            <v>14.37</v>
          </cell>
        </row>
        <row r="4114">
          <cell r="A4114" t="str">
            <v>BPB-047-32217</v>
          </cell>
          <cell r="G4114" t="str">
            <v xml:space="preserve">INAC </v>
          </cell>
          <cell r="L4114">
            <v>39198</v>
          </cell>
          <cell r="M4114">
            <v>3.0859999999999999</v>
          </cell>
          <cell r="P4114">
            <v>14.154244977316916</v>
          </cell>
        </row>
        <row r="4115">
          <cell r="A4115" t="str">
            <v>BPB-047-ACL-206-19</v>
          </cell>
          <cell r="G4115" t="str">
            <v>VPRet</v>
          </cell>
          <cell r="L4115">
            <v>42971</v>
          </cell>
          <cell r="M4115">
            <v>17.59</v>
          </cell>
          <cell r="P4115">
            <v>3.7106101193860148</v>
          </cell>
        </row>
        <row r="4116">
          <cell r="A4116" t="str">
            <v>BPB-047-ACL-207-23</v>
          </cell>
          <cell r="G4116" t="str">
            <v xml:space="preserve">CR   </v>
          </cell>
          <cell r="L4116">
            <v>43126.703275462962</v>
          </cell>
          <cell r="M4116">
            <v>19.86</v>
          </cell>
          <cell r="P4116">
            <v>2.3571500503524674</v>
          </cell>
        </row>
        <row r="4117">
          <cell r="A4117" t="str">
            <v>BPB-047-ACL-207-35DG</v>
          </cell>
          <cell r="G4117" t="str">
            <v>IDESP</v>
          </cell>
          <cell r="L4117">
            <v>44932</v>
          </cell>
          <cell r="M4117">
            <v>185.75</v>
          </cell>
          <cell r="P4117">
            <v>3.84</v>
          </cell>
        </row>
        <row r="4118">
          <cell r="A4118" t="str">
            <v>BPB-047-ACL-207-35mm</v>
          </cell>
          <cell r="G4118" t="str">
            <v>INDEV</v>
          </cell>
          <cell r="L4118">
            <v>40934</v>
          </cell>
          <cell r="M4118">
            <v>4.3499999999999996</v>
          </cell>
          <cell r="P4118">
            <v>2.67</v>
          </cell>
        </row>
        <row r="4119">
          <cell r="A4119" t="str">
            <v>BPB-047-ACL-210-50mm</v>
          </cell>
          <cell r="G4119" t="str">
            <v>IPFAB</v>
          </cell>
          <cell r="L4119">
            <v>41177</v>
          </cell>
          <cell r="M4119">
            <v>4.6900000000000004</v>
          </cell>
          <cell r="P4119">
            <v>5.23</v>
          </cell>
        </row>
        <row r="4120">
          <cell r="A4120" t="str">
            <v>BPB-047-ACL205-14RG</v>
          </cell>
          <cell r="G4120" t="str">
            <v>VPRet</v>
          </cell>
          <cell r="L4120">
            <v>42965</v>
          </cell>
          <cell r="M4120">
            <v>17.64</v>
          </cell>
          <cell r="P4120">
            <v>3.0596390022675735</v>
          </cell>
        </row>
        <row r="4121">
          <cell r="A4121" t="str">
            <v>BPB-047-ACL205-16RG</v>
          </cell>
          <cell r="G4121" t="str">
            <v>VPPRT</v>
          </cell>
          <cell r="L4121">
            <v>44622</v>
          </cell>
          <cell r="M4121">
            <v>112.5</v>
          </cell>
          <cell r="P4121">
            <v>2.09</v>
          </cell>
        </row>
        <row r="4122">
          <cell r="A4122" t="str">
            <v>BPB-047-ACL205-16RR</v>
          </cell>
          <cell r="G4122" t="str">
            <v>VPPRT</v>
          </cell>
          <cell r="L4122">
            <v>44564</v>
          </cell>
          <cell r="M4122">
            <v>107.75</v>
          </cell>
          <cell r="P4122">
            <v>2.12</v>
          </cell>
        </row>
        <row r="4123">
          <cell r="A4123" t="str">
            <v>BPB-047-ACL206-20</v>
          </cell>
          <cell r="G4123" t="str">
            <v>vpret</v>
          </cell>
          <cell r="L4123">
            <v>46003</v>
          </cell>
          <cell r="M4123">
            <v>1460</v>
          </cell>
          <cell r="P4123">
            <v>3.0743</v>
          </cell>
        </row>
        <row r="4124">
          <cell r="A4124" t="str">
            <v>BPB-047-ACL206-30RG</v>
          </cell>
          <cell r="G4124" t="str">
            <v>VPPRT</v>
          </cell>
          <cell r="L4124">
            <v>44677</v>
          </cell>
          <cell r="M4124">
            <v>119.5</v>
          </cell>
          <cell r="P4124">
            <v>2.86</v>
          </cell>
        </row>
        <row r="4125">
          <cell r="A4125" t="str">
            <v>BPB-047-ACL206-30RR1</v>
          </cell>
          <cell r="G4125" t="str">
            <v>VPPRT</v>
          </cell>
          <cell r="L4125">
            <v>44677</v>
          </cell>
          <cell r="M4125">
            <v>119.5</v>
          </cell>
          <cell r="P4125">
            <v>2.58</v>
          </cell>
        </row>
        <row r="4126">
          <cell r="A4126" t="str">
            <v>BPB-047-ACL207-35R1</v>
          </cell>
          <cell r="G4126" t="str">
            <v>IDESP</v>
          </cell>
          <cell r="L4126">
            <v>43936</v>
          </cell>
          <cell r="M4126">
            <v>66.75</v>
          </cell>
          <cell r="P4126">
            <v>3.72</v>
          </cell>
        </row>
        <row r="4127">
          <cell r="A4127" t="str">
            <v>BPB-047-ACL208-24RG</v>
          </cell>
          <cell r="G4127" t="str">
            <v>VPPRT</v>
          </cell>
          <cell r="L4127">
            <v>44622</v>
          </cell>
          <cell r="M4127">
            <v>112.5</v>
          </cell>
          <cell r="P4127">
            <v>4.63</v>
          </cell>
        </row>
        <row r="4128">
          <cell r="A4128" t="str">
            <v>BPB-047-ACLR-207-35m</v>
          </cell>
          <cell r="G4128" t="str">
            <v>IDESP</v>
          </cell>
          <cell r="L4128">
            <v>43899</v>
          </cell>
          <cell r="M4128">
            <v>64</v>
          </cell>
          <cell r="P4128">
            <v>3.72</v>
          </cell>
        </row>
        <row r="4129">
          <cell r="A4129" t="str">
            <v>BPB-047-AH213902</v>
          </cell>
          <cell r="G4129" t="str">
            <v>IDESP</v>
          </cell>
          <cell r="L4129">
            <v>40490</v>
          </cell>
          <cell r="M4129">
            <v>3.98</v>
          </cell>
          <cell r="P4129">
            <v>10.76</v>
          </cell>
        </row>
        <row r="4130">
          <cell r="A4130" t="str">
            <v>BPB-047-ASL-203-17mm</v>
          </cell>
          <cell r="G4130" t="str">
            <v xml:space="preserve">INAC </v>
          </cell>
          <cell r="L4130">
            <v>45866</v>
          </cell>
          <cell r="M4130">
            <v>1295</v>
          </cell>
          <cell r="P4130">
            <v>8.1081081081081088</v>
          </cell>
        </row>
        <row r="4131">
          <cell r="A4131" t="str">
            <v>BPB-047-ASL-205-16-D</v>
          </cell>
          <cell r="G4131" t="str">
            <v>IPFAP</v>
          </cell>
          <cell r="L4131">
            <v>44645</v>
          </cell>
          <cell r="M4131">
            <v>115.5</v>
          </cell>
          <cell r="P4131">
            <v>1.43</v>
          </cell>
        </row>
        <row r="4132">
          <cell r="A4132" t="str">
            <v>BPB-047-ASL-207-35mm</v>
          </cell>
          <cell r="G4132" t="str">
            <v xml:space="preserve">INAC </v>
          </cell>
          <cell r="L4132">
            <v>42053</v>
          </cell>
          <cell r="M4132">
            <v>8.7100000000000009</v>
          </cell>
          <cell r="P4132">
            <v>6.0413318025258311</v>
          </cell>
        </row>
        <row r="4133">
          <cell r="A4133" t="str">
            <v>BPB-047-ASL207-35RR</v>
          </cell>
          <cell r="G4133" t="str">
            <v>IDESP</v>
          </cell>
          <cell r="L4133">
            <v>44932</v>
          </cell>
          <cell r="M4133">
            <v>185.75</v>
          </cell>
          <cell r="P4133">
            <v>2.84</v>
          </cell>
        </row>
        <row r="4134">
          <cell r="A4134" t="str">
            <v>BPB-047-ASLR205-16</v>
          </cell>
          <cell r="G4134" t="str">
            <v>IDESP</v>
          </cell>
          <cell r="L4134">
            <v>43936</v>
          </cell>
          <cell r="M4134">
            <v>66.75</v>
          </cell>
          <cell r="P4134">
            <v>1.43</v>
          </cell>
        </row>
        <row r="4135">
          <cell r="A4135" t="str">
            <v>BPB-047-ASLR209-27R</v>
          </cell>
          <cell r="G4135" t="str">
            <v xml:space="preserve">INSI </v>
          </cell>
          <cell r="L4135">
            <v>39952</v>
          </cell>
          <cell r="M4135">
            <v>3.74</v>
          </cell>
          <cell r="P4135">
            <v>1.91</v>
          </cell>
        </row>
        <row r="4136">
          <cell r="A4136" t="str">
            <v>BPB-047-BP-18011</v>
          </cell>
          <cell r="G4136" t="str">
            <v>IDESP</v>
          </cell>
          <cell r="L4136">
            <v>44847</v>
          </cell>
          <cell r="M4136">
            <v>157.25</v>
          </cell>
          <cell r="P4136">
            <v>10.98</v>
          </cell>
        </row>
        <row r="4137">
          <cell r="A4137" t="str">
            <v>BPB-047-BP-18011-A</v>
          </cell>
          <cell r="G4137" t="str">
            <v>InTer</v>
          </cell>
          <cell r="L4137">
            <v>43565</v>
          </cell>
          <cell r="M4137">
            <v>44.5</v>
          </cell>
          <cell r="P4137">
            <v>2.247191011235955E-2</v>
          </cell>
        </row>
        <row r="4138">
          <cell r="A4138" t="str">
            <v>BPB-047-BRIDASL207</v>
          </cell>
          <cell r="G4138" t="str">
            <v>IDESP</v>
          </cell>
          <cell r="L4138">
            <v>40632</v>
          </cell>
          <cell r="M4138">
            <v>4.07</v>
          </cell>
          <cell r="P4138">
            <v>0.73</v>
          </cell>
        </row>
        <row r="4139">
          <cell r="A4139" t="str">
            <v>BPB-047-ECL-204-20MM</v>
          </cell>
          <cell r="G4139" t="str">
            <v>IDESP</v>
          </cell>
          <cell r="L4139">
            <v>40554</v>
          </cell>
          <cell r="M4139">
            <v>4</v>
          </cell>
          <cell r="P4139">
            <v>1.1621999999999999</v>
          </cell>
        </row>
        <row r="4140">
          <cell r="A4140" t="str">
            <v>BPB-047-ECL-205-14-D</v>
          </cell>
          <cell r="G4140" t="str">
            <v>IDESP</v>
          </cell>
          <cell r="L4140">
            <v>41430</v>
          </cell>
          <cell r="M4140">
            <v>5.29</v>
          </cell>
          <cell r="P4140">
            <v>1.54</v>
          </cell>
        </row>
        <row r="4141">
          <cell r="A4141" t="str">
            <v>BPB-047-ECL-205-15-D</v>
          </cell>
          <cell r="G4141" t="str">
            <v>IDESP</v>
          </cell>
          <cell r="L4141">
            <v>43985</v>
          </cell>
          <cell r="M4141">
            <v>70.5</v>
          </cell>
          <cell r="P4141">
            <v>2.0529999999999999</v>
          </cell>
        </row>
        <row r="4142">
          <cell r="A4142" t="str">
            <v>BPB-047-ECL-206-20-D</v>
          </cell>
          <cell r="G4142" t="str">
            <v>IDESP</v>
          </cell>
          <cell r="L4142">
            <v>40154</v>
          </cell>
          <cell r="M4142">
            <v>3.82</v>
          </cell>
          <cell r="P4142">
            <v>1.8144</v>
          </cell>
        </row>
        <row r="4143">
          <cell r="A4143" t="str">
            <v>BPB-047-ECL-206-20DG</v>
          </cell>
          <cell r="G4143" t="str">
            <v>IPFAB</v>
          </cell>
          <cell r="L4143">
            <v>40113</v>
          </cell>
          <cell r="M4143">
            <v>3.83</v>
          </cell>
          <cell r="P4143">
            <v>0.26109700000000002</v>
          </cell>
        </row>
        <row r="4144">
          <cell r="A4144" t="str">
            <v>BPB-047-ECL-206-30MM</v>
          </cell>
          <cell r="G4144" t="str">
            <v>IDESP</v>
          </cell>
          <cell r="L4144">
            <v>45776</v>
          </cell>
          <cell r="M4144">
            <v>1190</v>
          </cell>
          <cell r="P4144">
            <v>2.74</v>
          </cell>
        </row>
        <row r="4145">
          <cell r="A4145" t="str">
            <v>BPB-047-ECL-207-22-D</v>
          </cell>
          <cell r="G4145" t="str">
            <v>VPPRT</v>
          </cell>
          <cell r="L4145">
            <v>45428</v>
          </cell>
          <cell r="M4145">
            <v>904.5</v>
          </cell>
          <cell r="P4145">
            <v>5.5773999999999999</v>
          </cell>
        </row>
        <row r="4146">
          <cell r="A4146" t="str">
            <v>BPB-047-ECL-209-27-D</v>
          </cell>
          <cell r="G4146" t="str">
            <v>VPRet</v>
          </cell>
          <cell r="L4146">
            <v>42537</v>
          </cell>
          <cell r="M4146">
            <v>14.15</v>
          </cell>
          <cell r="P4146">
            <v>7.9909332155477024</v>
          </cell>
        </row>
        <row r="4147">
          <cell r="A4147" t="str">
            <v>BPB-047-ECL-210-DBL</v>
          </cell>
          <cell r="G4147" t="str">
            <v>INDEV</v>
          </cell>
          <cell r="L4147">
            <v>40990</v>
          </cell>
          <cell r="M4147">
            <v>4.38</v>
          </cell>
          <cell r="P4147">
            <v>19.351598173515985</v>
          </cell>
        </row>
        <row r="4148">
          <cell r="A4148" t="str">
            <v>BPB-047-ECL-211-32</v>
          </cell>
          <cell r="G4148" t="str">
            <v>VPPRT</v>
          </cell>
          <cell r="L4148">
            <v>44677</v>
          </cell>
          <cell r="M4148">
            <v>119.5</v>
          </cell>
          <cell r="P4148">
            <v>10.08</v>
          </cell>
        </row>
        <row r="4149">
          <cell r="A4149" t="str">
            <v>BPB-047-ECL-211-35-D</v>
          </cell>
          <cell r="G4149" t="str">
            <v>VPPRT</v>
          </cell>
          <cell r="L4149">
            <v>44614</v>
          </cell>
          <cell r="M4149">
            <v>112.25</v>
          </cell>
          <cell r="P4149">
            <v>9.9961000000000002</v>
          </cell>
        </row>
        <row r="4150">
          <cell r="A4150" t="str">
            <v>BPB-047-ECL-211-55D5</v>
          </cell>
          <cell r="G4150" t="str">
            <v>IPFAP</v>
          </cell>
          <cell r="L4150">
            <v>43194</v>
          </cell>
          <cell r="M4150">
            <v>20.46</v>
          </cell>
          <cell r="P4150">
            <v>9.2238514173998034</v>
          </cell>
        </row>
        <row r="4151">
          <cell r="A4151" t="str">
            <v>BPB-047-ECL-211-DBL</v>
          </cell>
          <cell r="G4151" t="str">
            <v>VPRet</v>
          </cell>
          <cell r="L4151">
            <v>42688</v>
          </cell>
          <cell r="M4151">
            <v>15.52</v>
          </cell>
          <cell r="P4151">
            <v>13.201000000000001</v>
          </cell>
        </row>
        <row r="4152">
          <cell r="A4152" t="str">
            <v>BPB-047-ECL-212-39-D</v>
          </cell>
          <cell r="G4152" t="str">
            <v>IPFAP</v>
          </cell>
          <cell r="L4152">
            <v>44329</v>
          </cell>
          <cell r="M4152">
            <v>99</v>
          </cell>
          <cell r="P4152">
            <v>12.55</v>
          </cell>
        </row>
        <row r="4153">
          <cell r="A4153" t="str">
            <v>BPB-047-ECL-212-60mm</v>
          </cell>
          <cell r="G4153" t="str">
            <v>IDESP</v>
          </cell>
          <cell r="L4153">
            <v>40535</v>
          </cell>
          <cell r="M4153">
            <v>4</v>
          </cell>
          <cell r="P4153">
            <v>6.7024999999999997</v>
          </cell>
        </row>
        <row r="4154">
          <cell r="A4154" t="str">
            <v>BPB-047-ECL-212-DBL</v>
          </cell>
          <cell r="G4154" t="str">
            <v>IPFAP</v>
          </cell>
          <cell r="L4154">
            <v>42383</v>
          </cell>
          <cell r="M4154">
            <v>13.98</v>
          </cell>
          <cell r="P4154">
            <v>6.7024964234620885</v>
          </cell>
        </row>
        <row r="4155">
          <cell r="A4155" t="str">
            <v>BPB-047-ECL-305DG</v>
          </cell>
          <cell r="G4155" t="str">
            <v xml:space="preserve">CR   </v>
          </cell>
          <cell r="L4155">
            <v>43126.703275462962</v>
          </cell>
          <cell r="M4155">
            <v>19.86</v>
          </cell>
          <cell r="P4155">
            <v>3.7301107754279959</v>
          </cell>
        </row>
        <row r="4156">
          <cell r="A4156" t="str">
            <v>BPB-047-ECL-306-DBL</v>
          </cell>
          <cell r="G4156" t="str">
            <v>IDESP</v>
          </cell>
          <cell r="L4156">
            <v>42979</v>
          </cell>
          <cell r="M4156">
            <v>17.66</v>
          </cell>
          <cell r="P4156">
            <v>3.72</v>
          </cell>
        </row>
        <row r="4157">
          <cell r="A4157" t="str">
            <v>BPB-047-ECL-307-DBL</v>
          </cell>
          <cell r="G4157" t="str">
            <v xml:space="preserve">INAC </v>
          </cell>
          <cell r="L4157">
            <v>45517</v>
          </cell>
          <cell r="M4157">
            <v>958</v>
          </cell>
          <cell r="P4157">
            <v>25.63465553235908</v>
          </cell>
        </row>
        <row r="4158">
          <cell r="A4158" t="str">
            <v>BPB-047-ECL205-16DG</v>
          </cell>
          <cell r="G4158" t="str">
            <v>VPPRT</v>
          </cell>
          <cell r="L4158">
            <v>44818</v>
          </cell>
          <cell r="M4158">
            <v>149</v>
          </cell>
          <cell r="P4158">
            <v>1.5696000000000001</v>
          </cell>
        </row>
        <row r="4159">
          <cell r="A4159" t="str">
            <v>BPB-047-ECL205-16MM</v>
          </cell>
          <cell r="G4159" t="str">
            <v>VPPRT</v>
          </cell>
          <cell r="L4159">
            <v>44616</v>
          </cell>
          <cell r="M4159">
            <v>112.5</v>
          </cell>
          <cell r="P4159">
            <v>1.9</v>
          </cell>
        </row>
        <row r="4160">
          <cell r="A4160" t="str">
            <v>BPB-047-ECL207-20MG</v>
          </cell>
          <cell r="G4160" t="str">
            <v>VPPRT</v>
          </cell>
          <cell r="L4160">
            <v>44616</v>
          </cell>
          <cell r="M4160">
            <v>112.5</v>
          </cell>
          <cell r="P4160">
            <v>3.88</v>
          </cell>
        </row>
        <row r="4161">
          <cell r="A4161" t="str">
            <v>BPB-047-ECL207-22MG</v>
          </cell>
          <cell r="G4161" t="str">
            <v>VPPRT</v>
          </cell>
          <cell r="L4161">
            <v>44622</v>
          </cell>
          <cell r="M4161">
            <v>112.5</v>
          </cell>
          <cell r="P4161">
            <v>3.72</v>
          </cell>
        </row>
        <row r="4162">
          <cell r="A4162" t="str">
            <v>BPB-047-ECL207-23</v>
          </cell>
          <cell r="G4162" t="str">
            <v xml:space="preserve">CR   </v>
          </cell>
          <cell r="L4162">
            <v>43126.703275462962</v>
          </cell>
          <cell r="M4162">
            <v>19.86</v>
          </cell>
          <cell r="P4162">
            <v>2.7628398791540785</v>
          </cell>
        </row>
        <row r="4163">
          <cell r="A4163" t="str">
            <v>BPB-047-ECL207-35D1</v>
          </cell>
          <cell r="G4163" t="str">
            <v xml:space="preserve">CR   </v>
          </cell>
          <cell r="L4163">
            <v>43126.703275462962</v>
          </cell>
          <cell r="M4163">
            <v>19.86</v>
          </cell>
          <cell r="P4163">
            <v>2.1726082578046326</v>
          </cell>
        </row>
        <row r="4164">
          <cell r="A4164" t="str">
            <v>BPB-047-ECL208-40D-3</v>
          </cell>
          <cell r="G4164" t="str">
            <v>vpret</v>
          </cell>
          <cell r="L4164">
            <v>45218</v>
          </cell>
          <cell r="M4164">
            <v>365.5</v>
          </cell>
          <cell r="P4164">
            <v>4.6467004103967167</v>
          </cell>
        </row>
        <row r="4165">
          <cell r="A4165" t="str">
            <v>BPB-047-ECL208-40D38</v>
          </cell>
          <cell r="G4165" t="str">
            <v xml:space="preserve">CR   </v>
          </cell>
          <cell r="L4165">
            <v>41547.999988425923</v>
          </cell>
          <cell r="M4165">
            <v>5.79</v>
          </cell>
          <cell r="P4165">
            <v>3.1727115716753023</v>
          </cell>
        </row>
        <row r="4166">
          <cell r="A4166" t="str">
            <v>BPB-047-ECL209-28MM</v>
          </cell>
          <cell r="G4166" t="str">
            <v>VPPRT</v>
          </cell>
          <cell r="L4166">
            <v>44622</v>
          </cell>
          <cell r="M4166">
            <v>112.5</v>
          </cell>
          <cell r="P4166">
            <v>5.36</v>
          </cell>
        </row>
        <row r="4167">
          <cell r="A4167" t="str">
            <v>BPB-047-ECL209-45D-3</v>
          </cell>
          <cell r="G4167" t="str">
            <v>vpret</v>
          </cell>
          <cell r="L4167">
            <v>45169</v>
          </cell>
          <cell r="M4167">
            <v>365.5</v>
          </cell>
          <cell r="P4167">
            <v>5.77</v>
          </cell>
        </row>
        <row r="4168">
          <cell r="A4168" t="str">
            <v>BPB-047-ECL210-31DG</v>
          </cell>
          <cell r="G4168" t="str">
            <v>VPRet</v>
          </cell>
          <cell r="L4168">
            <v>42587</v>
          </cell>
          <cell r="M4168">
            <v>15.16</v>
          </cell>
          <cell r="P4168">
            <v>9.8864050131926131</v>
          </cell>
        </row>
        <row r="4169">
          <cell r="A4169" t="str">
            <v>BPB-047-ECL210-50D-3</v>
          </cell>
          <cell r="G4169" t="str">
            <v>vpret</v>
          </cell>
          <cell r="L4169">
            <v>45007</v>
          </cell>
          <cell r="M4169">
            <v>211.75</v>
          </cell>
          <cell r="P4169">
            <v>7.1702479338842977</v>
          </cell>
        </row>
        <row r="4170">
          <cell r="A4170" t="str">
            <v>BPB-047-ECL210-50LG</v>
          </cell>
          <cell r="G4170" t="str">
            <v>IDESP</v>
          </cell>
          <cell r="L4170">
            <v>43207</v>
          </cell>
          <cell r="M4170">
            <v>20.47</v>
          </cell>
          <cell r="P4170">
            <v>3.87</v>
          </cell>
        </row>
        <row r="4171">
          <cell r="A4171" t="str">
            <v>BPB-047-ECL211-32MG</v>
          </cell>
          <cell r="G4171" t="str">
            <v>VPPRT</v>
          </cell>
          <cell r="L4171">
            <v>44622</v>
          </cell>
          <cell r="M4171">
            <v>112.5</v>
          </cell>
          <cell r="P4171">
            <v>10.1424</v>
          </cell>
        </row>
        <row r="4172">
          <cell r="A4172" t="str">
            <v>BPB-047-ECL212-60D-3</v>
          </cell>
          <cell r="G4172" t="str">
            <v>vpret</v>
          </cell>
          <cell r="L4172">
            <v>45267</v>
          </cell>
          <cell r="M4172">
            <v>379</v>
          </cell>
          <cell r="P4172">
            <v>8.2390184696569921</v>
          </cell>
        </row>
        <row r="4173">
          <cell r="A4173" t="str">
            <v>BPB-047-ECL212-60D46</v>
          </cell>
          <cell r="G4173" t="str">
            <v>IPFAP</v>
          </cell>
          <cell r="L4173">
            <v>41351</v>
          </cell>
          <cell r="M4173">
            <v>5.09</v>
          </cell>
          <cell r="P4173">
            <v>22.986247544204321</v>
          </cell>
        </row>
        <row r="4174">
          <cell r="A4174" t="str">
            <v>BPB-047-ECL311-32RRB</v>
          </cell>
          <cell r="G4174" t="str">
            <v>INDEV</v>
          </cell>
          <cell r="L4174">
            <v>41735</v>
          </cell>
          <cell r="M4174">
            <v>8.0500000000000007</v>
          </cell>
          <cell r="P4174">
            <v>6.7552919254658379</v>
          </cell>
        </row>
        <row r="4175">
          <cell r="A4175" t="str">
            <v>BPB-047-F-204-PBT</v>
          </cell>
          <cell r="G4175" t="str">
            <v>IDESP</v>
          </cell>
          <cell r="L4175">
            <v>40473</v>
          </cell>
          <cell r="M4175">
            <v>3.98</v>
          </cell>
          <cell r="P4175">
            <v>2.8820000000000001</v>
          </cell>
        </row>
        <row r="4176">
          <cell r="A4176" t="str">
            <v>BPB-047-F-205</v>
          </cell>
          <cell r="G4176" t="str">
            <v>vpret</v>
          </cell>
          <cell r="L4176">
            <v>45772</v>
          </cell>
          <cell r="M4176">
            <v>1190</v>
          </cell>
          <cell r="P4176">
            <v>0.22352941176470589</v>
          </cell>
        </row>
        <row r="4177">
          <cell r="A4177" t="str">
            <v>BPB-047-F-205-A1</v>
          </cell>
          <cell r="G4177" t="str">
            <v xml:space="preserve">INAC </v>
          </cell>
          <cell r="L4177">
            <v>44634</v>
          </cell>
          <cell r="M4177">
            <v>114</v>
          </cell>
          <cell r="P4177">
            <v>2.3333333333333335</v>
          </cell>
        </row>
        <row r="4178">
          <cell r="A4178" t="str">
            <v>BPB-047-F-205-L</v>
          </cell>
          <cell r="G4178" t="str">
            <v>IPFAP</v>
          </cell>
          <cell r="L4178">
            <v>44300</v>
          </cell>
          <cell r="M4178">
            <v>98</v>
          </cell>
          <cell r="P4178">
            <v>0.77729591836734691</v>
          </cell>
        </row>
        <row r="4179">
          <cell r="A4179" t="str">
            <v>BPB-047-F-205-PBT</v>
          </cell>
          <cell r="G4179" t="str">
            <v xml:space="preserve">INSI </v>
          </cell>
          <cell r="L4179">
            <v>41737</v>
          </cell>
          <cell r="M4179">
            <v>8.0500000000000007</v>
          </cell>
          <cell r="P4179">
            <v>3.4129999999999998</v>
          </cell>
        </row>
        <row r="4180">
          <cell r="A4180" t="str">
            <v>BPB-047-F-206</v>
          </cell>
          <cell r="G4180" t="str">
            <v>INDEV</v>
          </cell>
          <cell r="L4180">
            <v>41480</v>
          </cell>
          <cell r="M4180">
            <v>5.47</v>
          </cell>
          <cell r="P4180">
            <v>1.79</v>
          </cell>
        </row>
        <row r="4181">
          <cell r="A4181" t="str">
            <v>BPB-047-F-206-A1</v>
          </cell>
          <cell r="G4181" t="str">
            <v xml:space="preserve">INAC </v>
          </cell>
          <cell r="L4181">
            <v>44501</v>
          </cell>
          <cell r="M4181">
            <v>105</v>
          </cell>
          <cell r="P4181">
            <v>2.6442857142857141</v>
          </cell>
        </row>
        <row r="4182">
          <cell r="A4182" t="str">
            <v>BPB-047-F-206-L</v>
          </cell>
          <cell r="G4182" t="str">
            <v>IDESP</v>
          </cell>
          <cell r="L4182">
            <v>43480</v>
          </cell>
          <cell r="M4182">
            <v>37.9</v>
          </cell>
          <cell r="P4182">
            <v>2.08</v>
          </cell>
        </row>
        <row r="4183">
          <cell r="A4183" t="str">
            <v>BPB-047-F-206-PBT</v>
          </cell>
          <cell r="G4183" t="str">
            <v>IDESP</v>
          </cell>
          <cell r="L4183">
            <v>41621</v>
          </cell>
          <cell r="M4183">
            <v>6.28</v>
          </cell>
          <cell r="P4183">
            <v>4.9800000000000004</v>
          </cell>
        </row>
        <row r="4184">
          <cell r="A4184" t="str">
            <v>BPB-047-F-207</v>
          </cell>
          <cell r="G4184" t="str">
            <v xml:space="preserve">INAC </v>
          </cell>
          <cell r="L4184">
            <v>42697</v>
          </cell>
          <cell r="M4184">
            <v>15.62</v>
          </cell>
          <cell r="P4184">
            <v>3.6171574903969272</v>
          </cell>
        </row>
        <row r="4185">
          <cell r="A4185" t="str">
            <v>BPB-047-F-207-L</v>
          </cell>
          <cell r="G4185" t="str">
            <v>IPFAP</v>
          </cell>
          <cell r="L4185">
            <v>45391</v>
          </cell>
          <cell r="M4185">
            <v>883</v>
          </cell>
          <cell r="P4185">
            <v>1.1339999999999999</v>
          </cell>
        </row>
        <row r="4186">
          <cell r="A4186" t="str">
            <v>BPB-047-F-207-PBT</v>
          </cell>
          <cell r="G4186" t="str">
            <v>IDESP</v>
          </cell>
          <cell r="L4186">
            <v>40473</v>
          </cell>
          <cell r="M4186">
            <v>3.98</v>
          </cell>
          <cell r="P4186">
            <v>4.4740000000000002</v>
          </cell>
        </row>
        <row r="4187">
          <cell r="A4187" t="str">
            <v>BPB-047-F-208</v>
          </cell>
          <cell r="G4187" t="str">
            <v>IDESP</v>
          </cell>
          <cell r="L4187">
            <v>44406</v>
          </cell>
          <cell r="M4187">
            <v>101.75</v>
          </cell>
          <cell r="P4187">
            <v>2.83</v>
          </cell>
        </row>
        <row r="4188">
          <cell r="A4188" t="str">
            <v>BPB-047-F-208-C</v>
          </cell>
          <cell r="G4188" t="str">
            <v>vpret</v>
          </cell>
          <cell r="L4188">
            <v>45218</v>
          </cell>
          <cell r="M4188">
            <v>365.5</v>
          </cell>
          <cell r="P4188">
            <v>3.1300000000000003</v>
          </cell>
        </row>
        <row r="4189">
          <cell r="A4189" t="str">
            <v>BPB-047-F-208-L</v>
          </cell>
          <cell r="G4189" t="str">
            <v>IPFAP</v>
          </cell>
          <cell r="L4189">
            <v>44294</v>
          </cell>
          <cell r="M4189">
            <v>98</v>
          </cell>
          <cell r="P4189">
            <v>2.6868622448979593</v>
          </cell>
        </row>
        <row r="4190">
          <cell r="A4190" t="str">
            <v>BPB-047-F-208-PBT</v>
          </cell>
          <cell r="G4190" t="str">
            <v>IDESP</v>
          </cell>
          <cell r="L4190">
            <v>40473</v>
          </cell>
          <cell r="M4190">
            <v>3.98</v>
          </cell>
          <cell r="P4190">
            <v>5.7629999999999999</v>
          </cell>
        </row>
        <row r="4191">
          <cell r="A4191" t="str">
            <v>BPB-047-F-209</v>
          </cell>
          <cell r="G4191" t="str">
            <v xml:space="preserve">INAC </v>
          </cell>
          <cell r="L4191">
            <v>43125</v>
          </cell>
          <cell r="M4191">
            <v>19.91</v>
          </cell>
          <cell r="P4191">
            <v>3.8480612757408341</v>
          </cell>
        </row>
        <row r="4192">
          <cell r="A4192" t="str">
            <v>BPB-047-F-209-3</v>
          </cell>
          <cell r="G4192" t="str">
            <v>IDESP</v>
          </cell>
          <cell r="L4192">
            <v>44847</v>
          </cell>
          <cell r="M4192">
            <v>157.25</v>
          </cell>
          <cell r="P4192">
            <v>11.16</v>
          </cell>
        </row>
        <row r="4193">
          <cell r="A4193" t="str">
            <v>BPB-047-F-209-3-A</v>
          </cell>
          <cell r="G4193" t="str">
            <v xml:space="preserve">INAC </v>
          </cell>
          <cell r="L4193">
            <v>43026</v>
          </cell>
          <cell r="M4193">
            <v>17.690000000000001</v>
          </cell>
          <cell r="P4193">
            <v>11.6223855285472</v>
          </cell>
        </row>
        <row r="4194">
          <cell r="A4194" t="str">
            <v>BPB-047-F-209-A</v>
          </cell>
          <cell r="G4194" t="str">
            <v>vpret</v>
          </cell>
          <cell r="L4194">
            <v>45947</v>
          </cell>
          <cell r="M4194">
            <v>1425</v>
          </cell>
          <cell r="P4194">
            <v>7.0693684210526317</v>
          </cell>
        </row>
        <row r="4195">
          <cell r="A4195" t="str">
            <v>BPB-047-F-209-C</v>
          </cell>
          <cell r="G4195" t="str">
            <v>vpret</v>
          </cell>
          <cell r="L4195">
            <v>45160</v>
          </cell>
          <cell r="M4195">
            <v>365.5</v>
          </cell>
          <cell r="P4195">
            <v>3.78</v>
          </cell>
        </row>
        <row r="4196">
          <cell r="A4196" t="str">
            <v>BPB-047-F-209-L</v>
          </cell>
          <cell r="G4196" t="str">
            <v>IDESP</v>
          </cell>
          <cell r="L4196">
            <v>44587</v>
          </cell>
          <cell r="M4196">
            <v>109.5</v>
          </cell>
          <cell r="P4196">
            <v>3.08</v>
          </cell>
        </row>
        <row r="4197">
          <cell r="A4197" t="str">
            <v>BPB-047-F-210</v>
          </cell>
          <cell r="G4197" t="str">
            <v>IDESP</v>
          </cell>
          <cell r="L4197">
            <v>44406</v>
          </cell>
          <cell r="M4197">
            <v>101.75</v>
          </cell>
          <cell r="P4197">
            <v>3.64</v>
          </cell>
        </row>
        <row r="4198">
          <cell r="A4198" t="str">
            <v>BPB-047-F-210-C</v>
          </cell>
          <cell r="G4198" t="str">
            <v>vpret</v>
          </cell>
          <cell r="L4198">
            <v>45320</v>
          </cell>
          <cell r="M4198">
            <v>842.75</v>
          </cell>
          <cell r="P4198">
            <v>4.4985464253930587</v>
          </cell>
        </row>
        <row r="4199">
          <cell r="A4199" t="str">
            <v>BPB-047-F-210-L</v>
          </cell>
          <cell r="G4199" t="str">
            <v xml:space="preserve">INAC </v>
          </cell>
          <cell r="L4199">
            <v>44246</v>
          </cell>
          <cell r="M4199">
            <v>93.75</v>
          </cell>
          <cell r="P4199">
            <v>7.2746666666666666</v>
          </cell>
        </row>
        <row r="4200">
          <cell r="A4200" t="str">
            <v>BPB-047-F-210-PBT</v>
          </cell>
          <cell r="G4200" t="str">
            <v xml:space="preserve">INAC </v>
          </cell>
          <cell r="L4200">
            <v>42436</v>
          </cell>
          <cell r="M4200">
            <v>15.61</v>
          </cell>
          <cell r="P4200">
            <v>27.866752081998719</v>
          </cell>
        </row>
        <row r="4201">
          <cell r="A4201" t="str">
            <v>BPB-047-F-211</v>
          </cell>
          <cell r="G4201" t="str">
            <v xml:space="preserve">INAC </v>
          </cell>
          <cell r="L4201">
            <v>42660</v>
          </cell>
          <cell r="M4201">
            <v>15.39</v>
          </cell>
          <cell r="P4201">
            <v>6.2631578947368416</v>
          </cell>
        </row>
        <row r="4202">
          <cell r="A4202" t="str">
            <v>BPB-047-F-211-A1</v>
          </cell>
          <cell r="G4202" t="str">
            <v xml:space="preserve">INAC </v>
          </cell>
          <cell r="L4202">
            <v>44608</v>
          </cell>
          <cell r="M4202">
            <v>112</v>
          </cell>
          <cell r="P4202">
            <v>9.8391071428571433</v>
          </cell>
        </row>
        <row r="4203">
          <cell r="A4203" t="str">
            <v>BPB-047-F-211-L</v>
          </cell>
          <cell r="G4203" t="str">
            <v>IDESP</v>
          </cell>
          <cell r="L4203">
            <v>43958</v>
          </cell>
          <cell r="M4203">
            <v>69.25</v>
          </cell>
          <cell r="P4203">
            <v>3.44</v>
          </cell>
        </row>
        <row r="4204">
          <cell r="A4204" t="str">
            <v>BPB-047-F-212</v>
          </cell>
          <cell r="G4204" t="str">
            <v>IPFAP</v>
          </cell>
          <cell r="L4204">
            <v>44235</v>
          </cell>
          <cell r="M4204">
            <v>93</v>
          </cell>
          <cell r="P4204">
            <v>0.42980000000000002</v>
          </cell>
        </row>
        <row r="4205">
          <cell r="A4205" t="str">
            <v>BPB-047-F-212-L</v>
          </cell>
          <cell r="G4205" t="str">
            <v>IDESP</v>
          </cell>
          <cell r="L4205">
            <v>42772</v>
          </cell>
          <cell r="M4205">
            <v>16.02</v>
          </cell>
          <cell r="P4205">
            <v>4.6100000000000003</v>
          </cell>
        </row>
        <row r="4206">
          <cell r="A4206" t="str">
            <v>BPB-047-F-213</v>
          </cell>
          <cell r="G4206" t="str">
            <v>IDESP</v>
          </cell>
          <cell r="L4206">
            <v>44406</v>
          </cell>
          <cell r="M4206">
            <v>101.75</v>
          </cell>
          <cell r="P4206">
            <v>8.7799999999999994</v>
          </cell>
        </row>
        <row r="4207">
          <cell r="A4207" t="str">
            <v>BPB-047-F-214</v>
          </cell>
          <cell r="G4207" t="str">
            <v>IDESP</v>
          </cell>
          <cell r="L4207">
            <v>39379</v>
          </cell>
          <cell r="M4207">
            <v>3.173</v>
          </cell>
          <cell r="P4207">
            <v>4.4720000000000004</v>
          </cell>
        </row>
        <row r="4208">
          <cell r="A4208" t="str">
            <v>BPB-047-F208-M</v>
          </cell>
          <cell r="G4208" t="str">
            <v>vpret</v>
          </cell>
          <cell r="L4208">
            <v>45509</v>
          </cell>
          <cell r="M4208">
            <v>953.5</v>
          </cell>
          <cell r="P4208">
            <v>3.1234347142108025</v>
          </cell>
        </row>
        <row r="4209">
          <cell r="A4209" t="str">
            <v>BPB-047-F490206</v>
          </cell>
          <cell r="G4209" t="str">
            <v>INDEV</v>
          </cell>
          <cell r="L4209">
            <v>41065</v>
          </cell>
          <cell r="M4209">
            <v>4.49</v>
          </cell>
          <cell r="P4209">
            <v>0.22269487750556793</v>
          </cell>
        </row>
        <row r="4210">
          <cell r="A4210" t="str">
            <v>BPB-047-F4X208A-A1</v>
          </cell>
          <cell r="G4210" t="str">
            <v xml:space="preserve">INAC </v>
          </cell>
          <cell r="L4210">
            <v>45968</v>
          </cell>
          <cell r="M4210">
            <v>1475</v>
          </cell>
          <cell r="P4210">
            <v>8.4775457627118644</v>
          </cell>
        </row>
        <row r="4211">
          <cell r="A4211" t="str">
            <v>BPB-047-FB-204</v>
          </cell>
          <cell r="G4211" t="str">
            <v xml:space="preserve">CR   </v>
          </cell>
          <cell r="L4211">
            <v>41144.46875</v>
          </cell>
          <cell r="M4211">
            <v>4.63</v>
          </cell>
          <cell r="P4211">
            <v>1.27</v>
          </cell>
        </row>
        <row r="4212">
          <cell r="A4212" t="str">
            <v>BPB-047-FB-208-HA</v>
          </cell>
          <cell r="G4212" t="str">
            <v>IDESP</v>
          </cell>
          <cell r="L4212">
            <v>41344</v>
          </cell>
          <cell r="M4212">
            <v>5.07</v>
          </cell>
          <cell r="P4212">
            <v>3.08</v>
          </cell>
        </row>
        <row r="4213">
          <cell r="A4213" t="str">
            <v>BPB-047-FB-209</v>
          </cell>
          <cell r="G4213" t="str">
            <v xml:space="preserve">INAC </v>
          </cell>
          <cell r="L4213">
            <v>43066</v>
          </cell>
          <cell r="M4213">
            <v>17.739999999999998</v>
          </cell>
          <cell r="P4213">
            <v>10.766629086809472</v>
          </cell>
        </row>
        <row r="4214">
          <cell r="A4214" t="str">
            <v>BPB-047-FB-210</v>
          </cell>
          <cell r="G4214" t="str">
            <v>IDESP</v>
          </cell>
          <cell r="L4214">
            <v>44396</v>
          </cell>
          <cell r="M4214">
            <v>101.25</v>
          </cell>
          <cell r="P4214">
            <v>4.97</v>
          </cell>
        </row>
        <row r="4215">
          <cell r="A4215" t="str">
            <v>BPB-047-FB-210-C</v>
          </cell>
          <cell r="G4215" t="str">
            <v>vpret</v>
          </cell>
          <cell r="L4215">
            <v>45826</v>
          </cell>
          <cell r="M4215">
            <v>1185</v>
          </cell>
          <cell r="P4215">
            <v>4.830379746835443</v>
          </cell>
        </row>
        <row r="4216">
          <cell r="A4216" t="str">
            <v>BPB-047-FB-211</v>
          </cell>
          <cell r="G4216" t="str">
            <v>IDESP</v>
          </cell>
          <cell r="L4216">
            <v>44396</v>
          </cell>
          <cell r="M4216">
            <v>101.25</v>
          </cell>
          <cell r="P4216">
            <v>6.56</v>
          </cell>
        </row>
        <row r="4217">
          <cell r="A4217" t="str">
            <v>BPB-047-FB211-A1</v>
          </cell>
          <cell r="G4217" t="str">
            <v xml:space="preserve">INAC </v>
          </cell>
          <cell r="L4217">
            <v>44209</v>
          </cell>
          <cell r="M4217">
            <v>90.5</v>
          </cell>
          <cell r="P4217">
            <v>5.2224309392265189</v>
          </cell>
        </row>
        <row r="4218">
          <cell r="A4218" t="str">
            <v>BPB-047-FB211-A2</v>
          </cell>
          <cell r="G4218" t="str">
            <v xml:space="preserve">INAC </v>
          </cell>
          <cell r="L4218">
            <v>44222</v>
          </cell>
          <cell r="M4218">
            <v>92</v>
          </cell>
          <cell r="P4218">
            <v>0.59540217391304351</v>
          </cell>
        </row>
        <row r="4219">
          <cell r="A4219" t="str">
            <v>BPB-047-FC-204</v>
          </cell>
          <cell r="G4219" t="str">
            <v>IDESP</v>
          </cell>
          <cell r="L4219">
            <v>40700</v>
          </cell>
          <cell r="M4219">
            <v>4.12</v>
          </cell>
          <cell r="P4219">
            <v>1.5720000000000001</v>
          </cell>
        </row>
        <row r="4220">
          <cell r="A4220" t="str">
            <v>BPB-047-FC-208</v>
          </cell>
          <cell r="G4220" t="str">
            <v>IDESP</v>
          </cell>
          <cell r="L4220">
            <v>41186</v>
          </cell>
          <cell r="M4220">
            <v>4.71</v>
          </cell>
          <cell r="P4220">
            <v>4.53</v>
          </cell>
        </row>
        <row r="4221">
          <cell r="A4221" t="str">
            <v>BPB-047-FC-209</v>
          </cell>
          <cell r="G4221" t="str">
            <v>IDESP</v>
          </cell>
          <cell r="L4221">
            <v>43326</v>
          </cell>
          <cell r="M4221">
            <v>30.5</v>
          </cell>
          <cell r="P4221">
            <v>5.55</v>
          </cell>
        </row>
        <row r="4222">
          <cell r="A4222" t="str">
            <v>BPB-047-FC-211-L</v>
          </cell>
          <cell r="G4222" t="str">
            <v>IDESP</v>
          </cell>
          <cell r="L4222">
            <v>44406</v>
          </cell>
          <cell r="M4222">
            <v>101.75</v>
          </cell>
          <cell r="P4222">
            <v>8.35</v>
          </cell>
        </row>
        <row r="4223">
          <cell r="A4223" t="str">
            <v>BPB-047-FC-212-H</v>
          </cell>
          <cell r="G4223" t="str">
            <v>IDESP</v>
          </cell>
          <cell r="L4223">
            <v>41996</v>
          </cell>
          <cell r="M4223">
            <v>8.58</v>
          </cell>
          <cell r="P4223">
            <v>7.58</v>
          </cell>
        </row>
        <row r="4224">
          <cell r="A4224" t="str">
            <v>BPB-047-FD-204-XH</v>
          </cell>
          <cell r="G4224" t="str">
            <v>IDESP</v>
          </cell>
          <cell r="L4224">
            <v>39672</v>
          </cell>
          <cell r="M4224">
            <v>3.0329999999999999</v>
          </cell>
          <cell r="P4224">
            <v>0.84</v>
          </cell>
        </row>
        <row r="4225">
          <cell r="A4225" t="str">
            <v>BPB-047-FD-205</v>
          </cell>
          <cell r="G4225" t="str">
            <v>vpret</v>
          </cell>
          <cell r="L4225">
            <v>46001</v>
          </cell>
          <cell r="M4225">
            <v>1465</v>
          </cell>
          <cell r="P4225">
            <v>0.98155631399317411</v>
          </cell>
        </row>
        <row r="4226">
          <cell r="A4226" t="str">
            <v>BPB-047-FD-205-A1</v>
          </cell>
          <cell r="G4226" t="str">
            <v xml:space="preserve">INAC </v>
          </cell>
          <cell r="L4226">
            <v>45987</v>
          </cell>
          <cell r="M4226">
            <v>1470</v>
          </cell>
          <cell r="P4226">
            <v>0.97821768707482992</v>
          </cell>
        </row>
        <row r="4227">
          <cell r="A4227" t="str">
            <v>BPB-047-FD-206</v>
          </cell>
          <cell r="G4227" t="str">
            <v>INDEV</v>
          </cell>
          <cell r="L4227">
            <v>41814</v>
          </cell>
          <cell r="M4227">
            <v>8.16</v>
          </cell>
          <cell r="P4227">
            <v>1.78</v>
          </cell>
        </row>
        <row r="4228">
          <cell r="A4228" t="str">
            <v>BPB-047-FD-208</v>
          </cell>
          <cell r="G4228" t="str">
            <v>IDESP</v>
          </cell>
          <cell r="L4228">
            <v>40553</v>
          </cell>
          <cell r="M4228">
            <v>4</v>
          </cell>
          <cell r="P4228">
            <v>1.94</v>
          </cell>
        </row>
        <row r="4229">
          <cell r="A4229" t="str">
            <v>BPB-047-FH-204-12</v>
          </cell>
          <cell r="G4229" t="str">
            <v>IDESP</v>
          </cell>
          <cell r="L4229">
            <v>40340</v>
          </cell>
          <cell r="M4229">
            <v>3.94</v>
          </cell>
          <cell r="P4229">
            <v>1.1819999999999999</v>
          </cell>
        </row>
        <row r="4230">
          <cell r="A4230" t="str">
            <v>BPB-047-FH-206-30mm</v>
          </cell>
          <cell r="G4230" t="str">
            <v xml:space="preserve">INAC </v>
          </cell>
          <cell r="L4230">
            <v>42845</v>
          </cell>
          <cell r="M4230">
            <v>15.75</v>
          </cell>
          <cell r="P4230">
            <v>4.8888888888888893</v>
          </cell>
        </row>
        <row r="4231">
          <cell r="A4231" t="str">
            <v>BPB-047-FHR-207-22</v>
          </cell>
          <cell r="G4231" t="str">
            <v>IDESP</v>
          </cell>
          <cell r="L4231">
            <v>40399</v>
          </cell>
          <cell r="M4231">
            <v>3.96</v>
          </cell>
          <cell r="P4231">
            <v>2.09</v>
          </cell>
        </row>
        <row r="4232">
          <cell r="A4232" t="str">
            <v>BPB-047-FHR-208-24</v>
          </cell>
          <cell r="G4232" t="str">
            <v xml:space="preserve">CR   </v>
          </cell>
          <cell r="L4232">
            <v>40428.376423611109</v>
          </cell>
          <cell r="M4232">
            <v>3.97</v>
          </cell>
          <cell r="P4232">
            <v>2.7</v>
          </cell>
        </row>
        <row r="4233">
          <cell r="A4233" t="str">
            <v>BPB-047-FHR-208-40mm</v>
          </cell>
          <cell r="G4233" t="str">
            <v>IPFAP</v>
          </cell>
          <cell r="L4233">
            <v>42213</v>
          </cell>
          <cell r="M4233">
            <v>9.2100000000000009</v>
          </cell>
          <cell r="P4233">
            <v>2.2827578718783927</v>
          </cell>
        </row>
        <row r="4234">
          <cell r="A4234" t="str">
            <v>BPB-047-FHR-210-31</v>
          </cell>
          <cell r="G4234" t="str">
            <v xml:space="preserve">CR   </v>
          </cell>
          <cell r="L4234">
            <v>40428.376423611109</v>
          </cell>
          <cell r="M4234">
            <v>3.97</v>
          </cell>
          <cell r="P4234">
            <v>3.875</v>
          </cell>
        </row>
        <row r="4235">
          <cell r="A4235" t="str">
            <v>BPB-047-FHT-207-35FZ</v>
          </cell>
          <cell r="G4235" t="str">
            <v>IPFAB</v>
          </cell>
          <cell r="L4235">
            <v>41173</v>
          </cell>
          <cell r="M4235">
            <v>4.6900000000000004</v>
          </cell>
          <cell r="P4235">
            <v>3.5124</v>
          </cell>
        </row>
        <row r="4236">
          <cell r="A4236" t="str">
            <v>BPB-047-FS-208</v>
          </cell>
          <cell r="G4236" t="str">
            <v xml:space="preserve">CR   </v>
          </cell>
          <cell r="L4236">
            <v>41765.7965625</v>
          </cell>
          <cell r="M4236">
            <v>8.0500000000000007</v>
          </cell>
          <cell r="P4236">
            <v>2.4844720496894408</v>
          </cell>
        </row>
        <row r="4237">
          <cell r="A4237" t="str">
            <v>BPB-047-FS-211</v>
          </cell>
          <cell r="G4237" t="str">
            <v>INDEV</v>
          </cell>
          <cell r="L4237">
            <v>41456</v>
          </cell>
          <cell r="M4237">
            <v>5.39</v>
          </cell>
          <cell r="P4237">
            <v>3.58</v>
          </cell>
        </row>
        <row r="4238">
          <cell r="A4238" t="str">
            <v>BPB-047-FT-203</v>
          </cell>
          <cell r="G4238" t="str">
            <v>IDESP</v>
          </cell>
          <cell r="L4238">
            <v>44396</v>
          </cell>
          <cell r="M4238">
            <v>101.25</v>
          </cell>
          <cell r="P4238">
            <v>1.36</v>
          </cell>
        </row>
        <row r="4239">
          <cell r="A4239" t="str">
            <v>BPB-047-FT-203-47</v>
          </cell>
          <cell r="G4239" t="str">
            <v>VPRet</v>
          </cell>
          <cell r="L4239">
            <v>43257</v>
          </cell>
          <cell r="M4239">
            <v>25.4</v>
          </cell>
          <cell r="P4239">
            <v>0.75716535433070864</v>
          </cell>
        </row>
        <row r="4240">
          <cell r="A4240" t="str">
            <v>BPB-047-FT-204</v>
          </cell>
          <cell r="G4240" t="str">
            <v>IDESP</v>
          </cell>
          <cell r="L4240">
            <v>44396</v>
          </cell>
          <cell r="M4240">
            <v>101.25</v>
          </cell>
          <cell r="P4240">
            <v>1.38</v>
          </cell>
        </row>
        <row r="4241">
          <cell r="A4241" t="str">
            <v>BPB-047-FT-205-H</v>
          </cell>
          <cell r="G4241" t="str">
            <v>IDESP</v>
          </cell>
          <cell r="L4241">
            <v>44593</v>
          </cell>
          <cell r="M4241">
            <v>110.25</v>
          </cell>
          <cell r="P4241">
            <v>1.33</v>
          </cell>
        </row>
        <row r="4242">
          <cell r="A4242" t="str">
            <v>BPB-047-FT-205-KRRB2</v>
          </cell>
          <cell r="G4242" t="str">
            <v>IDESP</v>
          </cell>
          <cell r="L4242">
            <v>40112</v>
          </cell>
          <cell r="M4242">
            <v>3.83</v>
          </cell>
          <cell r="P4242">
            <v>2.19</v>
          </cell>
        </row>
        <row r="4243">
          <cell r="A4243" t="str">
            <v>BPB-047-FT-205-KYYB5</v>
          </cell>
          <cell r="G4243" t="str">
            <v>vpret</v>
          </cell>
          <cell r="L4243">
            <v>46007</v>
          </cell>
          <cell r="M4243">
            <v>1465</v>
          </cell>
          <cell r="P4243">
            <v>3.17</v>
          </cell>
        </row>
        <row r="4244">
          <cell r="A4244" t="str">
            <v>BPB-047-FT-205-KYYB7</v>
          </cell>
          <cell r="G4244" t="str">
            <v>INDEV</v>
          </cell>
          <cell r="L4244">
            <v>39933</v>
          </cell>
          <cell r="M4244">
            <v>3.74</v>
          </cell>
          <cell r="P4244">
            <v>0.3029946524064171</v>
          </cell>
        </row>
        <row r="4245">
          <cell r="A4245" t="str">
            <v>BPB-047-FT-206</v>
          </cell>
          <cell r="G4245" t="str">
            <v>IDESP</v>
          </cell>
          <cell r="L4245">
            <v>41212</v>
          </cell>
          <cell r="M4245">
            <v>4.76</v>
          </cell>
          <cell r="P4245">
            <v>1.78</v>
          </cell>
        </row>
        <row r="4246">
          <cell r="A4246" t="str">
            <v>BPB-047-FT-206-PBT</v>
          </cell>
          <cell r="G4246" t="str">
            <v xml:space="preserve">INAC </v>
          </cell>
          <cell r="L4246">
            <v>40791</v>
          </cell>
          <cell r="M4246">
            <v>4.24</v>
          </cell>
          <cell r="P4246">
            <v>11.320754716981131</v>
          </cell>
        </row>
        <row r="4247">
          <cell r="A4247" t="str">
            <v>BPB-047-FT-207</v>
          </cell>
          <cell r="G4247" t="str">
            <v>IDESP</v>
          </cell>
          <cell r="L4247">
            <v>45903</v>
          </cell>
          <cell r="M4247">
            <v>1375</v>
          </cell>
          <cell r="P4247">
            <v>2.4900000000000002</v>
          </cell>
        </row>
        <row r="4248">
          <cell r="A4248" t="str">
            <v>BPB-047-FT-207-KRB17</v>
          </cell>
          <cell r="G4248" t="str">
            <v>INDEV</v>
          </cell>
          <cell r="L4248">
            <v>39933</v>
          </cell>
          <cell r="M4248">
            <v>3.74</v>
          </cell>
          <cell r="P4248">
            <v>0.3029946524064171</v>
          </cell>
        </row>
        <row r="4249">
          <cell r="A4249" t="str">
            <v>BPB-047-FT-208</v>
          </cell>
          <cell r="G4249" t="str">
            <v>IDESP</v>
          </cell>
          <cell r="L4249">
            <v>41864</v>
          </cell>
          <cell r="M4249">
            <v>8.27</v>
          </cell>
          <cell r="P4249">
            <v>2.4</v>
          </cell>
        </row>
        <row r="4250">
          <cell r="A4250" t="str">
            <v>BPB-047-FT-209</v>
          </cell>
          <cell r="G4250" t="str">
            <v xml:space="preserve">INSI </v>
          </cell>
          <cell r="L4250">
            <v>43479</v>
          </cell>
          <cell r="M4250">
            <v>37.799999999999997</v>
          </cell>
          <cell r="P4250">
            <v>3.02</v>
          </cell>
        </row>
        <row r="4251">
          <cell r="A4251" t="str">
            <v>BPB-047-FT-211</v>
          </cell>
          <cell r="G4251" t="str">
            <v>IPFAP</v>
          </cell>
          <cell r="L4251">
            <v>43762</v>
          </cell>
          <cell r="M4251">
            <v>61.5</v>
          </cell>
          <cell r="P4251">
            <v>3.4299999999999997</v>
          </cell>
        </row>
        <row r="4252">
          <cell r="A4252" t="str">
            <v>BPB-047-FT206-M</v>
          </cell>
          <cell r="G4252" t="str">
            <v>vpret</v>
          </cell>
          <cell r="L4252">
            <v>45953</v>
          </cell>
          <cell r="M4252">
            <v>1515</v>
          </cell>
          <cell r="P4252">
            <v>1.7799999999999998</v>
          </cell>
        </row>
        <row r="4253">
          <cell r="A4253" t="str">
            <v>BPB-047-FT208-M</v>
          </cell>
          <cell r="G4253" t="str">
            <v>vpret</v>
          </cell>
          <cell r="L4253">
            <v>45819</v>
          </cell>
          <cell r="M4253">
            <v>1200</v>
          </cell>
          <cell r="P4253">
            <v>2.6</v>
          </cell>
        </row>
        <row r="4254">
          <cell r="A4254" t="str">
            <v>BPB-047-FTS-205-A1</v>
          </cell>
          <cell r="G4254" t="str">
            <v xml:space="preserve">INAC </v>
          </cell>
          <cell r="L4254">
            <v>44602</v>
          </cell>
          <cell r="M4254">
            <v>111</v>
          </cell>
          <cell r="P4254">
            <v>2.2252252252252251</v>
          </cell>
        </row>
        <row r="4255">
          <cell r="A4255" t="str">
            <v>BPB-047-GR208-24DG</v>
          </cell>
          <cell r="G4255" t="str">
            <v>IDESP</v>
          </cell>
          <cell r="L4255">
            <v>43697</v>
          </cell>
          <cell r="M4255">
            <v>57</v>
          </cell>
          <cell r="P4255">
            <v>5.79</v>
          </cell>
        </row>
        <row r="4256">
          <cell r="A4256" t="str">
            <v>BPB-047-HA-205</v>
          </cell>
          <cell r="G4256" t="str">
            <v>IDESP</v>
          </cell>
          <cell r="L4256">
            <v>40395</v>
          </cell>
          <cell r="M4256">
            <v>3.96</v>
          </cell>
          <cell r="P4256">
            <v>1.1719999999999999</v>
          </cell>
        </row>
        <row r="4257">
          <cell r="A4257" t="str">
            <v>BPB-047-HA-206</v>
          </cell>
          <cell r="G4257" t="str">
            <v>IDESP</v>
          </cell>
          <cell r="L4257">
            <v>41374</v>
          </cell>
          <cell r="M4257">
            <v>5.14</v>
          </cell>
          <cell r="P4257">
            <v>2.46</v>
          </cell>
        </row>
        <row r="4258">
          <cell r="A4258" t="str">
            <v>BPB-047-HA-207</v>
          </cell>
          <cell r="G4258" t="str">
            <v>INDEV</v>
          </cell>
          <cell r="L4258">
            <v>41457</v>
          </cell>
          <cell r="M4258">
            <v>5.39</v>
          </cell>
          <cell r="P4258">
            <v>1.7053988868274583</v>
          </cell>
        </row>
        <row r="4259">
          <cell r="A4259" t="str">
            <v>BPB-047-HA-208</v>
          </cell>
          <cell r="G4259" t="str">
            <v xml:space="preserve">INAC </v>
          </cell>
          <cell r="L4259">
            <v>44264</v>
          </cell>
          <cell r="M4259">
            <v>95.25</v>
          </cell>
          <cell r="P4259">
            <v>14.824146981627296</v>
          </cell>
        </row>
        <row r="4260">
          <cell r="A4260" t="str">
            <v>BPB-047-HA-209</v>
          </cell>
          <cell r="G4260" t="str">
            <v>IDESP</v>
          </cell>
          <cell r="L4260">
            <v>43521</v>
          </cell>
          <cell r="M4260">
            <v>40.1</v>
          </cell>
          <cell r="P4260">
            <v>4.6500000000000004</v>
          </cell>
        </row>
        <row r="4261">
          <cell r="A4261" t="str">
            <v>BPB-047-HA-210</v>
          </cell>
          <cell r="G4261" t="str">
            <v>IDESP</v>
          </cell>
          <cell r="L4261">
            <v>44396</v>
          </cell>
          <cell r="M4261">
            <v>101.25</v>
          </cell>
          <cell r="P4261">
            <v>5.09</v>
          </cell>
        </row>
        <row r="4262">
          <cell r="A4262" t="str">
            <v>BPB-047-HA-211</v>
          </cell>
          <cell r="G4262" t="str">
            <v>IDESP</v>
          </cell>
          <cell r="L4262">
            <v>43278</v>
          </cell>
          <cell r="M4262">
            <v>27.6</v>
          </cell>
          <cell r="P4262">
            <v>7.32</v>
          </cell>
        </row>
        <row r="4263">
          <cell r="A4263" t="str">
            <v>BPB-047-HA-212</v>
          </cell>
          <cell r="G4263" t="str">
            <v>IDESP</v>
          </cell>
          <cell r="L4263">
            <v>44396</v>
          </cell>
          <cell r="M4263">
            <v>101.25</v>
          </cell>
          <cell r="P4263">
            <v>8.18</v>
          </cell>
        </row>
        <row r="4264">
          <cell r="A4264" t="str">
            <v>BPB-047-HA-213</v>
          </cell>
          <cell r="G4264" t="str">
            <v>IDESP</v>
          </cell>
          <cell r="L4264">
            <v>43521</v>
          </cell>
          <cell r="M4264">
            <v>40.1</v>
          </cell>
          <cell r="P4264">
            <v>13.2</v>
          </cell>
        </row>
        <row r="4265">
          <cell r="A4265" t="str">
            <v>BPB-047-HA-215</v>
          </cell>
          <cell r="G4265" t="str">
            <v>IDESP</v>
          </cell>
          <cell r="L4265">
            <v>43278</v>
          </cell>
          <cell r="M4265">
            <v>27.6</v>
          </cell>
          <cell r="P4265">
            <v>13.33</v>
          </cell>
        </row>
        <row r="4266">
          <cell r="A4266" t="str">
            <v>BPB-047-HA212-A1</v>
          </cell>
          <cell r="G4266" t="str">
            <v xml:space="preserve">INAC </v>
          </cell>
          <cell r="L4266">
            <v>44209</v>
          </cell>
          <cell r="M4266">
            <v>90.5</v>
          </cell>
          <cell r="P4266">
            <v>5.896243093922652</v>
          </cell>
        </row>
        <row r="4267">
          <cell r="A4267" t="str">
            <v>BPB-047-HA212-A2</v>
          </cell>
          <cell r="G4267" t="str">
            <v xml:space="preserve">INAC </v>
          </cell>
          <cell r="L4267">
            <v>44222</v>
          </cell>
          <cell r="M4267">
            <v>92</v>
          </cell>
          <cell r="P4267">
            <v>0.59540217391304351</v>
          </cell>
        </row>
        <row r="4268">
          <cell r="A4268" t="str">
            <v>BPB-047-HC-204-DBL</v>
          </cell>
          <cell r="G4268" t="str">
            <v>INDEV</v>
          </cell>
          <cell r="L4268">
            <v>41127</v>
          </cell>
          <cell r="M4268">
            <v>4.5999999999999996</v>
          </cell>
          <cell r="P4268">
            <v>1.2890000000000001</v>
          </cell>
        </row>
        <row r="4269">
          <cell r="A4269" t="str">
            <v>BPB-047-HC-205-DBL</v>
          </cell>
          <cell r="G4269" t="str">
            <v>INDEV</v>
          </cell>
          <cell r="L4269">
            <v>41368</v>
          </cell>
          <cell r="M4269">
            <v>5.13</v>
          </cell>
          <cell r="P4269">
            <v>1.3869005847953215</v>
          </cell>
        </row>
        <row r="4270">
          <cell r="A4270" t="str">
            <v>BPB-047-HC-206-20-DB</v>
          </cell>
          <cell r="G4270" t="str">
            <v>IDESP</v>
          </cell>
          <cell r="L4270">
            <v>41584</v>
          </cell>
          <cell r="M4270">
            <v>5.95</v>
          </cell>
          <cell r="P4270">
            <v>1.9</v>
          </cell>
        </row>
        <row r="4271">
          <cell r="A4271" t="str">
            <v>BPB-047-HC-206-DBL</v>
          </cell>
          <cell r="G4271" t="str">
            <v>IDESP</v>
          </cell>
          <cell r="L4271">
            <v>41430</v>
          </cell>
          <cell r="M4271">
            <v>5.29</v>
          </cell>
          <cell r="P4271">
            <v>1.79</v>
          </cell>
        </row>
        <row r="4272">
          <cell r="A4272" t="str">
            <v>BPB-047-HC-207-DBL</v>
          </cell>
          <cell r="G4272" t="str">
            <v>InRet</v>
          </cell>
          <cell r="L4272">
            <v>41848</v>
          </cell>
          <cell r="M4272">
            <v>8.19</v>
          </cell>
          <cell r="P4272">
            <v>1.7270940170940172</v>
          </cell>
        </row>
        <row r="4273">
          <cell r="A4273" t="str">
            <v>BPB-047-HC-208-24DBL</v>
          </cell>
          <cell r="G4273" t="str">
            <v>INDEV</v>
          </cell>
          <cell r="L4273">
            <v>41431</v>
          </cell>
          <cell r="M4273">
            <v>5.29</v>
          </cell>
          <cell r="P4273">
            <v>3.26</v>
          </cell>
        </row>
        <row r="4274">
          <cell r="A4274" t="str">
            <v>BPB-047-HC-208-DBL</v>
          </cell>
          <cell r="G4274" t="str">
            <v>IDESP</v>
          </cell>
          <cell r="L4274">
            <v>41430</v>
          </cell>
          <cell r="M4274">
            <v>5.29</v>
          </cell>
          <cell r="P4274">
            <v>2.84</v>
          </cell>
        </row>
        <row r="4275">
          <cell r="A4275" t="str">
            <v>BPB-047-HC-209-DBL</v>
          </cell>
          <cell r="G4275" t="str">
            <v>IDESP</v>
          </cell>
          <cell r="L4275">
            <v>41430</v>
          </cell>
          <cell r="M4275">
            <v>5.29</v>
          </cell>
          <cell r="P4275">
            <v>3.26</v>
          </cell>
        </row>
        <row r="4276">
          <cell r="A4276" t="str">
            <v>BPB-047-HC-210-DBL</v>
          </cell>
          <cell r="G4276" t="str">
            <v xml:space="preserve">INSI </v>
          </cell>
          <cell r="L4276">
            <v>41213</v>
          </cell>
          <cell r="M4276">
            <v>4.7699999999999996</v>
          </cell>
          <cell r="P4276">
            <v>3.99</v>
          </cell>
        </row>
        <row r="4277">
          <cell r="A4277" t="str">
            <v>BPB-047-HC-211-32</v>
          </cell>
          <cell r="G4277" t="str">
            <v>IDESP</v>
          </cell>
          <cell r="L4277">
            <v>41017</v>
          </cell>
          <cell r="M4277">
            <v>4.41</v>
          </cell>
          <cell r="P4277">
            <v>7.18</v>
          </cell>
        </row>
        <row r="4278">
          <cell r="A4278" t="str">
            <v>BPB-047-HC-307-DBL</v>
          </cell>
          <cell r="G4278" t="str">
            <v>InRet</v>
          </cell>
          <cell r="L4278">
            <v>40701</v>
          </cell>
          <cell r="M4278">
            <v>4.12</v>
          </cell>
          <cell r="P4278">
            <v>4.6174271844660195</v>
          </cell>
        </row>
        <row r="4279">
          <cell r="A4279" t="str">
            <v>BPB-047-HCFS211-32SP</v>
          </cell>
          <cell r="G4279" t="str">
            <v xml:space="preserve">CR   </v>
          </cell>
          <cell r="L4279">
            <v>40428.376423611109</v>
          </cell>
          <cell r="M4279">
            <v>3.97</v>
          </cell>
          <cell r="P4279">
            <v>8.1189999999999998</v>
          </cell>
        </row>
        <row r="4280">
          <cell r="A4280" t="str">
            <v>BPB-047-LF-204</v>
          </cell>
          <cell r="G4280" t="str">
            <v>IDESP</v>
          </cell>
          <cell r="L4280">
            <v>43521</v>
          </cell>
          <cell r="M4280">
            <v>40.1</v>
          </cell>
          <cell r="P4280">
            <v>1.18</v>
          </cell>
        </row>
        <row r="4281">
          <cell r="A4281" t="str">
            <v>BPB-047-LF-205</v>
          </cell>
          <cell r="G4281" t="str">
            <v xml:space="preserve">INSI </v>
          </cell>
          <cell r="L4281">
            <v>41380</v>
          </cell>
          <cell r="M4281">
            <v>5.15</v>
          </cell>
          <cell r="P4281">
            <v>1.64</v>
          </cell>
        </row>
        <row r="4282">
          <cell r="A4282" t="str">
            <v>BPB-047-NE-50-KRRB</v>
          </cell>
          <cell r="G4282" t="str">
            <v>IDESP</v>
          </cell>
          <cell r="L4282">
            <v>39374</v>
          </cell>
          <cell r="M4282">
            <v>3.1619999999999999</v>
          </cell>
          <cell r="P4282">
            <v>12.753</v>
          </cell>
        </row>
        <row r="4283">
          <cell r="A4283" t="str">
            <v>BPB-047-P-204-PBT</v>
          </cell>
          <cell r="G4283" t="str">
            <v>IDESP</v>
          </cell>
          <cell r="L4283">
            <v>40473</v>
          </cell>
          <cell r="M4283">
            <v>3.98</v>
          </cell>
          <cell r="P4283">
            <v>2.73</v>
          </cell>
        </row>
        <row r="4284">
          <cell r="A4284" t="str">
            <v>BPB-047-P-205</v>
          </cell>
          <cell r="G4284" t="str">
            <v>IPFAB</v>
          </cell>
          <cell r="L4284">
            <v>40477</v>
          </cell>
          <cell r="M4284">
            <v>3.98</v>
          </cell>
          <cell r="P4284">
            <v>1.45</v>
          </cell>
        </row>
        <row r="4285">
          <cell r="A4285" t="str">
            <v>BPB-047-P-205-L</v>
          </cell>
          <cell r="G4285" t="str">
            <v>IPFAP</v>
          </cell>
          <cell r="L4285">
            <v>44655</v>
          </cell>
          <cell r="M4285">
            <v>116.25</v>
          </cell>
          <cell r="P4285">
            <v>0.70369032258064523</v>
          </cell>
        </row>
        <row r="4286">
          <cell r="A4286" t="str">
            <v>BPB-047-P-205-PBT</v>
          </cell>
          <cell r="G4286" t="str">
            <v xml:space="preserve">CR   </v>
          </cell>
          <cell r="L4286">
            <v>41144.46875</v>
          </cell>
          <cell r="M4286">
            <v>4.63</v>
          </cell>
          <cell r="P4286">
            <v>3.19</v>
          </cell>
        </row>
        <row r="4287">
          <cell r="A4287" t="str">
            <v>BPB-047-P-206-L</v>
          </cell>
          <cell r="G4287" t="str">
            <v>IPFAP</v>
          </cell>
          <cell r="L4287">
            <v>44281</v>
          </cell>
          <cell r="M4287">
            <v>97</v>
          </cell>
          <cell r="P4287">
            <v>2.05319587628866</v>
          </cell>
        </row>
        <row r="4288">
          <cell r="A4288" t="str">
            <v>BPB-047-P-206-PBT</v>
          </cell>
          <cell r="G4288" t="str">
            <v>INDEV</v>
          </cell>
          <cell r="L4288">
            <v>41704</v>
          </cell>
          <cell r="M4288">
            <v>7.9</v>
          </cell>
          <cell r="P4288">
            <v>3.9499999999999997</v>
          </cell>
        </row>
        <row r="4289">
          <cell r="A4289" t="str">
            <v>BPB-047-P-207</v>
          </cell>
          <cell r="G4289" t="str">
            <v>INDEV</v>
          </cell>
          <cell r="L4289">
            <v>40434</v>
          </cell>
          <cell r="M4289">
            <v>3.96</v>
          </cell>
          <cell r="P4289">
            <v>0.83580808080808089</v>
          </cell>
        </row>
        <row r="4290">
          <cell r="A4290" t="str">
            <v>BPB-047-P-207-L</v>
          </cell>
          <cell r="G4290" t="str">
            <v>IDESP</v>
          </cell>
          <cell r="L4290">
            <v>43480</v>
          </cell>
          <cell r="M4290">
            <v>37.9</v>
          </cell>
          <cell r="P4290">
            <v>2.38</v>
          </cell>
        </row>
        <row r="4291">
          <cell r="A4291" t="str">
            <v>BPB-047-P-207-PBT</v>
          </cell>
          <cell r="G4291" t="str">
            <v>IDESP</v>
          </cell>
          <cell r="L4291">
            <v>40473</v>
          </cell>
          <cell r="M4291">
            <v>3.98</v>
          </cell>
          <cell r="P4291">
            <v>4.71</v>
          </cell>
        </row>
        <row r="4292">
          <cell r="A4292" t="str">
            <v>BPB-047-P-208-L</v>
          </cell>
          <cell r="G4292" t="str">
            <v xml:space="preserve">INAC </v>
          </cell>
          <cell r="L4292">
            <v>44336</v>
          </cell>
          <cell r="M4292">
            <v>99.25</v>
          </cell>
          <cell r="P4292">
            <v>6.2166246851385392</v>
          </cell>
        </row>
        <row r="4293">
          <cell r="A4293" t="str">
            <v>BPB-047-P-208-PBT</v>
          </cell>
          <cell r="G4293" t="str">
            <v>IDESP</v>
          </cell>
          <cell r="L4293">
            <v>40473</v>
          </cell>
          <cell r="M4293">
            <v>3.98</v>
          </cell>
          <cell r="P4293">
            <v>5.77</v>
          </cell>
        </row>
        <row r="4294">
          <cell r="A4294" t="str">
            <v>BPB-047-P-209-L</v>
          </cell>
          <cell r="G4294" t="str">
            <v xml:space="preserve">INAC </v>
          </cell>
          <cell r="L4294">
            <v>44336</v>
          </cell>
          <cell r="M4294">
            <v>99.25</v>
          </cell>
          <cell r="P4294">
            <v>7.1637279596977326</v>
          </cell>
        </row>
        <row r="4295">
          <cell r="A4295" t="str">
            <v>BPB-047-P-210-L</v>
          </cell>
          <cell r="G4295" t="str">
            <v>IPFAP</v>
          </cell>
          <cell r="L4295">
            <v>44664</v>
          </cell>
          <cell r="M4295">
            <v>117.75</v>
          </cell>
          <cell r="P4295">
            <v>2.9099999999999997</v>
          </cell>
        </row>
        <row r="4296">
          <cell r="A4296" t="str">
            <v>BPB-047-P-211-L</v>
          </cell>
          <cell r="G4296" t="str">
            <v>IDESP</v>
          </cell>
          <cell r="L4296">
            <v>42772</v>
          </cell>
          <cell r="M4296">
            <v>16.02</v>
          </cell>
          <cell r="P4296">
            <v>3.85</v>
          </cell>
        </row>
        <row r="4297">
          <cell r="A4297" t="str">
            <v>BPB-047-P-212-L</v>
          </cell>
          <cell r="G4297" t="str">
            <v>IDESP</v>
          </cell>
          <cell r="L4297">
            <v>42772</v>
          </cell>
          <cell r="M4297">
            <v>16.02</v>
          </cell>
          <cell r="P4297">
            <v>4.6100000000000003</v>
          </cell>
        </row>
        <row r="4298">
          <cell r="A4298" t="str">
            <v>BPB-047-P-213-L </v>
          </cell>
          <cell r="G4298" t="str">
            <v>IPFAP</v>
          </cell>
          <cell r="L4298">
            <v>45173</v>
          </cell>
          <cell r="M4298">
            <v>365.5</v>
          </cell>
          <cell r="P4298">
            <v>3.7290013679890563</v>
          </cell>
        </row>
        <row r="4299">
          <cell r="A4299" t="str">
            <v>BPB-047-P-214-L</v>
          </cell>
          <cell r="G4299" t="str">
            <v>IDESP</v>
          </cell>
          <cell r="L4299">
            <v>42779</v>
          </cell>
          <cell r="M4299">
            <v>15.92</v>
          </cell>
          <cell r="P4299">
            <v>6.77</v>
          </cell>
        </row>
        <row r="4300">
          <cell r="A4300" t="str">
            <v>BPB-047-PA-205</v>
          </cell>
          <cell r="G4300" t="str">
            <v>IDESP</v>
          </cell>
          <cell r="L4300">
            <v>40700</v>
          </cell>
          <cell r="M4300">
            <v>4.12</v>
          </cell>
          <cell r="P4300">
            <v>1.302</v>
          </cell>
        </row>
        <row r="4301">
          <cell r="A4301" t="str">
            <v>BPB-047-PA-209</v>
          </cell>
          <cell r="G4301" t="str">
            <v>IDESP</v>
          </cell>
          <cell r="L4301">
            <v>43196</v>
          </cell>
          <cell r="M4301">
            <v>20.5</v>
          </cell>
          <cell r="P4301">
            <v>3.33</v>
          </cell>
        </row>
        <row r="4302">
          <cell r="A4302" t="str">
            <v>BPB-047-PE-204</v>
          </cell>
          <cell r="G4302" t="str">
            <v>IDESP</v>
          </cell>
          <cell r="L4302">
            <v>41946</v>
          </cell>
          <cell r="M4302">
            <v>8.5</v>
          </cell>
          <cell r="P4302">
            <v>1.49</v>
          </cell>
        </row>
        <row r="4303">
          <cell r="A4303" t="str">
            <v>BPB-047-PE-205</v>
          </cell>
          <cell r="G4303" t="str">
            <v>IDESP</v>
          </cell>
          <cell r="L4303">
            <v>43279</v>
          </cell>
          <cell r="M4303">
            <v>27.9</v>
          </cell>
          <cell r="P4303">
            <v>1.45</v>
          </cell>
        </row>
        <row r="4304">
          <cell r="A4304" t="str">
            <v>BPB-047-PE-206</v>
          </cell>
          <cell r="G4304" t="str">
            <v>IDESP</v>
          </cell>
          <cell r="L4304">
            <v>44007</v>
          </cell>
          <cell r="M4304">
            <v>73</v>
          </cell>
          <cell r="P4304">
            <v>2.4500000000000002</v>
          </cell>
        </row>
        <row r="4305">
          <cell r="A4305" t="str">
            <v>BPB-047-PE-207</v>
          </cell>
          <cell r="G4305" t="str">
            <v>IDESP</v>
          </cell>
          <cell r="L4305">
            <v>44406</v>
          </cell>
          <cell r="M4305">
            <v>101.75</v>
          </cell>
          <cell r="P4305">
            <v>2.94</v>
          </cell>
        </row>
        <row r="4306">
          <cell r="A4306" t="str">
            <v>BPB-047-PE-207-KRB19</v>
          </cell>
          <cell r="G4306" t="str">
            <v>INDEV</v>
          </cell>
          <cell r="L4306">
            <v>39933</v>
          </cell>
          <cell r="M4306">
            <v>3.74</v>
          </cell>
          <cell r="P4306">
            <v>0.3029946524064171</v>
          </cell>
        </row>
        <row r="4307">
          <cell r="A4307" t="str">
            <v>BPB-047-PE-208</v>
          </cell>
          <cell r="G4307" t="str">
            <v>IDESP</v>
          </cell>
          <cell r="L4307">
            <v>44406</v>
          </cell>
          <cell r="M4307">
            <v>101.75</v>
          </cell>
          <cell r="P4307">
            <v>3.45</v>
          </cell>
        </row>
        <row r="4308">
          <cell r="A4308" t="str">
            <v>BPB-047-PE-208-A1</v>
          </cell>
          <cell r="G4308" t="str">
            <v xml:space="preserve">INAC </v>
          </cell>
          <cell r="L4308">
            <v>44426</v>
          </cell>
          <cell r="M4308">
            <v>102.25</v>
          </cell>
          <cell r="P4308">
            <v>7.7061124694376533</v>
          </cell>
        </row>
        <row r="4309">
          <cell r="A4309" t="str">
            <v>BPB-047-PE-209</v>
          </cell>
          <cell r="G4309" t="str">
            <v>IDESP</v>
          </cell>
          <cell r="L4309">
            <v>44406</v>
          </cell>
          <cell r="M4309">
            <v>101.75</v>
          </cell>
          <cell r="P4309">
            <v>3.85</v>
          </cell>
        </row>
        <row r="4310">
          <cell r="A4310" t="str">
            <v>BPB-047-PE-210</v>
          </cell>
          <cell r="G4310" t="str">
            <v>vpret</v>
          </cell>
          <cell r="L4310">
            <v>45889</v>
          </cell>
          <cell r="M4310">
            <v>1310</v>
          </cell>
          <cell r="P4310">
            <v>5.9412595419847332</v>
          </cell>
        </row>
        <row r="4311">
          <cell r="A4311" t="str">
            <v>BPB-047-PE-211</v>
          </cell>
          <cell r="G4311" t="str">
            <v>IDESP</v>
          </cell>
          <cell r="L4311">
            <v>41072</v>
          </cell>
          <cell r="M4311">
            <v>4.5</v>
          </cell>
          <cell r="P4311">
            <v>4.609</v>
          </cell>
        </row>
        <row r="4312">
          <cell r="A4312" t="str">
            <v>BPB-047-PE-212</v>
          </cell>
          <cell r="G4312" t="str">
            <v>IDESP</v>
          </cell>
          <cell r="L4312">
            <v>41072</v>
          </cell>
          <cell r="M4312">
            <v>4.5</v>
          </cell>
          <cell r="P4312">
            <v>5.3719999999999999</v>
          </cell>
        </row>
        <row r="4313">
          <cell r="A4313" t="str">
            <v>BPB-047-PE-213</v>
          </cell>
          <cell r="G4313" t="str">
            <v>INDEV</v>
          </cell>
          <cell r="L4313">
            <v>41071</v>
          </cell>
          <cell r="M4313">
            <v>4.5</v>
          </cell>
          <cell r="P4313">
            <v>7.6619999999999999</v>
          </cell>
        </row>
        <row r="4314">
          <cell r="A4314" t="str">
            <v>BPB-047-PE-214</v>
          </cell>
          <cell r="G4314" t="str">
            <v>IDESP</v>
          </cell>
          <cell r="L4314">
            <v>43871</v>
          </cell>
          <cell r="M4314">
            <v>63</v>
          </cell>
          <cell r="P4314">
            <v>11.3</v>
          </cell>
        </row>
        <row r="4315">
          <cell r="A4315" t="str">
            <v>BPB-047-PE-216</v>
          </cell>
          <cell r="G4315" t="str">
            <v xml:space="preserve">CR   </v>
          </cell>
          <cell r="L4315">
            <v>43585.433738425927</v>
          </cell>
          <cell r="M4315">
            <v>45.3</v>
          </cell>
          <cell r="P4315">
            <v>4</v>
          </cell>
        </row>
        <row r="4316">
          <cell r="A4316" t="str">
            <v>BPB-047-PE-218</v>
          </cell>
          <cell r="G4316" t="str">
            <v>IDESP</v>
          </cell>
          <cell r="L4316">
            <v>40833</v>
          </cell>
          <cell r="M4316">
            <v>4.24</v>
          </cell>
          <cell r="P4316">
            <v>18.54</v>
          </cell>
        </row>
        <row r="4317">
          <cell r="A4317" t="str">
            <v>BPB-047-PE207-M</v>
          </cell>
          <cell r="G4317" t="str">
            <v>vpret</v>
          </cell>
          <cell r="L4317">
            <v>43753</v>
          </cell>
          <cell r="M4317">
            <v>59.5</v>
          </cell>
          <cell r="P4317">
            <v>2.6455462184873948</v>
          </cell>
        </row>
        <row r="4318">
          <cell r="A4318" t="str">
            <v>BPB-047-PE208-M</v>
          </cell>
          <cell r="G4318" t="str">
            <v>vpret</v>
          </cell>
          <cell r="L4318">
            <v>44427</v>
          </cell>
          <cell r="M4318">
            <v>102.25</v>
          </cell>
          <cell r="P4318">
            <v>3.4499999999999997</v>
          </cell>
        </row>
        <row r="4319">
          <cell r="A4319" t="str">
            <v>BPB-047-PE209-M</v>
          </cell>
          <cell r="G4319" t="str">
            <v>IDESP</v>
          </cell>
          <cell r="L4319">
            <v>44973</v>
          </cell>
          <cell r="M4319">
            <v>198.25</v>
          </cell>
          <cell r="P4319">
            <v>4.2</v>
          </cell>
        </row>
        <row r="4320">
          <cell r="A4320" t="str">
            <v>BPB-047-PE211-M</v>
          </cell>
          <cell r="G4320" t="str">
            <v>vpret</v>
          </cell>
          <cell r="L4320">
            <v>44063</v>
          </cell>
          <cell r="M4320">
            <v>77.5</v>
          </cell>
          <cell r="P4320">
            <v>6.2</v>
          </cell>
        </row>
        <row r="4321">
          <cell r="A4321" t="str">
            <v>BPB-047-PE214-M</v>
          </cell>
          <cell r="G4321" t="str">
            <v>VPRet</v>
          </cell>
          <cell r="L4321">
            <v>42384</v>
          </cell>
          <cell r="M4321">
            <v>13.85</v>
          </cell>
          <cell r="P4321">
            <v>9.7646209386281591</v>
          </cell>
        </row>
        <row r="4322">
          <cell r="A4322" t="str">
            <v>BPB-047-PSB-205</v>
          </cell>
          <cell r="G4322" t="str">
            <v>INDEV</v>
          </cell>
          <cell r="L4322">
            <v>39906</v>
          </cell>
          <cell r="M4322">
            <v>3.7120000000000002</v>
          </cell>
          <cell r="P4322">
            <v>0.95501077586206895</v>
          </cell>
        </row>
        <row r="4323">
          <cell r="A4323" t="str">
            <v>BPB-047-PSB-206</v>
          </cell>
          <cell r="G4323" t="str">
            <v>IDESP</v>
          </cell>
          <cell r="L4323">
            <v>39762</v>
          </cell>
          <cell r="M4323">
            <v>3.3069999999999999</v>
          </cell>
          <cell r="P4323">
            <v>1.135</v>
          </cell>
        </row>
        <row r="4324">
          <cell r="A4324" t="str">
            <v>BPB-047-PSB-207</v>
          </cell>
          <cell r="G4324" t="str">
            <v>IDESP</v>
          </cell>
          <cell r="L4324">
            <v>39442</v>
          </cell>
          <cell r="M4324">
            <v>3.141</v>
          </cell>
          <cell r="P4324">
            <v>1.3819999999999999</v>
          </cell>
        </row>
        <row r="4325">
          <cell r="A4325" t="str">
            <v>BPB-047-PSB-208</v>
          </cell>
          <cell r="G4325" t="str">
            <v>INDEV</v>
          </cell>
          <cell r="L4325">
            <v>40037</v>
          </cell>
          <cell r="M4325">
            <v>3.84</v>
          </cell>
          <cell r="P4325">
            <v>1.5009114583333334</v>
          </cell>
        </row>
        <row r="4326">
          <cell r="A4326" t="str">
            <v>BPB-047-PSB-209</v>
          </cell>
          <cell r="G4326" t="str">
            <v>IDESP</v>
          </cell>
          <cell r="L4326">
            <v>39762</v>
          </cell>
          <cell r="M4326">
            <v>3.3069999999999999</v>
          </cell>
          <cell r="P4326">
            <v>1.8879999999999999</v>
          </cell>
        </row>
        <row r="4327">
          <cell r="A4327" t="str">
            <v>BPB-047-RCSM-16L</v>
          </cell>
          <cell r="G4327" t="str">
            <v>IDESP</v>
          </cell>
          <cell r="L4327">
            <v>40595</v>
          </cell>
          <cell r="M4327">
            <v>4.05</v>
          </cell>
          <cell r="P4327">
            <v>0.48399999999999999</v>
          </cell>
        </row>
        <row r="4328">
          <cell r="A4328" t="str">
            <v>BPB-047-RUB-4</v>
          </cell>
          <cell r="G4328" t="str">
            <v>IDESP</v>
          </cell>
          <cell r="L4328">
            <v>40137</v>
          </cell>
          <cell r="M4328">
            <v>3.82</v>
          </cell>
          <cell r="P4328">
            <v>0.35599999999999998</v>
          </cell>
        </row>
        <row r="4329">
          <cell r="A4329" t="str">
            <v>BPB-047-RUB-5</v>
          </cell>
          <cell r="G4329" t="str">
            <v>IDESP</v>
          </cell>
          <cell r="L4329">
            <v>40137</v>
          </cell>
          <cell r="M4329">
            <v>3.82</v>
          </cell>
          <cell r="P4329">
            <v>0.35599999999999998</v>
          </cell>
        </row>
        <row r="4330">
          <cell r="A4330" t="str">
            <v>BPB-047-RUB-6</v>
          </cell>
          <cell r="G4330" t="str">
            <v>IDESP</v>
          </cell>
          <cell r="L4330">
            <v>40137</v>
          </cell>
          <cell r="M4330">
            <v>3.82</v>
          </cell>
          <cell r="P4330">
            <v>0.441</v>
          </cell>
        </row>
        <row r="4331">
          <cell r="A4331" t="str">
            <v>BPB-047-SA206-30</v>
          </cell>
          <cell r="G4331" t="str">
            <v xml:space="preserve">INAC </v>
          </cell>
          <cell r="L4331">
            <v>39827</v>
          </cell>
          <cell r="M4331">
            <v>3.4510000000000001</v>
          </cell>
          <cell r="P4331">
            <v>3.85395537525355</v>
          </cell>
        </row>
        <row r="4332">
          <cell r="A4332" t="str">
            <v>BPB-047-SAB-205-25MM</v>
          </cell>
          <cell r="G4332" t="str">
            <v>INDEV</v>
          </cell>
          <cell r="L4332">
            <v>41527</v>
          </cell>
          <cell r="M4332">
            <v>5.71</v>
          </cell>
          <cell r="P4332">
            <v>1.1622066549912433</v>
          </cell>
        </row>
        <row r="4333">
          <cell r="A4333" t="str">
            <v>BPB-047-SAB-206-30MM</v>
          </cell>
          <cell r="G4333" t="str">
            <v>INDEV</v>
          </cell>
          <cell r="L4333">
            <v>40611</v>
          </cell>
          <cell r="M4333">
            <v>4.0599999999999996</v>
          </cell>
          <cell r="P4333">
            <v>1.2635714285714286</v>
          </cell>
        </row>
        <row r="4334">
          <cell r="A4334" t="str">
            <v>BPB-047-SAB-207-35MM</v>
          </cell>
          <cell r="G4334" t="str">
            <v>VPRet</v>
          </cell>
          <cell r="L4334">
            <v>42641</v>
          </cell>
          <cell r="M4334">
            <v>15.55</v>
          </cell>
          <cell r="P4334">
            <v>2.7491961414790995</v>
          </cell>
        </row>
        <row r="4335">
          <cell r="A4335" t="str">
            <v>BPB-047-SAB-208-40MM</v>
          </cell>
          <cell r="G4335" t="str">
            <v>IDESP</v>
          </cell>
          <cell r="L4335">
            <v>40536</v>
          </cell>
          <cell r="M4335">
            <v>4</v>
          </cell>
          <cell r="P4335">
            <v>2.0857999999999999</v>
          </cell>
        </row>
        <row r="4336">
          <cell r="A4336" t="str">
            <v>BPB-047-SAB-209-45MM</v>
          </cell>
          <cell r="G4336" t="str">
            <v>INDEV</v>
          </cell>
          <cell r="L4336">
            <v>41142</v>
          </cell>
          <cell r="M4336">
            <v>4.63</v>
          </cell>
          <cell r="P4336">
            <v>3</v>
          </cell>
        </row>
        <row r="4337">
          <cell r="A4337" t="str">
            <v>BPB-047-SAB-210-50MM</v>
          </cell>
          <cell r="G4337" t="str">
            <v>IDESP</v>
          </cell>
          <cell r="L4337">
            <v>40554</v>
          </cell>
          <cell r="M4337">
            <v>4</v>
          </cell>
          <cell r="P4337">
            <v>3.2774000000000001</v>
          </cell>
        </row>
        <row r="4338">
          <cell r="A4338" t="str">
            <v>BPB-047-SAB205-16DG</v>
          </cell>
          <cell r="G4338" t="str">
            <v xml:space="preserve">CR   </v>
          </cell>
          <cell r="L4338">
            <v>44309.373136574075</v>
          </cell>
          <cell r="M4338">
            <v>98.25</v>
          </cell>
          <cell r="P4338">
            <v>1.52</v>
          </cell>
        </row>
        <row r="4339">
          <cell r="A4339" t="str">
            <v>BPB-047-SAB205-16MG</v>
          </cell>
          <cell r="G4339" t="str">
            <v>VPPRT</v>
          </cell>
          <cell r="L4339">
            <v>44818</v>
          </cell>
          <cell r="M4339">
            <v>149</v>
          </cell>
          <cell r="P4339">
            <v>1.2936000000000001</v>
          </cell>
        </row>
        <row r="4340">
          <cell r="A4340" t="str">
            <v>BPB-047-SAB205-25DG</v>
          </cell>
          <cell r="G4340" t="str">
            <v xml:space="preserve">INSI </v>
          </cell>
          <cell r="L4340">
            <v>41004</v>
          </cell>
          <cell r="M4340">
            <v>4.4000000000000004</v>
          </cell>
          <cell r="P4340">
            <v>1.3218000000000001</v>
          </cell>
        </row>
        <row r="4341">
          <cell r="A4341" t="str">
            <v>BPB-047-SAB205-25LG</v>
          </cell>
          <cell r="G4341" t="str">
            <v>IPFAP</v>
          </cell>
          <cell r="L4341">
            <v>44655</v>
          </cell>
          <cell r="M4341">
            <v>116.25</v>
          </cell>
          <cell r="P4341">
            <v>1.0554838709677419</v>
          </cell>
        </row>
        <row r="4342">
          <cell r="A4342" t="str">
            <v>BPB-047-SAB206-30LG</v>
          </cell>
          <cell r="G4342" t="str">
            <v>IPFAP</v>
          </cell>
          <cell r="L4342">
            <v>45799</v>
          </cell>
          <cell r="M4342">
            <v>1160</v>
          </cell>
          <cell r="P4342">
            <v>1.6739999999999999</v>
          </cell>
        </row>
        <row r="4343">
          <cell r="A4343" t="str">
            <v>BPB-047-SAB207-20DG</v>
          </cell>
          <cell r="G4343" t="str">
            <v xml:space="preserve">INAC </v>
          </cell>
          <cell r="L4343">
            <v>45744</v>
          </cell>
          <cell r="M4343">
            <v>1091.75</v>
          </cell>
          <cell r="P4343">
            <v>11.747304785894208</v>
          </cell>
        </row>
        <row r="4344">
          <cell r="A4344" t="str">
            <v>BPB-047-SAB207-35D1</v>
          </cell>
          <cell r="G4344" t="str">
            <v>INDEV</v>
          </cell>
          <cell r="L4344">
            <v>41547</v>
          </cell>
          <cell r="M4344">
            <v>5.79</v>
          </cell>
          <cell r="P4344">
            <v>4.967184801381693</v>
          </cell>
        </row>
        <row r="4345">
          <cell r="A4345" t="str">
            <v>BPB-047-SAB207-35DG</v>
          </cell>
          <cell r="G4345" t="str">
            <v>IPFAP</v>
          </cell>
          <cell r="L4345">
            <v>42542</v>
          </cell>
          <cell r="M4345">
            <v>14.15</v>
          </cell>
          <cell r="P4345">
            <v>3.8551236749116606</v>
          </cell>
        </row>
        <row r="4346">
          <cell r="A4346" t="str">
            <v>BPB-047-SAB207-35LG</v>
          </cell>
          <cell r="G4346" t="str">
            <v>IPFAP</v>
          </cell>
          <cell r="L4346">
            <v>45391</v>
          </cell>
          <cell r="M4346">
            <v>883</v>
          </cell>
          <cell r="P4346">
            <v>2.6460000000000004</v>
          </cell>
        </row>
        <row r="4347">
          <cell r="A4347" t="str">
            <v>BPB-047-SAB208-40LG</v>
          </cell>
          <cell r="G4347" t="str">
            <v>IPFAP</v>
          </cell>
          <cell r="L4347">
            <v>44294</v>
          </cell>
          <cell r="M4347">
            <v>98</v>
          </cell>
          <cell r="P4347">
            <v>2.5043877551020408</v>
          </cell>
        </row>
        <row r="4348">
          <cell r="A4348" t="str">
            <v>BPB-047-SAB209-45DG</v>
          </cell>
          <cell r="G4348" t="str">
            <v>IDESP</v>
          </cell>
          <cell r="L4348">
            <v>45776</v>
          </cell>
          <cell r="M4348">
            <v>1190</v>
          </cell>
          <cell r="P4348">
            <v>4.32</v>
          </cell>
        </row>
        <row r="4349">
          <cell r="A4349" t="str">
            <v>BPB-047-SAB209-45LG</v>
          </cell>
          <cell r="G4349" t="str">
            <v xml:space="preserve">INAC </v>
          </cell>
          <cell r="L4349">
            <v>45622</v>
          </cell>
          <cell r="M4349">
            <v>1027</v>
          </cell>
          <cell r="P4349">
            <v>5.6475170399221035</v>
          </cell>
        </row>
        <row r="4350">
          <cell r="A4350" t="str">
            <v>BPB-047-SAB210-50LG</v>
          </cell>
          <cell r="G4350" t="str">
            <v>IPFAP</v>
          </cell>
          <cell r="L4350">
            <v>44664</v>
          </cell>
          <cell r="M4350">
            <v>117.75</v>
          </cell>
          <cell r="P4350">
            <v>2.3464331210191083</v>
          </cell>
        </row>
        <row r="4351">
          <cell r="A4351" t="str">
            <v>BPB-047-SAB211-32TG</v>
          </cell>
          <cell r="G4351" t="str">
            <v>VPPRT</v>
          </cell>
          <cell r="L4351">
            <v>44564</v>
          </cell>
          <cell r="M4351">
            <v>107.75</v>
          </cell>
          <cell r="P4351">
            <v>7.7403000000000004</v>
          </cell>
        </row>
        <row r="4352">
          <cell r="A4352" t="str">
            <v>BPB-047-SAB211-55DG</v>
          </cell>
          <cell r="G4352" t="str">
            <v>IPFAP</v>
          </cell>
          <cell r="L4352">
            <v>44364</v>
          </cell>
          <cell r="M4352">
            <v>100.25</v>
          </cell>
          <cell r="P4352">
            <v>7.03</v>
          </cell>
        </row>
        <row r="4353">
          <cell r="A4353" t="str">
            <v>BPB-047-SAB213-65LG</v>
          </cell>
          <cell r="G4353" t="str">
            <v>IPFAP</v>
          </cell>
          <cell r="L4353">
            <v>45173</v>
          </cell>
          <cell r="M4353">
            <v>365.5</v>
          </cell>
          <cell r="P4353">
            <v>8.7009986320109451</v>
          </cell>
        </row>
        <row r="4354">
          <cell r="A4354" t="str">
            <v>BPB-047-SAB215-75DG</v>
          </cell>
          <cell r="G4354" t="str">
            <v>IDESP</v>
          </cell>
          <cell r="L4354">
            <v>43775</v>
          </cell>
          <cell r="M4354">
            <v>63.5</v>
          </cell>
          <cell r="P4354">
            <v>15.657</v>
          </cell>
        </row>
        <row r="4355">
          <cell r="A4355" t="str">
            <v>BPB-047-SABF-209-45m</v>
          </cell>
          <cell r="G4355" t="str">
            <v xml:space="preserve">CR   </v>
          </cell>
          <cell r="L4355">
            <v>41547.999988425923</v>
          </cell>
          <cell r="M4355">
            <v>5.79</v>
          </cell>
          <cell r="P4355">
            <v>1.7582037996545767</v>
          </cell>
        </row>
        <row r="4356">
          <cell r="A4356" t="str">
            <v>BPB-047-SABF-213-65m</v>
          </cell>
          <cell r="G4356" t="str">
            <v>IDESP</v>
          </cell>
          <cell r="L4356">
            <v>42983</v>
          </cell>
          <cell r="M4356">
            <v>17.7</v>
          </cell>
          <cell r="P4356">
            <v>8.74</v>
          </cell>
        </row>
        <row r="4357">
          <cell r="A4357" t="str">
            <v>BPB-047-SABF206-30RG</v>
          </cell>
          <cell r="G4357" t="str">
            <v>IDESP</v>
          </cell>
          <cell r="L4357">
            <v>40218</v>
          </cell>
          <cell r="M4357">
            <v>3.87</v>
          </cell>
          <cell r="P4357">
            <v>3.18</v>
          </cell>
        </row>
        <row r="4358">
          <cell r="A4358" t="str">
            <v>BPB-047-SABP-206-30m</v>
          </cell>
          <cell r="G4358" t="str">
            <v>IPFAB</v>
          </cell>
          <cell r="L4358">
            <v>40612</v>
          </cell>
          <cell r="M4358">
            <v>4.0599999999999996</v>
          </cell>
          <cell r="P4358">
            <v>0.24629999999999999</v>
          </cell>
        </row>
        <row r="4359">
          <cell r="A4359" t="str">
            <v>BPB-047-SABP208-40RG</v>
          </cell>
          <cell r="G4359" t="str">
            <v>IDESP</v>
          </cell>
          <cell r="L4359">
            <v>40224</v>
          </cell>
          <cell r="M4359">
            <v>3.87</v>
          </cell>
          <cell r="P4359">
            <v>5.4779999999999998</v>
          </cell>
        </row>
        <row r="4360">
          <cell r="A4360" t="str">
            <v>BPB-047-SABP210-50RG</v>
          </cell>
          <cell r="G4360" t="str">
            <v>IDESP</v>
          </cell>
          <cell r="L4360">
            <v>40224</v>
          </cell>
          <cell r="M4360">
            <v>3.87</v>
          </cell>
          <cell r="P4360">
            <v>8.5180000000000007</v>
          </cell>
        </row>
        <row r="4361">
          <cell r="A4361" t="str">
            <v>BPB-047-SABP214-70RG</v>
          </cell>
          <cell r="G4361" t="str">
            <v>IDESP</v>
          </cell>
          <cell r="L4361">
            <v>40224</v>
          </cell>
          <cell r="M4361">
            <v>3.87</v>
          </cell>
          <cell r="P4361">
            <v>19.668399999999998</v>
          </cell>
        </row>
        <row r="4362">
          <cell r="A4362" t="str">
            <v>BPB-047-SC-310-2RST</v>
          </cell>
          <cell r="G4362" t="str">
            <v>IDESP</v>
          </cell>
          <cell r="L4362">
            <v>40241</v>
          </cell>
          <cell r="M4362">
            <v>3.88</v>
          </cell>
          <cell r="P4362">
            <v>5.3819999999999997</v>
          </cell>
        </row>
        <row r="4363">
          <cell r="A4363" t="str">
            <v>BPB-047-SFC-72-M</v>
          </cell>
          <cell r="G4363" t="str">
            <v>IDESP</v>
          </cell>
          <cell r="L4363">
            <v>44406</v>
          </cell>
          <cell r="M4363">
            <v>101.75</v>
          </cell>
          <cell r="P4363">
            <v>5.15</v>
          </cell>
        </row>
        <row r="4364">
          <cell r="A4364" t="str">
            <v>BPB-047-SFC-80-M</v>
          </cell>
          <cell r="G4364" t="str">
            <v>INSI$</v>
          </cell>
          <cell r="L4364">
            <v>44889</v>
          </cell>
          <cell r="M4364">
            <v>171.25</v>
          </cell>
          <cell r="P4364">
            <v>6.28</v>
          </cell>
        </row>
        <row r="4365">
          <cell r="A4365" t="str">
            <v>BPB-047-SFC-85-M</v>
          </cell>
          <cell r="G4365" t="str">
            <v>IDESP</v>
          </cell>
          <cell r="L4365">
            <v>44406</v>
          </cell>
          <cell r="M4365">
            <v>101.75</v>
          </cell>
          <cell r="P4365">
            <v>6.1</v>
          </cell>
        </row>
        <row r="4366">
          <cell r="A4366" t="str">
            <v>BPB-047-SL-206-30RR1</v>
          </cell>
          <cell r="G4366" t="str">
            <v>INDEV</v>
          </cell>
          <cell r="L4366">
            <v>41065</v>
          </cell>
          <cell r="M4366">
            <v>4.49</v>
          </cell>
          <cell r="P4366">
            <v>3.5201559020044542</v>
          </cell>
        </row>
        <row r="4367">
          <cell r="A4367" t="str">
            <v>BPB-047-SL-207-35D1</v>
          </cell>
          <cell r="G4367" t="str">
            <v>IDESP</v>
          </cell>
          <cell r="L4367">
            <v>40277</v>
          </cell>
          <cell r="M4367">
            <v>3.89</v>
          </cell>
          <cell r="P4367">
            <v>5.34</v>
          </cell>
        </row>
        <row r="4368">
          <cell r="A4368" t="str">
            <v>BPB-047-SL209-45RR</v>
          </cell>
          <cell r="G4368" t="str">
            <v>IDESP</v>
          </cell>
          <cell r="L4368">
            <v>42620</v>
          </cell>
          <cell r="M4368">
            <v>15.24</v>
          </cell>
          <cell r="P4368">
            <v>7.09</v>
          </cell>
        </row>
        <row r="4369">
          <cell r="A4369" t="str">
            <v>BPB-047-SP205</v>
          </cell>
          <cell r="G4369" t="str">
            <v>vpret</v>
          </cell>
          <cell r="L4369">
            <v>43441</v>
          </cell>
          <cell r="M4369">
            <v>38.6</v>
          </cell>
          <cell r="P4369">
            <v>6.6901554404145074</v>
          </cell>
        </row>
        <row r="4370">
          <cell r="A4370" t="str">
            <v>BPB-047-SP205-03</v>
          </cell>
          <cell r="G4370" t="str">
            <v>vpret</v>
          </cell>
          <cell r="L4370">
            <v>43425</v>
          </cell>
          <cell r="M4370">
            <v>37.1</v>
          </cell>
          <cell r="P4370">
            <v>0.5291644204851752</v>
          </cell>
        </row>
        <row r="4371">
          <cell r="A4371" t="str">
            <v>BPB-047-SP205-1</v>
          </cell>
          <cell r="G4371" t="str">
            <v>InRet</v>
          </cell>
          <cell r="L4371">
            <v>43420</v>
          </cell>
          <cell r="M4371">
            <v>36.9</v>
          </cell>
          <cell r="P4371">
            <v>2.0915989159891604</v>
          </cell>
        </row>
        <row r="4372">
          <cell r="A4372" t="str">
            <v>BPB-047-SP205-1-A</v>
          </cell>
          <cell r="G4372" t="str">
            <v>vpret</v>
          </cell>
          <cell r="L4372">
            <v>43412</v>
          </cell>
          <cell r="M4372">
            <v>36.6</v>
          </cell>
          <cell r="P4372">
            <v>1.7519125683060111</v>
          </cell>
        </row>
        <row r="4373">
          <cell r="A4373" t="str">
            <v>BPB-047-SP205-1-P</v>
          </cell>
          <cell r="G4373" t="str">
            <v xml:space="preserve">INAC </v>
          </cell>
          <cell r="L4373">
            <v>43231</v>
          </cell>
          <cell r="M4373">
            <v>23.2</v>
          </cell>
          <cell r="P4373">
            <v>2.7637931034482763</v>
          </cell>
        </row>
        <row r="4374">
          <cell r="A4374" t="str">
            <v>BPB-047-SP205-2</v>
          </cell>
          <cell r="G4374" t="str">
            <v>InRet</v>
          </cell>
          <cell r="L4374">
            <v>43420</v>
          </cell>
          <cell r="M4374">
            <v>36.9</v>
          </cell>
          <cell r="P4374">
            <v>1.5192411924119242</v>
          </cell>
        </row>
        <row r="4375">
          <cell r="A4375" t="str">
            <v>BPB-047-SP205-2-A</v>
          </cell>
          <cell r="G4375" t="str">
            <v>vpret</v>
          </cell>
          <cell r="L4375">
            <v>43412</v>
          </cell>
          <cell r="M4375">
            <v>36.6</v>
          </cell>
          <cell r="P4375">
            <v>1.174863387978142</v>
          </cell>
        </row>
        <row r="4376">
          <cell r="A4376" t="str">
            <v>BPB-047-SP205-2-P</v>
          </cell>
          <cell r="G4376" t="str">
            <v xml:space="preserve">INAC </v>
          </cell>
          <cell r="L4376">
            <v>43231</v>
          </cell>
          <cell r="M4376">
            <v>23.2</v>
          </cell>
          <cell r="P4376">
            <v>1.853448275862069</v>
          </cell>
        </row>
        <row r="4377">
          <cell r="A4377" t="str">
            <v>BPB-047-SP205-AL</v>
          </cell>
          <cell r="G4377" t="str">
            <v>IDESP</v>
          </cell>
          <cell r="L4377">
            <v>44677</v>
          </cell>
          <cell r="M4377">
            <v>119.5</v>
          </cell>
          <cell r="P4377">
            <v>5.7450000000000001</v>
          </cell>
        </row>
        <row r="4378">
          <cell r="A4378" t="str">
            <v>BPB-047-SS-UC-204</v>
          </cell>
          <cell r="G4378" t="str">
            <v>IDESP</v>
          </cell>
          <cell r="L4378">
            <v>39576</v>
          </cell>
          <cell r="M4378">
            <v>3.1840000000000002</v>
          </cell>
          <cell r="P4378">
            <v>3.98</v>
          </cell>
        </row>
        <row r="4379">
          <cell r="A4379" t="str">
            <v>BPB-047-SS-UC-205-25</v>
          </cell>
          <cell r="G4379" t="str">
            <v>IDESP</v>
          </cell>
          <cell r="L4379">
            <v>39576</v>
          </cell>
          <cell r="M4379">
            <v>3.1840000000000002</v>
          </cell>
          <cell r="P4379">
            <v>4.3899999999999997</v>
          </cell>
        </row>
        <row r="4380">
          <cell r="A4380" t="str">
            <v>BPB-047-SS-UC-206</v>
          </cell>
          <cell r="G4380" t="str">
            <v>IDESP</v>
          </cell>
          <cell r="L4380">
            <v>41621</v>
          </cell>
          <cell r="M4380">
            <v>6.28</v>
          </cell>
          <cell r="P4380">
            <v>7.99</v>
          </cell>
        </row>
        <row r="4381">
          <cell r="A4381" t="str">
            <v>BPB-047-SS-UC-207</v>
          </cell>
          <cell r="G4381" t="str">
            <v>IDESP</v>
          </cell>
          <cell r="L4381">
            <v>40361</v>
          </cell>
          <cell r="M4381">
            <v>3.95</v>
          </cell>
          <cell r="P4381">
            <v>8.6300000000000008</v>
          </cell>
        </row>
        <row r="4382">
          <cell r="A4382" t="str">
            <v>BPB-047-SS-UC-208</v>
          </cell>
          <cell r="G4382" t="str">
            <v>IDESP</v>
          </cell>
          <cell r="L4382">
            <v>40361</v>
          </cell>
          <cell r="M4382">
            <v>3.95</v>
          </cell>
          <cell r="P4382">
            <v>10.82</v>
          </cell>
        </row>
        <row r="4383">
          <cell r="A4383" t="str">
            <v>BPB-047-SS-UC-209</v>
          </cell>
          <cell r="G4383" t="str">
            <v>IDESP</v>
          </cell>
          <cell r="L4383">
            <v>40361</v>
          </cell>
          <cell r="M4383">
            <v>3.95</v>
          </cell>
          <cell r="P4383">
            <v>11.92</v>
          </cell>
        </row>
        <row r="4384">
          <cell r="A4384" t="str">
            <v>BPB-047-SS-UC-210</v>
          </cell>
          <cell r="G4384" t="str">
            <v>IDESP</v>
          </cell>
          <cell r="L4384">
            <v>40361</v>
          </cell>
          <cell r="M4384">
            <v>3.95</v>
          </cell>
          <cell r="P4384">
            <v>14.24</v>
          </cell>
        </row>
        <row r="4385">
          <cell r="A4385" t="str">
            <v>BPB-047-T-205</v>
          </cell>
          <cell r="G4385" t="str">
            <v>IDESP</v>
          </cell>
          <cell r="L4385">
            <v>44406</v>
          </cell>
          <cell r="M4385">
            <v>101.75</v>
          </cell>
          <cell r="P4385">
            <v>1.72</v>
          </cell>
        </row>
        <row r="4386">
          <cell r="A4386" t="str">
            <v>BPB-047-T-205-13</v>
          </cell>
          <cell r="G4386" t="str">
            <v>IPFAP</v>
          </cell>
          <cell r="L4386">
            <v>44420</v>
          </cell>
          <cell r="M4386">
            <v>102</v>
          </cell>
          <cell r="P4386">
            <v>1.72</v>
          </cell>
        </row>
        <row r="4387">
          <cell r="A4387" t="str">
            <v>BPB-047-T-206</v>
          </cell>
          <cell r="G4387" t="str">
            <v>IDESP</v>
          </cell>
          <cell r="L4387">
            <v>44406</v>
          </cell>
          <cell r="M4387">
            <v>101.75</v>
          </cell>
          <cell r="P4387">
            <v>3.36</v>
          </cell>
        </row>
        <row r="4388">
          <cell r="A4388" t="str">
            <v>BPB-047-T-207</v>
          </cell>
          <cell r="G4388" t="str">
            <v>IDESP</v>
          </cell>
          <cell r="L4388">
            <v>44007</v>
          </cell>
          <cell r="M4388">
            <v>73</v>
          </cell>
          <cell r="P4388">
            <v>2.65</v>
          </cell>
        </row>
        <row r="4389">
          <cell r="A4389" t="str">
            <v>BPB-047-T-210</v>
          </cell>
          <cell r="G4389" t="str">
            <v>IDESP</v>
          </cell>
          <cell r="L4389">
            <v>39672</v>
          </cell>
          <cell r="M4389">
            <v>3.0329999999999999</v>
          </cell>
          <cell r="P4389">
            <v>3</v>
          </cell>
        </row>
        <row r="4390">
          <cell r="A4390" t="str">
            <v>BPB-047-T-212</v>
          </cell>
          <cell r="G4390" t="str">
            <v>IDESP</v>
          </cell>
          <cell r="L4390">
            <v>45979</v>
          </cell>
          <cell r="M4390">
            <v>1415</v>
          </cell>
          <cell r="P4390">
            <v>9.0399999999999991</v>
          </cell>
        </row>
        <row r="4391">
          <cell r="A4391" t="str">
            <v>BPB-047-T-212-L</v>
          </cell>
          <cell r="G4391" t="str">
            <v>IDESP</v>
          </cell>
          <cell r="L4391">
            <v>42772</v>
          </cell>
          <cell r="M4391">
            <v>16.02</v>
          </cell>
          <cell r="P4391">
            <v>7.22</v>
          </cell>
        </row>
        <row r="4392">
          <cell r="A4392" t="str">
            <v>BPB-047-T-218</v>
          </cell>
          <cell r="G4392" t="str">
            <v>INDEV</v>
          </cell>
          <cell r="L4392">
            <v>40658</v>
          </cell>
          <cell r="M4392">
            <v>4.0999999999999996</v>
          </cell>
          <cell r="P4392">
            <v>21.8</v>
          </cell>
        </row>
        <row r="4393">
          <cell r="A4393" t="str">
            <v>BPB-047-UC-204-20mm</v>
          </cell>
          <cell r="G4393" t="str">
            <v>IPFAP</v>
          </cell>
          <cell r="L4393">
            <v>42145</v>
          </cell>
          <cell r="M4393">
            <v>8.99</v>
          </cell>
          <cell r="P4393">
            <v>0.24629588431590654</v>
          </cell>
        </row>
        <row r="4394">
          <cell r="A4394" t="str">
            <v>BPB-047-UC-205-16</v>
          </cell>
          <cell r="G4394" t="str">
            <v xml:space="preserve">CR   </v>
          </cell>
          <cell r="L4394">
            <v>44833.530902777777</v>
          </cell>
          <cell r="M4394">
            <v>153</v>
          </cell>
          <cell r="P4394">
            <v>1.57</v>
          </cell>
        </row>
        <row r="4395">
          <cell r="A4395" t="str">
            <v>BPB-047-UC-205-25</v>
          </cell>
          <cell r="G4395" t="str">
            <v>IPFAB</v>
          </cell>
          <cell r="L4395">
            <v>40477</v>
          </cell>
          <cell r="M4395">
            <v>3.98</v>
          </cell>
          <cell r="P4395">
            <v>0.25130000000000002</v>
          </cell>
        </row>
        <row r="4396">
          <cell r="A4396" t="str">
            <v>BPB-047-UC-205-DBL</v>
          </cell>
          <cell r="G4396" t="str">
            <v>INDEV</v>
          </cell>
          <cell r="L4396">
            <v>41613</v>
          </cell>
          <cell r="M4396">
            <v>6.2</v>
          </cell>
          <cell r="P4396">
            <v>1.5036290322580645</v>
          </cell>
        </row>
        <row r="4397">
          <cell r="A4397" t="str">
            <v>BPB-047-UC-206-30</v>
          </cell>
          <cell r="G4397" t="str">
            <v xml:space="preserve">INAC </v>
          </cell>
          <cell r="L4397">
            <v>43103</v>
          </cell>
          <cell r="M4397">
            <v>18.760000000000002</v>
          </cell>
          <cell r="P4397">
            <v>3.424365671641791</v>
          </cell>
        </row>
        <row r="4398">
          <cell r="A4398" t="str">
            <v>BPB-047-UC-206-DBL</v>
          </cell>
          <cell r="G4398" t="str">
            <v>INDEV</v>
          </cell>
          <cell r="L4398">
            <v>41572</v>
          </cell>
          <cell r="M4398">
            <v>5.87</v>
          </cell>
          <cell r="P4398">
            <v>1.94</v>
          </cell>
        </row>
        <row r="4399">
          <cell r="A4399" t="str">
            <v>BPB-047-UC-207-20-DB</v>
          </cell>
          <cell r="G4399" t="str">
            <v>InRet</v>
          </cell>
          <cell r="L4399">
            <v>41848</v>
          </cell>
          <cell r="M4399">
            <v>8.19</v>
          </cell>
          <cell r="P4399">
            <v>5.7973137973137971</v>
          </cell>
        </row>
        <row r="4400">
          <cell r="A4400" t="str">
            <v>BPB-047-UC-207-35</v>
          </cell>
          <cell r="G4400" t="str">
            <v>IPFAP</v>
          </cell>
          <cell r="L4400">
            <v>42123</v>
          </cell>
          <cell r="M4400">
            <v>8.93</v>
          </cell>
          <cell r="P4400">
            <v>0.26180291153415453</v>
          </cell>
        </row>
        <row r="4401">
          <cell r="A4401" t="str">
            <v>BPB-047-UC-207-DBL</v>
          </cell>
          <cell r="G4401" t="str">
            <v>INDEV</v>
          </cell>
          <cell r="L4401">
            <v>41527</v>
          </cell>
          <cell r="M4401">
            <v>5.71</v>
          </cell>
          <cell r="P4401">
            <v>2.7600000000000002</v>
          </cell>
        </row>
        <row r="4402">
          <cell r="A4402" t="str">
            <v>BPB-047-UC-208-40</v>
          </cell>
          <cell r="G4402" t="str">
            <v>IPFAB</v>
          </cell>
          <cell r="L4402">
            <v>40639</v>
          </cell>
          <cell r="M4402">
            <v>4.08</v>
          </cell>
          <cell r="P4402">
            <v>0.25840000000000002</v>
          </cell>
        </row>
        <row r="4403">
          <cell r="A4403" t="str">
            <v>BPB-047-UC-208-DBL</v>
          </cell>
          <cell r="G4403" t="str">
            <v>INDEV</v>
          </cell>
          <cell r="L4403">
            <v>41480</v>
          </cell>
          <cell r="M4403">
            <v>5.47</v>
          </cell>
          <cell r="P4403">
            <v>3.33</v>
          </cell>
        </row>
        <row r="4404">
          <cell r="A4404" t="str">
            <v>BPB-047-UC-209-45</v>
          </cell>
          <cell r="G4404" t="str">
            <v xml:space="preserve">INSI </v>
          </cell>
          <cell r="L4404">
            <v>43054</v>
          </cell>
          <cell r="M4404">
            <v>17.8</v>
          </cell>
          <cell r="P4404">
            <v>5.9404000000000003</v>
          </cell>
        </row>
        <row r="4405">
          <cell r="A4405" t="str">
            <v>BPB-047-UC-209-DBL</v>
          </cell>
          <cell r="G4405" t="str">
            <v>IDESP</v>
          </cell>
          <cell r="L4405">
            <v>41430</v>
          </cell>
          <cell r="M4405">
            <v>5.29</v>
          </cell>
          <cell r="P4405">
            <v>3.85</v>
          </cell>
        </row>
        <row r="4406">
          <cell r="A4406" t="str">
            <v>BPB-047-UC-210-50</v>
          </cell>
          <cell r="G4406" t="str">
            <v>IPFAB</v>
          </cell>
          <cell r="L4406">
            <v>41404</v>
          </cell>
          <cell r="M4406">
            <v>5.22</v>
          </cell>
          <cell r="P4406">
            <v>0.27089999999999997</v>
          </cell>
        </row>
        <row r="4407">
          <cell r="A4407" t="str">
            <v>BPB-047-UC-210-DBL</v>
          </cell>
          <cell r="G4407" t="str">
            <v>IPFAB</v>
          </cell>
          <cell r="L4407">
            <v>41085</v>
          </cell>
          <cell r="M4407">
            <v>4.5199999999999996</v>
          </cell>
          <cell r="P4407">
            <v>4.54</v>
          </cell>
        </row>
        <row r="4408">
          <cell r="A4408" t="str">
            <v>BPB-047-UC-211-55mm</v>
          </cell>
          <cell r="G4408" t="str">
            <v>IPFAB</v>
          </cell>
          <cell r="L4408">
            <v>40731</v>
          </cell>
          <cell r="M4408">
            <v>4.1500000000000004</v>
          </cell>
          <cell r="P4408">
            <v>7.0049999999999999</v>
          </cell>
        </row>
        <row r="4409">
          <cell r="A4409" t="str">
            <v>BPB-047-UC-212-60MM</v>
          </cell>
          <cell r="G4409" t="str">
            <v xml:space="preserve">INAC </v>
          </cell>
          <cell r="L4409">
            <v>44467</v>
          </cell>
          <cell r="M4409">
            <v>103.75</v>
          </cell>
          <cell r="P4409">
            <v>24.308433734939758</v>
          </cell>
        </row>
        <row r="4410">
          <cell r="A4410" t="str">
            <v>BPB-047-UC-212-DBL</v>
          </cell>
          <cell r="G4410" t="str">
            <v xml:space="preserve">INAC </v>
          </cell>
          <cell r="L4410">
            <v>43572</v>
          </cell>
          <cell r="M4410">
            <v>43.4</v>
          </cell>
          <cell r="P4410">
            <v>23.855580645161293</v>
          </cell>
        </row>
        <row r="4411">
          <cell r="A4411" t="str">
            <v>BPB-047-UC-214-DBL</v>
          </cell>
          <cell r="G4411" t="str">
            <v>InRet</v>
          </cell>
          <cell r="L4411">
            <v>42355</v>
          </cell>
          <cell r="M4411">
            <v>9.92</v>
          </cell>
          <cell r="P4411">
            <v>11.850000000000001</v>
          </cell>
        </row>
        <row r="4412">
          <cell r="A4412" t="str">
            <v>BPB-047-UC-215-DBL</v>
          </cell>
          <cell r="G4412" t="str">
            <v>INDEV</v>
          </cell>
          <cell r="L4412">
            <v>41193</v>
          </cell>
          <cell r="M4412">
            <v>4.72</v>
          </cell>
          <cell r="P4412">
            <v>10.659004237288135</v>
          </cell>
        </row>
        <row r="4413">
          <cell r="A4413" t="str">
            <v>BPB-047-UC-216-DBL</v>
          </cell>
          <cell r="G4413" t="str">
            <v>IDESP</v>
          </cell>
          <cell r="L4413">
            <v>41379</v>
          </cell>
          <cell r="M4413">
            <v>5.15</v>
          </cell>
          <cell r="P4413">
            <v>21.11</v>
          </cell>
        </row>
        <row r="4414">
          <cell r="A4414" t="str">
            <v>BPB-047-UC-218-DBL</v>
          </cell>
          <cell r="G4414" t="str">
            <v>IDESP</v>
          </cell>
          <cell r="L4414">
            <v>40997</v>
          </cell>
          <cell r="M4414">
            <v>4.3899999999999997</v>
          </cell>
          <cell r="P4414">
            <v>28.45</v>
          </cell>
        </row>
        <row r="4415">
          <cell r="A4415" t="str">
            <v>BPB-047-UC-305-16-DB</v>
          </cell>
          <cell r="G4415" t="str">
            <v>IPFAB</v>
          </cell>
          <cell r="L4415">
            <v>39738</v>
          </cell>
          <cell r="M4415">
            <v>3.2050000000000001</v>
          </cell>
          <cell r="P4415">
            <v>2.5146999999999999</v>
          </cell>
        </row>
        <row r="4416">
          <cell r="A4416" t="str">
            <v>BPB-047-UC-314-DBL</v>
          </cell>
          <cell r="G4416" t="str">
            <v>IDESP</v>
          </cell>
          <cell r="L4416">
            <v>40674</v>
          </cell>
          <cell r="M4416">
            <v>4.1100000000000003</v>
          </cell>
          <cell r="P4416">
            <v>19.388000000000002</v>
          </cell>
        </row>
        <row r="4417">
          <cell r="A4417" t="str">
            <v>BPB-047-UCF-207-35MM</v>
          </cell>
          <cell r="G4417" t="str">
            <v xml:space="preserve">INSI </v>
          </cell>
          <cell r="L4417">
            <v>41669</v>
          </cell>
          <cell r="M4417">
            <v>8.02</v>
          </cell>
          <cell r="P4417">
            <v>3.3809999999999998</v>
          </cell>
        </row>
        <row r="4418">
          <cell r="A4418" t="str">
            <v>BPB-047-UCF-208</v>
          </cell>
          <cell r="G4418" t="str">
            <v xml:space="preserve">CR   </v>
          </cell>
          <cell r="L4418">
            <v>37981</v>
          </cell>
          <cell r="M4418">
            <v>2.96</v>
          </cell>
          <cell r="P4418">
            <v>3.44</v>
          </cell>
        </row>
        <row r="4419">
          <cell r="A4419" t="str">
            <v>BPB-047-UCF-208-40MM</v>
          </cell>
          <cell r="G4419" t="str">
            <v xml:space="preserve">CR   </v>
          </cell>
          <cell r="L4419">
            <v>40428.376423611109</v>
          </cell>
          <cell r="M4419">
            <v>3.97</v>
          </cell>
          <cell r="P4419">
            <v>4.07</v>
          </cell>
        </row>
        <row r="4420">
          <cell r="A4420" t="str">
            <v>BPB-047-UCF-209-45MM</v>
          </cell>
          <cell r="G4420" t="str">
            <v xml:space="preserve">CR   </v>
          </cell>
          <cell r="L4420">
            <v>40428.376423611109</v>
          </cell>
          <cell r="M4420">
            <v>3.97</v>
          </cell>
          <cell r="P4420">
            <v>4.7629999999999999</v>
          </cell>
        </row>
        <row r="4421">
          <cell r="A4421" t="str">
            <v>BPB-047-UCF-210-50MM</v>
          </cell>
          <cell r="G4421" t="str">
            <v xml:space="preserve">INAC </v>
          </cell>
          <cell r="L4421">
            <v>42699</v>
          </cell>
          <cell r="M4421">
            <v>15.75</v>
          </cell>
          <cell r="P4421">
            <v>10.793777777777779</v>
          </cell>
        </row>
        <row r="4422">
          <cell r="A4422" t="str">
            <v>BPB-047-UCF-212-60MM</v>
          </cell>
          <cell r="G4422" t="str">
            <v>IPFAP</v>
          </cell>
          <cell r="L4422">
            <v>42389</v>
          </cell>
          <cell r="M4422">
            <v>13.85</v>
          </cell>
          <cell r="P4422">
            <v>8.6221010830324918</v>
          </cell>
        </row>
        <row r="4423">
          <cell r="A4423" t="str">
            <v>BPB-047-UCF-212-DBL</v>
          </cell>
          <cell r="G4423" t="str">
            <v>IDESP</v>
          </cell>
          <cell r="L4423">
            <v>40724</v>
          </cell>
          <cell r="M4423">
            <v>4.1399999999999997</v>
          </cell>
          <cell r="P4423">
            <v>12.43</v>
          </cell>
        </row>
        <row r="4424">
          <cell r="A4424" t="str">
            <v>BPB-047-UCFB-208-40M</v>
          </cell>
          <cell r="G4424" t="str">
            <v xml:space="preserve">CR   </v>
          </cell>
          <cell r="L4424">
            <v>40428.376423611109</v>
          </cell>
          <cell r="M4424">
            <v>3.97</v>
          </cell>
          <cell r="P4424">
            <v>0.28199999999999997</v>
          </cell>
        </row>
        <row r="4425">
          <cell r="A4425" t="str">
            <v>BPB-047-UCFB-208-DBL</v>
          </cell>
          <cell r="G4425" t="str">
            <v xml:space="preserve">INSI </v>
          </cell>
          <cell r="L4425">
            <v>39861</v>
          </cell>
          <cell r="M4425">
            <v>3.4969999999999999</v>
          </cell>
          <cell r="P4425">
            <v>4.16</v>
          </cell>
        </row>
        <row r="4426">
          <cell r="A4426" t="str">
            <v>BPB-047-UCFB-209-45</v>
          </cell>
          <cell r="G4426" t="str">
            <v xml:space="preserve">INAC </v>
          </cell>
          <cell r="L4426">
            <v>43060</v>
          </cell>
          <cell r="M4426">
            <v>17.809999999999999</v>
          </cell>
          <cell r="P4426">
            <v>12.330151600224594</v>
          </cell>
        </row>
        <row r="4427">
          <cell r="A4427" t="str">
            <v>BPB-047-UCFT-205-DBL</v>
          </cell>
          <cell r="G4427" t="str">
            <v>IPFAP</v>
          </cell>
          <cell r="L4427">
            <v>42733</v>
          </cell>
          <cell r="M4427">
            <v>16.079999999999998</v>
          </cell>
          <cell r="P4427">
            <v>5.3843283582089558</v>
          </cell>
        </row>
        <row r="4428">
          <cell r="A4428" t="str">
            <v>BPB-047-UCFT-207-35M</v>
          </cell>
          <cell r="G4428" t="str">
            <v>IDESP</v>
          </cell>
          <cell r="L4428">
            <v>40473</v>
          </cell>
          <cell r="M4428">
            <v>3.98</v>
          </cell>
          <cell r="P4428">
            <v>3.3809999999999998</v>
          </cell>
        </row>
        <row r="4429">
          <cell r="A4429" t="str">
            <v>BPB-047-UCFT-208-40M</v>
          </cell>
          <cell r="G4429" t="str">
            <v xml:space="preserve">INAC </v>
          </cell>
          <cell r="L4429">
            <v>42657</v>
          </cell>
          <cell r="M4429">
            <v>15.39</v>
          </cell>
          <cell r="P4429">
            <v>7.0170890188434045</v>
          </cell>
        </row>
        <row r="4430">
          <cell r="A4430" t="str">
            <v>BPB-047-UCFT-209-45M</v>
          </cell>
          <cell r="G4430" t="str">
            <v>IDESP</v>
          </cell>
          <cell r="L4430">
            <v>40473</v>
          </cell>
          <cell r="M4430">
            <v>3.98</v>
          </cell>
          <cell r="P4430">
            <v>4.4189999999999996</v>
          </cell>
        </row>
        <row r="4431">
          <cell r="A4431" t="str">
            <v>BPB-047-UCFT-211-55M</v>
          </cell>
          <cell r="G4431" t="str">
            <v xml:space="preserve">INAC </v>
          </cell>
          <cell r="L4431">
            <v>40477</v>
          </cell>
          <cell r="M4431">
            <v>3.98</v>
          </cell>
          <cell r="P4431">
            <v>11.848743718592965</v>
          </cell>
        </row>
        <row r="4432">
          <cell r="A4432" t="str">
            <v>BPB-047-UCP-206</v>
          </cell>
          <cell r="G4432" t="str">
            <v xml:space="preserve">CR   </v>
          </cell>
          <cell r="L4432">
            <v>38811</v>
          </cell>
          <cell r="M4432">
            <v>3.085</v>
          </cell>
          <cell r="P4432">
            <v>1.9964999999999999</v>
          </cell>
        </row>
        <row r="4433">
          <cell r="A4433" t="str">
            <v>BPB-047-UCP-207-35MM</v>
          </cell>
          <cell r="G4433" t="str">
            <v>IDESP</v>
          </cell>
          <cell r="L4433">
            <v>40473</v>
          </cell>
          <cell r="M4433">
            <v>3.98</v>
          </cell>
          <cell r="P4433">
            <v>3.6779999999999999</v>
          </cell>
        </row>
        <row r="4434">
          <cell r="A4434" t="str">
            <v>BPB-047-UCP-209-45MM</v>
          </cell>
          <cell r="G4434" t="str">
            <v xml:space="preserve">CR   </v>
          </cell>
          <cell r="L4434">
            <v>40428.376423611109</v>
          </cell>
          <cell r="M4434">
            <v>3.97</v>
          </cell>
          <cell r="P4434">
            <v>5.2690000000000001</v>
          </cell>
        </row>
        <row r="4435">
          <cell r="A4435" t="str">
            <v>BPB-047-UCP-214-70mm</v>
          </cell>
          <cell r="G4435" t="str">
            <v>IPFAB</v>
          </cell>
          <cell r="L4435">
            <v>39791</v>
          </cell>
          <cell r="M4435">
            <v>3.468</v>
          </cell>
          <cell r="P4435">
            <v>0.28835100000000002</v>
          </cell>
        </row>
        <row r="4436">
          <cell r="A4436" t="str">
            <v>BPB-047-UCPX14-70MM</v>
          </cell>
          <cell r="G4436" t="str">
            <v>IDESP</v>
          </cell>
          <cell r="L4436">
            <v>42585</v>
          </cell>
          <cell r="M4436">
            <v>15.16</v>
          </cell>
          <cell r="P4436">
            <v>33.61</v>
          </cell>
        </row>
        <row r="4437">
          <cell r="A4437" t="str">
            <v>BPB-047-UCT-205</v>
          </cell>
          <cell r="G4437" t="str">
            <v xml:space="preserve">INAC </v>
          </cell>
          <cell r="L4437">
            <v>42360</v>
          </cell>
          <cell r="M4437">
            <v>13.57</v>
          </cell>
          <cell r="P4437">
            <v>8.2181282240235802</v>
          </cell>
        </row>
        <row r="4438">
          <cell r="A4438" t="str">
            <v>BPB-047-UK-212</v>
          </cell>
          <cell r="G4438" t="str">
            <v>IDESP</v>
          </cell>
          <cell r="L4438">
            <v>40224</v>
          </cell>
          <cell r="M4438">
            <v>3.87</v>
          </cell>
          <cell r="P4438">
            <v>5.3342999999999998</v>
          </cell>
        </row>
        <row r="4439">
          <cell r="A4439" t="str">
            <v>BPB-048-203-KRR12</v>
          </cell>
          <cell r="G4439" t="str">
            <v>IDESP</v>
          </cell>
          <cell r="L4439">
            <v>44040</v>
          </cell>
          <cell r="M4439">
            <v>75.75</v>
          </cell>
          <cell r="P4439">
            <v>2.1800000000000002</v>
          </cell>
        </row>
        <row r="4440">
          <cell r="A4440" t="str">
            <v>BPB-048-203-KRR2</v>
          </cell>
          <cell r="G4440" t="str">
            <v>IDESP</v>
          </cell>
          <cell r="L4440">
            <v>44232</v>
          </cell>
          <cell r="M4440">
            <v>92.75</v>
          </cell>
          <cell r="P4440">
            <v>0.72</v>
          </cell>
        </row>
        <row r="4441">
          <cell r="A4441" t="str">
            <v>BPB-048-203-KRR3</v>
          </cell>
          <cell r="G4441" t="str">
            <v>IPFAP</v>
          </cell>
          <cell r="L4441">
            <v>44581</v>
          </cell>
          <cell r="M4441">
            <v>109</v>
          </cell>
          <cell r="P4441">
            <v>1.46</v>
          </cell>
        </row>
        <row r="4442">
          <cell r="A4442" t="str">
            <v>BPB-048-203-KRR3-E2</v>
          </cell>
          <cell r="G4442" t="str">
            <v>IPFAP</v>
          </cell>
          <cell r="L4442">
            <v>44567</v>
          </cell>
          <cell r="M4442">
            <v>108</v>
          </cell>
          <cell r="P4442">
            <v>1.54</v>
          </cell>
        </row>
        <row r="4443">
          <cell r="A4443" t="str">
            <v>BPB-048-204-JY3</v>
          </cell>
          <cell r="G4443" t="str">
            <v xml:space="preserve">INAC </v>
          </cell>
          <cell r="L4443">
            <v>43641</v>
          </cell>
          <cell r="M4443">
            <v>43.5</v>
          </cell>
          <cell r="P4443">
            <v>1.73</v>
          </cell>
        </row>
        <row r="4444">
          <cell r="A4444" t="str">
            <v>BPB-048-204-JY5</v>
          </cell>
          <cell r="G4444" t="str">
            <v>vpret</v>
          </cell>
          <cell r="L4444">
            <v>45804</v>
          </cell>
          <cell r="M4444">
            <v>1160</v>
          </cell>
          <cell r="P4444">
            <v>1.59</v>
          </cell>
        </row>
        <row r="4445">
          <cell r="A4445" t="str">
            <v>BPB-048-204-JZ6</v>
          </cell>
          <cell r="G4445" t="str">
            <v>IPFAB</v>
          </cell>
          <cell r="L4445">
            <v>40505</v>
          </cell>
          <cell r="M4445">
            <v>3.99</v>
          </cell>
          <cell r="P4445">
            <v>0.93020000000000003</v>
          </cell>
        </row>
        <row r="4446">
          <cell r="A4446" t="str">
            <v>BPB-048-204-KRR2</v>
          </cell>
          <cell r="G4446" t="str">
            <v xml:space="preserve">CR   </v>
          </cell>
          <cell r="L4446">
            <v>43126.737314814818</v>
          </cell>
          <cell r="M4446">
            <v>19.86</v>
          </cell>
          <cell r="P4446">
            <v>1.434038267875126</v>
          </cell>
        </row>
        <row r="4447">
          <cell r="A4447" t="str">
            <v>BPB-048-204-KRR6</v>
          </cell>
          <cell r="G4447" t="str">
            <v>IDESP</v>
          </cell>
          <cell r="L4447">
            <v>43462</v>
          </cell>
          <cell r="M4447">
            <v>39.299999999999997</v>
          </cell>
          <cell r="P4447">
            <v>2.0760000000000001</v>
          </cell>
        </row>
        <row r="4448">
          <cell r="A4448" t="str">
            <v>BPB-048-204-KYY6</v>
          </cell>
          <cell r="G4448" t="str">
            <v>IPFAP</v>
          </cell>
          <cell r="L4448">
            <v>42247</v>
          </cell>
          <cell r="M4448">
            <v>9.33</v>
          </cell>
          <cell r="P4448">
            <v>0.90399785637727759</v>
          </cell>
        </row>
        <row r="4449">
          <cell r="A4449" t="str">
            <v>BPB-048-204-KYY7</v>
          </cell>
          <cell r="G4449" t="str">
            <v>IPFAB</v>
          </cell>
          <cell r="L4449">
            <v>44760</v>
          </cell>
          <cell r="M4449">
            <v>135</v>
          </cell>
          <cell r="P4449">
            <v>1.84</v>
          </cell>
        </row>
        <row r="4450">
          <cell r="A4450" t="str">
            <v>BPB-048-204KRR11</v>
          </cell>
          <cell r="G4450" t="str">
            <v xml:space="preserve">CR   </v>
          </cell>
          <cell r="L4450">
            <v>43126.703275462962</v>
          </cell>
          <cell r="M4450">
            <v>19.86</v>
          </cell>
          <cell r="P4450">
            <v>2.2759315206445119</v>
          </cell>
        </row>
        <row r="4451">
          <cell r="A4451" t="str">
            <v>BPB-048-204KYY2</v>
          </cell>
          <cell r="G4451" t="str">
            <v>IDESP</v>
          </cell>
          <cell r="L4451">
            <v>44887</v>
          </cell>
          <cell r="M4451">
            <v>169.25</v>
          </cell>
          <cell r="P4451">
            <v>1.65</v>
          </cell>
        </row>
        <row r="4452">
          <cell r="A4452" t="str">
            <v>BPB-048-205-GP</v>
          </cell>
          <cell r="G4452" t="str">
            <v>INPEE</v>
          </cell>
          <cell r="L4452">
            <v>43647</v>
          </cell>
          <cell r="M4452">
            <v>43.5</v>
          </cell>
          <cell r="P4452">
            <v>8.69</v>
          </cell>
        </row>
        <row r="4453">
          <cell r="A4453" t="str">
            <v>BPB-048-205-KRP2</v>
          </cell>
          <cell r="G4453" t="str">
            <v>INCOU</v>
          </cell>
          <cell r="L4453">
            <v>42905</v>
          </cell>
          <cell r="M4453">
            <v>16.3</v>
          </cell>
          <cell r="P4453">
            <v>2.4</v>
          </cell>
        </row>
        <row r="4454">
          <cell r="A4454" t="str">
            <v>BPB-048-205-KRR2</v>
          </cell>
          <cell r="G4454" t="str">
            <v>vpret</v>
          </cell>
          <cell r="L4454">
            <v>43635</v>
          </cell>
          <cell r="M4454">
            <v>44.5</v>
          </cell>
          <cell r="P4454">
            <v>2.0571876404494382</v>
          </cell>
        </row>
        <row r="4455">
          <cell r="A4455" t="str">
            <v>BPB-048-205-KRRB1</v>
          </cell>
          <cell r="G4455" t="str">
            <v>IDESP</v>
          </cell>
          <cell r="L4455">
            <v>40093</v>
          </cell>
          <cell r="M4455">
            <v>3.85</v>
          </cell>
          <cell r="P4455">
            <v>1.85</v>
          </cell>
        </row>
        <row r="4456">
          <cell r="A4456" t="str">
            <v>BPB-048-205-KRRB2</v>
          </cell>
          <cell r="G4456" t="str">
            <v>IDESP</v>
          </cell>
          <cell r="L4456">
            <v>45996</v>
          </cell>
          <cell r="M4456">
            <v>1470</v>
          </cell>
          <cell r="P4456">
            <v>1.72</v>
          </cell>
        </row>
        <row r="4457">
          <cell r="A4457" t="str">
            <v>BPB-048-205-KRRB2*</v>
          </cell>
          <cell r="G4457" t="str">
            <v>IPFAB</v>
          </cell>
          <cell r="L4457">
            <v>39633</v>
          </cell>
          <cell r="M4457">
            <v>3.028</v>
          </cell>
          <cell r="P4457">
            <v>1</v>
          </cell>
        </row>
        <row r="4458">
          <cell r="A4458" t="str">
            <v>BPB-048-205-KYR2</v>
          </cell>
          <cell r="G4458" t="str">
            <v>vpret</v>
          </cell>
          <cell r="L4458">
            <v>44167</v>
          </cell>
          <cell r="M4458">
            <v>86.5</v>
          </cell>
          <cell r="P4458">
            <v>1.9379999999999999</v>
          </cell>
        </row>
        <row r="4459">
          <cell r="A4459" t="str">
            <v>BPB-048-205-KYYB5</v>
          </cell>
          <cell r="G4459" t="str">
            <v>IDESP</v>
          </cell>
          <cell r="L4459">
            <v>41534</v>
          </cell>
          <cell r="M4459">
            <v>5.73</v>
          </cell>
          <cell r="P4459">
            <v>2.25</v>
          </cell>
        </row>
        <row r="4460">
          <cell r="A4460" t="str">
            <v>BPB-048-205-KYYB7</v>
          </cell>
          <cell r="G4460" t="str">
            <v>IDESP</v>
          </cell>
          <cell r="L4460">
            <v>40672</v>
          </cell>
          <cell r="M4460">
            <v>4.1100000000000003</v>
          </cell>
          <cell r="P4460">
            <v>1.8420000000000001</v>
          </cell>
        </row>
        <row r="4461">
          <cell r="A4461" t="str">
            <v>BPB-048-205-PP9</v>
          </cell>
          <cell r="G4461" t="str">
            <v>IPFAB</v>
          </cell>
          <cell r="L4461">
            <v>45083</v>
          </cell>
          <cell r="M4461">
            <v>251.5</v>
          </cell>
          <cell r="P4461">
            <v>2.1694</v>
          </cell>
        </row>
        <row r="4462">
          <cell r="A4462" t="str">
            <v>BPB-048-205KRP2-6PF</v>
          </cell>
          <cell r="G4462" t="str">
            <v>IDESP</v>
          </cell>
          <cell r="L4462">
            <v>44484</v>
          </cell>
          <cell r="M4462">
            <v>104.25</v>
          </cell>
          <cell r="P4462">
            <v>3.21</v>
          </cell>
        </row>
        <row r="4463">
          <cell r="A4463" t="str">
            <v>BPB-048-205KYR2</v>
          </cell>
          <cell r="G4463" t="str">
            <v>vpret</v>
          </cell>
          <cell r="L4463">
            <v>45609</v>
          </cell>
          <cell r="M4463">
            <v>1018</v>
          </cell>
          <cell r="P4463">
            <v>4.7791817288801575</v>
          </cell>
        </row>
        <row r="4464">
          <cell r="A4464" t="str">
            <v>BPB-048-205SB</v>
          </cell>
          <cell r="G4464" t="str">
            <v>IDESP</v>
          </cell>
          <cell r="L4464">
            <v>43462</v>
          </cell>
          <cell r="M4464">
            <v>39.299999999999997</v>
          </cell>
          <cell r="P4464">
            <v>2.5750000000000002</v>
          </cell>
        </row>
        <row r="4465">
          <cell r="A4465" t="str">
            <v>BPB-048-206-BC72</v>
          </cell>
          <cell r="G4465" t="str">
            <v>IDESP</v>
          </cell>
          <cell r="L4465">
            <v>41388</v>
          </cell>
          <cell r="M4465">
            <v>5.17</v>
          </cell>
          <cell r="P4465">
            <v>3.51</v>
          </cell>
        </row>
        <row r="4466">
          <cell r="A4466" t="str">
            <v>BPB-048-206-K14</v>
          </cell>
          <cell r="G4466" t="str">
            <v>IDESP</v>
          </cell>
          <cell r="L4466">
            <v>44077</v>
          </cell>
          <cell r="M4466">
            <v>78.25</v>
          </cell>
          <cell r="P4466">
            <v>1.9670000000000001</v>
          </cell>
        </row>
        <row r="4467">
          <cell r="A4467" t="str">
            <v>BPB-048-206-KRR14</v>
          </cell>
          <cell r="G4467" t="str">
            <v>IDESP</v>
          </cell>
          <cell r="L4467">
            <v>43522</v>
          </cell>
          <cell r="M4467">
            <v>39.9</v>
          </cell>
          <cell r="P4467">
            <v>2.113</v>
          </cell>
        </row>
        <row r="4468">
          <cell r="A4468" t="str">
            <v>BPB-048-206-KRR6</v>
          </cell>
          <cell r="G4468" t="str">
            <v>IDESP</v>
          </cell>
          <cell r="L4468">
            <v>44887</v>
          </cell>
          <cell r="M4468">
            <v>169.25</v>
          </cell>
          <cell r="P4468">
            <v>2.61</v>
          </cell>
        </row>
        <row r="4469">
          <cell r="A4469" t="str">
            <v>BPB-048-206-KRRB6</v>
          </cell>
          <cell r="G4469" t="str">
            <v xml:space="preserve">INAC </v>
          </cell>
          <cell r="L4469">
            <v>42965</v>
          </cell>
          <cell r="M4469">
            <v>17.64</v>
          </cell>
          <cell r="P4469">
            <v>5.718174603174603</v>
          </cell>
        </row>
        <row r="4470">
          <cell r="A4470" t="str">
            <v>BPB-048-206-KYY6</v>
          </cell>
          <cell r="G4470" t="str">
            <v>vpret</v>
          </cell>
          <cell r="L4470">
            <v>44043</v>
          </cell>
          <cell r="M4470">
            <v>76</v>
          </cell>
          <cell r="P4470">
            <v>2.6904506578947371</v>
          </cell>
        </row>
        <row r="4471">
          <cell r="A4471" t="str">
            <v>BPB-048-206-PP19</v>
          </cell>
          <cell r="G4471" t="str">
            <v>IDESP</v>
          </cell>
          <cell r="L4471">
            <v>41584</v>
          </cell>
          <cell r="M4471">
            <v>5.95</v>
          </cell>
          <cell r="P4471">
            <v>2.2599999999999998</v>
          </cell>
        </row>
        <row r="4472">
          <cell r="A4472" t="str">
            <v>BPB-048-207-KRRB12</v>
          </cell>
          <cell r="G4472" t="str">
            <v>vpret</v>
          </cell>
          <cell r="L4472">
            <v>44390</v>
          </cell>
          <cell r="M4472">
            <v>101</v>
          </cell>
          <cell r="P4472">
            <v>3.7281762376237624</v>
          </cell>
        </row>
        <row r="4473">
          <cell r="A4473" t="str">
            <v>BPB-048-207-KRRB17</v>
          </cell>
          <cell r="G4473" t="str">
            <v>vpret</v>
          </cell>
          <cell r="L4473">
            <v>43454</v>
          </cell>
          <cell r="M4473">
            <v>39.200000000000003</v>
          </cell>
          <cell r="P4473">
            <v>3.9799999999999995</v>
          </cell>
        </row>
        <row r="4474">
          <cell r="A4474" t="str">
            <v>BPB-048-207-KRRB19</v>
          </cell>
          <cell r="G4474" t="str">
            <v>IDESP</v>
          </cell>
          <cell r="L4474">
            <v>41584</v>
          </cell>
          <cell r="M4474">
            <v>5.95</v>
          </cell>
          <cell r="P4474">
            <v>3.98</v>
          </cell>
        </row>
        <row r="4475">
          <cell r="A4475" t="str">
            <v>BPB-048-207-KRRB9</v>
          </cell>
          <cell r="G4475" t="str">
            <v>vpret</v>
          </cell>
          <cell r="L4475">
            <v>44077</v>
          </cell>
          <cell r="M4475">
            <v>78.25</v>
          </cell>
          <cell r="P4475">
            <v>4.2367993610223635</v>
          </cell>
        </row>
        <row r="4476">
          <cell r="A4476" t="str">
            <v>BPB-048-207-KYYB2</v>
          </cell>
          <cell r="G4476" t="str">
            <v>vpret</v>
          </cell>
          <cell r="L4476">
            <v>44085</v>
          </cell>
          <cell r="M4476">
            <v>79</v>
          </cell>
          <cell r="P4476">
            <v>4.3799468354430378</v>
          </cell>
        </row>
        <row r="4477">
          <cell r="A4477" t="str">
            <v>BPB-048-209-KYYB2</v>
          </cell>
          <cell r="G4477" t="str">
            <v>VPRet</v>
          </cell>
          <cell r="L4477">
            <v>43146</v>
          </cell>
          <cell r="M4477">
            <v>20.22</v>
          </cell>
          <cell r="P4477">
            <v>6.6856955489614247</v>
          </cell>
        </row>
        <row r="4478">
          <cell r="A4478" t="str">
            <v>BPB-048-210-PP20</v>
          </cell>
          <cell r="G4478" t="str">
            <v>IDESP</v>
          </cell>
          <cell r="L4478">
            <v>41584</v>
          </cell>
          <cell r="M4478">
            <v>5.95</v>
          </cell>
          <cell r="P4478">
            <v>6.7</v>
          </cell>
        </row>
        <row r="4479">
          <cell r="A4479" t="str">
            <v>BPB-048-210-PPB20</v>
          </cell>
          <cell r="G4479" t="str">
            <v>IPFAB</v>
          </cell>
          <cell r="L4479">
            <v>42654</v>
          </cell>
          <cell r="M4479">
            <v>15.49</v>
          </cell>
          <cell r="P4479">
            <v>2.0546000000000002</v>
          </cell>
        </row>
        <row r="4480">
          <cell r="A4480" t="str">
            <v>BPB-048-2AH06-1</v>
          </cell>
          <cell r="G4480" t="str">
            <v>INDEV</v>
          </cell>
          <cell r="L4480">
            <v>39798</v>
          </cell>
          <cell r="M4480">
            <v>3.42</v>
          </cell>
          <cell r="P4480">
            <v>2.183011695906433</v>
          </cell>
        </row>
        <row r="4481">
          <cell r="A4481" t="str">
            <v>BPB-048-51100</v>
          </cell>
          <cell r="G4481" t="str">
            <v>IDESP</v>
          </cell>
          <cell r="L4481" t="str">
            <v>NULL</v>
          </cell>
          <cell r="M4481" t="str">
            <v>conver</v>
          </cell>
          <cell r="P4481">
            <v>0.27</v>
          </cell>
        </row>
        <row r="4482">
          <cell r="A4482" t="str">
            <v>BPB-048-51101</v>
          </cell>
          <cell r="G4482" t="str">
            <v>IDESP</v>
          </cell>
          <cell r="L4482" t="str">
            <v>NULL</v>
          </cell>
          <cell r="M4482" t="str">
            <v>conver</v>
          </cell>
          <cell r="P4482">
            <v>0.27</v>
          </cell>
        </row>
        <row r="4483">
          <cell r="A4483" t="str">
            <v>BPB-048-51102</v>
          </cell>
          <cell r="G4483" t="str">
            <v>IDESP</v>
          </cell>
          <cell r="L4483" t="str">
            <v>NULL</v>
          </cell>
          <cell r="M4483" t="str">
            <v>conver</v>
          </cell>
          <cell r="P4483">
            <v>0.28999999999999998</v>
          </cell>
        </row>
        <row r="4484">
          <cell r="A4484" t="str">
            <v>BPB-048-51103</v>
          </cell>
          <cell r="G4484" t="str">
            <v xml:space="preserve">INAC </v>
          </cell>
          <cell r="L4484">
            <v>42759</v>
          </cell>
          <cell r="M4484">
            <v>16.329999999999998</v>
          </cell>
          <cell r="P4484">
            <v>0.87448867115737916</v>
          </cell>
        </row>
        <row r="4485">
          <cell r="A4485" t="str">
            <v>BPB-048-51104</v>
          </cell>
          <cell r="G4485" t="str">
            <v>IDESP</v>
          </cell>
          <cell r="L4485">
            <v>41534</v>
          </cell>
          <cell r="M4485">
            <v>5.73</v>
          </cell>
          <cell r="P4485">
            <v>0.52</v>
          </cell>
        </row>
        <row r="4486">
          <cell r="A4486" t="str">
            <v>BPB-048-51105</v>
          </cell>
          <cell r="G4486" t="str">
            <v>IDESP</v>
          </cell>
          <cell r="L4486" t="str">
            <v>NULL</v>
          </cell>
          <cell r="M4486" t="str">
            <v>conver</v>
          </cell>
          <cell r="P4486">
            <v>0.51</v>
          </cell>
        </row>
        <row r="4487">
          <cell r="A4487" t="str">
            <v>BPB-048-51206</v>
          </cell>
          <cell r="G4487" t="str">
            <v>IDESP</v>
          </cell>
          <cell r="L4487">
            <v>44301</v>
          </cell>
          <cell r="M4487">
            <v>98.25</v>
          </cell>
          <cell r="P4487">
            <v>0.63</v>
          </cell>
        </row>
        <row r="4488">
          <cell r="A4488" t="str">
            <v>BPB-048-51207</v>
          </cell>
          <cell r="G4488" t="str">
            <v>IDESP</v>
          </cell>
          <cell r="L4488" t="str">
            <v>NULL</v>
          </cell>
          <cell r="M4488" t="str">
            <v>conver</v>
          </cell>
          <cell r="P4488">
            <v>1.1499999999999999</v>
          </cell>
        </row>
        <row r="4489">
          <cell r="A4489" t="str">
            <v>BPB-048-5203-KYY2</v>
          </cell>
          <cell r="G4489" t="str">
            <v>VPPRT</v>
          </cell>
          <cell r="L4489">
            <v>44910</v>
          </cell>
          <cell r="M4489">
            <v>178.5</v>
          </cell>
          <cell r="P4489">
            <v>2.66</v>
          </cell>
        </row>
        <row r="4490">
          <cell r="A4490" t="str">
            <v>BPB-048-5203-KYY5</v>
          </cell>
          <cell r="G4490" t="str">
            <v xml:space="preserve">CR   </v>
          </cell>
          <cell r="L4490">
            <v>43126.703275462962</v>
          </cell>
          <cell r="M4490">
            <v>19.86</v>
          </cell>
          <cell r="P4490">
            <v>1.1188821752265861</v>
          </cell>
        </row>
        <row r="4491">
          <cell r="A4491" t="str">
            <v>BPB-048-5203-KYY7</v>
          </cell>
          <cell r="G4491" t="str">
            <v>IDESP</v>
          </cell>
          <cell r="L4491">
            <v>41584</v>
          </cell>
          <cell r="M4491">
            <v>5.95</v>
          </cell>
          <cell r="P4491">
            <v>2.4700000000000002</v>
          </cell>
        </row>
        <row r="4492">
          <cell r="A4492" t="str">
            <v>BPB-048-5204-KPP3</v>
          </cell>
          <cell r="G4492" t="str">
            <v xml:space="preserve">INAC </v>
          </cell>
          <cell r="L4492">
            <v>44207</v>
          </cell>
          <cell r="M4492">
            <v>90</v>
          </cell>
          <cell r="P4492">
            <v>3.4384999999999999</v>
          </cell>
        </row>
        <row r="4493">
          <cell r="A4493" t="str">
            <v>BPB-048-5206-KYY3</v>
          </cell>
          <cell r="G4493" t="str">
            <v>IDESP</v>
          </cell>
          <cell r="L4493">
            <v>43985</v>
          </cell>
          <cell r="M4493">
            <v>70.5</v>
          </cell>
          <cell r="P4493">
            <v>4.57</v>
          </cell>
        </row>
        <row r="4494">
          <cell r="A4494" t="str">
            <v>BPB-048-5207-KRRB19</v>
          </cell>
          <cell r="G4494" t="str">
            <v>IDESP</v>
          </cell>
          <cell r="L4494">
            <v>43319</v>
          </cell>
          <cell r="M4494">
            <v>27.9</v>
          </cell>
          <cell r="P4494">
            <v>4.9000000000000004</v>
          </cell>
        </row>
        <row r="4495">
          <cell r="A4495" t="str">
            <v>BPB-048-5207-KRRB2</v>
          </cell>
          <cell r="G4495" t="str">
            <v>InRet</v>
          </cell>
          <cell r="L4495">
            <v>40717</v>
          </cell>
          <cell r="M4495">
            <v>4.13</v>
          </cell>
          <cell r="P4495">
            <v>4.0523486682808718</v>
          </cell>
        </row>
        <row r="4496">
          <cell r="A4496" t="str">
            <v>BPB-048-5209-KRRB2</v>
          </cell>
          <cell r="G4496" t="str">
            <v>IDESP</v>
          </cell>
          <cell r="L4496">
            <v>43507</v>
          </cell>
          <cell r="M4496">
            <v>38.700000000000003</v>
          </cell>
          <cell r="P4496">
            <v>6.19</v>
          </cell>
        </row>
        <row r="4497">
          <cell r="A4497" t="str">
            <v>BPB-048-59190</v>
          </cell>
          <cell r="G4497" t="str">
            <v xml:space="preserve">INAC </v>
          </cell>
          <cell r="L4497">
            <v>44574</v>
          </cell>
          <cell r="M4497">
            <v>108.75</v>
          </cell>
          <cell r="P4497">
            <v>3.29</v>
          </cell>
        </row>
        <row r="4498">
          <cell r="A4498" t="str">
            <v>BPB-048-59190-16</v>
          </cell>
          <cell r="G4498" t="str">
            <v>IDESP</v>
          </cell>
          <cell r="L4498">
            <v>44274</v>
          </cell>
          <cell r="M4498">
            <v>96.5</v>
          </cell>
          <cell r="P4498">
            <v>2.8540000000000001</v>
          </cell>
        </row>
        <row r="4499">
          <cell r="A4499" t="str">
            <v>BPB-048-59196SH</v>
          </cell>
          <cell r="G4499" t="str">
            <v>IPFAB</v>
          </cell>
          <cell r="L4499">
            <v>41004</v>
          </cell>
          <cell r="M4499">
            <v>4.4000000000000004</v>
          </cell>
          <cell r="P4499">
            <v>3.6646000000000001</v>
          </cell>
        </row>
        <row r="4500">
          <cell r="A4500" t="str">
            <v>BPB-048-59501-01</v>
          </cell>
          <cell r="G4500" t="str">
            <v>InRet</v>
          </cell>
          <cell r="L4500">
            <v>40970</v>
          </cell>
          <cell r="M4500">
            <v>4.37</v>
          </cell>
          <cell r="P4500">
            <v>6.1876430205949653</v>
          </cell>
        </row>
        <row r="4501">
          <cell r="A4501" t="str">
            <v>BPB-048-5950109</v>
          </cell>
          <cell r="G4501" t="str">
            <v>InRet</v>
          </cell>
          <cell r="L4501">
            <v>40710</v>
          </cell>
          <cell r="M4501">
            <v>4.13</v>
          </cell>
          <cell r="P4501">
            <v>5.2397094430992741</v>
          </cell>
        </row>
        <row r="4502">
          <cell r="A4502" t="str">
            <v>BPB-048-59509-01</v>
          </cell>
          <cell r="G4502" t="str">
            <v>InRet</v>
          </cell>
          <cell r="L4502">
            <v>40893</v>
          </cell>
          <cell r="M4502">
            <v>4.3</v>
          </cell>
          <cell r="P4502">
            <v>4.195348837209302</v>
          </cell>
        </row>
        <row r="4503">
          <cell r="A4503" t="str">
            <v>BPB-048-6006-PP19</v>
          </cell>
          <cell r="G4503" t="str">
            <v>IDESP</v>
          </cell>
          <cell r="L4503">
            <v>39769</v>
          </cell>
          <cell r="M4503">
            <v>3.3140000000000001</v>
          </cell>
          <cell r="P4503">
            <v>1.8420000000000001</v>
          </cell>
        </row>
        <row r="4504">
          <cell r="A4504" t="str">
            <v>BPB-048-6013-RYB22</v>
          </cell>
          <cell r="G4504" t="str">
            <v xml:space="preserve">CR   </v>
          </cell>
          <cell r="L4504">
            <v>40428.376423611109</v>
          </cell>
          <cell r="M4504">
            <v>3.97</v>
          </cell>
          <cell r="P4504">
            <v>7.8319999999999999</v>
          </cell>
        </row>
        <row r="4505">
          <cell r="A4505" t="str">
            <v>BPB-048-AG-1235-B</v>
          </cell>
          <cell r="G4505" t="str">
            <v>vpret</v>
          </cell>
          <cell r="L4505">
            <v>45805</v>
          </cell>
          <cell r="M4505">
            <v>1170</v>
          </cell>
          <cell r="P4505">
            <v>1.9743589743589745</v>
          </cell>
        </row>
        <row r="4506">
          <cell r="A4506" t="str">
            <v>BPB-048-AG-1235-PPZ9</v>
          </cell>
          <cell r="G4506" t="str">
            <v>IDESP</v>
          </cell>
          <cell r="L4506">
            <v>44196</v>
          </cell>
          <cell r="M4506">
            <v>89.25</v>
          </cell>
          <cell r="P4506">
            <v>2.2799999999999998</v>
          </cell>
        </row>
        <row r="4507">
          <cell r="A4507" t="str">
            <v>BPB-048-AG-1545-16</v>
          </cell>
          <cell r="G4507" t="str">
            <v>IDESP</v>
          </cell>
          <cell r="L4507">
            <v>40116</v>
          </cell>
          <cell r="M4507">
            <v>3.83</v>
          </cell>
          <cell r="P4507">
            <v>1.87</v>
          </cell>
        </row>
        <row r="4508">
          <cell r="A4508" t="str">
            <v>BPB-048-AG-2565-CH</v>
          </cell>
          <cell r="G4508" t="str">
            <v>vpret</v>
          </cell>
          <cell r="L4508">
            <v>43907</v>
          </cell>
          <cell r="M4508">
            <v>64.5</v>
          </cell>
          <cell r="P4508">
            <v>5.5920000000000005</v>
          </cell>
        </row>
        <row r="4509">
          <cell r="A4509" t="str">
            <v>BPB-048-AG-2565-CHS</v>
          </cell>
          <cell r="G4509" t="str">
            <v xml:space="preserve">INSI </v>
          </cell>
          <cell r="L4509">
            <v>42544</v>
          </cell>
          <cell r="M4509">
            <v>14.25</v>
          </cell>
          <cell r="P4509">
            <v>5.2161</v>
          </cell>
        </row>
        <row r="4510">
          <cell r="A4510" t="str">
            <v>BPB-048-AG-353016CHS</v>
          </cell>
          <cell r="G4510" t="str">
            <v>vpret</v>
          </cell>
          <cell r="L4510">
            <v>45544</v>
          </cell>
          <cell r="M4510">
            <v>976</v>
          </cell>
          <cell r="P4510">
            <v>6.9435911885245902</v>
          </cell>
        </row>
        <row r="4511">
          <cell r="A4511" t="str">
            <v>BPB-048-AG-353040CHS</v>
          </cell>
          <cell r="G4511" t="str">
            <v>vpret</v>
          </cell>
          <cell r="L4511">
            <v>45804</v>
          </cell>
          <cell r="M4511">
            <v>1160</v>
          </cell>
          <cell r="P4511">
            <v>7.636939655172414</v>
          </cell>
        </row>
        <row r="4512">
          <cell r="A4512" t="str">
            <v>BPB-048-AG-353045CHS</v>
          </cell>
          <cell r="G4512" t="str">
            <v>IDESP</v>
          </cell>
          <cell r="L4512">
            <v>41046</v>
          </cell>
          <cell r="M4512">
            <v>4.47</v>
          </cell>
          <cell r="P4512">
            <v>2.4700000000000002</v>
          </cell>
        </row>
        <row r="4513">
          <cell r="A4513" t="str">
            <v>BPB-048-AG-3565-CH</v>
          </cell>
          <cell r="G4513" t="str">
            <v>vpret</v>
          </cell>
          <cell r="L4513">
            <v>45336</v>
          </cell>
          <cell r="M4513">
            <v>850</v>
          </cell>
          <cell r="P4513">
            <v>9.4397588235294112</v>
          </cell>
        </row>
        <row r="4514">
          <cell r="A4514" t="str">
            <v>BPB-048-AG-3565-CH9</v>
          </cell>
          <cell r="G4514" t="str">
            <v>vpret</v>
          </cell>
          <cell r="L4514">
            <v>45860</v>
          </cell>
          <cell r="M4514">
            <v>1300</v>
          </cell>
          <cell r="P4514">
            <v>9.212365384615385</v>
          </cell>
        </row>
        <row r="4515">
          <cell r="A4515" t="str">
            <v>BPB-048-AG-5575CHS</v>
          </cell>
          <cell r="G4515" t="str">
            <v>vpret</v>
          </cell>
          <cell r="L4515">
            <v>45812</v>
          </cell>
          <cell r="M4515">
            <v>1200</v>
          </cell>
          <cell r="P4515">
            <v>10.467291666666666</v>
          </cell>
        </row>
        <row r="4516">
          <cell r="A4516" t="str">
            <v>BPB-048-AG1545-16CHS</v>
          </cell>
          <cell r="G4516" t="str">
            <v>INDEV</v>
          </cell>
          <cell r="L4516">
            <v>39919</v>
          </cell>
          <cell r="M4516">
            <v>3.677</v>
          </cell>
          <cell r="P4516">
            <v>9.9602937177046513</v>
          </cell>
        </row>
        <row r="4517">
          <cell r="A4517" t="str">
            <v>BPB-048-AG2553-16CH</v>
          </cell>
          <cell r="G4517" t="str">
            <v>IPFAB</v>
          </cell>
          <cell r="L4517">
            <v>39590</v>
          </cell>
          <cell r="M4517">
            <v>3.133</v>
          </cell>
          <cell r="P4517">
            <v>1</v>
          </cell>
        </row>
        <row r="4518">
          <cell r="A4518" t="str">
            <v>BPB-048-AG2565-CHS-Z</v>
          </cell>
          <cell r="G4518" t="str">
            <v>IDESP</v>
          </cell>
          <cell r="L4518">
            <v>40689</v>
          </cell>
          <cell r="M4518">
            <v>4.12</v>
          </cell>
          <cell r="P4518">
            <v>4.76</v>
          </cell>
        </row>
        <row r="4519">
          <cell r="A4519" t="str">
            <v>BPB-048-AG256514-CH</v>
          </cell>
          <cell r="G4519" t="str">
            <v>vpret</v>
          </cell>
          <cell r="L4519">
            <v>44847</v>
          </cell>
          <cell r="M4519">
            <v>157.25</v>
          </cell>
          <cell r="P4519">
            <v>7.698251192368839</v>
          </cell>
        </row>
        <row r="4520">
          <cell r="A4520" t="str">
            <v>BPB-048-AG25H1-CH</v>
          </cell>
          <cell r="G4520" t="str">
            <v>IDESP</v>
          </cell>
          <cell r="L4520">
            <v>45509</v>
          </cell>
          <cell r="M4520">
            <v>953.5</v>
          </cell>
          <cell r="P4520">
            <v>8.6489999999999991</v>
          </cell>
        </row>
        <row r="4521">
          <cell r="A4521" t="str">
            <v>BPB-048-AG3062PD</v>
          </cell>
          <cell r="G4521" t="str">
            <v>IDESP</v>
          </cell>
          <cell r="L4521">
            <v>40093</v>
          </cell>
          <cell r="M4521">
            <v>3.85</v>
          </cell>
          <cell r="P4521">
            <v>7.1429999999999998</v>
          </cell>
        </row>
        <row r="4522">
          <cell r="A4522" t="str">
            <v>BPB-048-AG307516-CHS</v>
          </cell>
          <cell r="G4522" t="str">
            <v>vpret</v>
          </cell>
          <cell r="L4522">
            <v>46002</v>
          </cell>
          <cell r="M4522">
            <v>1460</v>
          </cell>
          <cell r="P4522">
            <v>10.499238356164383</v>
          </cell>
        </row>
        <row r="4523">
          <cell r="A4523" t="str">
            <v>BPB-048-AG3560-CHS</v>
          </cell>
          <cell r="G4523" t="str">
            <v xml:space="preserve">CR   </v>
          </cell>
          <cell r="L4523">
            <v>40527.688518518517</v>
          </cell>
          <cell r="M4523">
            <v>4</v>
          </cell>
          <cell r="P4523">
            <v>3.09</v>
          </cell>
        </row>
        <row r="4524">
          <cell r="A4524" t="str">
            <v>BPB-048-AG59190</v>
          </cell>
          <cell r="G4524" t="str">
            <v>IPFAP</v>
          </cell>
          <cell r="L4524">
            <v>40392</v>
          </cell>
          <cell r="M4524">
            <v>3.96</v>
          </cell>
          <cell r="P4524">
            <v>4.2368686868686867</v>
          </cell>
        </row>
        <row r="4525">
          <cell r="A4525" t="str">
            <v>BPB-048-AG59190-H</v>
          </cell>
          <cell r="G4525" t="str">
            <v xml:space="preserve">INAC </v>
          </cell>
          <cell r="L4525">
            <v>40392</v>
          </cell>
          <cell r="M4525">
            <v>3.96</v>
          </cell>
          <cell r="P4525">
            <v>0.63131313131313127</v>
          </cell>
        </row>
        <row r="4526">
          <cell r="A4526" t="str">
            <v>BPB-048-AG59196-112</v>
          </cell>
          <cell r="G4526" t="str">
            <v>INDEV</v>
          </cell>
          <cell r="L4526">
            <v>40207</v>
          </cell>
          <cell r="M4526">
            <v>3.84</v>
          </cell>
          <cell r="P4526">
            <v>15.913489583333334</v>
          </cell>
        </row>
        <row r="4527">
          <cell r="A4527" t="str">
            <v>BPB-048-AG59196DDH</v>
          </cell>
          <cell r="G4527" t="str">
            <v>IPFAP</v>
          </cell>
          <cell r="L4527">
            <v>43439</v>
          </cell>
          <cell r="M4527">
            <v>38.299999999999997</v>
          </cell>
          <cell r="P4527">
            <v>0.42099738903394257</v>
          </cell>
        </row>
        <row r="4528">
          <cell r="A4528" t="str">
            <v>BPB-048-AG59205SB</v>
          </cell>
          <cell r="G4528" t="str">
            <v>INDEV</v>
          </cell>
          <cell r="L4528">
            <v>41362</v>
          </cell>
          <cell r="M4528">
            <v>5.09</v>
          </cell>
          <cell r="P4528">
            <v>7.814440078585462</v>
          </cell>
        </row>
        <row r="4529">
          <cell r="A4529" t="str">
            <v>BPB-048-AG59205SBI</v>
          </cell>
          <cell r="G4529" t="str">
            <v>INDEV</v>
          </cell>
          <cell r="L4529">
            <v>41362</v>
          </cell>
          <cell r="M4529">
            <v>5.09</v>
          </cell>
          <cell r="P4529">
            <v>7.814440078585462</v>
          </cell>
        </row>
        <row r="4530">
          <cell r="A4530" t="str">
            <v>BPB-048-AG593062</v>
          </cell>
          <cell r="G4530" t="str">
            <v>vpret</v>
          </cell>
          <cell r="L4530">
            <v>44799</v>
          </cell>
          <cell r="M4530">
            <v>144</v>
          </cell>
          <cell r="P4530">
            <v>20.973215277777779</v>
          </cell>
        </row>
        <row r="4531">
          <cell r="A4531" t="str">
            <v>BPB-048-AG593945</v>
          </cell>
          <cell r="G4531" t="str">
            <v>IPFAB</v>
          </cell>
          <cell r="L4531">
            <v>41550</v>
          </cell>
          <cell r="M4531">
            <v>5.8</v>
          </cell>
          <cell r="P4531">
            <v>0.2445</v>
          </cell>
        </row>
        <row r="4532">
          <cell r="A4532" t="str">
            <v>BPB-048-AG59394501</v>
          </cell>
          <cell r="G4532" t="str">
            <v>IPFAP</v>
          </cell>
          <cell r="L4532">
            <v>42340</v>
          </cell>
          <cell r="M4532">
            <v>9.75</v>
          </cell>
          <cell r="P4532">
            <v>3.0739999999999998</v>
          </cell>
        </row>
        <row r="4533">
          <cell r="A4533" t="str">
            <v>BPB-048-AG59394502</v>
          </cell>
          <cell r="G4533" t="str">
            <v>IPFAP</v>
          </cell>
          <cell r="L4533">
            <v>42340</v>
          </cell>
          <cell r="M4533">
            <v>9.75</v>
          </cell>
          <cell r="P4533">
            <v>3.4060000000000001</v>
          </cell>
        </row>
        <row r="4534">
          <cell r="A4534" t="str">
            <v>BPB-048-AG59501</v>
          </cell>
          <cell r="G4534" t="str">
            <v>InRet</v>
          </cell>
          <cell r="L4534">
            <v>40967</v>
          </cell>
          <cell r="M4534">
            <v>4.37</v>
          </cell>
          <cell r="P4534">
            <v>14.9</v>
          </cell>
        </row>
        <row r="4535">
          <cell r="A4535" t="str">
            <v>BPB-048-AG59501D</v>
          </cell>
          <cell r="G4535" t="str">
            <v xml:space="preserve">CR   </v>
          </cell>
          <cell r="L4535">
            <v>41547.999988425923</v>
          </cell>
          <cell r="M4535">
            <v>5.79</v>
          </cell>
          <cell r="P4535">
            <v>7.7720207253886011</v>
          </cell>
        </row>
        <row r="4536">
          <cell r="A4536" t="str">
            <v>BPB-048-AG59501I</v>
          </cell>
          <cell r="G4536" t="str">
            <v xml:space="preserve">CR   </v>
          </cell>
          <cell r="L4536">
            <v>41547.999988425923</v>
          </cell>
          <cell r="M4536">
            <v>5.79</v>
          </cell>
          <cell r="P4536">
            <v>7.7720207253886011</v>
          </cell>
        </row>
        <row r="4537">
          <cell r="A4537" t="str">
            <v>BPB-048-AG59503</v>
          </cell>
          <cell r="G4537" t="str">
            <v>INDEV</v>
          </cell>
          <cell r="L4537">
            <v>41260</v>
          </cell>
          <cell r="M4537">
            <v>4.88</v>
          </cell>
          <cell r="P4537">
            <v>0.21739754098360656</v>
          </cell>
        </row>
        <row r="4538">
          <cell r="A4538" t="str">
            <v>BPB-048-AG5950401</v>
          </cell>
          <cell r="G4538" t="str">
            <v xml:space="preserve">INAC </v>
          </cell>
          <cell r="L4538">
            <v>41339</v>
          </cell>
          <cell r="M4538">
            <v>5.0599999999999996</v>
          </cell>
          <cell r="P4538">
            <v>21.916996047430832</v>
          </cell>
        </row>
        <row r="4539">
          <cell r="A4539" t="str">
            <v>BPB-048-AG59505-110</v>
          </cell>
          <cell r="G4539" t="str">
            <v>IPFAB</v>
          </cell>
          <cell r="L4539">
            <v>39833</v>
          </cell>
          <cell r="M4539">
            <v>3.456</v>
          </cell>
          <cell r="P4539">
            <v>0.289352</v>
          </cell>
        </row>
        <row r="4540">
          <cell r="A4540" t="str">
            <v>BPB-048-AG59505H</v>
          </cell>
          <cell r="G4540" t="str">
            <v>IDESP</v>
          </cell>
          <cell r="L4540">
            <v>40630</v>
          </cell>
          <cell r="M4540">
            <v>4.0599999999999996</v>
          </cell>
          <cell r="P4540">
            <v>6</v>
          </cell>
        </row>
        <row r="4541">
          <cell r="A4541" t="str">
            <v>BPB-048-AG59507</v>
          </cell>
          <cell r="G4541" t="str">
            <v xml:space="preserve">CR   </v>
          </cell>
          <cell r="L4541">
            <v>43126.703275462962</v>
          </cell>
          <cell r="M4541">
            <v>19.86</v>
          </cell>
          <cell r="P4541">
            <v>2.2585599194360522</v>
          </cell>
        </row>
        <row r="4542">
          <cell r="A4542" t="str">
            <v>BPB-048-AG5950701</v>
          </cell>
          <cell r="G4542" t="str">
            <v xml:space="preserve">INAC </v>
          </cell>
          <cell r="L4542">
            <v>41611</v>
          </cell>
          <cell r="M4542">
            <v>6.16</v>
          </cell>
          <cell r="P4542">
            <v>5.6292207792207796</v>
          </cell>
        </row>
        <row r="4543">
          <cell r="A4543" t="str">
            <v>BPB-048-AG5950702</v>
          </cell>
          <cell r="G4543" t="str">
            <v xml:space="preserve">INAC </v>
          </cell>
          <cell r="L4543">
            <v>41774</v>
          </cell>
          <cell r="M4543">
            <v>8.07</v>
          </cell>
          <cell r="P4543">
            <v>1.8166047087980173</v>
          </cell>
        </row>
        <row r="4544">
          <cell r="A4544" t="str">
            <v>BPB-048-AG5950703</v>
          </cell>
          <cell r="G4544" t="str">
            <v xml:space="preserve">INSI </v>
          </cell>
          <cell r="L4544">
            <v>41774</v>
          </cell>
          <cell r="M4544">
            <v>8.07</v>
          </cell>
          <cell r="P4544">
            <v>0.26979999999999998</v>
          </cell>
        </row>
        <row r="4545">
          <cell r="A4545" t="str">
            <v>BPB-048-AG59509</v>
          </cell>
          <cell r="G4545" t="str">
            <v>INDEV</v>
          </cell>
          <cell r="L4545">
            <v>41205</v>
          </cell>
          <cell r="M4545">
            <v>4.75</v>
          </cell>
          <cell r="P4545">
            <v>0.21052631578947367</v>
          </cell>
        </row>
        <row r="4546">
          <cell r="A4546" t="str">
            <v>BPB-048-AG5950902</v>
          </cell>
          <cell r="G4546" t="str">
            <v>InRet</v>
          </cell>
          <cell r="L4546">
            <v>40961</v>
          </cell>
          <cell r="M4546">
            <v>4.37</v>
          </cell>
          <cell r="P4546">
            <v>0.38290617848970249</v>
          </cell>
        </row>
        <row r="4547">
          <cell r="A4547" t="str">
            <v>BPB-048-AG59512</v>
          </cell>
          <cell r="G4547" t="str">
            <v>IDESP</v>
          </cell>
          <cell r="L4547">
            <v>42821</v>
          </cell>
          <cell r="M4547">
            <v>15.93</v>
          </cell>
          <cell r="P4547">
            <v>4.47</v>
          </cell>
        </row>
        <row r="4548">
          <cell r="A4548" t="str">
            <v>BPB-048-BB-203-KRR2</v>
          </cell>
          <cell r="G4548" t="str">
            <v>INDEV</v>
          </cell>
          <cell r="L4548">
            <v>41613</v>
          </cell>
          <cell r="M4548">
            <v>6.2</v>
          </cell>
          <cell r="P4548">
            <v>0.54800000000000004</v>
          </cell>
        </row>
        <row r="4549">
          <cell r="A4549" t="str">
            <v>BPB-048-BB203-KRR2FD</v>
          </cell>
          <cell r="G4549" t="str">
            <v>IDESP</v>
          </cell>
          <cell r="L4549">
            <v>44162</v>
          </cell>
          <cell r="M4549">
            <v>86</v>
          </cell>
          <cell r="P4549">
            <v>1.1759999999999999</v>
          </cell>
        </row>
        <row r="4550">
          <cell r="A4550" t="str">
            <v>BPB-048-BB204-KYY2</v>
          </cell>
          <cell r="G4550" t="str">
            <v>IDESP</v>
          </cell>
          <cell r="L4550">
            <v>45996</v>
          </cell>
          <cell r="M4550">
            <v>1470</v>
          </cell>
          <cell r="P4550">
            <v>1.96</v>
          </cell>
        </row>
        <row r="4551">
          <cell r="A4551" t="str">
            <v>BPB-048-BH2047-02</v>
          </cell>
          <cell r="G4551" t="str">
            <v>InRet</v>
          </cell>
          <cell r="L4551">
            <v>40882</v>
          </cell>
          <cell r="M4551">
            <v>4.3</v>
          </cell>
          <cell r="P4551">
            <v>4.7888372093023257</v>
          </cell>
        </row>
        <row r="4552">
          <cell r="A4552" t="str">
            <v>BPB-048-BH2047-15</v>
          </cell>
          <cell r="G4552" t="str">
            <v>IDESP</v>
          </cell>
          <cell r="L4552">
            <v>40298</v>
          </cell>
          <cell r="M4552">
            <v>3.9</v>
          </cell>
          <cell r="P4552">
            <v>0.22</v>
          </cell>
        </row>
        <row r="4553">
          <cell r="A4553" t="str">
            <v>BPB-048-BP-12001</v>
          </cell>
          <cell r="G4553" t="str">
            <v xml:space="preserve">CR   </v>
          </cell>
          <cell r="L4553">
            <v>44756.667893518519</v>
          </cell>
          <cell r="M4553">
            <v>135</v>
          </cell>
          <cell r="P4553">
            <v>0.5</v>
          </cell>
        </row>
        <row r="4554">
          <cell r="A4554" t="str">
            <v>BPB-048-BP-12011-01</v>
          </cell>
          <cell r="G4554" t="str">
            <v>IDESP</v>
          </cell>
          <cell r="L4554">
            <v>44657</v>
          </cell>
          <cell r="M4554">
            <v>116.75</v>
          </cell>
          <cell r="P4554">
            <v>5.18</v>
          </cell>
        </row>
        <row r="4555">
          <cell r="A4555" t="str">
            <v>BPB-048-BP-12011-A2</v>
          </cell>
          <cell r="G4555" t="str">
            <v xml:space="preserve">INAC </v>
          </cell>
          <cell r="L4555">
            <v>41997</v>
          </cell>
          <cell r="M4555">
            <v>8.58</v>
          </cell>
          <cell r="P4555">
            <v>4.2540792540792545</v>
          </cell>
        </row>
        <row r="4556">
          <cell r="A4556" t="str">
            <v>BPB-048-BP-12011-C1</v>
          </cell>
          <cell r="G4556" t="str">
            <v>IPFAP</v>
          </cell>
          <cell r="L4556">
            <v>42509</v>
          </cell>
          <cell r="M4556">
            <v>14.48</v>
          </cell>
          <cell r="P4556">
            <v>3.88</v>
          </cell>
        </row>
        <row r="4557">
          <cell r="A4557" t="str">
            <v>BPB-048-BP-12011-C2</v>
          </cell>
          <cell r="G4557" t="str">
            <v>IPFAP</v>
          </cell>
          <cell r="L4557">
            <v>42509</v>
          </cell>
          <cell r="M4557">
            <v>14.48</v>
          </cell>
          <cell r="P4557">
            <v>7.35</v>
          </cell>
        </row>
        <row r="4558">
          <cell r="A4558" t="str">
            <v>BPB-048-BP-16003</v>
          </cell>
          <cell r="G4558" t="str">
            <v>vpret</v>
          </cell>
          <cell r="L4558">
            <v>45992</v>
          </cell>
          <cell r="M4558">
            <v>1475</v>
          </cell>
          <cell r="P4558">
            <v>1.8452542372881355</v>
          </cell>
        </row>
        <row r="4559">
          <cell r="A4559" t="str">
            <v>BPB-048-BP-18013</v>
          </cell>
          <cell r="G4559" t="str">
            <v>IDESP</v>
          </cell>
          <cell r="L4559">
            <v>44853</v>
          </cell>
          <cell r="M4559">
            <v>159</v>
          </cell>
          <cell r="P4559">
            <v>5.58</v>
          </cell>
        </row>
        <row r="4560">
          <cell r="A4560" t="str">
            <v>BPB-048-C207KRRB12</v>
          </cell>
          <cell r="G4560" t="str">
            <v>IPFAP</v>
          </cell>
          <cell r="L4560">
            <v>41793</v>
          </cell>
          <cell r="M4560">
            <v>8.1199999999999992</v>
          </cell>
          <cell r="P4560">
            <v>2.3851477832512318</v>
          </cell>
        </row>
        <row r="4561">
          <cell r="A4561" t="str">
            <v>BPB-048-CF204-RM16</v>
          </cell>
          <cell r="G4561" t="str">
            <v>IPFAP</v>
          </cell>
          <cell r="L4561">
            <v>44001</v>
          </cell>
          <cell r="M4561">
            <v>72.5</v>
          </cell>
          <cell r="P4561">
            <v>8.7100000000000009</v>
          </cell>
        </row>
        <row r="4562">
          <cell r="A4562" t="str">
            <v>BPB-048-CF5202-2RST-</v>
          </cell>
          <cell r="G4562" t="str">
            <v>IDESP</v>
          </cell>
          <cell r="L4562">
            <v>44167</v>
          </cell>
          <cell r="M4562">
            <v>86.5</v>
          </cell>
          <cell r="P4562">
            <v>1.89</v>
          </cell>
        </row>
        <row r="4563">
          <cell r="A4563" t="str">
            <v>BPB-048-CF5202-D-8</v>
          </cell>
          <cell r="G4563" t="str">
            <v>IPFAB</v>
          </cell>
          <cell r="L4563">
            <v>41264</v>
          </cell>
          <cell r="M4563">
            <v>4.9000000000000004</v>
          </cell>
          <cell r="P4563">
            <v>2.0299999999999998</v>
          </cell>
        </row>
        <row r="4564">
          <cell r="A4564" t="str">
            <v>BPB-048-CF5202-P</v>
          </cell>
          <cell r="G4564" t="str">
            <v>vpret</v>
          </cell>
          <cell r="L4564">
            <v>44438</v>
          </cell>
          <cell r="M4564">
            <v>102.75</v>
          </cell>
          <cell r="P4564">
            <v>1.8900048661800488</v>
          </cell>
        </row>
        <row r="4565">
          <cell r="A4565" t="str">
            <v>BPB-048-CF5202-RM16</v>
          </cell>
          <cell r="G4565" t="str">
            <v>vpret</v>
          </cell>
          <cell r="L4565">
            <v>44701</v>
          </cell>
          <cell r="M4565">
            <v>123.5</v>
          </cell>
          <cell r="P4565">
            <v>3.9186396761133602</v>
          </cell>
        </row>
        <row r="4566">
          <cell r="A4566" t="str">
            <v>BPB-048-CF5202RR40</v>
          </cell>
          <cell r="G4566" t="str">
            <v xml:space="preserve">INSI </v>
          </cell>
          <cell r="L4566">
            <v>41870</v>
          </cell>
          <cell r="M4566">
            <v>8.2799999999999994</v>
          </cell>
          <cell r="P4566">
            <v>2.06</v>
          </cell>
        </row>
        <row r="4567">
          <cell r="A4567" t="str">
            <v>BPB-048-CSK-30PP</v>
          </cell>
          <cell r="G4567" t="str">
            <v xml:space="preserve">INSI </v>
          </cell>
          <cell r="L4567">
            <v>40835</v>
          </cell>
          <cell r="M4567">
            <v>4.25</v>
          </cell>
          <cell r="P4567">
            <v>5.4</v>
          </cell>
        </row>
        <row r="4568">
          <cell r="A4568" t="str">
            <v>BPB-048-CT5209802</v>
          </cell>
          <cell r="G4568" t="str">
            <v>IDESP</v>
          </cell>
          <cell r="L4568">
            <v>40115</v>
          </cell>
          <cell r="M4568">
            <v>3.83</v>
          </cell>
          <cell r="P4568">
            <v>13.305899999999999</v>
          </cell>
        </row>
        <row r="4569">
          <cell r="A4569" t="str">
            <v>BPB-048-DD2047SH</v>
          </cell>
          <cell r="G4569" t="str">
            <v>IDESP</v>
          </cell>
          <cell r="L4569">
            <v>39741</v>
          </cell>
          <cell r="M4569">
            <v>3.2120000000000002</v>
          </cell>
          <cell r="P4569">
            <v>1.6419999999999999</v>
          </cell>
        </row>
        <row r="4570">
          <cell r="A4570" t="str">
            <v>BPB-048-DD59205SC</v>
          </cell>
          <cell r="G4570" t="str">
            <v>IDESP</v>
          </cell>
          <cell r="L4570">
            <v>45216</v>
          </cell>
          <cell r="M4570">
            <v>365.5</v>
          </cell>
          <cell r="P4570">
            <v>0.5</v>
          </cell>
        </row>
        <row r="4571">
          <cell r="A4571" t="str">
            <v>BPB-048-DTR-1742-FM</v>
          </cell>
          <cell r="G4571" t="str">
            <v>IDESP</v>
          </cell>
          <cell r="L4571">
            <v>44483</v>
          </cell>
          <cell r="M4571">
            <v>104.25</v>
          </cell>
          <cell r="P4571">
            <v>5.85</v>
          </cell>
        </row>
        <row r="4572">
          <cell r="A4572" t="str">
            <v>BPB-048-DTR-2552-JD</v>
          </cell>
          <cell r="G4572" t="str">
            <v>IPFAP</v>
          </cell>
          <cell r="L4572">
            <v>42271</v>
          </cell>
          <cell r="M4572">
            <v>9.44</v>
          </cell>
          <cell r="P4572">
            <v>6.2976694915254248</v>
          </cell>
        </row>
        <row r="4573">
          <cell r="A4573" t="str">
            <v>BPB-048-DTR1640-FM</v>
          </cell>
          <cell r="G4573" t="str">
            <v>IPFAP</v>
          </cell>
          <cell r="L4573">
            <v>41436</v>
          </cell>
          <cell r="M4573">
            <v>5.31</v>
          </cell>
          <cell r="P4573">
            <v>6.3759698681732582</v>
          </cell>
        </row>
        <row r="4574">
          <cell r="A4574" t="str">
            <v>BPB-048-DTR2047-FM</v>
          </cell>
          <cell r="G4574" t="str">
            <v>vpret</v>
          </cell>
          <cell r="L4574">
            <v>44869</v>
          </cell>
          <cell r="M4574">
            <v>164</v>
          </cell>
          <cell r="P4574">
            <v>8.1745365853658534</v>
          </cell>
        </row>
        <row r="4575">
          <cell r="A4575" t="str">
            <v>BPB-048-DTR2549-16FM</v>
          </cell>
          <cell r="G4575" t="str">
            <v xml:space="preserve">CR   </v>
          </cell>
          <cell r="L4575">
            <v>41765.7965625</v>
          </cell>
          <cell r="M4575">
            <v>8.0500000000000007</v>
          </cell>
          <cell r="P4575">
            <v>3.726708074534161</v>
          </cell>
        </row>
        <row r="4576">
          <cell r="A4576" t="str">
            <v>BPB-048-DTR2549-FM</v>
          </cell>
          <cell r="G4576" t="str">
            <v>IPFAP</v>
          </cell>
          <cell r="L4576">
            <v>45943</v>
          </cell>
          <cell r="M4576">
            <v>1450</v>
          </cell>
          <cell r="P4576">
            <v>4.8634000000000004</v>
          </cell>
        </row>
        <row r="4577">
          <cell r="A4577" t="str">
            <v>BPB-048-DTR2552-FM</v>
          </cell>
          <cell r="G4577" t="str">
            <v>IPFAP</v>
          </cell>
          <cell r="L4577">
            <v>42340</v>
          </cell>
          <cell r="M4577">
            <v>9.75</v>
          </cell>
          <cell r="P4577">
            <v>4.240738461538462</v>
          </cell>
        </row>
        <row r="4578">
          <cell r="A4578" t="str">
            <v>BPB-048-DTR2552-RG</v>
          </cell>
          <cell r="G4578" t="str">
            <v>vpret</v>
          </cell>
          <cell r="L4578">
            <v>45994</v>
          </cell>
          <cell r="M4578">
            <v>1480</v>
          </cell>
          <cell r="P4578">
            <v>0.57232972972972973</v>
          </cell>
        </row>
        <row r="4579">
          <cell r="A4579" t="str">
            <v>BPB-048-DTR3060-FM</v>
          </cell>
          <cell r="G4579" t="str">
            <v>INDEV</v>
          </cell>
          <cell r="L4579">
            <v>40872</v>
          </cell>
          <cell r="M4579">
            <v>4.28</v>
          </cell>
          <cell r="P4579">
            <v>3.8899999999999997</v>
          </cell>
        </row>
        <row r="4580">
          <cell r="A4580" t="str">
            <v>BPB-048-DTR3062-FM</v>
          </cell>
          <cell r="G4580" t="str">
            <v>vpret</v>
          </cell>
          <cell r="L4580">
            <v>45838</v>
          </cell>
          <cell r="M4580">
            <v>1205</v>
          </cell>
          <cell r="P4580">
            <v>7.4243236514522817</v>
          </cell>
        </row>
        <row r="4581">
          <cell r="A4581" t="str">
            <v>BPB-048-DTR3062-FMR</v>
          </cell>
          <cell r="G4581" t="str">
            <v>VPRet</v>
          </cell>
          <cell r="L4581">
            <v>41915</v>
          </cell>
          <cell r="M4581">
            <v>8.41</v>
          </cell>
          <cell r="P4581">
            <v>79.548275862068962</v>
          </cell>
        </row>
        <row r="4582">
          <cell r="A4582" t="str">
            <v>BPB-048-DTR3258W</v>
          </cell>
          <cell r="G4582" t="str">
            <v>IPFAB</v>
          </cell>
          <cell r="L4582">
            <v>39612</v>
          </cell>
          <cell r="M4582">
            <v>3.0529999999999999</v>
          </cell>
          <cell r="P4582">
            <v>6.84</v>
          </cell>
        </row>
        <row r="4583">
          <cell r="A4583" t="str">
            <v>BPB-048-DTR3565-FM</v>
          </cell>
          <cell r="G4583" t="str">
            <v>IDESP</v>
          </cell>
          <cell r="L4583">
            <v>40490</v>
          </cell>
          <cell r="M4583">
            <v>3.98</v>
          </cell>
          <cell r="P4583">
            <v>3.62</v>
          </cell>
        </row>
        <row r="4584">
          <cell r="A4584" t="str">
            <v>BPB-048-DTR3572-FM</v>
          </cell>
          <cell r="G4584" t="str">
            <v>IPFAB</v>
          </cell>
          <cell r="L4584">
            <v>40492</v>
          </cell>
          <cell r="M4584">
            <v>3.98</v>
          </cell>
          <cell r="P4584">
            <v>0.2611</v>
          </cell>
        </row>
        <row r="4585">
          <cell r="A4585" t="str">
            <v>BPB-048-EJE205SB-IZ</v>
          </cell>
          <cell r="G4585" t="str">
            <v xml:space="preserve">INAC </v>
          </cell>
          <cell r="L4585">
            <v>39653</v>
          </cell>
          <cell r="M4585">
            <v>3.0179999999999998</v>
          </cell>
          <cell r="P4585">
            <v>2.4519549370444005</v>
          </cell>
        </row>
        <row r="4586">
          <cell r="A4586" t="str">
            <v>BPB-048-ENG-3565-CH9</v>
          </cell>
          <cell r="G4586" t="str">
            <v>IDESP</v>
          </cell>
          <cell r="L4586">
            <v>45509</v>
          </cell>
          <cell r="M4586">
            <v>953.5</v>
          </cell>
          <cell r="P4586">
            <v>7.2329999999999997</v>
          </cell>
        </row>
        <row r="4587">
          <cell r="A4587" t="str">
            <v>BPB-048-ES6010-RY</v>
          </cell>
          <cell r="G4587" t="str">
            <v>IDESP</v>
          </cell>
          <cell r="L4587">
            <v>39706</v>
          </cell>
          <cell r="M4587">
            <v>3.0819999999999999</v>
          </cell>
          <cell r="P4587">
            <v>2.9651999999999998</v>
          </cell>
        </row>
        <row r="4588">
          <cell r="A4588" t="str">
            <v>BPB-048-FC-210-H</v>
          </cell>
          <cell r="G4588" t="str">
            <v xml:space="preserve">INAC </v>
          </cell>
          <cell r="L4588">
            <v>44081</v>
          </cell>
          <cell r="M4588">
            <v>78.5</v>
          </cell>
          <cell r="P4588">
            <v>6.0510675159235667</v>
          </cell>
        </row>
        <row r="4589">
          <cell r="A4589" t="str">
            <v>BPB-048-FD-211-45</v>
          </cell>
          <cell r="G4589" t="str">
            <v>IPFAP</v>
          </cell>
          <cell r="L4589">
            <v>42438</v>
          </cell>
          <cell r="M4589">
            <v>15.66</v>
          </cell>
          <cell r="P4589">
            <v>1.9428863346104726</v>
          </cell>
        </row>
        <row r="4590">
          <cell r="A4590" t="str">
            <v>BPB-048-FD-211-50</v>
          </cell>
          <cell r="G4590" t="str">
            <v>IDESP</v>
          </cell>
          <cell r="L4590">
            <v>42886</v>
          </cell>
          <cell r="M4590">
            <v>16.34</v>
          </cell>
          <cell r="P4590">
            <v>2.2599999999999998</v>
          </cell>
        </row>
        <row r="4591">
          <cell r="A4591" t="str">
            <v>BPB-048-FD211-112SQ</v>
          </cell>
          <cell r="G4591" t="str">
            <v>IDESP</v>
          </cell>
          <cell r="L4591">
            <v>44284</v>
          </cell>
          <cell r="M4591">
            <v>97.25</v>
          </cell>
          <cell r="P4591">
            <v>11</v>
          </cell>
        </row>
        <row r="4592">
          <cell r="A4592" t="str">
            <v>BPB-048-FDECL209-35</v>
          </cell>
          <cell r="G4592" t="str">
            <v>IDESP</v>
          </cell>
          <cell r="L4592">
            <v>40051</v>
          </cell>
          <cell r="M4592">
            <v>3.86</v>
          </cell>
          <cell r="P4592">
            <v>7.2775999999999996</v>
          </cell>
        </row>
        <row r="4593">
          <cell r="A4593" t="str">
            <v>BPB-048-FDECL211-50</v>
          </cell>
          <cell r="G4593" t="str">
            <v>InRet</v>
          </cell>
          <cell r="L4593">
            <v>40962</v>
          </cell>
          <cell r="M4593">
            <v>4.37</v>
          </cell>
          <cell r="P4593">
            <v>9.7452860411899316</v>
          </cell>
        </row>
        <row r="4594">
          <cell r="A4594" t="str">
            <v>BPB-048-FDECL211-55</v>
          </cell>
          <cell r="G4594" t="str">
            <v>IDESP</v>
          </cell>
          <cell r="L4594">
            <v>44196</v>
          </cell>
          <cell r="M4594">
            <v>89.25</v>
          </cell>
          <cell r="P4594">
            <v>14.028</v>
          </cell>
        </row>
        <row r="4595">
          <cell r="A4595" t="str">
            <v>BPB-048-FDSAB211-55</v>
          </cell>
          <cell r="G4595" t="str">
            <v>VPRet</v>
          </cell>
          <cell r="L4595">
            <v>42774</v>
          </cell>
          <cell r="M4595">
            <v>16.059999999999999</v>
          </cell>
          <cell r="P4595">
            <v>8.8222042341220419</v>
          </cell>
        </row>
        <row r="4596">
          <cell r="A4596" t="str">
            <v>BPB-048-FFH5209HX</v>
          </cell>
          <cell r="G4596" t="str">
            <v xml:space="preserve">INSI </v>
          </cell>
          <cell r="L4596">
            <v>40512</v>
          </cell>
          <cell r="M4596">
            <v>4</v>
          </cell>
          <cell r="P4596">
            <v>9.2037999999999993</v>
          </cell>
        </row>
        <row r="4597">
          <cell r="A4597" t="str">
            <v>BPB-048-FHRL-205KRR2</v>
          </cell>
          <cell r="G4597" t="str">
            <v xml:space="preserve">CR   </v>
          </cell>
          <cell r="L4597">
            <v>40428.376423611109</v>
          </cell>
          <cell r="M4597">
            <v>3.97</v>
          </cell>
          <cell r="P4597">
            <v>2.3540000000000001</v>
          </cell>
        </row>
        <row r="4598">
          <cell r="A4598" t="str">
            <v>BPB-048-FHRL-BB9105</v>
          </cell>
          <cell r="G4598" t="str">
            <v>IDESP</v>
          </cell>
          <cell r="L4598">
            <v>45722</v>
          </cell>
          <cell r="M4598">
            <v>1084.5</v>
          </cell>
          <cell r="P4598">
            <v>3.18</v>
          </cell>
        </row>
        <row r="4599">
          <cell r="A4599" t="str">
            <v>BPB-048-G-207-KYY2</v>
          </cell>
          <cell r="G4599" t="str">
            <v>IDESP</v>
          </cell>
          <cell r="L4599">
            <v>44274</v>
          </cell>
          <cell r="M4599">
            <v>96.5</v>
          </cell>
          <cell r="P4599">
            <v>3.57</v>
          </cell>
        </row>
        <row r="4600">
          <cell r="A4600" t="str">
            <v>BPB-048-G-209-KYYB2</v>
          </cell>
          <cell r="G4600" t="str">
            <v>vpret</v>
          </cell>
          <cell r="L4600">
            <v>43154</v>
          </cell>
          <cell r="M4600">
            <v>20.27</v>
          </cell>
          <cell r="P4600">
            <v>5.097829304390725</v>
          </cell>
        </row>
        <row r="4601">
          <cell r="A4601" t="str">
            <v>BPB-048-G-210-KPPB2</v>
          </cell>
          <cell r="G4601" t="str">
            <v>INDEV</v>
          </cell>
          <cell r="L4601">
            <v>41613</v>
          </cell>
          <cell r="M4601">
            <v>6.2</v>
          </cell>
          <cell r="P4601">
            <v>6.43</v>
          </cell>
        </row>
        <row r="4602">
          <cell r="A4602" t="str">
            <v>BPB-048-G-210-KYYB2</v>
          </cell>
          <cell r="G4602" t="str">
            <v>VPPRT</v>
          </cell>
          <cell r="L4602">
            <v>44677</v>
          </cell>
          <cell r="M4602">
            <v>119.5</v>
          </cell>
          <cell r="P4602">
            <v>6.69</v>
          </cell>
        </row>
        <row r="4603">
          <cell r="A4603" t="str">
            <v>BPB-048-G-5209-KRRB2</v>
          </cell>
          <cell r="G4603" t="str">
            <v>IPFAB</v>
          </cell>
          <cell r="L4603">
            <v>41996</v>
          </cell>
          <cell r="M4603">
            <v>8.58</v>
          </cell>
          <cell r="P4603">
            <v>5.34</v>
          </cell>
        </row>
        <row r="4604">
          <cell r="A4604" t="str">
            <v>BPB-048-G-5209-KYYB2</v>
          </cell>
          <cell r="G4604" t="str">
            <v xml:space="preserve">INAC </v>
          </cell>
          <cell r="L4604">
            <v>42723</v>
          </cell>
          <cell r="M4604">
            <v>16.22</v>
          </cell>
          <cell r="P4604">
            <v>29.705302096177562</v>
          </cell>
        </row>
        <row r="4605">
          <cell r="A4605" t="str">
            <v>BPB-048-GW-208-PPB22</v>
          </cell>
          <cell r="G4605" t="str">
            <v>IDESP</v>
          </cell>
          <cell r="L4605">
            <v>45230</v>
          </cell>
          <cell r="M4605">
            <v>365.5</v>
          </cell>
          <cell r="P4605">
            <v>5</v>
          </cell>
        </row>
        <row r="4606">
          <cell r="A4606" t="str">
            <v>BPB-048-HCR-206-20</v>
          </cell>
          <cell r="G4606" t="str">
            <v xml:space="preserve">CR   </v>
          </cell>
          <cell r="L4606">
            <v>40428.376423611109</v>
          </cell>
          <cell r="M4606">
            <v>3.97</v>
          </cell>
          <cell r="P4606">
            <v>2.1259999999999999</v>
          </cell>
        </row>
        <row r="4607">
          <cell r="A4607" t="str">
            <v>BPB-048-J91-B</v>
          </cell>
          <cell r="G4607" t="str">
            <v xml:space="preserve">INAC </v>
          </cell>
          <cell r="L4607">
            <v>44207</v>
          </cell>
          <cell r="M4607">
            <v>90</v>
          </cell>
          <cell r="P4607">
            <v>3.5764999999999998</v>
          </cell>
        </row>
        <row r="4608">
          <cell r="A4608" t="str">
            <v>BPB-048-J91-B.07</v>
          </cell>
          <cell r="G4608" t="str">
            <v xml:space="preserve">INSI </v>
          </cell>
          <cell r="L4608">
            <v>40827</v>
          </cell>
          <cell r="M4608">
            <v>4.24</v>
          </cell>
          <cell r="P4608">
            <v>0.25</v>
          </cell>
        </row>
        <row r="4609">
          <cell r="A4609" t="str">
            <v>BPB-048-J91-R</v>
          </cell>
          <cell r="G4609" t="str">
            <v>INDEV</v>
          </cell>
          <cell r="L4609">
            <v>41431</v>
          </cell>
          <cell r="M4609">
            <v>5.29</v>
          </cell>
          <cell r="P4609">
            <v>23.506654064272212</v>
          </cell>
        </row>
        <row r="4610">
          <cell r="A4610" t="str">
            <v>BPB-048-J91-R.04</v>
          </cell>
          <cell r="G4610" t="str">
            <v>IDESP</v>
          </cell>
          <cell r="L4610">
            <v>39769</v>
          </cell>
          <cell r="M4610">
            <v>3.3140000000000001</v>
          </cell>
          <cell r="P4610">
            <v>0.44500000000000001</v>
          </cell>
        </row>
        <row r="4611">
          <cell r="A4611" t="str">
            <v>BPB-048-J91-R.07</v>
          </cell>
          <cell r="G4611" t="str">
            <v>IPFAB</v>
          </cell>
          <cell r="L4611">
            <v>39857</v>
          </cell>
          <cell r="M4611">
            <v>3.4910000000000001</v>
          </cell>
          <cell r="P4611">
            <v>0.254</v>
          </cell>
        </row>
        <row r="4612">
          <cell r="A4612" t="str">
            <v>BPB-048-J91-R.08</v>
          </cell>
          <cell r="G4612" t="str">
            <v>IDESP</v>
          </cell>
          <cell r="L4612">
            <v>40809</v>
          </cell>
          <cell r="M4612">
            <v>4.2300000000000004</v>
          </cell>
          <cell r="P4612">
            <v>0.23</v>
          </cell>
        </row>
        <row r="4613">
          <cell r="A4613" t="str">
            <v>BPB-048-J91-R.68</v>
          </cell>
          <cell r="G4613" t="str">
            <v>InRet</v>
          </cell>
          <cell r="L4613">
            <v>40254</v>
          </cell>
          <cell r="M4613">
            <v>3.88</v>
          </cell>
          <cell r="P4613">
            <v>0.14000000000000001</v>
          </cell>
        </row>
        <row r="4614">
          <cell r="A4614" t="str">
            <v>BPB-048-JR-3062-DBL</v>
          </cell>
          <cell r="G4614" t="str">
            <v>INDEV</v>
          </cell>
          <cell r="L4614">
            <v>39855</v>
          </cell>
          <cell r="M4614">
            <v>3.484</v>
          </cell>
          <cell r="P4614">
            <v>6.2388920780711823</v>
          </cell>
        </row>
        <row r="4615">
          <cell r="A4615" t="str">
            <v>BPB-048-MAZA205SB</v>
          </cell>
          <cell r="G4615" t="str">
            <v xml:space="preserve">INAC </v>
          </cell>
          <cell r="L4615">
            <v>39653</v>
          </cell>
          <cell r="M4615">
            <v>3.0179999999999998</v>
          </cell>
          <cell r="P4615">
            <v>12.756792577866138</v>
          </cell>
        </row>
        <row r="4616">
          <cell r="A4616" t="str">
            <v>BPB-048-NAT-V30-PPX</v>
          </cell>
          <cell r="G4616" t="str">
            <v>IDESP</v>
          </cell>
          <cell r="L4616">
            <v>45951</v>
          </cell>
          <cell r="M4616">
            <v>1495</v>
          </cell>
          <cell r="P4616">
            <v>4.6500000000000004</v>
          </cell>
        </row>
        <row r="4617">
          <cell r="A4617" t="str">
            <v>BPB-048-NTB1613-2RST</v>
          </cell>
          <cell r="G4617" t="str">
            <v>IDESP</v>
          </cell>
          <cell r="L4617">
            <v>44684</v>
          </cell>
          <cell r="M4617">
            <v>120.5</v>
          </cell>
          <cell r="P4617">
            <v>1.96</v>
          </cell>
        </row>
        <row r="4618">
          <cell r="A4618" t="str">
            <v>BPB-048-NTR2050-BI</v>
          </cell>
          <cell r="G4618" t="str">
            <v xml:space="preserve">INAC </v>
          </cell>
          <cell r="L4618">
            <v>42039</v>
          </cell>
          <cell r="M4618">
            <v>8.69</v>
          </cell>
          <cell r="P4618">
            <v>0.57537399309551207</v>
          </cell>
        </row>
        <row r="4619">
          <cell r="A4619" t="str">
            <v>BPB-048-NTR2050-BJL</v>
          </cell>
          <cell r="G4619" t="str">
            <v>InRet</v>
          </cell>
          <cell r="L4619">
            <v>40980</v>
          </cell>
          <cell r="M4619">
            <v>4.3600000000000003</v>
          </cell>
          <cell r="P4619">
            <v>8.5515825688073388</v>
          </cell>
        </row>
        <row r="4620">
          <cell r="A4620" t="str">
            <v>BPB-048-NTR2050-BJR</v>
          </cell>
          <cell r="G4620" t="str">
            <v>InRet</v>
          </cell>
          <cell r="L4620">
            <v>40980</v>
          </cell>
          <cell r="M4620">
            <v>4.3600000000000003</v>
          </cell>
          <cell r="P4620">
            <v>8.5515825688073388</v>
          </cell>
        </row>
        <row r="4621">
          <cell r="A4621" t="str">
            <v>BPB-048-NTR2050-BRG</v>
          </cell>
          <cell r="G4621" t="str">
            <v>InRet</v>
          </cell>
          <cell r="L4621">
            <v>40980</v>
          </cell>
          <cell r="M4621">
            <v>4.3600000000000003</v>
          </cell>
          <cell r="P4621">
            <v>3.9092201834862381</v>
          </cell>
        </row>
        <row r="4622">
          <cell r="A4622" t="str">
            <v>BPB-048-NTR2050-RDL</v>
          </cell>
          <cell r="G4622" t="str">
            <v xml:space="preserve">INSI </v>
          </cell>
          <cell r="L4622">
            <v>41277</v>
          </cell>
          <cell r="M4622">
            <v>4.9400000000000004</v>
          </cell>
          <cell r="P4622">
            <v>14.736599999999999</v>
          </cell>
        </row>
        <row r="4623">
          <cell r="A4623" t="str">
            <v>BPB-048-NTR2050-RDL1</v>
          </cell>
          <cell r="G4623" t="str">
            <v xml:space="preserve">CR   </v>
          </cell>
          <cell r="L4623">
            <v>43585.433738425927</v>
          </cell>
          <cell r="M4623">
            <v>45.3</v>
          </cell>
          <cell r="P4623">
            <v>5</v>
          </cell>
        </row>
        <row r="4624">
          <cell r="A4624" t="str">
            <v>BPB-048-NTR2050-RDR</v>
          </cell>
          <cell r="G4624" t="str">
            <v xml:space="preserve">INSI </v>
          </cell>
          <cell r="L4624">
            <v>41277</v>
          </cell>
          <cell r="M4624">
            <v>4.9400000000000004</v>
          </cell>
          <cell r="P4624">
            <v>14.736599999999999</v>
          </cell>
        </row>
        <row r="4625">
          <cell r="A4625" t="str">
            <v>BPB-048-NTR2050-RDR1</v>
          </cell>
          <cell r="G4625" t="str">
            <v xml:space="preserve">CR   </v>
          </cell>
          <cell r="L4625">
            <v>43585.433738425927</v>
          </cell>
          <cell r="M4625">
            <v>45.3</v>
          </cell>
          <cell r="P4625">
            <v>5</v>
          </cell>
        </row>
        <row r="4626">
          <cell r="A4626" t="str">
            <v>BPB-048-NTR2050-TR</v>
          </cell>
          <cell r="G4626" t="str">
            <v xml:space="preserve">INAC </v>
          </cell>
          <cell r="L4626">
            <v>42039</v>
          </cell>
          <cell r="M4626">
            <v>8.69</v>
          </cell>
          <cell r="P4626">
            <v>1.1795166858457999</v>
          </cell>
        </row>
        <row r="4627">
          <cell r="A4627" t="str">
            <v>BPB-048-NTR2050-WHR</v>
          </cell>
          <cell r="G4627" t="str">
            <v>IDESP</v>
          </cell>
          <cell r="L4627">
            <v>40365</v>
          </cell>
          <cell r="M4627">
            <v>3.95</v>
          </cell>
          <cell r="P4627">
            <v>0.52600000000000002</v>
          </cell>
        </row>
        <row r="4628">
          <cell r="A4628" t="str">
            <v>BPB-048-ORAE-30-2RST</v>
          </cell>
          <cell r="G4628" t="str">
            <v>IDESP</v>
          </cell>
          <cell r="L4628">
            <v>39758</v>
          </cell>
          <cell r="M4628">
            <v>3.31</v>
          </cell>
          <cell r="P4628">
            <v>1.72</v>
          </cell>
        </row>
        <row r="4629">
          <cell r="A4629" t="str">
            <v>BPB-048-ORAE-35-2RST</v>
          </cell>
          <cell r="G4629" t="str">
            <v>INDEV</v>
          </cell>
          <cell r="L4629">
            <v>41142</v>
          </cell>
          <cell r="M4629">
            <v>4.63</v>
          </cell>
          <cell r="P4629">
            <v>2.36</v>
          </cell>
        </row>
        <row r="4630">
          <cell r="A4630" t="str">
            <v>BPB-048-PFL-204-KRR6</v>
          </cell>
          <cell r="G4630" t="str">
            <v>INSI$</v>
          </cell>
          <cell r="L4630">
            <v>43070</v>
          </cell>
          <cell r="M4630">
            <v>17.72</v>
          </cell>
          <cell r="P4630">
            <v>2.4202990970654632</v>
          </cell>
        </row>
        <row r="4631">
          <cell r="A4631" t="str">
            <v>BPB-048-RUE59196-112</v>
          </cell>
          <cell r="G4631" t="str">
            <v>IPFAP</v>
          </cell>
          <cell r="L4631">
            <v>42542</v>
          </cell>
          <cell r="M4631">
            <v>14.15</v>
          </cell>
          <cell r="P4631">
            <v>2.7915194346289751</v>
          </cell>
        </row>
        <row r="4632">
          <cell r="A4632" t="str">
            <v>BPB-048-RUEPISAG-1X8</v>
          </cell>
          <cell r="G4632" t="str">
            <v xml:space="preserve">INAC </v>
          </cell>
          <cell r="L4632">
            <v>39364</v>
          </cell>
          <cell r="M4632">
            <v>3.1589999999999998</v>
          </cell>
          <cell r="P4632">
            <v>13.485280151946819</v>
          </cell>
        </row>
        <row r="4633">
          <cell r="A4633" t="str">
            <v>BPB-048-RW59505-110</v>
          </cell>
          <cell r="G4633" t="str">
            <v xml:space="preserve">INAC </v>
          </cell>
          <cell r="L4633">
            <v>39735</v>
          </cell>
          <cell r="M4633">
            <v>3.2240000000000002</v>
          </cell>
          <cell r="P4633">
            <v>3.7220843672456572</v>
          </cell>
        </row>
        <row r="4634">
          <cell r="A4634" t="str">
            <v>BPB-048-RX-84</v>
          </cell>
          <cell r="G4634" t="str">
            <v>IDESP</v>
          </cell>
          <cell r="L4634">
            <v>42678</v>
          </cell>
          <cell r="M4634">
            <v>15.31</v>
          </cell>
          <cell r="P4634">
            <v>2.96</v>
          </cell>
        </row>
        <row r="4635">
          <cell r="A4635" t="str">
            <v>BPB-048-S33SR</v>
          </cell>
          <cell r="G4635" t="str">
            <v xml:space="preserve">CR   </v>
          </cell>
          <cell r="L4635">
            <v>44756.667893518519</v>
          </cell>
          <cell r="M4635">
            <v>135</v>
          </cell>
          <cell r="P4635">
            <v>0.5</v>
          </cell>
        </row>
        <row r="4636">
          <cell r="A4636" t="str">
            <v>BPB-048-S410000034</v>
          </cell>
          <cell r="G4636" t="str">
            <v>vpret</v>
          </cell>
          <cell r="L4636">
            <v>44503</v>
          </cell>
          <cell r="M4636">
            <v>105</v>
          </cell>
          <cell r="P4636">
            <v>8.5041142857142855</v>
          </cell>
        </row>
        <row r="4637">
          <cell r="A4637" t="str">
            <v>BPB-048-S412101-A</v>
          </cell>
          <cell r="G4637" t="str">
            <v>InRet</v>
          </cell>
          <cell r="L4637">
            <v>45916</v>
          </cell>
          <cell r="M4637">
            <v>1475</v>
          </cell>
          <cell r="P4637">
            <v>9.548576271186441</v>
          </cell>
        </row>
        <row r="4638">
          <cell r="A4638" t="str">
            <v>BPB-048-SAB5207-35</v>
          </cell>
          <cell r="G4638" t="str">
            <v>IDESP</v>
          </cell>
          <cell r="L4638">
            <v>43684</v>
          </cell>
          <cell r="M4638">
            <v>46.3</v>
          </cell>
          <cell r="P4638">
            <v>4.5599999999999996</v>
          </cell>
        </row>
        <row r="4639">
          <cell r="A4639" t="str">
            <v>BPB-048-SAB5209-45RR</v>
          </cell>
          <cell r="G4639" t="str">
            <v>IPFAP</v>
          </cell>
          <cell r="L4639">
            <v>42622</v>
          </cell>
          <cell r="M4639">
            <v>15.31</v>
          </cell>
          <cell r="P4639">
            <v>5.0299999999999994</v>
          </cell>
        </row>
        <row r="4640">
          <cell r="A4640" t="str">
            <v>BPB-048-SBX-1706</v>
          </cell>
          <cell r="G4640" t="str">
            <v>IDESP</v>
          </cell>
          <cell r="L4640">
            <v>43292</v>
          </cell>
          <cell r="M4640">
            <v>27.8</v>
          </cell>
          <cell r="P4640">
            <v>8.16</v>
          </cell>
        </row>
        <row r="4641">
          <cell r="A4641" t="str">
            <v>BPB-048-SBX-209-K</v>
          </cell>
          <cell r="G4641" t="str">
            <v>IPFAB</v>
          </cell>
          <cell r="L4641">
            <v>40199</v>
          </cell>
          <cell r="M4641">
            <v>3.83</v>
          </cell>
          <cell r="P4641">
            <v>0.26109700000000002</v>
          </cell>
        </row>
        <row r="4642">
          <cell r="A4642" t="str">
            <v>BPB-048-SER-12</v>
          </cell>
          <cell r="G4642" t="str">
            <v>IDESP</v>
          </cell>
          <cell r="L4642">
            <v>42949</v>
          </cell>
          <cell r="M4642">
            <v>17.91</v>
          </cell>
          <cell r="P4642">
            <v>1.89</v>
          </cell>
        </row>
        <row r="4643">
          <cell r="A4643" t="str">
            <v>BPB-048-SER-14</v>
          </cell>
          <cell r="G4643" t="str">
            <v>IDESP</v>
          </cell>
          <cell r="L4643">
            <v>42949</v>
          </cell>
          <cell r="M4643">
            <v>17.91</v>
          </cell>
          <cell r="P4643">
            <v>2.0499999999999998</v>
          </cell>
        </row>
        <row r="4644">
          <cell r="A4644" t="str">
            <v>BPB-048-SER-15</v>
          </cell>
          <cell r="G4644" t="str">
            <v>IDESP</v>
          </cell>
          <cell r="L4644">
            <v>42949</v>
          </cell>
          <cell r="M4644">
            <v>17.91</v>
          </cell>
          <cell r="P4644">
            <v>2.0499999999999998</v>
          </cell>
        </row>
        <row r="4645">
          <cell r="A4645" t="str">
            <v>BPB-048-SER-16</v>
          </cell>
          <cell r="G4645" t="str">
            <v>IDESP</v>
          </cell>
          <cell r="L4645">
            <v>42949</v>
          </cell>
          <cell r="M4645">
            <v>17.91</v>
          </cell>
          <cell r="P4645">
            <v>2.0499999999999998</v>
          </cell>
        </row>
        <row r="4646">
          <cell r="A4646" t="str">
            <v>BPB-048-SER-18</v>
          </cell>
          <cell r="G4646" t="str">
            <v>IDESP</v>
          </cell>
          <cell r="L4646">
            <v>42949</v>
          </cell>
          <cell r="M4646">
            <v>17.91</v>
          </cell>
          <cell r="P4646">
            <v>2.78</v>
          </cell>
        </row>
        <row r="4647">
          <cell r="A4647" t="str">
            <v>BPB-048-SER-19</v>
          </cell>
          <cell r="G4647" t="str">
            <v>IDESP</v>
          </cell>
          <cell r="L4647">
            <v>42949</v>
          </cell>
          <cell r="M4647">
            <v>17.91</v>
          </cell>
          <cell r="P4647">
            <v>2.78</v>
          </cell>
        </row>
        <row r="4648">
          <cell r="A4648" t="str">
            <v>BPB-048-SER-23</v>
          </cell>
          <cell r="G4648" t="str">
            <v>IDESP</v>
          </cell>
          <cell r="L4648">
            <v>42949</v>
          </cell>
          <cell r="M4648">
            <v>17.91</v>
          </cell>
          <cell r="P4648">
            <v>4.04</v>
          </cell>
        </row>
        <row r="4649">
          <cell r="A4649" t="str">
            <v>BPB-048-SER-47-MX</v>
          </cell>
          <cell r="G4649" t="str">
            <v>IDESP</v>
          </cell>
          <cell r="L4649">
            <v>43966</v>
          </cell>
          <cell r="M4649">
            <v>69.75</v>
          </cell>
          <cell r="P4649">
            <v>21.2</v>
          </cell>
        </row>
        <row r="4650">
          <cell r="A4650" t="str">
            <v>BPB-048-SER-51</v>
          </cell>
          <cell r="G4650" t="str">
            <v>IDESP</v>
          </cell>
          <cell r="L4650">
            <v>44630</v>
          </cell>
          <cell r="M4650">
            <v>114</v>
          </cell>
          <cell r="P4650">
            <v>30.57</v>
          </cell>
        </row>
        <row r="4651">
          <cell r="A4651" t="str">
            <v>BPB-048-SER-55-MX</v>
          </cell>
          <cell r="G4651" t="str">
            <v>IDESP</v>
          </cell>
          <cell r="L4651">
            <v>44167</v>
          </cell>
          <cell r="M4651">
            <v>86.5</v>
          </cell>
          <cell r="P4651">
            <v>36.42</v>
          </cell>
        </row>
        <row r="4652">
          <cell r="A4652" t="str">
            <v>BPB-048-SL-205-DBL</v>
          </cell>
          <cell r="G4652" t="str">
            <v>IDESP</v>
          </cell>
          <cell r="L4652">
            <v>40675</v>
          </cell>
          <cell r="M4652">
            <v>4.12</v>
          </cell>
          <cell r="P4652">
            <v>3.83</v>
          </cell>
        </row>
        <row r="4653">
          <cell r="A4653" t="str">
            <v>BPB-048-SL-207-DBL</v>
          </cell>
          <cell r="G4653" t="str">
            <v>INDEV</v>
          </cell>
          <cell r="L4653">
            <v>41733</v>
          </cell>
          <cell r="M4653">
            <v>8.0500000000000007</v>
          </cell>
          <cell r="P4653">
            <v>5.36</v>
          </cell>
        </row>
        <row r="4654">
          <cell r="A4654" t="str">
            <v>BPB-048-SL-209-DBL</v>
          </cell>
          <cell r="G4654" t="str">
            <v>IDESP</v>
          </cell>
          <cell r="L4654">
            <v>40675</v>
          </cell>
          <cell r="M4654">
            <v>4.12</v>
          </cell>
          <cell r="P4654">
            <v>6.89</v>
          </cell>
        </row>
        <row r="4655">
          <cell r="A4655" t="str">
            <v>BPB-048-SR59505-110</v>
          </cell>
          <cell r="G4655" t="str">
            <v>IPFAB</v>
          </cell>
          <cell r="L4655">
            <v>39826</v>
          </cell>
          <cell r="M4655">
            <v>3.4489999999999998</v>
          </cell>
          <cell r="P4655">
            <v>2.7063000000000001</v>
          </cell>
        </row>
        <row r="4656">
          <cell r="A4656" t="str">
            <v>BPB-048-TTB-11315SP</v>
          </cell>
          <cell r="G4656" t="str">
            <v>IDESP</v>
          </cell>
          <cell r="L4656">
            <v>40473</v>
          </cell>
          <cell r="M4656">
            <v>3.98</v>
          </cell>
          <cell r="P4656">
            <v>448.9</v>
          </cell>
        </row>
        <row r="4657">
          <cell r="A4657" t="str">
            <v>BPB-048-TUEKM25-D</v>
          </cell>
          <cell r="G4657" t="str">
            <v xml:space="preserve">INAC </v>
          </cell>
          <cell r="L4657">
            <v>39667</v>
          </cell>
          <cell r="M4657">
            <v>3.044</v>
          </cell>
          <cell r="P4657">
            <v>2.7184625492772669</v>
          </cell>
        </row>
        <row r="4658">
          <cell r="A4658" t="str">
            <v>BPB-048-TUEKM25-I</v>
          </cell>
          <cell r="G4658" t="str">
            <v xml:space="preserve">INAC </v>
          </cell>
          <cell r="L4658">
            <v>39667</v>
          </cell>
          <cell r="M4658">
            <v>3.044</v>
          </cell>
          <cell r="P4658">
            <v>2.7184625492772669</v>
          </cell>
        </row>
        <row r="4659">
          <cell r="A4659" t="str">
            <v>BPB-048-UC-5209-G-45</v>
          </cell>
          <cell r="G4659" t="str">
            <v>IDESP</v>
          </cell>
          <cell r="L4659">
            <v>41102</v>
          </cell>
          <cell r="M4659">
            <v>4.55</v>
          </cell>
          <cell r="P4659">
            <v>4.2699999999999996</v>
          </cell>
        </row>
        <row r="4660">
          <cell r="A4660" t="str">
            <v>BPB-048-W-208-PP21-N</v>
          </cell>
          <cell r="G4660" t="str">
            <v>VPPRT</v>
          </cell>
          <cell r="L4660">
            <v>44650</v>
          </cell>
          <cell r="M4660">
            <v>115.75</v>
          </cell>
          <cell r="P4660">
            <v>4.6795</v>
          </cell>
        </row>
        <row r="4661">
          <cell r="A4661" t="str">
            <v>BPB-048-W-208-YYB22</v>
          </cell>
          <cell r="G4661" t="str">
            <v>vpret</v>
          </cell>
          <cell r="L4661">
            <v>43152</v>
          </cell>
          <cell r="M4661">
            <v>20.190000000000001</v>
          </cell>
          <cell r="P4661">
            <v>7.6299377414561658</v>
          </cell>
        </row>
        <row r="4662">
          <cell r="A4662" t="str">
            <v>BPB-048-W-209-PPB5</v>
          </cell>
          <cell r="G4662" t="str">
            <v>IPFAP</v>
          </cell>
          <cell r="L4662">
            <v>41865</v>
          </cell>
          <cell r="M4662">
            <v>8.27</v>
          </cell>
          <cell r="P4662">
            <v>4.0120918984280536</v>
          </cell>
        </row>
        <row r="4663">
          <cell r="A4663" t="str">
            <v>BPB-048-W-209-YYB2</v>
          </cell>
          <cell r="G4663" t="str">
            <v>INDEV</v>
          </cell>
          <cell r="L4663">
            <v>41814</v>
          </cell>
          <cell r="M4663">
            <v>8.16</v>
          </cell>
          <cell r="P4663">
            <v>3.510845588235294</v>
          </cell>
        </row>
        <row r="4664">
          <cell r="A4664" t="str">
            <v>BPB-048-W-210-PP4</v>
          </cell>
          <cell r="G4664" t="str">
            <v>IDESP</v>
          </cell>
          <cell r="L4664">
            <v>40304</v>
          </cell>
          <cell r="M4664">
            <v>3.92</v>
          </cell>
          <cell r="P4664">
            <v>4.45</v>
          </cell>
        </row>
        <row r="4665">
          <cell r="A4665" t="str">
            <v>BPB-048-W207-KYYB3</v>
          </cell>
          <cell r="G4665" t="str">
            <v>vpret</v>
          </cell>
          <cell r="L4665">
            <v>44319</v>
          </cell>
          <cell r="M4665">
            <v>98.5</v>
          </cell>
          <cell r="P4665">
            <v>3.4799999999999995</v>
          </cell>
        </row>
        <row r="4666">
          <cell r="A4666" t="str">
            <v>BPB-048-W208YYB22-C3</v>
          </cell>
          <cell r="G4666" t="str">
            <v>IPFAP</v>
          </cell>
          <cell r="L4666">
            <v>42313</v>
          </cell>
          <cell r="M4666">
            <v>9.6300000000000008</v>
          </cell>
          <cell r="P4666">
            <v>5.3439148494288675</v>
          </cell>
        </row>
        <row r="4667">
          <cell r="A4667" t="str">
            <v>BPB-048-WLG5208-2RST</v>
          </cell>
          <cell r="G4667" t="str">
            <v>InRet</v>
          </cell>
          <cell r="L4667">
            <v>40889</v>
          </cell>
          <cell r="M4667">
            <v>4.3</v>
          </cell>
          <cell r="P4667">
            <v>5.3729767441860465</v>
          </cell>
        </row>
        <row r="4668">
          <cell r="A4668" t="str">
            <v>BPB-048-Z-9504-2RST</v>
          </cell>
          <cell r="G4668" t="str">
            <v>IDESP</v>
          </cell>
          <cell r="L4668">
            <v>42759</v>
          </cell>
          <cell r="M4668">
            <v>16.329999999999998</v>
          </cell>
          <cell r="P4668">
            <v>1.671</v>
          </cell>
        </row>
        <row r="4669">
          <cell r="A4669" t="str">
            <v>BPB-050-25577-521</v>
          </cell>
          <cell r="G4669" t="str">
            <v>IPFAB</v>
          </cell>
          <cell r="L4669">
            <v>41288</v>
          </cell>
          <cell r="M4669">
            <v>4.95</v>
          </cell>
          <cell r="P4669">
            <v>0.20200000000000001</v>
          </cell>
        </row>
        <row r="4670">
          <cell r="A4670" t="str">
            <v>BPB-050-29685-620</v>
          </cell>
          <cell r="G4670" t="str">
            <v>vpret</v>
          </cell>
          <cell r="L4670">
            <v>45261</v>
          </cell>
          <cell r="M4670">
            <v>376</v>
          </cell>
          <cell r="P4670">
            <v>4.0641622340425529</v>
          </cell>
        </row>
        <row r="4671">
          <cell r="A4671" t="str">
            <v>BPB-050-30306</v>
          </cell>
          <cell r="G4671" t="str">
            <v>IDESP</v>
          </cell>
          <cell r="L4671">
            <v>39155</v>
          </cell>
          <cell r="M4671">
            <v>3.101</v>
          </cell>
          <cell r="P4671">
            <v>1.764</v>
          </cell>
        </row>
        <row r="4672">
          <cell r="A4672" t="str">
            <v>BPB-050-30308</v>
          </cell>
          <cell r="G4672" t="str">
            <v xml:space="preserve">CR   </v>
          </cell>
          <cell r="L4672">
            <v>40428.376423611109</v>
          </cell>
          <cell r="M4672">
            <v>3.97</v>
          </cell>
          <cell r="P4672">
            <v>2.8220000000000001</v>
          </cell>
        </row>
        <row r="4673">
          <cell r="A4673" t="str">
            <v>BPB-050-30309</v>
          </cell>
          <cell r="G4673" t="str">
            <v>INDEV</v>
          </cell>
          <cell r="L4673">
            <v>40736</v>
          </cell>
          <cell r="M4673">
            <v>4.1500000000000004</v>
          </cell>
          <cell r="P4673">
            <v>2.6890120481927706</v>
          </cell>
        </row>
        <row r="4674">
          <cell r="A4674" t="str">
            <v>BPB-050-30310</v>
          </cell>
          <cell r="G4674" t="str">
            <v>INCOU</v>
          </cell>
          <cell r="L4674">
            <v>41576</v>
          </cell>
          <cell r="M4674">
            <v>5.89</v>
          </cell>
          <cell r="P4674">
            <v>5.18</v>
          </cell>
        </row>
        <row r="4675">
          <cell r="A4675" t="str">
            <v>BPB-050-32007</v>
          </cell>
          <cell r="G4675" t="str">
            <v xml:space="preserve">INAC </v>
          </cell>
          <cell r="L4675">
            <v>40778</v>
          </cell>
          <cell r="M4675">
            <v>4.2</v>
          </cell>
          <cell r="P4675">
            <v>7.1428571428571423</v>
          </cell>
        </row>
        <row r="4676">
          <cell r="A4676" t="str">
            <v>BPB-050-32008</v>
          </cell>
          <cell r="G4676" t="str">
            <v xml:space="preserve">INAC </v>
          </cell>
          <cell r="L4676">
            <v>42985</v>
          </cell>
          <cell r="M4676">
            <v>17.66</v>
          </cell>
          <cell r="P4676">
            <v>6.5685164212910534</v>
          </cell>
        </row>
        <row r="4677">
          <cell r="A4677" t="str">
            <v>BPB-050-32010-MX</v>
          </cell>
          <cell r="G4677" t="str">
            <v xml:space="preserve">INAC </v>
          </cell>
          <cell r="L4677">
            <v>44292</v>
          </cell>
          <cell r="M4677">
            <v>97.75</v>
          </cell>
          <cell r="P4677">
            <v>4.7742076726342715</v>
          </cell>
        </row>
        <row r="4678">
          <cell r="A4678" t="str">
            <v>BPB-050-32013</v>
          </cell>
          <cell r="G4678" t="str">
            <v xml:space="preserve">INAC </v>
          </cell>
          <cell r="L4678">
            <v>42985</v>
          </cell>
          <cell r="M4678">
            <v>17.66</v>
          </cell>
          <cell r="P4678">
            <v>16.421291053227634</v>
          </cell>
        </row>
        <row r="4679">
          <cell r="A4679" t="str">
            <v>BPB-050-32215</v>
          </cell>
          <cell r="G4679" t="str">
            <v>IPFAB</v>
          </cell>
          <cell r="L4679">
            <v>40879</v>
          </cell>
          <cell r="M4679">
            <v>4.3</v>
          </cell>
          <cell r="P4679">
            <v>7.3129999999999997</v>
          </cell>
        </row>
        <row r="4680">
          <cell r="A4680" t="str">
            <v>BPB-050-32216</v>
          </cell>
          <cell r="G4680" t="str">
            <v>IPFAB</v>
          </cell>
          <cell r="L4680">
            <v>41004</v>
          </cell>
          <cell r="M4680">
            <v>4.4000000000000004</v>
          </cell>
          <cell r="P4680">
            <v>5.2614000000000001</v>
          </cell>
        </row>
        <row r="4681">
          <cell r="A4681" t="str">
            <v>BPB-050-32218</v>
          </cell>
          <cell r="G4681" t="str">
            <v>IPFAB</v>
          </cell>
          <cell r="L4681">
            <v>41502</v>
          </cell>
          <cell r="M4681">
            <v>5.58</v>
          </cell>
          <cell r="P4681">
            <v>0.25380000000000003</v>
          </cell>
        </row>
        <row r="4682">
          <cell r="A4682" t="str">
            <v>BPB-050-32309</v>
          </cell>
          <cell r="G4682" t="str">
            <v>INCOU</v>
          </cell>
          <cell r="L4682">
            <v>41572</v>
          </cell>
          <cell r="M4682">
            <v>5.87</v>
          </cell>
          <cell r="P4682">
            <v>6.98</v>
          </cell>
        </row>
        <row r="4683">
          <cell r="A4683" t="str">
            <v>BPB-050-33112</v>
          </cell>
          <cell r="G4683" t="str">
            <v xml:space="preserve">INAC </v>
          </cell>
          <cell r="L4683">
            <v>39414</v>
          </cell>
          <cell r="M4683">
            <v>3.15</v>
          </cell>
          <cell r="P4683">
            <v>7.9238095238095241</v>
          </cell>
        </row>
        <row r="4684">
          <cell r="A4684" t="str">
            <v>BPB-050-5134</v>
          </cell>
          <cell r="G4684" t="str">
            <v>INDEV</v>
          </cell>
          <cell r="L4684">
            <v>40785</v>
          </cell>
          <cell r="M4684">
            <v>4.22</v>
          </cell>
          <cell r="P4684">
            <v>8.3146919431279631</v>
          </cell>
        </row>
        <row r="4685">
          <cell r="A4685" t="str">
            <v>BPB-050-F-4907015</v>
          </cell>
          <cell r="G4685" t="str">
            <v>INDEV</v>
          </cell>
          <cell r="L4685">
            <v>40893</v>
          </cell>
          <cell r="M4685">
            <v>4.3</v>
          </cell>
          <cell r="P4685">
            <v>0.24209302325581394</v>
          </cell>
        </row>
        <row r="4686">
          <cell r="A4686" t="str">
            <v>BPB-050-HM-518410</v>
          </cell>
          <cell r="G4686" t="str">
            <v>IDESP</v>
          </cell>
          <cell r="L4686">
            <v>41381</v>
          </cell>
          <cell r="M4686">
            <v>5.16</v>
          </cell>
          <cell r="P4686">
            <v>4.97</v>
          </cell>
        </row>
        <row r="4687">
          <cell r="A4687" t="str">
            <v>BPB-050-HM-518445</v>
          </cell>
          <cell r="G4687" t="str">
            <v>INDEV</v>
          </cell>
          <cell r="L4687">
            <v>40736</v>
          </cell>
          <cell r="M4687">
            <v>4.1500000000000004</v>
          </cell>
          <cell r="P4687">
            <v>4.9799999999999995</v>
          </cell>
        </row>
        <row r="4688">
          <cell r="A4688" t="str">
            <v>BPB-050-JRME-2552</v>
          </cell>
          <cell r="G4688" t="str">
            <v>IDESP</v>
          </cell>
          <cell r="L4688">
            <v>39420</v>
          </cell>
          <cell r="M4688">
            <v>3.1389999999999998</v>
          </cell>
          <cell r="P4688">
            <v>5.625</v>
          </cell>
        </row>
        <row r="4689">
          <cell r="A4689" t="str">
            <v>BPB-050-JRME2047</v>
          </cell>
          <cell r="G4689" t="str">
            <v>IPFAB</v>
          </cell>
          <cell r="L4689">
            <v>39665</v>
          </cell>
          <cell r="M4689">
            <v>3.044</v>
          </cell>
          <cell r="P4689">
            <v>4.6077000000000004</v>
          </cell>
        </row>
        <row r="4690">
          <cell r="A4690" t="str">
            <v>BPB-050-LM-44649-610</v>
          </cell>
          <cell r="G4690" t="str">
            <v xml:space="preserve">INAC </v>
          </cell>
          <cell r="L4690">
            <v>40392</v>
          </cell>
          <cell r="M4690">
            <v>3.96</v>
          </cell>
          <cell r="P4690">
            <v>2.2606060606060607</v>
          </cell>
        </row>
        <row r="4691">
          <cell r="A4691" t="str">
            <v>BPB-050-TX1845</v>
          </cell>
          <cell r="G4691" t="str">
            <v>INDEV</v>
          </cell>
          <cell r="L4691">
            <v>41332</v>
          </cell>
          <cell r="M4691">
            <v>5.03</v>
          </cell>
          <cell r="P4691">
            <v>11.829025844930417</v>
          </cell>
        </row>
        <row r="4692">
          <cell r="A4692" t="str">
            <v>BPB-050-TY8410</v>
          </cell>
          <cell r="G4692" t="str">
            <v>IDESP</v>
          </cell>
          <cell r="L4692">
            <v>40763</v>
          </cell>
          <cell r="M4692">
            <v>4.18</v>
          </cell>
          <cell r="P4692">
            <v>3.32</v>
          </cell>
        </row>
        <row r="4693">
          <cell r="A4693" t="str">
            <v>BPB-051-H-207</v>
          </cell>
          <cell r="G4693" t="str">
            <v>IPFAP</v>
          </cell>
          <cell r="L4693">
            <v>42214</v>
          </cell>
          <cell r="M4693">
            <v>9.2100000000000009</v>
          </cell>
          <cell r="P4693">
            <v>0.10857763300760043</v>
          </cell>
        </row>
        <row r="4694">
          <cell r="A4694" t="str">
            <v>BPB-051-H-208</v>
          </cell>
          <cell r="G4694" t="str">
            <v>INDEV</v>
          </cell>
          <cell r="L4694">
            <v>41568</v>
          </cell>
          <cell r="M4694">
            <v>5.86</v>
          </cell>
          <cell r="P4694">
            <v>1.1199999999999999</v>
          </cell>
        </row>
        <row r="4695">
          <cell r="A4695" t="str">
            <v>BPB-051-H-210</v>
          </cell>
          <cell r="G4695" t="str">
            <v>IPFAB</v>
          </cell>
          <cell r="L4695">
            <v>42474</v>
          </cell>
          <cell r="M4695">
            <v>14.74</v>
          </cell>
          <cell r="P4695">
            <v>0.65539999999999998</v>
          </cell>
        </row>
        <row r="4696">
          <cell r="A4696" t="str">
            <v>BPB-051-H-212</v>
          </cell>
          <cell r="G4696" t="str">
            <v>IDESP</v>
          </cell>
          <cell r="L4696">
            <v>40982</v>
          </cell>
          <cell r="M4696">
            <v>4.3600000000000003</v>
          </cell>
          <cell r="P4696">
            <v>1.575</v>
          </cell>
        </row>
        <row r="4697">
          <cell r="A4697" t="str">
            <v>BPB-051-H-213</v>
          </cell>
          <cell r="G4697" t="str">
            <v>IDESP</v>
          </cell>
          <cell r="L4697">
            <v>40982</v>
          </cell>
          <cell r="M4697">
            <v>4.3600000000000003</v>
          </cell>
          <cell r="P4697">
            <v>2.08</v>
          </cell>
        </row>
        <row r="4698">
          <cell r="A4698" t="str">
            <v>BPB-051-H-215</v>
          </cell>
          <cell r="G4698" t="str">
            <v>IDESP</v>
          </cell>
          <cell r="L4698">
            <v>40379</v>
          </cell>
          <cell r="M4698">
            <v>3.95</v>
          </cell>
          <cell r="P4698">
            <v>2.38</v>
          </cell>
        </row>
        <row r="4699">
          <cell r="A4699" t="str">
            <v>BPB-051-H-218</v>
          </cell>
          <cell r="G4699" t="str">
            <v>IDESP</v>
          </cell>
          <cell r="L4699">
            <v>40947</v>
          </cell>
          <cell r="M4699">
            <v>4.3499999999999996</v>
          </cell>
          <cell r="P4699">
            <v>4.875</v>
          </cell>
        </row>
        <row r="4700">
          <cell r="A4700" t="str">
            <v>BPB-051-H-2306</v>
          </cell>
          <cell r="G4700" t="str">
            <v>IDESP</v>
          </cell>
          <cell r="L4700">
            <v>40889</v>
          </cell>
          <cell r="M4700">
            <v>4.3</v>
          </cell>
          <cell r="P4700">
            <v>1</v>
          </cell>
        </row>
        <row r="4701">
          <cell r="A4701" t="str">
            <v>BPB-051-H-2307</v>
          </cell>
          <cell r="G4701" t="str">
            <v>IDESP</v>
          </cell>
          <cell r="L4701">
            <v>40889</v>
          </cell>
          <cell r="M4701">
            <v>4.3</v>
          </cell>
          <cell r="P4701">
            <v>1.04</v>
          </cell>
        </row>
        <row r="4702">
          <cell r="A4702" t="str">
            <v>BPB-051-H-2308</v>
          </cell>
          <cell r="G4702" t="str">
            <v>IDESP</v>
          </cell>
          <cell r="L4702">
            <v>40889</v>
          </cell>
          <cell r="M4702">
            <v>4.3</v>
          </cell>
          <cell r="P4702">
            <v>1.2</v>
          </cell>
        </row>
        <row r="4703">
          <cell r="A4703" t="str">
            <v>BPB-051-H-2309</v>
          </cell>
          <cell r="G4703" t="str">
            <v>IPFAP</v>
          </cell>
          <cell r="L4703">
            <v>42205</v>
          </cell>
          <cell r="M4703">
            <v>9.19</v>
          </cell>
          <cell r="P4703">
            <v>1.4800000000000002</v>
          </cell>
        </row>
        <row r="4704">
          <cell r="A4704" t="str">
            <v>BPB-051-H-2311</v>
          </cell>
          <cell r="G4704" t="str">
            <v>IDESP</v>
          </cell>
          <cell r="L4704">
            <v>40889</v>
          </cell>
          <cell r="M4704">
            <v>4.3</v>
          </cell>
          <cell r="P4704">
            <v>2.2000000000000002</v>
          </cell>
        </row>
        <row r="4705">
          <cell r="A4705" t="str">
            <v>BPB-051-H-2312</v>
          </cell>
          <cell r="G4705" t="str">
            <v>IDESP</v>
          </cell>
          <cell r="L4705">
            <v>40889</v>
          </cell>
          <cell r="M4705">
            <v>4.3</v>
          </cell>
          <cell r="P4705">
            <v>2.4</v>
          </cell>
        </row>
        <row r="4706">
          <cell r="A4706" t="str">
            <v>BPB-051-H-2313</v>
          </cell>
          <cell r="G4706" t="str">
            <v>IDESP</v>
          </cell>
          <cell r="L4706">
            <v>40889</v>
          </cell>
          <cell r="M4706">
            <v>4.3</v>
          </cell>
          <cell r="P4706">
            <v>3</v>
          </cell>
        </row>
        <row r="4707">
          <cell r="A4707" t="str">
            <v>BPB-051-H-2314</v>
          </cell>
          <cell r="G4707" t="str">
            <v>IDESP</v>
          </cell>
          <cell r="L4707">
            <v>40889</v>
          </cell>
          <cell r="M4707">
            <v>4.3</v>
          </cell>
          <cell r="P4707">
            <v>4.4000000000000004</v>
          </cell>
        </row>
        <row r="4708">
          <cell r="A4708" t="str">
            <v>BPB-051-H-2315</v>
          </cell>
          <cell r="G4708" t="str">
            <v>IDESP</v>
          </cell>
          <cell r="L4708">
            <v>40889</v>
          </cell>
          <cell r="M4708">
            <v>4.3</v>
          </cell>
          <cell r="P4708">
            <v>5</v>
          </cell>
        </row>
        <row r="4709">
          <cell r="A4709" t="str">
            <v>BPB-051-H-2316</v>
          </cell>
          <cell r="G4709" t="str">
            <v>IDESP</v>
          </cell>
          <cell r="L4709">
            <v>40982</v>
          </cell>
          <cell r="M4709">
            <v>4.3600000000000003</v>
          </cell>
          <cell r="P4709">
            <v>5.6</v>
          </cell>
        </row>
        <row r="4710">
          <cell r="A4710" t="str">
            <v>BPB-051-H-2317</v>
          </cell>
          <cell r="G4710" t="str">
            <v>IDESP</v>
          </cell>
          <cell r="L4710">
            <v>40889</v>
          </cell>
          <cell r="M4710">
            <v>4.3</v>
          </cell>
          <cell r="P4710">
            <v>6.24</v>
          </cell>
        </row>
        <row r="4711">
          <cell r="A4711" t="str">
            <v>BPB-051-H-305</v>
          </cell>
          <cell r="G4711" t="str">
            <v>IDESP</v>
          </cell>
          <cell r="L4711">
            <v>40575</v>
          </cell>
          <cell r="M4711">
            <v>4.03</v>
          </cell>
          <cell r="P4711">
            <v>0.70199999999999996</v>
          </cell>
        </row>
        <row r="4712">
          <cell r="A4712" t="str">
            <v>BPB-051-H-306</v>
          </cell>
          <cell r="G4712" t="str">
            <v>IDESP</v>
          </cell>
          <cell r="L4712">
            <v>40575</v>
          </cell>
          <cell r="M4712">
            <v>4.03</v>
          </cell>
          <cell r="P4712">
            <v>0.81899999999999995</v>
          </cell>
        </row>
        <row r="4713">
          <cell r="A4713" t="str">
            <v>BPB-051-H-307</v>
          </cell>
          <cell r="G4713" t="str">
            <v>IDESP</v>
          </cell>
          <cell r="L4713">
            <v>40575</v>
          </cell>
          <cell r="M4713">
            <v>4.03</v>
          </cell>
          <cell r="P4713">
            <v>0.93600000000000005</v>
          </cell>
        </row>
        <row r="4714">
          <cell r="A4714" t="str">
            <v>BPB-051-H-308</v>
          </cell>
          <cell r="G4714" t="str">
            <v>IDESP</v>
          </cell>
          <cell r="L4714">
            <v>40575</v>
          </cell>
          <cell r="M4714">
            <v>4.03</v>
          </cell>
          <cell r="P4714">
            <v>1.0529999999999999</v>
          </cell>
        </row>
        <row r="4715">
          <cell r="A4715" t="str">
            <v>BPB-051-H-309</v>
          </cell>
          <cell r="G4715" t="str">
            <v>IDESP</v>
          </cell>
          <cell r="L4715">
            <v>40575</v>
          </cell>
          <cell r="M4715">
            <v>4.03</v>
          </cell>
          <cell r="P4715">
            <v>1.248</v>
          </cell>
        </row>
        <row r="4716">
          <cell r="A4716" t="str">
            <v>BPB-051-H-310</v>
          </cell>
          <cell r="G4716" t="str">
            <v>IDESP</v>
          </cell>
          <cell r="L4716">
            <v>40646</v>
          </cell>
          <cell r="M4716">
            <v>4.08</v>
          </cell>
          <cell r="P4716">
            <v>1.429</v>
          </cell>
        </row>
        <row r="4717">
          <cell r="A4717" t="str">
            <v>BPB-051-H-311</v>
          </cell>
          <cell r="G4717" t="str">
            <v>IDESP</v>
          </cell>
          <cell r="L4717">
            <v>40575</v>
          </cell>
          <cell r="M4717">
            <v>4.03</v>
          </cell>
          <cell r="P4717">
            <v>1.7549999999999999</v>
          </cell>
        </row>
        <row r="4718">
          <cell r="A4718" t="str">
            <v>BPB-051-H-312</v>
          </cell>
          <cell r="G4718" t="str">
            <v>IDESP</v>
          </cell>
          <cell r="L4718">
            <v>41834</v>
          </cell>
          <cell r="M4718">
            <v>8.16</v>
          </cell>
          <cell r="P4718">
            <v>2.1800000000000002</v>
          </cell>
        </row>
        <row r="4719">
          <cell r="A4719" t="str">
            <v>BPB-051-H-314</v>
          </cell>
          <cell r="G4719" t="str">
            <v>IDESP</v>
          </cell>
          <cell r="L4719">
            <v>41834</v>
          </cell>
          <cell r="M4719">
            <v>8.16</v>
          </cell>
          <cell r="P4719">
            <v>3.29</v>
          </cell>
        </row>
        <row r="4720">
          <cell r="A4720" t="str">
            <v>BPB-051-H-316</v>
          </cell>
          <cell r="G4720" t="str">
            <v>IDESP</v>
          </cell>
          <cell r="L4720">
            <v>41834</v>
          </cell>
          <cell r="M4720">
            <v>8.16</v>
          </cell>
          <cell r="P4720">
            <v>4.8899999999999997</v>
          </cell>
        </row>
        <row r="4721">
          <cell r="A4721" t="str">
            <v>BPB-051-H-318</v>
          </cell>
          <cell r="G4721" t="str">
            <v>IDESP</v>
          </cell>
          <cell r="L4721">
            <v>41621</v>
          </cell>
          <cell r="M4721">
            <v>6.28</v>
          </cell>
          <cell r="P4721">
            <v>5.79</v>
          </cell>
        </row>
        <row r="4722">
          <cell r="A4722" t="str">
            <v>BPB-051-H-322</v>
          </cell>
          <cell r="G4722" t="str">
            <v>IDESP</v>
          </cell>
          <cell r="L4722">
            <v>44125</v>
          </cell>
          <cell r="M4722">
            <v>82.75</v>
          </cell>
          <cell r="P4722">
            <v>8.9700000000000006</v>
          </cell>
        </row>
        <row r="4723">
          <cell r="A4723" t="str">
            <v>BPB-052-20178</v>
          </cell>
          <cell r="G4723" t="str">
            <v>IDESP</v>
          </cell>
          <cell r="L4723">
            <v>41436</v>
          </cell>
          <cell r="M4723">
            <v>5.31</v>
          </cell>
          <cell r="P4723">
            <v>0.26200000000000001</v>
          </cell>
        </row>
        <row r="4724">
          <cell r="A4724" t="str">
            <v>BPB-052-20179</v>
          </cell>
          <cell r="G4724" t="str">
            <v>IPFAP</v>
          </cell>
          <cell r="L4724">
            <v>42104</v>
          </cell>
          <cell r="M4724">
            <v>8.8699999999999992</v>
          </cell>
          <cell r="P4724">
            <v>0.36501691093573846</v>
          </cell>
        </row>
        <row r="4725">
          <cell r="A4725" t="str">
            <v>BPB-052-55211542</v>
          </cell>
          <cell r="G4725" t="str">
            <v>InMuU</v>
          </cell>
          <cell r="L4725">
            <v>41046</v>
          </cell>
          <cell r="M4725">
            <v>4.47</v>
          </cell>
          <cell r="P4725">
            <v>0.63</v>
          </cell>
        </row>
        <row r="4726">
          <cell r="A4726" t="str">
            <v>BPB-052-59501-02</v>
          </cell>
          <cell r="G4726" t="str">
            <v xml:space="preserve">INAC </v>
          </cell>
          <cell r="L4726">
            <v>41002</v>
          </cell>
          <cell r="M4726">
            <v>4.3899999999999997</v>
          </cell>
          <cell r="P4726">
            <v>0.68337129840546706</v>
          </cell>
        </row>
        <row r="4727">
          <cell r="A4727" t="str">
            <v>BPB-052-59501-05</v>
          </cell>
          <cell r="G4727" t="str">
            <v>InRet</v>
          </cell>
          <cell r="L4727">
            <v>40946</v>
          </cell>
          <cell r="M4727">
            <v>4.3499999999999996</v>
          </cell>
          <cell r="P4727">
            <v>0.18600000000000003</v>
          </cell>
        </row>
        <row r="4728">
          <cell r="A4728" t="str">
            <v>BPB-052-BR-19-POSB30</v>
          </cell>
          <cell r="G4728" t="str">
            <v>InRet</v>
          </cell>
          <cell r="L4728">
            <v>40479</v>
          </cell>
          <cell r="M4728">
            <v>3.98</v>
          </cell>
          <cell r="P4728">
            <v>1.0332160804020101</v>
          </cell>
        </row>
        <row r="4729">
          <cell r="A4729" t="str">
            <v>BPB-052-BR1-POSB-30</v>
          </cell>
          <cell r="G4729" t="str">
            <v>INPE$</v>
          </cell>
          <cell r="L4729">
            <v>40786</v>
          </cell>
          <cell r="M4729">
            <v>4.22</v>
          </cell>
          <cell r="P4729">
            <v>3.2227488151658767</v>
          </cell>
        </row>
        <row r="4730">
          <cell r="A4730" t="str">
            <v>BPB-052-BUJ-71106</v>
          </cell>
          <cell r="G4730" t="str">
            <v xml:space="preserve">INAC </v>
          </cell>
          <cell r="L4730">
            <v>41547</v>
          </cell>
          <cell r="M4730">
            <v>5.79</v>
          </cell>
          <cell r="P4730">
            <v>7.63385146804836</v>
          </cell>
        </row>
        <row r="4731">
          <cell r="A4731" t="str">
            <v>BPB-052-BUJ-71107</v>
          </cell>
          <cell r="G4731" t="str">
            <v xml:space="preserve">INAC </v>
          </cell>
          <cell r="L4731">
            <v>41547</v>
          </cell>
          <cell r="M4731">
            <v>5.79</v>
          </cell>
          <cell r="P4731">
            <v>7.63385146804836</v>
          </cell>
        </row>
        <row r="4732">
          <cell r="A4732" t="str">
            <v>BPB-052-BUJ-AG353040</v>
          </cell>
          <cell r="G4732" t="str">
            <v xml:space="preserve">CR   </v>
          </cell>
          <cell r="L4732">
            <v>43126.703275462962</v>
          </cell>
          <cell r="M4732">
            <v>19.86</v>
          </cell>
          <cell r="P4732">
            <v>0.15271903323262839</v>
          </cell>
        </row>
        <row r="4733">
          <cell r="A4733" t="str">
            <v>BPB-052-BUJ-Ø27X24MM</v>
          </cell>
          <cell r="G4733" t="str">
            <v>INSI$</v>
          </cell>
          <cell r="L4733">
            <v>41148</v>
          </cell>
          <cell r="M4733">
            <v>4.63</v>
          </cell>
          <cell r="P4733">
            <v>0.75593952483801297</v>
          </cell>
        </row>
        <row r="4734">
          <cell r="A4734" t="str">
            <v>BPB-052-BUJ102525</v>
          </cell>
          <cell r="G4734" t="str">
            <v>VPRet</v>
          </cell>
          <cell r="L4734">
            <v>42635</v>
          </cell>
          <cell r="M4734">
            <v>15.46</v>
          </cell>
          <cell r="P4734">
            <v>0.20116429495472185</v>
          </cell>
        </row>
        <row r="4735">
          <cell r="A4735" t="str">
            <v>BPB-052-BUJ102533</v>
          </cell>
          <cell r="G4735" t="str">
            <v>VPRet</v>
          </cell>
          <cell r="L4735">
            <v>42643</v>
          </cell>
          <cell r="M4735">
            <v>15.65</v>
          </cell>
          <cell r="P4735">
            <v>0.26453674121405746</v>
          </cell>
        </row>
        <row r="4736">
          <cell r="A4736" t="str">
            <v>BPB-052-BUJ324206</v>
          </cell>
          <cell r="G4736" t="str">
            <v>VPRet</v>
          </cell>
          <cell r="L4736">
            <v>42704</v>
          </cell>
          <cell r="M4736">
            <v>15.85</v>
          </cell>
          <cell r="P4736">
            <v>0.16214511041009463</v>
          </cell>
        </row>
        <row r="4737">
          <cell r="A4737" t="str">
            <v>BPB-052-BUJ324220</v>
          </cell>
          <cell r="G4737" t="str">
            <v>VPRet</v>
          </cell>
          <cell r="L4737">
            <v>42704</v>
          </cell>
          <cell r="M4737">
            <v>15.85</v>
          </cell>
          <cell r="P4737">
            <v>0.32492113564668773</v>
          </cell>
        </row>
        <row r="4738">
          <cell r="A4738" t="str">
            <v>BPB-052-BUJ324223</v>
          </cell>
          <cell r="G4738" t="str">
            <v>VPRet</v>
          </cell>
          <cell r="L4738">
            <v>42704</v>
          </cell>
          <cell r="M4738">
            <v>15.85</v>
          </cell>
          <cell r="P4738">
            <v>0.32492113564668773</v>
          </cell>
        </row>
        <row r="4739">
          <cell r="A4739" t="str">
            <v>BPB-052-BUJ324224</v>
          </cell>
          <cell r="G4739" t="str">
            <v>VPRet</v>
          </cell>
          <cell r="L4739">
            <v>42704</v>
          </cell>
          <cell r="M4739">
            <v>15.85</v>
          </cell>
          <cell r="P4739">
            <v>0.48706624605678234</v>
          </cell>
        </row>
        <row r="4740">
          <cell r="A4740" t="str">
            <v>BPB-052-BUJ324224A</v>
          </cell>
          <cell r="G4740" t="str">
            <v>VPRet</v>
          </cell>
          <cell r="L4740">
            <v>42705</v>
          </cell>
          <cell r="M4740">
            <v>16.07</v>
          </cell>
          <cell r="P4740">
            <v>0.48039825762289978</v>
          </cell>
        </row>
        <row r="4741">
          <cell r="A4741" t="str">
            <v>BPB-052-BUJE3572B-02</v>
          </cell>
          <cell r="G4741" t="str">
            <v>IPFAP</v>
          </cell>
          <cell r="L4741">
            <v>42296</v>
          </cell>
          <cell r="M4741">
            <v>9.5399999999999991</v>
          </cell>
          <cell r="P4741">
            <v>1</v>
          </cell>
        </row>
        <row r="4742">
          <cell r="A4742" t="str">
            <v>BPB-052-SP205-04</v>
          </cell>
          <cell r="G4742" t="str">
            <v>vpret</v>
          </cell>
          <cell r="L4742">
            <v>43409</v>
          </cell>
          <cell r="M4742">
            <v>36.4</v>
          </cell>
          <cell r="P4742">
            <v>0.17976659340659343</v>
          </cell>
        </row>
        <row r="4743">
          <cell r="A4743" t="str">
            <v>BPB-052-SP205-05</v>
          </cell>
          <cell r="G4743" t="str">
            <v>vpret</v>
          </cell>
          <cell r="L4743">
            <v>43409</v>
          </cell>
          <cell r="M4743">
            <v>36.4</v>
          </cell>
          <cell r="P4743">
            <v>0.21305670329670331</v>
          </cell>
        </row>
        <row r="4744">
          <cell r="A4744" t="str">
            <v>BPB-053-020-DTR2047</v>
          </cell>
          <cell r="G4744" t="str">
            <v>IDESP</v>
          </cell>
          <cell r="L4744">
            <v>42962</v>
          </cell>
          <cell r="M4744">
            <v>17.53</v>
          </cell>
          <cell r="P4744">
            <v>2.3580000000000001</v>
          </cell>
        </row>
        <row r="4745">
          <cell r="A4745" t="str">
            <v>BPB-053-020-DTR2549</v>
          </cell>
          <cell r="G4745" t="str">
            <v>IPFAP</v>
          </cell>
          <cell r="L4745">
            <v>45538</v>
          </cell>
          <cell r="M4745">
            <v>973</v>
          </cell>
          <cell r="P4745">
            <v>1.9730999999999999</v>
          </cell>
        </row>
        <row r="4746">
          <cell r="A4746" t="str">
            <v>BPB-053-020-DTR2552</v>
          </cell>
          <cell r="G4746" t="str">
            <v>IDESP</v>
          </cell>
          <cell r="L4746">
            <v>40553</v>
          </cell>
          <cell r="M4746">
            <v>4</v>
          </cell>
          <cell r="P4746">
            <v>2.3795999999999999</v>
          </cell>
        </row>
        <row r="4747">
          <cell r="A4747" t="str">
            <v>BPB-053-15123</v>
          </cell>
          <cell r="G4747" t="str">
            <v>IDESP</v>
          </cell>
          <cell r="L4747">
            <v>39758</v>
          </cell>
          <cell r="M4747">
            <v>3.31</v>
          </cell>
          <cell r="P4747">
            <v>1.345</v>
          </cell>
        </row>
        <row r="4748">
          <cell r="A4748" t="str">
            <v>BPB-053-29685</v>
          </cell>
          <cell r="G4748" t="str">
            <v>IDESP</v>
          </cell>
          <cell r="L4748">
            <v>40464</v>
          </cell>
          <cell r="M4748">
            <v>3.98</v>
          </cell>
          <cell r="P4748">
            <v>2.5750000000000002</v>
          </cell>
        </row>
        <row r="4749">
          <cell r="A4749" t="str">
            <v>BPB-053-31594</v>
          </cell>
          <cell r="G4749" t="str">
            <v xml:space="preserve">CR   </v>
          </cell>
          <cell r="L4749">
            <v>40428.376423611109</v>
          </cell>
          <cell r="M4749">
            <v>3.97</v>
          </cell>
          <cell r="P4749">
            <v>2.4660000000000002</v>
          </cell>
        </row>
        <row r="4750">
          <cell r="A4750" t="str">
            <v>BPB-053-387A</v>
          </cell>
          <cell r="G4750" t="str">
            <v xml:space="preserve">CR   </v>
          </cell>
          <cell r="L4750">
            <v>40428.376423611109</v>
          </cell>
          <cell r="M4750">
            <v>3.97</v>
          </cell>
          <cell r="P4750">
            <v>3.4279999999999999</v>
          </cell>
        </row>
        <row r="4751">
          <cell r="A4751" t="str">
            <v>BPB-053-580</v>
          </cell>
          <cell r="G4751" t="str">
            <v>IDESP</v>
          </cell>
          <cell r="L4751">
            <v>39758</v>
          </cell>
          <cell r="M4751">
            <v>3.31</v>
          </cell>
          <cell r="P4751">
            <v>6.0839999999999996</v>
          </cell>
        </row>
        <row r="4752">
          <cell r="A4752" t="str">
            <v>BPB-053-68149</v>
          </cell>
          <cell r="G4752" t="str">
            <v>IDESP</v>
          </cell>
          <cell r="L4752">
            <v>44196</v>
          </cell>
          <cell r="M4752">
            <v>89.25</v>
          </cell>
          <cell r="P4752">
            <v>1.1279999999999999</v>
          </cell>
        </row>
        <row r="4753">
          <cell r="A4753" t="str">
            <v>BPB-053-740</v>
          </cell>
          <cell r="G4753" t="str">
            <v>IDESP</v>
          </cell>
          <cell r="L4753">
            <v>40438</v>
          </cell>
          <cell r="M4753">
            <v>3.97</v>
          </cell>
          <cell r="P4753">
            <v>7.59</v>
          </cell>
        </row>
        <row r="4754">
          <cell r="A4754" t="str">
            <v>BPB-053-759</v>
          </cell>
          <cell r="G4754" t="str">
            <v>IDESP</v>
          </cell>
          <cell r="L4754">
            <v>40438</v>
          </cell>
          <cell r="M4754">
            <v>3.97</v>
          </cell>
          <cell r="P4754">
            <v>9.0299999999999994</v>
          </cell>
        </row>
        <row r="4755">
          <cell r="A4755" t="str">
            <v>BPB-053-BOL-1"</v>
          </cell>
          <cell r="G4755" t="str">
            <v xml:space="preserve">INAC </v>
          </cell>
          <cell r="L4755">
            <v>38027</v>
          </cell>
          <cell r="M4755">
            <v>2.9350000000000001</v>
          </cell>
          <cell r="P4755">
            <v>1.4718909710391823</v>
          </cell>
        </row>
        <row r="4756">
          <cell r="A4756" t="str">
            <v>BPB-053-DTR-1742-53</v>
          </cell>
          <cell r="G4756" t="str">
            <v>INCOU</v>
          </cell>
          <cell r="L4756">
            <v>42150</v>
          </cell>
          <cell r="M4756">
            <v>9</v>
          </cell>
          <cell r="P4756">
            <v>3.5</v>
          </cell>
        </row>
        <row r="4757">
          <cell r="A4757" t="str">
            <v>BPB-053-DTR3572-CON</v>
          </cell>
          <cell r="G4757" t="str">
            <v>IDESP</v>
          </cell>
          <cell r="L4757">
            <v>40490</v>
          </cell>
          <cell r="M4757">
            <v>3.98</v>
          </cell>
          <cell r="P4757">
            <v>3.01</v>
          </cell>
        </row>
        <row r="4758">
          <cell r="A4758" t="str">
            <v>BPB-053-DTR4080-CON</v>
          </cell>
          <cell r="G4758" t="str">
            <v>IDESP</v>
          </cell>
          <cell r="L4758">
            <v>39758</v>
          </cell>
          <cell r="M4758">
            <v>3.31</v>
          </cell>
          <cell r="P4758">
            <v>6.8250000000000002</v>
          </cell>
        </row>
        <row r="4759">
          <cell r="A4759" t="str">
            <v>BPB-053-HM-212049</v>
          </cell>
          <cell r="G4759" t="str">
            <v>IDESP</v>
          </cell>
          <cell r="L4759">
            <v>39758</v>
          </cell>
          <cell r="M4759">
            <v>3.31</v>
          </cell>
          <cell r="P4759">
            <v>4.4829999999999997</v>
          </cell>
        </row>
        <row r="4760">
          <cell r="A4760" t="str">
            <v>BPB-053-HM-88649</v>
          </cell>
          <cell r="G4760" t="str">
            <v>IDESP</v>
          </cell>
          <cell r="L4760">
            <v>40093</v>
          </cell>
          <cell r="M4760">
            <v>3.85</v>
          </cell>
          <cell r="P4760">
            <v>1.746</v>
          </cell>
        </row>
        <row r="4761">
          <cell r="A4761" t="str">
            <v>BPB-053-JL819349</v>
          </cell>
          <cell r="G4761" t="str">
            <v>IDESP</v>
          </cell>
          <cell r="L4761">
            <v>40339</v>
          </cell>
          <cell r="M4761">
            <v>3.94</v>
          </cell>
          <cell r="P4761">
            <v>3.7</v>
          </cell>
        </row>
        <row r="4762">
          <cell r="A4762" t="str">
            <v>BPB-053-JM-205149</v>
          </cell>
          <cell r="G4762" t="str">
            <v>IDESP</v>
          </cell>
          <cell r="L4762">
            <v>40213</v>
          </cell>
          <cell r="M4762">
            <v>3.86</v>
          </cell>
          <cell r="P4762">
            <v>3.5209999999999999</v>
          </cell>
        </row>
        <row r="4763">
          <cell r="A4763" t="str">
            <v>BPB-053-JRME2549-16</v>
          </cell>
          <cell r="G4763" t="str">
            <v>IDESP</v>
          </cell>
          <cell r="L4763">
            <v>39489</v>
          </cell>
          <cell r="M4763">
            <v>3.169</v>
          </cell>
          <cell r="P4763">
            <v>1.9330000000000001</v>
          </cell>
        </row>
        <row r="4764">
          <cell r="A4764" t="str">
            <v>BPB-053-L-44643</v>
          </cell>
          <cell r="G4764" t="str">
            <v>IPFAB</v>
          </cell>
          <cell r="L4764">
            <v>41352</v>
          </cell>
          <cell r="M4764">
            <v>5.09</v>
          </cell>
          <cell r="P4764">
            <v>0.82</v>
          </cell>
        </row>
        <row r="4765">
          <cell r="A4765" t="str">
            <v>BPB-053-L-45449</v>
          </cell>
          <cell r="G4765" t="str">
            <v>IDESP</v>
          </cell>
          <cell r="L4765">
            <v>39758</v>
          </cell>
          <cell r="M4765">
            <v>3.31</v>
          </cell>
          <cell r="P4765">
            <v>1.1739999999999999</v>
          </cell>
        </row>
        <row r="4766">
          <cell r="A4766" t="str">
            <v>BPB-053-LM-102949</v>
          </cell>
          <cell r="G4766" t="str">
            <v>IDESP</v>
          </cell>
          <cell r="L4766">
            <v>40554</v>
          </cell>
          <cell r="M4766">
            <v>4</v>
          </cell>
          <cell r="P4766">
            <v>1.39</v>
          </cell>
        </row>
        <row r="4767">
          <cell r="A4767" t="str">
            <v>BPB-053-LM-104949</v>
          </cell>
          <cell r="G4767" t="str">
            <v>IDESP</v>
          </cell>
          <cell r="L4767">
            <v>44196</v>
          </cell>
          <cell r="M4767">
            <v>89.25</v>
          </cell>
          <cell r="P4767">
            <v>1.9079999999999999</v>
          </cell>
        </row>
        <row r="4768">
          <cell r="A4768" t="str">
            <v>BPB-053-LM-11749</v>
          </cell>
          <cell r="G4768" t="str">
            <v>IDESP</v>
          </cell>
          <cell r="L4768">
            <v>39758</v>
          </cell>
          <cell r="M4768">
            <v>3.31</v>
          </cell>
          <cell r="P4768">
            <v>0.61899999999999999</v>
          </cell>
        </row>
        <row r="4769">
          <cell r="A4769" t="str">
            <v>BPB-053-LM-12749</v>
          </cell>
          <cell r="G4769" t="str">
            <v>IDESP</v>
          </cell>
          <cell r="L4769">
            <v>39758</v>
          </cell>
          <cell r="M4769">
            <v>3.31</v>
          </cell>
          <cell r="P4769">
            <v>1.1739999999999999</v>
          </cell>
        </row>
        <row r="4770">
          <cell r="A4770" t="str">
            <v>BPB-053-LM-29749</v>
          </cell>
          <cell r="G4770" t="str">
            <v>IDESP</v>
          </cell>
          <cell r="L4770">
            <v>39758</v>
          </cell>
          <cell r="M4770">
            <v>3.31</v>
          </cell>
          <cell r="P4770">
            <v>1.59</v>
          </cell>
        </row>
        <row r="4771">
          <cell r="A4771" t="str">
            <v>BPB-053-LM-44649</v>
          </cell>
          <cell r="G4771" t="str">
            <v>INPE$</v>
          </cell>
          <cell r="L4771">
            <v>40785</v>
          </cell>
          <cell r="M4771">
            <v>4.22</v>
          </cell>
          <cell r="P4771">
            <v>2.3104265402843605</v>
          </cell>
        </row>
        <row r="4772">
          <cell r="A4772" t="str">
            <v>BPB-053-LM-48548</v>
          </cell>
          <cell r="G4772" t="str">
            <v>INDEV</v>
          </cell>
          <cell r="L4772">
            <v>40191</v>
          </cell>
          <cell r="M4772">
            <v>3.82</v>
          </cell>
          <cell r="P4772">
            <v>1.4200000000000002</v>
          </cell>
        </row>
        <row r="4773">
          <cell r="A4773" t="str">
            <v>BPB-053-LM-67048</v>
          </cell>
          <cell r="G4773" t="str">
            <v xml:space="preserve">INAC </v>
          </cell>
          <cell r="L4773">
            <v>40876</v>
          </cell>
          <cell r="M4773">
            <v>4.28</v>
          </cell>
          <cell r="P4773">
            <v>1.483644859813084</v>
          </cell>
        </row>
        <row r="4774">
          <cell r="A4774" t="str">
            <v>BPB-053-TCX203</v>
          </cell>
          <cell r="G4774" t="str">
            <v xml:space="preserve">INSI </v>
          </cell>
          <cell r="L4774">
            <v>42115</v>
          </cell>
          <cell r="M4774">
            <v>8.9</v>
          </cell>
          <cell r="P4774">
            <v>0.6</v>
          </cell>
        </row>
        <row r="4775">
          <cell r="A4775" t="str">
            <v>BPB-053-TCX204</v>
          </cell>
          <cell r="G4775" t="str">
            <v>IDESP</v>
          </cell>
          <cell r="L4775">
            <v>40694</v>
          </cell>
          <cell r="M4775">
            <v>4.12</v>
          </cell>
          <cell r="P4775">
            <v>0.62</v>
          </cell>
        </row>
        <row r="4776">
          <cell r="A4776" t="str">
            <v>BPB-053-TCX205</v>
          </cell>
          <cell r="G4776" t="str">
            <v>INDEV</v>
          </cell>
          <cell r="L4776">
            <v>41008</v>
          </cell>
          <cell r="M4776">
            <v>4.4000000000000004</v>
          </cell>
          <cell r="P4776">
            <v>0.7</v>
          </cell>
        </row>
        <row r="4777">
          <cell r="A4777" t="str">
            <v>BPB-053-TCX206</v>
          </cell>
          <cell r="G4777" t="str">
            <v>InRet</v>
          </cell>
          <cell r="L4777">
            <v>40794</v>
          </cell>
          <cell r="M4777">
            <v>4.24</v>
          </cell>
          <cell r="P4777">
            <v>0.8766509433962264</v>
          </cell>
        </row>
        <row r="4778">
          <cell r="A4778" t="str">
            <v>BPB-053-TCX208</v>
          </cell>
          <cell r="G4778" t="str">
            <v xml:space="preserve">INSI </v>
          </cell>
          <cell r="L4778">
            <v>41361</v>
          </cell>
          <cell r="M4778">
            <v>5.13</v>
          </cell>
          <cell r="P4778">
            <v>2.6472000000000002</v>
          </cell>
        </row>
        <row r="4779">
          <cell r="A4779" t="str">
            <v>BPB-053-TCX209</v>
          </cell>
          <cell r="G4779" t="str">
            <v>IDESP</v>
          </cell>
          <cell r="L4779">
            <v>42600</v>
          </cell>
          <cell r="M4779">
            <v>15.09</v>
          </cell>
          <cell r="P4779">
            <v>0.92</v>
          </cell>
        </row>
        <row r="4780">
          <cell r="A4780" t="str">
            <v>BPB-053-TCX211</v>
          </cell>
          <cell r="G4780" t="str">
            <v>INDEV</v>
          </cell>
          <cell r="L4780">
            <v>41194</v>
          </cell>
          <cell r="M4780">
            <v>4.7300000000000004</v>
          </cell>
          <cell r="P4780">
            <v>8.825581395348836</v>
          </cell>
        </row>
        <row r="4781">
          <cell r="A4781" t="str">
            <v>BPB-053-TCX212</v>
          </cell>
          <cell r="G4781" t="str">
            <v>IDESP</v>
          </cell>
          <cell r="L4781">
            <v>40694</v>
          </cell>
          <cell r="M4781">
            <v>4.12</v>
          </cell>
          <cell r="P4781">
            <v>2.5099999999999998</v>
          </cell>
        </row>
        <row r="4782">
          <cell r="A4782" t="str">
            <v>BPB-053-TCX214-Q</v>
          </cell>
          <cell r="G4782" t="str">
            <v>IPFAB</v>
          </cell>
          <cell r="L4782">
            <v>39828</v>
          </cell>
          <cell r="M4782">
            <v>3.4510000000000001</v>
          </cell>
          <cell r="P4782">
            <v>0.289771</v>
          </cell>
        </row>
        <row r="4783">
          <cell r="A4783" t="str">
            <v>BPB-053-TCX216</v>
          </cell>
          <cell r="G4783" t="str">
            <v>IDESP</v>
          </cell>
          <cell r="L4783">
            <v>40554</v>
          </cell>
          <cell r="M4783">
            <v>4</v>
          </cell>
          <cell r="P4783">
            <v>4.1900000000000004</v>
          </cell>
        </row>
        <row r="4784">
          <cell r="A4784" t="str">
            <v>BPB-053-TCX305</v>
          </cell>
          <cell r="G4784" t="str">
            <v>IDESP</v>
          </cell>
          <cell r="L4784">
            <v>40116</v>
          </cell>
          <cell r="M4784">
            <v>3.83</v>
          </cell>
          <cell r="P4784">
            <v>1.4621999999999999</v>
          </cell>
        </row>
        <row r="4785">
          <cell r="A4785" t="str">
            <v>BPB-053-TCX308</v>
          </cell>
          <cell r="G4785" t="str">
            <v>INDEV</v>
          </cell>
          <cell r="L4785">
            <v>41043</v>
          </cell>
          <cell r="M4785">
            <v>4.46</v>
          </cell>
          <cell r="P4785">
            <v>6.376681614349776</v>
          </cell>
        </row>
        <row r="4786">
          <cell r="A4786" t="str">
            <v>BPB-053-TDX006</v>
          </cell>
          <cell r="G4786" t="str">
            <v>IDESP</v>
          </cell>
          <cell r="L4786">
            <v>40275</v>
          </cell>
          <cell r="M4786">
            <v>3.89</v>
          </cell>
          <cell r="P4786">
            <v>1.8</v>
          </cell>
        </row>
        <row r="4787">
          <cell r="A4787" t="str">
            <v>BPB-053-TDX008</v>
          </cell>
          <cell r="G4787" t="str">
            <v>INDEV</v>
          </cell>
          <cell r="L4787">
            <v>41613</v>
          </cell>
          <cell r="M4787">
            <v>6.2</v>
          </cell>
          <cell r="P4787">
            <v>1.8919354838709677</v>
          </cell>
        </row>
        <row r="4788">
          <cell r="A4788" t="str">
            <v>BPB-053-TDX009</v>
          </cell>
          <cell r="G4788" t="str">
            <v>IDESP</v>
          </cell>
          <cell r="L4788">
            <v>40275</v>
          </cell>
          <cell r="M4788">
            <v>3.89</v>
          </cell>
          <cell r="P4788">
            <v>2.56</v>
          </cell>
        </row>
        <row r="4789">
          <cell r="A4789" t="str">
            <v>BPB-053-TDX013</v>
          </cell>
          <cell r="G4789" t="str">
            <v>INPE$</v>
          </cell>
          <cell r="L4789">
            <v>40842</v>
          </cell>
          <cell r="M4789">
            <v>4.26</v>
          </cell>
          <cell r="P4789">
            <v>7.7699530516431929</v>
          </cell>
        </row>
        <row r="4790">
          <cell r="A4790" t="str">
            <v>BPB-053-TDX207</v>
          </cell>
          <cell r="G4790" t="str">
            <v>IPFAP</v>
          </cell>
          <cell r="L4790">
            <v>41516</v>
          </cell>
          <cell r="M4790">
            <v>5.66</v>
          </cell>
          <cell r="P4790">
            <v>0.77999999999999992</v>
          </cell>
        </row>
        <row r="4791">
          <cell r="A4791" t="str">
            <v>BPB-053-TDX208</v>
          </cell>
          <cell r="G4791" t="str">
            <v>IDESP</v>
          </cell>
          <cell r="L4791">
            <v>40694</v>
          </cell>
          <cell r="M4791">
            <v>4.12</v>
          </cell>
          <cell r="P4791">
            <v>1.67</v>
          </cell>
        </row>
        <row r="4792">
          <cell r="A4792" t="str">
            <v>BPB-053-TDX212</v>
          </cell>
          <cell r="G4792" t="str">
            <v>INPE$</v>
          </cell>
          <cell r="L4792">
            <v>40828</v>
          </cell>
          <cell r="M4792">
            <v>4.24</v>
          </cell>
          <cell r="P4792">
            <v>6.5495283018867916</v>
          </cell>
        </row>
        <row r="4793">
          <cell r="A4793" t="str">
            <v>BPB-053-TDX213</v>
          </cell>
          <cell r="G4793" t="str">
            <v>IDESP</v>
          </cell>
          <cell r="L4793">
            <v>42957</v>
          </cell>
          <cell r="M4793">
            <v>18.04</v>
          </cell>
          <cell r="P4793">
            <v>2.2227000000000001</v>
          </cell>
        </row>
        <row r="4794">
          <cell r="A4794" t="str">
            <v>BPB-053-TDX213-Q</v>
          </cell>
          <cell r="G4794" t="str">
            <v>IPFAB</v>
          </cell>
          <cell r="L4794">
            <v>39828</v>
          </cell>
          <cell r="M4794">
            <v>3.4510000000000001</v>
          </cell>
          <cell r="P4794">
            <v>0.289771</v>
          </cell>
        </row>
        <row r="4795">
          <cell r="A4795" t="str">
            <v>BPB-053-TDX215</v>
          </cell>
          <cell r="G4795" t="str">
            <v>INDEV</v>
          </cell>
          <cell r="L4795">
            <v>40679</v>
          </cell>
          <cell r="M4795">
            <v>4.12</v>
          </cell>
          <cell r="P4795">
            <v>4.28</v>
          </cell>
        </row>
        <row r="4796">
          <cell r="A4796" t="str">
            <v>BPB-053-TDX216</v>
          </cell>
          <cell r="G4796" t="str">
            <v>IDESP</v>
          </cell>
          <cell r="L4796">
            <v>42600</v>
          </cell>
          <cell r="M4796">
            <v>15.09</v>
          </cell>
          <cell r="P4796">
            <v>3.4041000000000001</v>
          </cell>
        </row>
        <row r="4797">
          <cell r="A4797" t="str">
            <v>BPB-053-TDX217</v>
          </cell>
          <cell r="G4797" t="str">
            <v>INDEV</v>
          </cell>
          <cell r="L4797">
            <v>41456</v>
          </cell>
          <cell r="M4797">
            <v>5.39</v>
          </cell>
          <cell r="P4797">
            <v>6.2</v>
          </cell>
        </row>
        <row r="4798">
          <cell r="A4798" t="str">
            <v>BPB-053-TDX218</v>
          </cell>
          <cell r="G4798" t="str">
            <v>IPFAP</v>
          </cell>
          <cell r="L4798">
            <v>41502</v>
          </cell>
          <cell r="M4798">
            <v>5.58</v>
          </cell>
          <cell r="P4798">
            <v>8.0035842293906807</v>
          </cell>
        </row>
        <row r="4799">
          <cell r="A4799" t="str">
            <v>BPB-053-TDX310</v>
          </cell>
          <cell r="G4799" t="str">
            <v>IDESP</v>
          </cell>
          <cell r="L4799">
            <v>40554</v>
          </cell>
          <cell r="M4799">
            <v>4</v>
          </cell>
          <cell r="P4799">
            <v>4.2</v>
          </cell>
        </row>
        <row r="4800">
          <cell r="A4800" t="str">
            <v>BPB-053-TTX010</v>
          </cell>
          <cell r="G4800" t="str">
            <v xml:space="preserve">INAC </v>
          </cell>
          <cell r="L4800">
            <v>40995</v>
          </cell>
          <cell r="M4800">
            <v>4.3899999999999997</v>
          </cell>
          <cell r="P4800">
            <v>4.4214123006833717</v>
          </cell>
        </row>
        <row r="4801">
          <cell r="A4801" t="str">
            <v>BPB-053-X-30204-MX</v>
          </cell>
          <cell r="G4801" t="str">
            <v xml:space="preserve">INSI </v>
          </cell>
          <cell r="L4801">
            <v>41836</v>
          </cell>
          <cell r="M4801">
            <v>8.16</v>
          </cell>
          <cell r="P4801">
            <v>0.7288</v>
          </cell>
        </row>
        <row r="4802">
          <cell r="A4802" t="str">
            <v>BPB-053-X-30205-25.4</v>
          </cell>
          <cell r="G4802" t="str">
            <v xml:space="preserve">INAC </v>
          </cell>
          <cell r="L4802">
            <v>41296</v>
          </cell>
          <cell r="M4802">
            <v>4.96</v>
          </cell>
          <cell r="P4802">
            <v>1.6209677419354838</v>
          </cell>
        </row>
        <row r="4803">
          <cell r="A4803" t="str">
            <v>BPB-053-X-30205-MX</v>
          </cell>
          <cell r="G4803" t="str">
            <v>IDESP</v>
          </cell>
          <cell r="L4803">
            <v>40457</v>
          </cell>
          <cell r="M4803">
            <v>3.98</v>
          </cell>
          <cell r="P4803">
            <v>0.85509999999999997</v>
          </cell>
        </row>
        <row r="4804">
          <cell r="A4804" t="str">
            <v>BPB-053-X-30206-MX</v>
          </cell>
          <cell r="G4804" t="str">
            <v xml:space="preserve">INAC </v>
          </cell>
          <cell r="L4804">
            <v>41556</v>
          </cell>
          <cell r="M4804">
            <v>5.82</v>
          </cell>
          <cell r="P4804">
            <v>1.9398625429553262</v>
          </cell>
        </row>
        <row r="4805">
          <cell r="A4805" t="str">
            <v>BPB-053-X-30207-MX</v>
          </cell>
          <cell r="G4805" t="str">
            <v>INDEV</v>
          </cell>
          <cell r="L4805">
            <v>40870</v>
          </cell>
          <cell r="M4805">
            <v>4.28</v>
          </cell>
          <cell r="P4805">
            <v>1.3229906542056074</v>
          </cell>
        </row>
        <row r="4806">
          <cell r="A4806" t="str">
            <v>BPB-053-X-30208-MX</v>
          </cell>
          <cell r="G4806" t="str">
            <v>IDESP</v>
          </cell>
          <cell r="L4806">
            <v>43866</v>
          </cell>
          <cell r="M4806">
            <v>63</v>
          </cell>
          <cell r="P4806">
            <v>1.06</v>
          </cell>
        </row>
        <row r="4807">
          <cell r="A4807" t="str">
            <v>BPB-053-X-30209-MX</v>
          </cell>
          <cell r="G4807" t="str">
            <v>IDESP</v>
          </cell>
          <cell r="L4807">
            <v>43866</v>
          </cell>
          <cell r="M4807">
            <v>63</v>
          </cell>
          <cell r="P4807">
            <v>1.32</v>
          </cell>
        </row>
        <row r="4808">
          <cell r="A4808" t="str">
            <v>BPB-053-X-30210-MX</v>
          </cell>
          <cell r="G4808" t="str">
            <v>IDESP</v>
          </cell>
          <cell r="L4808">
            <v>43866</v>
          </cell>
          <cell r="M4808">
            <v>63</v>
          </cell>
          <cell r="P4808">
            <v>1.46</v>
          </cell>
        </row>
        <row r="4809">
          <cell r="A4809" t="str">
            <v>BPB-053-X-30211-MX</v>
          </cell>
          <cell r="G4809" t="str">
            <v xml:space="preserve">CR   </v>
          </cell>
          <cell r="L4809">
            <v>40428.376423611109</v>
          </cell>
          <cell r="M4809">
            <v>3.97</v>
          </cell>
          <cell r="P4809">
            <v>1.871</v>
          </cell>
        </row>
        <row r="4810">
          <cell r="A4810" t="str">
            <v>BPB-053-X-30212-MX</v>
          </cell>
          <cell r="G4810" t="str">
            <v xml:space="preserve">INAC </v>
          </cell>
          <cell r="L4810">
            <v>41719</v>
          </cell>
          <cell r="M4810">
            <v>7.94</v>
          </cell>
          <cell r="P4810">
            <v>4.872795969773299</v>
          </cell>
        </row>
        <row r="4811">
          <cell r="A4811" t="str">
            <v>BPB-053-X-30214-MX</v>
          </cell>
          <cell r="G4811" t="str">
            <v>IPFAB</v>
          </cell>
          <cell r="L4811">
            <v>41547</v>
          </cell>
          <cell r="M4811">
            <v>5.79</v>
          </cell>
          <cell r="P4811">
            <v>5.2690000000000001</v>
          </cell>
        </row>
        <row r="4812">
          <cell r="A4812" t="str">
            <v>BPB-053-X-30305-MX</v>
          </cell>
          <cell r="G4812" t="str">
            <v xml:space="preserve">INAC </v>
          </cell>
          <cell r="L4812">
            <v>41885</v>
          </cell>
          <cell r="M4812">
            <v>8.41</v>
          </cell>
          <cell r="P4812">
            <v>1.516052318668252</v>
          </cell>
        </row>
        <row r="4813">
          <cell r="A4813" t="str">
            <v>BPB-053-X-30308-MX</v>
          </cell>
          <cell r="G4813" t="str">
            <v xml:space="preserve">INAC </v>
          </cell>
          <cell r="L4813">
            <v>41885</v>
          </cell>
          <cell r="M4813">
            <v>8.41</v>
          </cell>
          <cell r="P4813">
            <v>3.20332936979786</v>
          </cell>
        </row>
        <row r="4814">
          <cell r="A4814" t="str">
            <v>BPB-053-X-30310-MX</v>
          </cell>
          <cell r="G4814" t="str">
            <v>IDESP</v>
          </cell>
          <cell r="L4814">
            <v>40399</v>
          </cell>
          <cell r="M4814">
            <v>3.96</v>
          </cell>
          <cell r="P4814">
            <v>4.165</v>
          </cell>
        </row>
        <row r="4815">
          <cell r="A4815" t="str">
            <v>BPB-053-X-320-32X</v>
          </cell>
          <cell r="G4815" t="str">
            <v xml:space="preserve">INAC </v>
          </cell>
          <cell r="L4815">
            <v>40876</v>
          </cell>
          <cell r="M4815">
            <v>4.28</v>
          </cell>
          <cell r="P4815">
            <v>1.7032710280373831</v>
          </cell>
        </row>
        <row r="4816">
          <cell r="A4816" t="str">
            <v>BPB-053-X-32005-MX</v>
          </cell>
          <cell r="G4816" t="str">
            <v xml:space="preserve">CR   </v>
          </cell>
          <cell r="L4816">
            <v>40428.376423611109</v>
          </cell>
          <cell r="M4816">
            <v>3.97</v>
          </cell>
          <cell r="P4816">
            <v>1.0680000000000001</v>
          </cell>
        </row>
        <row r="4817">
          <cell r="A4817" t="str">
            <v>BPB-053-X-32007</v>
          </cell>
          <cell r="G4817" t="str">
            <v xml:space="preserve">CR   </v>
          </cell>
          <cell r="L4817">
            <v>40428.376423611109</v>
          </cell>
          <cell r="M4817">
            <v>3.97</v>
          </cell>
          <cell r="P4817">
            <v>2.1560000000000001</v>
          </cell>
        </row>
        <row r="4818">
          <cell r="A4818" t="str">
            <v>BPB-053-X-32011-MX</v>
          </cell>
          <cell r="G4818" t="str">
            <v xml:space="preserve">CR   </v>
          </cell>
          <cell r="L4818">
            <v>40428.376423611109</v>
          </cell>
          <cell r="M4818">
            <v>3.97</v>
          </cell>
          <cell r="P4818">
            <v>2.5169999999999999</v>
          </cell>
        </row>
        <row r="4819">
          <cell r="A4819" t="str">
            <v>BPB-053-X-32210-MX</v>
          </cell>
          <cell r="G4819" t="str">
            <v>IDESP</v>
          </cell>
          <cell r="L4819">
            <v>40623</v>
          </cell>
          <cell r="M4819">
            <v>4.0599999999999996</v>
          </cell>
          <cell r="P4819">
            <v>2.302</v>
          </cell>
        </row>
        <row r="4820">
          <cell r="A4820" t="str">
            <v>BPB-053-X-32211-MX</v>
          </cell>
          <cell r="G4820" t="str">
            <v>IPFAP</v>
          </cell>
          <cell r="L4820">
            <v>42033</v>
          </cell>
          <cell r="M4820">
            <v>8.66</v>
          </cell>
          <cell r="P4820">
            <v>4.2032332563510391</v>
          </cell>
        </row>
        <row r="4821">
          <cell r="A4821" t="str">
            <v>BPB-053-X-32212-MX</v>
          </cell>
          <cell r="G4821" t="str">
            <v>IPFAP</v>
          </cell>
          <cell r="L4821">
            <v>41922</v>
          </cell>
          <cell r="M4821">
            <v>8.4700000000000006</v>
          </cell>
          <cell r="P4821">
            <v>2.2940259740259736</v>
          </cell>
        </row>
        <row r="4822">
          <cell r="A4822" t="str">
            <v>BPB-053-X-32213-MX</v>
          </cell>
          <cell r="G4822" t="str">
            <v>INDEV</v>
          </cell>
          <cell r="L4822">
            <v>41724</v>
          </cell>
          <cell r="M4822">
            <v>8.02</v>
          </cell>
          <cell r="P4822">
            <v>3.6790024937655863</v>
          </cell>
        </row>
        <row r="4823">
          <cell r="A4823" t="str">
            <v>BPB-053-X-32214-MX</v>
          </cell>
          <cell r="G4823" t="str">
            <v>IDESP</v>
          </cell>
          <cell r="L4823">
            <v>40464</v>
          </cell>
          <cell r="M4823">
            <v>3.98</v>
          </cell>
          <cell r="P4823">
            <v>3.3109999999999999</v>
          </cell>
        </row>
        <row r="4824">
          <cell r="A4824" t="str">
            <v>BPB-053-X-32216-MX</v>
          </cell>
          <cell r="G4824" t="str">
            <v>IPFAB</v>
          </cell>
          <cell r="L4824">
            <v>41605</v>
          </cell>
          <cell r="M4824">
            <v>6.1</v>
          </cell>
          <cell r="P4824">
            <v>5.0331000000000001</v>
          </cell>
        </row>
        <row r="4825">
          <cell r="A4825" t="str">
            <v>BPB-053-X-32218-MX</v>
          </cell>
          <cell r="G4825" t="str">
            <v xml:space="preserve">CR   </v>
          </cell>
          <cell r="L4825">
            <v>40428.376423611109</v>
          </cell>
          <cell r="M4825">
            <v>3.97</v>
          </cell>
          <cell r="P4825">
            <v>5.9139999999999997</v>
          </cell>
        </row>
        <row r="4826">
          <cell r="A4826" t="str">
            <v>BPB-053-X-32219-MX</v>
          </cell>
          <cell r="G4826" t="str">
            <v xml:space="preserve">CR   </v>
          </cell>
          <cell r="L4826">
            <v>40428.376423611109</v>
          </cell>
          <cell r="M4826">
            <v>3.97</v>
          </cell>
          <cell r="P4826">
            <v>7.7</v>
          </cell>
        </row>
        <row r="4827">
          <cell r="A4827" t="str">
            <v>BPB-053-X-33112</v>
          </cell>
          <cell r="G4827" t="str">
            <v xml:space="preserve">CR   </v>
          </cell>
          <cell r="L4827">
            <v>40428.376423611109</v>
          </cell>
          <cell r="M4827">
            <v>3.97</v>
          </cell>
          <cell r="P4827">
            <v>6.8090000000000002</v>
          </cell>
        </row>
        <row r="4828">
          <cell r="A4828" t="str">
            <v>BPB-054-010-DTR2047</v>
          </cell>
          <cell r="G4828" t="str">
            <v>IDESP</v>
          </cell>
          <cell r="L4828">
            <v>42962</v>
          </cell>
          <cell r="M4828">
            <v>17.53</v>
          </cell>
          <cell r="P4828">
            <v>2.0129999999999999</v>
          </cell>
        </row>
        <row r="4829">
          <cell r="A4829" t="str">
            <v>BPB-054-010-DTR2549</v>
          </cell>
          <cell r="G4829" t="str">
            <v>IPFAP</v>
          </cell>
          <cell r="L4829">
            <v>45538</v>
          </cell>
          <cell r="M4829">
            <v>973</v>
          </cell>
          <cell r="P4829">
            <v>1.704</v>
          </cell>
        </row>
        <row r="4830">
          <cell r="A4830" t="str">
            <v>BPB-054-010-DTR2552</v>
          </cell>
          <cell r="G4830" t="str">
            <v>IDESP</v>
          </cell>
          <cell r="L4830">
            <v>40633</v>
          </cell>
          <cell r="M4830">
            <v>4.07</v>
          </cell>
          <cell r="P4830">
            <v>2.0579999999999998</v>
          </cell>
        </row>
        <row r="4831">
          <cell r="A4831" t="str">
            <v>BPB-054-15245</v>
          </cell>
          <cell r="G4831" t="str">
            <v>IDESP</v>
          </cell>
          <cell r="L4831">
            <v>39769</v>
          </cell>
          <cell r="M4831">
            <v>3.3140000000000001</v>
          </cell>
          <cell r="P4831">
            <v>0.63</v>
          </cell>
        </row>
        <row r="4832">
          <cell r="A4832" t="str">
            <v>BPB-054-25521</v>
          </cell>
          <cell r="G4832" t="str">
            <v>IDESP</v>
          </cell>
          <cell r="L4832">
            <v>40008</v>
          </cell>
          <cell r="M4832">
            <v>3.82</v>
          </cell>
          <cell r="P4832">
            <v>0.95279999999999998</v>
          </cell>
        </row>
        <row r="4833">
          <cell r="A4833" t="str">
            <v>BPB-054-29620</v>
          </cell>
          <cell r="G4833" t="str">
            <v>IDESP</v>
          </cell>
          <cell r="L4833">
            <v>39798</v>
          </cell>
          <cell r="M4833">
            <v>3.42</v>
          </cell>
          <cell r="P4833">
            <v>1.5</v>
          </cell>
        </row>
        <row r="4834">
          <cell r="A4834" t="str">
            <v>BPB-054-31520</v>
          </cell>
          <cell r="G4834" t="str">
            <v xml:space="preserve">CR   </v>
          </cell>
          <cell r="L4834">
            <v>40428.376423611109</v>
          </cell>
          <cell r="M4834">
            <v>3.97</v>
          </cell>
          <cell r="P4834">
            <v>1.1499999999999999</v>
          </cell>
        </row>
        <row r="4835">
          <cell r="A4835" t="str">
            <v>BPB-054-382A</v>
          </cell>
          <cell r="G4835" t="str">
            <v xml:space="preserve">CR   </v>
          </cell>
          <cell r="L4835">
            <v>40428.376423611109</v>
          </cell>
          <cell r="M4835">
            <v>3.97</v>
          </cell>
          <cell r="P4835">
            <v>1.62</v>
          </cell>
        </row>
        <row r="4836">
          <cell r="A4836" t="str">
            <v>BPB-054-572</v>
          </cell>
          <cell r="G4836" t="str">
            <v>IDESP</v>
          </cell>
          <cell r="L4836">
            <v>40008</v>
          </cell>
          <cell r="M4836">
            <v>3.82</v>
          </cell>
          <cell r="P4836">
            <v>2.8820000000000001</v>
          </cell>
        </row>
        <row r="4837">
          <cell r="A4837" t="str">
            <v>BPB-054-68110</v>
          </cell>
          <cell r="G4837" t="str">
            <v>IDESP</v>
          </cell>
          <cell r="L4837">
            <v>44196</v>
          </cell>
          <cell r="M4837">
            <v>89.25</v>
          </cell>
          <cell r="P4837">
            <v>0.48</v>
          </cell>
        </row>
        <row r="4838">
          <cell r="A4838" t="str">
            <v>BPB-054-742</v>
          </cell>
          <cell r="G4838" t="str">
            <v>IDESP</v>
          </cell>
          <cell r="L4838">
            <v>40442</v>
          </cell>
          <cell r="M4838">
            <v>3.97</v>
          </cell>
          <cell r="P4838">
            <v>4.08</v>
          </cell>
        </row>
        <row r="4839">
          <cell r="A4839" t="str">
            <v>BPB-054-752</v>
          </cell>
          <cell r="G4839" t="str">
            <v>IDESP</v>
          </cell>
          <cell r="L4839">
            <v>40442</v>
          </cell>
          <cell r="M4839">
            <v>3.97</v>
          </cell>
          <cell r="P4839">
            <v>4.87</v>
          </cell>
        </row>
        <row r="4840">
          <cell r="A4840" t="str">
            <v>BPB-054-DTR-1742-54</v>
          </cell>
          <cell r="G4840" t="str">
            <v>INCOU</v>
          </cell>
          <cell r="L4840">
            <v>42150</v>
          </cell>
          <cell r="M4840">
            <v>9</v>
          </cell>
          <cell r="P4840">
            <v>3.1</v>
          </cell>
        </row>
        <row r="4841">
          <cell r="A4841" t="str">
            <v>BPB-054-DTR3572-CUP</v>
          </cell>
          <cell r="G4841" t="str">
            <v>IPFAP</v>
          </cell>
          <cell r="L4841">
            <v>42296</v>
          </cell>
          <cell r="M4841">
            <v>9.5399999999999991</v>
          </cell>
          <cell r="P4841">
            <v>2.58</v>
          </cell>
        </row>
        <row r="4842">
          <cell r="A4842" t="str">
            <v>BPB-054-DTR4080-CUP</v>
          </cell>
          <cell r="G4842" t="str">
            <v>IDESP</v>
          </cell>
          <cell r="L4842">
            <v>39769</v>
          </cell>
          <cell r="M4842">
            <v>3.3140000000000001</v>
          </cell>
          <cell r="P4842">
            <v>5.85</v>
          </cell>
        </row>
        <row r="4843">
          <cell r="A4843" t="str">
            <v>BPB-054-HM-212011</v>
          </cell>
          <cell r="G4843" t="str">
            <v>IDESP</v>
          </cell>
          <cell r="L4843">
            <v>39769</v>
          </cell>
          <cell r="M4843">
            <v>3.3140000000000001</v>
          </cell>
          <cell r="P4843">
            <v>2.113</v>
          </cell>
        </row>
        <row r="4844">
          <cell r="A4844" t="str">
            <v>BPB-054-HM-88610</v>
          </cell>
          <cell r="G4844" t="str">
            <v>IDESP</v>
          </cell>
          <cell r="L4844">
            <v>39769</v>
          </cell>
          <cell r="M4844">
            <v>3.3140000000000001</v>
          </cell>
          <cell r="P4844">
            <v>0.83299999999999996</v>
          </cell>
        </row>
        <row r="4845">
          <cell r="A4845" t="str">
            <v>BPB-054-JL819310</v>
          </cell>
          <cell r="G4845" t="str">
            <v>IDESP</v>
          </cell>
          <cell r="L4845" t="str">
            <v>NULL</v>
          </cell>
          <cell r="M4845" t="str">
            <v>conver</v>
          </cell>
          <cell r="P4845">
            <v>2.2000000000000002</v>
          </cell>
        </row>
        <row r="4846">
          <cell r="A4846" t="str">
            <v>BPB-054-JM-205110</v>
          </cell>
          <cell r="G4846" t="str">
            <v>IDESP</v>
          </cell>
          <cell r="L4846">
            <v>40218</v>
          </cell>
          <cell r="M4846">
            <v>3.87</v>
          </cell>
          <cell r="P4846">
            <v>1.5089999999999999</v>
          </cell>
        </row>
        <row r="4847">
          <cell r="A4847" t="str">
            <v>BPB-054-JRME2549-16</v>
          </cell>
          <cell r="G4847" t="str">
            <v>IDESP</v>
          </cell>
          <cell r="L4847">
            <v>39647</v>
          </cell>
          <cell r="M4847">
            <v>3.0230000000000001</v>
          </cell>
          <cell r="P4847">
            <v>1.657</v>
          </cell>
        </row>
        <row r="4848">
          <cell r="A4848" t="str">
            <v>BPB-054-L-44610</v>
          </cell>
          <cell r="G4848" t="str">
            <v>IDESP</v>
          </cell>
          <cell r="L4848">
            <v>40681</v>
          </cell>
          <cell r="M4848">
            <v>4.12</v>
          </cell>
          <cell r="P4848">
            <v>0.35</v>
          </cell>
        </row>
        <row r="4849">
          <cell r="A4849" t="str">
            <v>BPB-054-L-45410</v>
          </cell>
          <cell r="G4849" t="str">
            <v xml:space="preserve">INSI </v>
          </cell>
          <cell r="L4849">
            <v>40277</v>
          </cell>
          <cell r="M4849">
            <v>3.89</v>
          </cell>
          <cell r="P4849">
            <v>0.61899999999999999</v>
          </cell>
        </row>
        <row r="4850">
          <cell r="A4850" t="str">
            <v>BPB-054-LM-102910</v>
          </cell>
          <cell r="G4850" t="str">
            <v>IDESP</v>
          </cell>
          <cell r="L4850">
            <v>40633</v>
          </cell>
          <cell r="M4850">
            <v>4.07</v>
          </cell>
          <cell r="P4850">
            <v>0.59</v>
          </cell>
        </row>
        <row r="4851">
          <cell r="A4851" t="str">
            <v>BPB-054-LM-104911</v>
          </cell>
          <cell r="G4851" t="str">
            <v>IDESP</v>
          </cell>
          <cell r="L4851">
            <v>44196</v>
          </cell>
          <cell r="M4851">
            <v>89.25</v>
          </cell>
          <cell r="P4851">
            <v>0.81599999999999995</v>
          </cell>
        </row>
        <row r="4852">
          <cell r="A4852" t="str">
            <v>BPB-054-LM-11710</v>
          </cell>
          <cell r="G4852" t="str">
            <v>IDESP</v>
          </cell>
          <cell r="L4852">
            <v>39897</v>
          </cell>
          <cell r="M4852">
            <v>3.6890000000000001</v>
          </cell>
          <cell r="P4852">
            <v>0.26700000000000002</v>
          </cell>
        </row>
        <row r="4853">
          <cell r="A4853" t="str">
            <v>BPB-054-LM-12710</v>
          </cell>
          <cell r="G4853" t="str">
            <v>IDESP</v>
          </cell>
          <cell r="L4853">
            <v>39861</v>
          </cell>
          <cell r="M4853">
            <v>3.4969999999999999</v>
          </cell>
          <cell r="P4853">
            <v>0.52300000000000002</v>
          </cell>
        </row>
        <row r="4854">
          <cell r="A4854" t="str">
            <v>BPB-054-LM-29710</v>
          </cell>
          <cell r="G4854" t="str">
            <v>IDESP</v>
          </cell>
          <cell r="L4854">
            <v>39769</v>
          </cell>
          <cell r="M4854">
            <v>3.3140000000000001</v>
          </cell>
          <cell r="P4854">
            <v>0.73699999999999999</v>
          </cell>
        </row>
        <row r="4855">
          <cell r="A4855" t="str">
            <v>BPB-054-LM-44610</v>
          </cell>
          <cell r="G4855" t="str">
            <v>IDESP</v>
          </cell>
          <cell r="L4855">
            <v>40749</v>
          </cell>
          <cell r="M4855">
            <v>4.17</v>
          </cell>
          <cell r="P4855">
            <v>0.33</v>
          </cell>
        </row>
        <row r="4856">
          <cell r="A4856" t="str">
            <v>BPB-054-LM-48510</v>
          </cell>
          <cell r="G4856" t="str">
            <v>INDEV</v>
          </cell>
          <cell r="L4856">
            <v>40191</v>
          </cell>
          <cell r="M4856">
            <v>3.82</v>
          </cell>
          <cell r="P4856">
            <v>0.67198952879581164</v>
          </cell>
        </row>
        <row r="4857">
          <cell r="A4857" t="str">
            <v>BPB-054-LM-67010</v>
          </cell>
          <cell r="G4857" t="str">
            <v>IDESP</v>
          </cell>
          <cell r="L4857">
            <v>40763</v>
          </cell>
          <cell r="M4857">
            <v>4.18</v>
          </cell>
          <cell r="P4857">
            <v>0.4</v>
          </cell>
        </row>
        <row r="4858">
          <cell r="A4858" t="str">
            <v>BPB-054-TCY203</v>
          </cell>
          <cell r="G4858" t="str">
            <v>IDESP</v>
          </cell>
          <cell r="L4858">
            <v>40681</v>
          </cell>
          <cell r="M4858">
            <v>4.12</v>
          </cell>
          <cell r="P4858">
            <v>0.25</v>
          </cell>
        </row>
        <row r="4859">
          <cell r="A4859" t="str">
            <v>BPB-054-TCY204</v>
          </cell>
          <cell r="G4859" t="str">
            <v>IDESP</v>
          </cell>
          <cell r="L4859">
            <v>40654</v>
          </cell>
          <cell r="M4859">
            <v>4.0999999999999996</v>
          </cell>
          <cell r="P4859">
            <v>0.27</v>
          </cell>
        </row>
        <row r="4860">
          <cell r="A4860" t="str">
            <v>BPB-054-TCY205</v>
          </cell>
          <cell r="G4860" t="str">
            <v>INDEV</v>
          </cell>
          <cell r="L4860">
            <v>41008</v>
          </cell>
          <cell r="M4860">
            <v>4.4000000000000004</v>
          </cell>
          <cell r="P4860">
            <v>0.3</v>
          </cell>
        </row>
        <row r="4861">
          <cell r="A4861" t="str">
            <v>BPB-054-TCY206</v>
          </cell>
          <cell r="G4861" t="str">
            <v>InRet</v>
          </cell>
          <cell r="L4861">
            <v>40808</v>
          </cell>
          <cell r="M4861">
            <v>4.2300000000000004</v>
          </cell>
          <cell r="P4861">
            <v>0.37011820330969264</v>
          </cell>
        </row>
        <row r="4862">
          <cell r="A4862" t="str">
            <v>BPB-054-TCY207</v>
          </cell>
          <cell r="G4862" t="str">
            <v xml:space="preserve">INSI </v>
          </cell>
          <cell r="L4862">
            <v>41794</v>
          </cell>
          <cell r="M4862">
            <v>8.1300000000000008</v>
          </cell>
          <cell r="P4862">
            <v>0.57999999999999996</v>
          </cell>
        </row>
        <row r="4863">
          <cell r="A4863" t="str">
            <v>BPB-054-TCY208</v>
          </cell>
          <cell r="G4863" t="str">
            <v>IDESP</v>
          </cell>
          <cell r="L4863">
            <v>43866</v>
          </cell>
          <cell r="M4863">
            <v>63</v>
          </cell>
          <cell r="P4863">
            <v>0.45</v>
          </cell>
        </row>
        <row r="4864">
          <cell r="A4864" t="str">
            <v>BPB-054-TCY209</v>
          </cell>
          <cell r="G4864" t="str">
            <v>IDESP</v>
          </cell>
          <cell r="L4864">
            <v>43866</v>
          </cell>
          <cell r="M4864">
            <v>63</v>
          </cell>
          <cell r="P4864">
            <v>0.56000000000000005</v>
          </cell>
        </row>
        <row r="4865">
          <cell r="A4865" t="str">
            <v>BPB-054-TCY210</v>
          </cell>
          <cell r="G4865" t="str">
            <v>IDESP</v>
          </cell>
          <cell r="L4865">
            <v>43866</v>
          </cell>
          <cell r="M4865">
            <v>63</v>
          </cell>
          <cell r="P4865">
            <v>0.62</v>
          </cell>
        </row>
        <row r="4866">
          <cell r="A4866" t="str">
            <v>BPB-054-TCY211</v>
          </cell>
          <cell r="G4866" t="str">
            <v>IDESP</v>
          </cell>
          <cell r="L4866">
            <v>40574</v>
          </cell>
          <cell r="M4866">
            <v>4.0199999999999996</v>
          </cell>
          <cell r="P4866">
            <v>0.89</v>
          </cell>
        </row>
        <row r="4867">
          <cell r="A4867" t="str">
            <v>BPB-054-TCY212</v>
          </cell>
          <cell r="G4867" t="str">
            <v>IDESP</v>
          </cell>
          <cell r="L4867">
            <v>40633</v>
          </cell>
          <cell r="M4867">
            <v>4.07</v>
          </cell>
          <cell r="P4867">
            <v>1.08</v>
          </cell>
        </row>
        <row r="4868">
          <cell r="A4868" t="str">
            <v>BPB-054-TCY216</v>
          </cell>
          <cell r="G4868" t="str">
            <v>IDESP</v>
          </cell>
          <cell r="L4868">
            <v>40633</v>
          </cell>
          <cell r="M4868">
            <v>4.07</v>
          </cell>
          <cell r="P4868">
            <v>1.79</v>
          </cell>
        </row>
        <row r="4869">
          <cell r="A4869" t="str">
            <v>BPB-054-TCY305</v>
          </cell>
          <cell r="G4869" t="str">
            <v>IDESP</v>
          </cell>
          <cell r="L4869">
            <v>40108</v>
          </cell>
          <cell r="M4869">
            <v>3.83</v>
          </cell>
          <cell r="P4869">
            <v>0.62670000000000003</v>
          </cell>
        </row>
        <row r="4870">
          <cell r="A4870" t="str">
            <v>BPB-054-TCY308</v>
          </cell>
          <cell r="G4870" t="str">
            <v>INDEV</v>
          </cell>
          <cell r="L4870">
            <v>41043</v>
          </cell>
          <cell r="M4870">
            <v>4.46</v>
          </cell>
          <cell r="P4870">
            <v>2.7331838565022419</v>
          </cell>
        </row>
        <row r="4871">
          <cell r="A4871" t="str">
            <v>BPB-054-TDY006</v>
          </cell>
          <cell r="G4871" t="str">
            <v>IDESP</v>
          </cell>
          <cell r="L4871">
            <v>40241</v>
          </cell>
          <cell r="M4871">
            <v>3.88</v>
          </cell>
          <cell r="P4871">
            <v>0.77</v>
          </cell>
        </row>
        <row r="4872">
          <cell r="A4872" t="str">
            <v>BPB-054-TDY007</v>
          </cell>
          <cell r="G4872" t="str">
            <v>IDESP</v>
          </cell>
          <cell r="L4872">
            <v>40787</v>
          </cell>
          <cell r="M4872">
            <v>4.22</v>
          </cell>
          <cell r="P4872">
            <v>0.48</v>
          </cell>
        </row>
        <row r="4873">
          <cell r="A4873" t="str">
            <v>BPB-054-TDY008</v>
          </cell>
          <cell r="G4873" t="str">
            <v>INDEV</v>
          </cell>
          <cell r="L4873">
            <v>41613</v>
          </cell>
          <cell r="M4873">
            <v>6.2</v>
          </cell>
          <cell r="P4873">
            <v>0.68</v>
          </cell>
        </row>
        <row r="4874">
          <cell r="A4874" t="str">
            <v>BPB-054-TDY009</v>
          </cell>
          <cell r="G4874" t="str">
            <v>IDESP</v>
          </cell>
          <cell r="L4874">
            <v>40241</v>
          </cell>
          <cell r="M4874">
            <v>3.88</v>
          </cell>
          <cell r="P4874">
            <v>1.1000000000000001</v>
          </cell>
        </row>
        <row r="4875">
          <cell r="A4875" t="str">
            <v>BPB-054-TDY013</v>
          </cell>
          <cell r="G4875" t="str">
            <v>IDESP</v>
          </cell>
          <cell r="L4875">
            <v>40787</v>
          </cell>
          <cell r="M4875">
            <v>4.22</v>
          </cell>
          <cell r="P4875">
            <v>1.04</v>
          </cell>
        </row>
        <row r="4876">
          <cell r="A4876" t="str">
            <v>BPB-054-TDY207</v>
          </cell>
          <cell r="G4876" t="str">
            <v>INDEV</v>
          </cell>
          <cell r="L4876">
            <v>40856</v>
          </cell>
          <cell r="M4876">
            <v>4.28</v>
          </cell>
          <cell r="P4876">
            <v>1.9042056074766356</v>
          </cell>
        </row>
        <row r="4877">
          <cell r="A4877" t="str">
            <v>BPB-054-TDY208</v>
          </cell>
          <cell r="G4877" t="str">
            <v>IDESP</v>
          </cell>
          <cell r="L4877">
            <v>40681</v>
          </cell>
          <cell r="M4877">
            <v>4.12</v>
          </cell>
          <cell r="P4877">
            <v>0.71</v>
          </cell>
        </row>
        <row r="4878">
          <cell r="A4878" t="str">
            <v>BPB-054-TDY211</v>
          </cell>
          <cell r="G4878" t="str">
            <v>IDESP</v>
          </cell>
          <cell r="L4878">
            <v>40787</v>
          </cell>
          <cell r="M4878">
            <v>4.22</v>
          </cell>
          <cell r="P4878">
            <v>1.2</v>
          </cell>
        </row>
        <row r="4879">
          <cell r="A4879" t="str">
            <v>BPB-054-TDY212</v>
          </cell>
          <cell r="G4879" t="str">
            <v>IDESP</v>
          </cell>
          <cell r="L4879">
            <v>40763</v>
          </cell>
          <cell r="M4879">
            <v>4.18</v>
          </cell>
          <cell r="P4879">
            <v>1.34</v>
          </cell>
        </row>
        <row r="4880">
          <cell r="A4880" t="str">
            <v>BPB-054-TDY213</v>
          </cell>
          <cell r="G4880" t="str">
            <v>IDESP</v>
          </cell>
          <cell r="L4880">
            <v>40763</v>
          </cell>
          <cell r="M4880">
            <v>4.18</v>
          </cell>
          <cell r="P4880">
            <v>1.64</v>
          </cell>
        </row>
        <row r="4881">
          <cell r="A4881" t="str">
            <v>BPB-054-TDY215</v>
          </cell>
          <cell r="G4881" t="str">
            <v>INDEV</v>
          </cell>
          <cell r="L4881">
            <v>40679</v>
          </cell>
          <cell r="M4881">
            <v>4.12</v>
          </cell>
          <cell r="P4881">
            <v>1.8399999999999999</v>
          </cell>
        </row>
        <row r="4882">
          <cell r="A4882" t="str">
            <v>BPB-054-TDY216</v>
          </cell>
          <cell r="G4882" t="str">
            <v>IDESP</v>
          </cell>
          <cell r="L4882">
            <v>40763</v>
          </cell>
          <cell r="M4882">
            <v>4.18</v>
          </cell>
          <cell r="P4882">
            <v>2.34</v>
          </cell>
        </row>
        <row r="4883">
          <cell r="A4883" t="str">
            <v>BPB-054-TDY217</v>
          </cell>
          <cell r="G4883" t="str">
            <v>INDEV</v>
          </cell>
          <cell r="L4883">
            <v>41456</v>
          </cell>
          <cell r="M4883">
            <v>5.39</v>
          </cell>
          <cell r="P4883">
            <v>2.6500000000000004</v>
          </cell>
        </row>
        <row r="4884">
          <cell r="A4884" t="str">
            <v>BPB-054-TDY218</v>
          </cell>
          <cell r="G4884" t="str">
            <v>IPFAP</v>
          </cell>
          <cell r="L4884">
            <v>41502</v>
          </cell>
          <cell r="M4884">
            <v>5.58</v>
          </cell>
          <cell r="P4884">
            <v>3.3615053763440863</v>
          </cell>
        </row>
        <row r="4885">
          <cell r="A4885" t="str">
            <v>BPB-054-TDY310</v>
          </cell>
          <cell r="G4885" t="str">
            <v>IDESP</v>
          </cell>
          <cell r="L4885">
            <v>40633</v>
          </cell>
          <cell r="M4885">
            <v>4.07</v>
          </cell>
          <cell r="P4885">
            <v>1.8</v>
          </cell>
        </row>
        <row r="4886">
          <cell r="A4886" t="str">
            <v>BPB-054-TY8410</v>
          </cell>
          <cell r="G4886" t="str">
            <v>IDESP</v>
          </cell>
          <cell r="L4886">
            <v>40919</v>
          </cell>
          <cell r="M4886">
            <v>4.33</v>
          </cell>
          <cell r="P4886">
            <v>2.9</v>
          </cell>
        </row>
        <row r="4887">
          <cell r="A4887" t="str">
            <v>BPB-054-Y-30204-MX</v>
          </cell>
          <cell r="G4887" t="str">
            <v xml:space="preserve">CR   </v>
          </cell>
          <cell r="L4887">
            <v>40428.376423611109</v>
          </cell>
          <cell r="M4887">
            <v>3.97</v>
          </cell>
          <cell r="P4887">
            <v>0.245</v>
          </cell>
        </row>
        <row r="4888">
          <cell r="A4888" t="str">
            <v>BPB-054-Y-30205-MX</v>
          </cell>
          <cell r="G4888" t="str">
            <v>IDESP</v>
          </cell>
          <cell r="L4888">
            <v>41381</v>
          </cell>
          <cell r="M4888">
            <v>5.16</v>
          </cell>
          <cell r="P4888">
            <v>0.47</v>
          </cell>
        </row>
        <row r="4889">
          <cell r="A4889" t="str">
            <v>BPB-054-Y-30206-MX</v>
          </cell>
          <cell r="G4889" t="str">
            <v>IPFAB</v>
          </cell>
          <cell r="L4889">
            <v>41008</v>
          </cell>
          <cell r="M4889">
            <v>4.4000000000000004</v>
          </cell>
          <cell r="P4889">
            <v>0.33900000000000002</v>
          </cell>
        </row>
        <row r="4890">
          <cell r="A4890" t="str">
            <v>BPB-054-Y-30207-MX</v>
          </cell>
          <cell r="G4890" t="str">
            <v>IDESP</v>
          </cell>
          <cell r="L4890">
            <v>41381</v>
          </cell>
          <cell r="M4890">
            <v>5.16</v>
          </cell>
          <cell r="P4890">
            <v>0.65</v>
          </cell>
        </row>
        <row r="4891">
          <cell r="A4891" t="str">
            <v>BPB-054-Y-30208-MX</v>
          </cell>
          <cell r="G4891" t="str">
            <v>IPFAB</v>
          </cell>
          <cell r="L4891">
            <v>41564</v>
          </cell>
          <cell r="M4891">
            <v>5.84</v>
          </cell>
          <cell r="P4891">
            <v>0.55800000000000005</v>
          </cell>
        </row>
        <row r="4892">
          <cell r="A4892" t="str">
            <v>BPB-054-Y-30209-MX</v>
          </cell>
          <cell r="G4892" t="str">
            <v>IDESP</v>
          </cell>
          <cell r="L4892">
            <v>41381</v>
          </cell>
          <cell r="M4892">
            <v>5.16</v>
          </cell>
          <cell r="P4892">
            <v>0.83</v>
          </cell>
        </row>
        <row r="4893">
          <cell r="A4893" t="str">
            <v>BPB-054-Y-30210-MX</v>
          </cell>
          <cell r="G4893" t="str">
            <v>INDEV</v>
          </cell>
          <cell r="L4893">
            <v>41213</v>
          </cell>
          <cell r="M4893">
            <v>4.7699999999999996</v>
          </cell>
          <cell r="P4893">
            <v>0.68710691823899372</v>
          </cell>
        </row>
        <row r="4894">
          <cell r="A4894" t="str">
            <v>BPB-054-Y-30211-MX</v>
          </cell>
          <cell r="G4894" t="str">
            <v xml:space="preserve">CR   </v>
          </cell>
          <cell r="L4894">
            <v>40428.376423611109</v>
          </cell>
          <cell r="M4894">
            <v>3.97</v>
          </cell>
          <cell r="P4894">
            <v>0.80100000000000005</v>
          </cell>
        </row>
        <row r="4895">
          <cell r="A4895" t="str">
            <v>BPB-054-Y-30212-MX</v>
          </cell>
          <cell r="G4895" t="str">
            <v xml:space="preserve">CR   </v>
          </cell>
          <cell r="L4895">
            <v>41547.999988425923</v>
          </cell>
          <cell r="M4895">
            <v>5.79</v>
          </cell>
          <cell r="P4895">
            <v>1.1070811744386875</v>
          </cell>
        </row>
        <row r="4896">
          <cell r="A4896" t="str">
            <v>BPB-054-Y-30214-MX</v>
          </cell>
          <cell r="G4896" t="str">
            <v>IPFAB</v>
          </cell>
          <cell r="L4896">
            <v>41547</v>
          </cell>
          <cell r="M4896">
            <v>5.79</v>
          </cell>
          <cell r="P4896">
            <v>2.2549999999999999</v>
          </cell>
        </row>
        <row r="4897">
          <cell r="A4897" t="str">
            <v>BPB-054-Y-30310-MX</v>
          </cell>
          <cell r="G4897" t="str">
            <v>IDESP</v>
          </cell>
          <cell r="L4897">
            <v>40399</v>
          </cell>
          <cell r="M4897">
            <v>3.96</v>
          </cell>
          <cell r="P4897">
            <v>1.7849999999999999</v>
          </cell>
        </row>
        <row r="4898">
          <cell r="A4898" t="str">
            <v>BPB-054-Y-320-32X</v>
          </cell>
          <cell r="G4898" t="str">
            <v xml:space="preserve">INSI </v>
          </cell>
          <cell r="L4898">
            <v>40956</v>
          </cell>
          <cell r="M4898">
            <v>4.37</v>
          </cell>
          <cell r="P4898">
            <v>0.46</v>
          </cell>
        </row>
        <row r="4899">
          <cell r="A4899" t="str">
            <v>BPB-054-Y-32005-MX</v>
          </cell>
          <cell r="G4899" t="str">
            <v xml:space="preserve">CR   </v>
          </cell>
          <cell r="L4899">
            <v>40428.376423611109</v>
          </cell>
          <cell r="M4899">
            <v>3.97</v>
          </cell>
          <cell r="P4899">
            <v>0.46200000000000002</v>
          </cell>
        </row>
        <row r="4900">
          <cell r="A4900" t="str">
            <v>BPB-054-Y-32007</v>
          </cell>
          <cell r="G4900" t="str">
            <v>IDESP</v>
          </cell>
          <cell r="L4900">
            <v>40672</v>
          </cell>
          <cell r="M4900">
            <v>4.1100000000000003</v>
          </cell>
          <cell r="P4900">
            <v>0.83</v>
          </cell>
        </row>
        <row r="4901">
          <cell r="A4901" t="str">
            <v>BPB-054-Y-32011-MX</v>
          </cell>
          <cell r="G4901" t="str">
            <v xml:space="preserve">CR   </v>
          </cell>
          <cell r="L4901">
            <v>40428.376423611109</v>
          </cell>
          <cell r="M4901">
            <v>3.97</v>
          </cell>
          <cell r="P4901">
            <v>1.0149999999999999</v>
          </cell>
        </row>
        <row r="4902">
          <cell r="A4902" t="str">
            <v>BPB-054-Y-32210-MX</v>
          </cell>
          <cell r="G4902" t="str">
            <v>IPFAB</v>
          </cell>
          <cell r="L4902">
            <v>41729</v>
          </cell>
          <cell r="M4902">
            <v>8.0500000000000007</v>
          </cell>
          <cell r="P4902">
            <v>0.98699999999999999</v>
          </cell>
        </row>
        <row r="4903">
          <cell r="A4903" t="str">
            <v>BPB-054-Y-32211-MX</v>
          </cell>
          <cell r="G4903" t="str">
            <v>IDESP</v>
          </cell>
          <cell r="L4903">
            <v>40672</v>
          </cell>
          <cell r="M4903">
            <v>4.1100000000000003</v>
          </cell>
          <cell r="P4903">
            <v>1.1615</v>
          </cell>
        </row>
        <row r="4904">
          <cell r="A4904" t="str">
            <v>BPB-054-Y-32212-MX</v>
          </cell>
          <cell r="G4904" t="str">
            <v>IPFAB</v>
          </cell>
          <cell r="L4904">
            <v>41519</v>
          </cell>
          <cell r="M4904">
            <v>5.67</v>
          </cell>
          <cell r="P4904">
            <v>1.143</v>
          </cell>
        </row>
        <row r="4905">
          <cell r="A4905" t="str">
            <v>BPB-054-Y-32213-MX</v>
          </cell>
          <cell r="G4905" t="str">
            <v>INDEV</v>
          </cell>
          <cell r="L4905">
            <v>41724</v>
          </cell>
          <cell r="M4905">
            <v>8.02</v>
          </cell>
          <cell r="P4905">
            <v>2.448004987531172</v>
          </cell>
        </row>
        <row r="4906">
          <cell r="A4906" t="str">
            <v>BPB-054-Y-32214-MX</v>
          </cell>
          <cell r="G4906" t="str">
            <v>IDESP</v>
          </cell>
          <cell r="L4906">
            <v>40399</v>
          </cell>
          <cell r="M4906">
            <v>3.96</v>
          </cell>
          <cell r="P4906">
            <v>1.419</v>
          </cell>
        </row>
        <row r="4907">
          <cell r="A4907" t="str">
            <v>BPB-054-Y-32216-MX</v>
          </cell>
          <cell r="G4907" t="str">
            <v>IPFAB</v>
          </cell>
          <cell r="L4907">
            <v>41519</v>
          </cell>
          <cell r="M4907">
            <v>5.67</v>
          </cell>
          <cell r="P4907">
            <v>2.3340000000000001</v>
          </cell>
        </row>
        <row r="4908">
          <cell r="A4908" t="str">
            <v>BPB-054-Y-32218-MX</v>
          </cell>
          <cell r="G4908" t="str">
            <v>IDESP</v>
          </cell>
          <cell r="L4908">
            <v>41381</v>
          </cell>
          <cell r="M4908">
            <v>5.16</v>
          </cell>
          <cell r="P4908">
            <v>3.97</v>
          </cell>
        </row>
        <row r="4909">
          <cell r="A4909" t="str">
            <v>BPB-054-Y-32219-MX</v>
          </cell>
          <cell r="G4909" t="str">
            <v xml:space="preserve">CR   </v>
          </cell>
          <cell r="L4909">
            <v>40428.376423611109</v>
          </cell>
          <cell r="M4909">
            <v>3.97</v>
          </cell>
          <cell r="P4909">
            <v>3.3</v>
          </cell>
        </row>
        <row r="4910">
          <cell r="A4910" t="str">
            <v>BPB-054-Y-33112</v>
          </cell>
          <cell r="G4910" t="str">
            <v xml:space="preserve">CR   </v>
          </cell>
          <cell r="L4910">
            <v>40428.376423611109</v>
          </cell>
          <cell r="M4910">
            <v>3.97</v>
          </cell>
          <cell r="P4910">
            <v>2.915</v>
          </cell>
        </row>
        <row r="4911">
          <cell r="A4911" t="str">
            <v>BPB-055-59501-03</v>
          </cell>
          <cell r="G4911" t="str">
            <v xml:space="preserve">INAC </v>
          </cell>
          <cell r="L4911">
            <v>41127</v>
          </cell>
          <cell r="M4911">
            <v>4.5999999999999996</v>
          </cell>
          <cell r="P4911">
            <v>0.91086956521739149</v>
          </cell>
        </row>
        <row r="4912">
          <cell r="A4912" t="str">
            <v>BPB-055-AG1545-16-03</v>
          </cell>
          <cell r="G4912" t="str">
            <v xml:space="preserve">INSI </v>
          </cell>
          <cell r="L4912">
            <v>41340</v>
          </cell>
          <cell r="M4912">
            <v>5.0599999999999996</v>
          </cell>
          <cell r="P4912">
            <v>8.77E-2</v>
          </cell>
        </row>
        <row r="4913">
          <cell r="A4913" t="str">
            <v>BPB-055-GU-1545</v>
          </cell>
          <cell r="G4913" t="str">
            <v>IPFAB</v>
          </cell>
          <cell r="L4913">
            <v>39735</v>
          </cell>
          <cell r="M4913">
            <v>3.2240000000000002</v>
          </cell>
          <cell r="P4913">
            <v>0.28999999999999998</v>
          </cell>
        </row>
        <row r="4914">
          <cell r="A4914" t="str">
            <v>BPB-055-GU-2565</v>
          </cell>
          <cell r="G4914" t="str">
            <v>IDESP</v>
          </cell>
          <cell r="L4914">
            <v>44932</v>
          </cell>
          <cell r="M4914">
            <v>185.75</v>
          </cell>
          <cell r="P4914">
            <v>0.152</v>
          </cell>
        </row>
        <row r="4915">
          <cell r="A4915" t="str">
            <v>BPB-055-GU-3075</v>
          </cell>
          <cell r="G4915" t="str">
            <v>vpret</v>
          </cell>
          <cell r="L4915">
            <v>46006</v>
          </cell>
          <cell r="M4915">
            <v>1465</v>
          </cell>
          <cell r="P4915">
            <v>0.15148122866894198</v>
          </cell>
        </row>
        <row r="4916">
          <cell r="A4916" t="str">
            <v>BPB-055-GU-353040</v>
          </cell>
          <cell r="G4916" t="str">
            <v>IDESP</v>
          </cell>
          <cell r="L4916">
            <v>44932</v>
          </cell>
          <cell r="M4916">
            <v>185.75</v>
          </cell>
          <cell r="P4916">
            <v>0.13300000000000001</v>
          </cell>
        </row>
        <row r="4917">
          <cell r="A4917" t="str">
            <v>BPB-056-4575C25CHSA</v>
          </cell>
          <cell r="G4917" t="str">
            <v>vpret</v>
          </cell>
          <cell r="L4917">
            <v>43346</v>
          </cell>
          <cell r="M4917">
            <v>37.4</v>
          </cell>
          <cell r="P4917">
            <v>4.4919786096256686</v>
          </cell>
        </row>
        <row r="4918">
          <cell r="A4918" t="str">
            <v>BPB-056-4575C25CHSB</v>
          </cell>
          <cell r="G4918" t="str">
            <v>InRet</v>
          </cell>
          <cell r="L4918">
            <v>43354</v>
          </cell>
          <cell r="M4918">
            <v>38</v>
          </cell>
          <cell r="P4918">
            <v>5.4078947368421053</v>
          </cell>
        </row>
        <row r="4919">
          <cell r="A4919" t="str">
            <v>BPB-056-4575C25CHSC</v>
          </cell>
          <cell r="G4919" t="str">
            <v>InRet</v>
          </cell>
          <cell r="L4919">
            <v>43377</v>
          </cell>
          <cell r="M4919">
            <v>38.6</v>
          </cell>
          <cell r="P4919">
            <v>6.6580310880829012</v>
          </cell>
        </row>
        <row r="4920">
          <cell r="A4920" t="str">
            <v>BPB-056-48703685</v>
          </cell>
          <cell r="G4920" t="str">
            <v>vpret</v>
          </cell>
          <cell r="L4920">
            <v>43620</v>
          </cell>
          <cell r="M4920">
            <v>45.9</v>
          </cell>
          <cell r="P4920">
            <v>2.178649237472767E-2</v>
          </cell>
        </row>
        <row r="4921">
          <cell r="A4921" t="str">
            <v>BPB-056-48703685-A</v>
          </cell>
          <cell r="G4921" t="str">
            <v>InTer</v>
          </cell>
          <cell r="L4921">
            <v>43615</v>
          </cell>
          <cell r="M4921">
            <v>45.4</v>
          </cell>
          <cell r="P4921">
            <v>2.2026431718061675E-2</v>
          </cell>
        </row>
        <row r="4922">
          <cell r="A4922" t="str">
            <v>BPB-056-48703686</v>
          </cell>
          <cell r="G4922" t="str">
            <v>vpret</v>
          </cell>
          <cell r="L4922">
            <v>43620</v>
          </cell>
          <cell r="M4922">
            <v>45.9</v>
          </cell>
          <cell r="P4922">
            <v>2.178649237472767E-2</v>
          </cell>
        </row>
        <row r="4923">
          <cell r="A4923" t="str">
            <v>BPB-056-48703686-A</v>
          </cell>
          <cell r="G4923" t="str">
            <v>InTer</v>
          </cell>
          <cell r="L4923">
            <v>43615</v>
          </cell>
          <cell r="M4923">
            <v>45.4</v>
          </cell>
          <cell r="P4923">
            <v>2.2026431718061675E-2</v>
          </cell>
        </row>
        <row r="4924">
          <cell r="A4924" t="str">
            <v>BPB-056-5-12213</v>
          </cell>
          <cell r="G4924" t="str">
            <v xml:space="preserve">INSI </v>
          </cell>
          <cell r="L4924">
            <v>41213</v>
          </cell>
          <cell r="M4924">
            <v>4.7699999999999996</v>
          </cell>
          <cell r="P4924">
            <v>3.625</v>
          </cell>
        </row>
        <row r="4925">
          <cell r="A4925" t="str">
            <v>BPB-056-5-14</v>
          </cell>
          <cell r="G4925" t="str">
            <v>IDESP</v>
          </cell>
          <cell r="L4925">
            <v>45799</v>
          </cell>
          <cell r="M4925">
            <v>1160</v>
          </cell>
          <cell r="P4925">
            <v>0.57499999999999996</v>
          </cell>
        </row>
        <row r="4926">
          <cell r="A4926" t="str">
            <v>BPB-056-5-153</v>
          </cell>
          <cell r="G4926" t="str">
            <v>INDEV</v>
          </cell>
          <cell r="L4926">
            <v>40736</v>
          </cell>
          <cell r="M4926">
            <v>4.1500000000000004</v>
          </cell>
          <cell r="P4926">
            <v>2.8450120481927712</v>
          </cell>
        </row>
        <row r="4927">
          <cell r="A4927" t="str">
            <v>BPB-056-5-160</v>
          </cell>
          <cell r="G4927" t="str">
            <v>INDEV</v>
          </cell>
          <cell r="L4927">
            <v>41081</v>
          </cell>
          <cell r="M4927">
            <v>4.51</v>
          </cell>
          <cell r="P4927">
            <v>3.5339024390243905</v>
          </cell>
        </row>
        <row r="4928">
          <cell r="A4928" t="str">
            <v>BPB-056-5-178</v>
          </cell>
          <cell r="G4928" t="str">
            <v>INDEV</v>
          </cell>
          <cell r="L4928">
            <v>40750</v>
          </cell>
          <cell r="M4928">
            <v>4.17</v>
          </cell>
          <cell r="P4928">
            <v>3.6324940047961634</v>
          </cell>
        </row>
        <row r="4929">
          <cell r="A4929" t="str">
            <v>BPB-056-5-213</v>
          </cell>
          <cell r="G4929" t="str">
            <v>IDESP</v>
          </cell>
          <cell r="L4929">
            <v>39706</v>
          </cell>
          <cell r="M4929">
            <v>3.0819999999999999</v>
          </cell>
          <cell r="P4929">
            <v>3.0703999999999998</v>
          </cell>
        </row>
        <row r="4930">
          <cell r="A4930" t="str">
            <v>BPB-056-AG-04.038.1</v>
          </cell>
          <cell r="G4930" t="str">
            <v>vpret</v>
          </cell>
          <cell r="L4930">
            <v>45518</v>
          </cell>
          <cell r="M4930">
            <v>958.5</v>
          </cell>
          <cell r="P4930">
            <v>5.9819311424100148</v>
          </cell>
        </row>
        <row r="4931">
          <cell r="A4931" t="str">
            <v>BPB-056-DS2560C28</v>
          </cell>
          <cell r="G4931" t="str">
            <v>IDESP</v>
          </cell>
          <cell r="L4931">
            <v>40394</v>
          </cell>
          <cell r="M4931">
            <v>3.96</v>
          </cell>
          <cell r="P4931">
            <v>3</v>
          </cell>
        </row>
        <row r="4932">
          <cell r="A4932" t="str">
            <v>BPB-056-DS2565C25-08</v>
          </cell>
          <cell r="G4932" t="str">
            <v>IDESP</v>
          </cell>
          <cell r="L4932">
            <v>45958</v>
          </cell>
          <cell r="M4932">
            <v>1460</v>
          </cell>
          <cell r="P4932">
            <v>7.83</v>
          </cell>
        </row>
        <row r="4933">
          <cell r="A4933" t="str">
            <v>BPB-056-DS2565C25CHS</v>
          </cell>
          <cell r="G4933" t="str">
            <v>vpret</v>
          </cell>
          <cell r="L4933">
            <v>44995</v>
          </cell>
          <cell r="M4933">
            <v>206.75</v>
          </cell>
          <cell r="P4933">
            <v>8.5250785973397818</v>
          </cell>
        </row>
        <row r="4934">
          <cell r="A4934" t="str">
            <v>BPB-056-DS3075C25-B</v>
          </cell>
          <cell r="G4934" t="str">
            <v>InRet</v>
          </cell>
          <cell r="L4934">
            <v>46002</v>
          </cell>
          <cell r="M4934">
            <v>1460</v>
          </cell>
          <cell r="P4934">
            <v>8.0746089041095885</v>
          </cell>
        </row>
        <row r="4935">
          <cell r="A4935" t="str">
            <v>BPB-056-DS3075C25-SC</v>
          </cell>
          <cell r="G4935" t="str">
            <v>vpret</v>
          </cell>
          <cell r="L4935">
            <v>45994</v>
          </cell>
          <cell r="M4935">
            <v>1480</v>
          </cell>
          <cell r="P4935">
            <v>6.7695466216216218</v>
          </cell>
        </row>
        <row r="4936">
          <cell r="A4936" t="str">
            <v>BPB-056-DS3075C25CHS</v>
          </cell>
          <cell r="G4936" t="str">
            <v>InRet</v>
          </cell>
          <cell r="L4936">
            <v>45995</v>
          </cell>
          <cell r="M4936">
            <v>1480</v>
          </cell>
          <cell r="P4936">
            <v>8.9384655405405411</v>
          </cell>
        </row>
        <row r="4937">
          <cell r="A4937" t="str">
            <v>BPB-056-DS4575C25CHS</v>
          </cell>
          <cell r="G4937" t="str">
            <v xml:space="preserve">INSI </v>
          </cell>
          <cell r="L4937">
            <v>45525</v>
          </cell>
          <cell r="M4937">
            <v>963</v>
          </cell>
          <cell r="P4937">
            <v>6.72</v>
          </cell>
        </row>
        <row r="4938">
          <cell r="A4938" t="str">
            <v>BPB-056-ENG-04.038.1</v>
          </cell>
          <cell r="G4938" t="str">
            <v>IDESP</v>
          </cell>
          <cell r="L4938">
            <v>45509</v>
          </cell>
          <cell r="M4938">
            <v>953.5</v>
          </cell>
          <cell r="P4938">
            <v>4.0910000000000002</v>
          </cell>
        </row>
        <row r="4939">
          <cell r="A4939" t="str">
            <v>BPB-056-ENG-04.039.1</v>
          </cell>
          <cell r="G4939" t="str">
            <v>IDESP</v>
          </cell>
          <cell r="L4939">
            <v>45509</v>
          </cell>
          <cell r="M4939">
            <v>953.5</v>
          </cell>
          <cell r="P4939">
            <v>8.673</v>
          </cell>
        </row>
        <row r="4940">
          <cell r="A4940" t="str">
            <v>BPB-056-ENG-1545-16</v>
          </cell>
          <cell r="G4940" t="str">
            <v xml:space="preserve">INAC </v>
          </cell>
          <cell r="L4940">
            <v>39435</v>
          </cell>
          <cell r="M4940">
            <v>3.137</v>
          </cell>
          <cell r="P4940">
            <v>7.861013707363723</v>
          </cell>
        </row>
        <row r="4941">
          <cell r="A4941" t="str">
            <v>BPB-056-ENG-2553-16</v>
          </cell>
          <cell r="G4941" t="str">
            <v xml:space="preserve">INAC </v>
          </cell>
          <cell r="L4941">
            <v>39589</v>
          </cell>
          <cell r="M4941">
            <v>3.14</v>
          </cell>
          <cell r="P4941">
            <v>10.152866242038217</v>
          </cell>
        </row>
        <row r="4942">
          <cell r="A4942" t="str">
            <v>BPB-056-ENG-2565-CH</v>
          </cell>
          <cell r="G4942" t="str">
            <v xml:space="preserve">INSI </v>
          </cell>
          <cell r="L4942">
            <v>43881</v>
          </cell>
          <cell r="M4942">
            <v>63.5</v>
          </cell>
          <cell r="P4942">
            <v>3.48</v>
          </cell>
        </row>
        <row r="4943">
          <cell r="A4943" t="str">
            <v>BPB-056-ENG-2565-CHS</v>
          </cell>
          <cell r="G4943" t="str">
            <v>IDESP</v>
          </cell>
          <cell r="L4943">
            <v>45996</v>
          </cell>
          <cell r="M4943">
            <v>1470</v>
          </cell>
          <cell r="P4943">
            <v>4.4800000000000004</v>
          </cell>
        </row>
        <row r="4944">
          <cell r="A4944" t="str">
            <v>BPB-056-ENG-3560CHS</v>
          </cell>
          <cell r="G4944" t="str">
            <v>IPFAB</v>
          </cell>
          <cell r="L4944">
            <v>40557</v>
          </cell>
          <cell r="M4944">
            <v>4</v>
          </cell>
          <cell r="P4944">
            <v>3.09</v>
          </cell>
        </row>
        <row r="4945">
          <cell r="A4945" t="str">
            <v>BPB-056-ENG-3565-CH</v>
          </cell>
          <cell r="G4945" t="str">
            <v>IDESP</v>
          </cell>
          <cell r="L4945">
            <v>44840</v>
          </cell>
          <cell r="M4945">
            <v>155.25</v>
          </cell>
          <cell r="P4945">
            <v>7.48</v>
          </cell>
        </row>
        <row r="4946">
          <cell r="A4946" t="str">
            <v>BPB-056-ENG256553-A</v>
          </cell>
          <cell r="G4946" t="str">
            <v>InRet</v>
          </cell>
          <cell r="L4946">
            <v>43963</v>
          </cell>
          <cell r="M4946">
            <v>69.25</v>
          </cell>
          <cell r="P4946">
            <v>4.6722021660649817</v>
          </cell>
        </row>
        <row r="4947">
          <cell r="A4947" t="str">
            <v>BPB-056-ENG256553-B</v>
          </cell>
          <cell r="G4947" t="str">
            <v>vpret</v>
          </cell>
          <cell r="L4947">
            <v>43973</v>
          </cell>
          <cell r="M4947">
            <v>70</v>
          </cell>
          <cell r="P4947">
            <v>4.6221428571428573</v>
          </cell>
        </row>
        <row r="4948">
          <cell r="A4948" t="str">
            <v>BPB-056-ENG256553-C</v>
          </cell>
          <cell r="G4948" t="str">
            <v>InRet</v>
          </cell>
          <cell r="L4948">
            <v>43985</v>
          </cell>
          <cell r="M4948">
            <v>70.5</v>
          </cell>
          <cell r="P4948">
            <v>5.8943262411347517</v>
          </cell>
        </row>
        <row r="4949">
          <cell r="A4949" t="str">
            <v>BPB-056-ENG256553-F</v>
          </cell>
          <cell r="G4949" t="str">
            <v xml:space="preserve">INAC </v>
          </cell>
          <cell r="L4949">
            <v>43955</v>
          </cell>
          <cell r="M4949">
            <v>68.75</v>
          </cell>
          <cell r="P4949">
            <v>4.4849454545454543</v>
          </cell>
        </row>
        <row r="4950">
          <cell r="A4950" t="str">
            <v>BPB-056-ENG256553CHS</v>
          </cell>
          <cell r="G4950" t="str">
            <v>IDESP</v>
          </cell>
          <cell r="L4950">
            <v>45352</v>
          </cell>
          <cell r="M4950">
            <v>861</v>
          </cell>
          <cell r="P4950">
            <v>3.8679999999999999</v>
          </cell>
        </row>
        <row r="4951">
          <cell r="A4951" t="str">
            <v>BPB-056-ENG2565S-A1</v>
          </cell>
          <cell r="G4951" t="str">
            <v>VPRet</v>
          </cell>
          <cell r="L4951">
            <v>42857</v>
          </cell>
          <cell r="M4951">
            <v>15.78</v>
          </cell>
          <cell r="P4951">
            <v>2.329531051964512</v>
          </cell>
        </row>
        <row r="4952">
          <cell r="A4952" t="str">
            <v>BPB-056-ENG2565S-F</v>
          </cell>
          <cell r="G4952" t="str">
            <v xml:space="preserve">INAC </v>
          </cell>
          <cell r="L4952">
            <v>42822</v>
          </cell>
          <cell r="M4952">
            <v>15.91</v>
          </cell>
          <cell r="P4952">
            <v>2.3104965430546827</v>
          </cell>
        </row>
        <row r="4953">
          <cell r="A4953" t="str">
            <v>BPB-056-ENG2565S-PZ</v>
          </cell>
          <cell r="G4953" t="str">
            <v>InRet</v>
          </cell>
          <cell r="L4953">
            <v>42873</v>
          </cell>
          <cell r="M4953">
            <v>15.91</v>
          </cell>
          <cell r="P4953">
            <v>3.6134506599622878</v>
          </cell>
        </row>
        <row r="4954">
          <cell r="A4954" t="str">
            <v>BPB-056-ENG2565S-Z</v>
          </cell>
          <cell r="G4954" t="str">
            <v>InRet</v>
          </cell>
          <cell r="L4954">
            <v>41920</v>
          </cell>
          <cell r="M4954">
            <v>8.4700000000000006</v>
          </cell>
          <cell r="P4954">
            <v>9.7822904368358898</v>
          </cell>
        </row>
        <row r="4955">
          <cell r="A4955" t="str">
            <v>BPB-056-ENG307516-B</v>
          </cell>
          <cell r="G4955" t="str">
            <v>vpret</v>
          </cell>
          <cell r="L4955">
            <v>45994</v>
          </cell>
          <cell r="M4955">
            <v>1480</v>
          </cell>
          <cell r="P4955">
            <v>5.1184378378378375</v>
          </cell>
        </row>
        <row r="4956">
          <cell r="A4956" t="str">
            <v>BPB-056-ENG307516CHS</v>
          </cell>
          <cell r="G4956" t="str">
            <v>InRet</v>
          </cell>
          <cell r="L4956">
            <v>45995</v>
          </cell>
          <cell r="M4956">
            <v>1480</v>
          </cell>
          <cell r="P4956">
            <v>7.2873567567567568</v>
          </cell>
        </row>
        <row r="4957">
          <cell r="A4957" t="str">
            <v>BPB-056-ENG353016CHS</v>
          </cell>
          <cell r="G4957" t="str">
            <v>IDESP</v>
          </cell>
          <cell r="L4957">
            <v>45352</v>
          </cell>
          <cell r="M4957">
            <v>861</v>
          </cell>
          <cell r="P4957">
            <v>4.7850000000000001</v>
          </cell>
        </row>
        <row r="4958">
          <cell r="A4958" t="str">
            <v>BPB-056-ENG353040-PZ</v>
          </cell>
          <cell r="G4958" t="str">
            <v>IPFAP</v>
          </cell>
          <cell r="L4958">
            <v>42698</v>
          </cell>
          <cell r="M4958">
            <v>15.68</v>
          </cell>
          <cell r="P4958">
            <v>2.98</v>
          </cell>
        </row>
        <row r="4959">
          <cell r="A4959" t="str">
            <v>BPB-056-ENG353040-Z</v>
          </cell>
          <cell r="G4959" t="str">
            <v>InRet</v>
          </cell>
          <cell r="L4959">
            <v>42558</v>
          </cell>
          <cell r="M4959">
            <v>15.11</v>
          </cell>
          <cell r="P4959">
            <v>3.9589675711449375</v>
          </cell>
        </row>
        <row r="4960">
          <cell r="A4960" t="str">
            <v>BPB-056-ENG353040CHS</v>
          </cell>
          <cell r="G4960" t="str">
            <v>IDESP</v>
          </cell>
          <cell r="L4960">
            <v>45509</v>
          </cell>
          <cell r="M4960">
            <v>953.5</v>
          </cell>
          <cell r="P4960">
            <v>4.5999999999999996</v>
          </cell>
        </row>
        <row r="4961">
          <cell r="A4961" t="str">
            <v>BPB-056-ENG353040S-F</v>
          </cell>
          <cell r="G4961" t="str">
            <v xml:space="preserve">INAC </v>
          </cell>
          <cell r="L4961">
            <v>42552</v>
          </cell>
          <cell r="M4961">
            <v>15.21</v>
          </cell>
          <cell r="P4961">
            <v>2.6068376068376065</v>
          </cell>
        </row>
        <row r="4962">
          <cell r="A4962" t="str">
            <v>BPB-056-ENG353040SA1</v>
          </cell>
          <cell r="G4962" t="str">
            <v>VPRet</v>
          </cell>
          <cell r="L4962">
            <v>42584</v>
          </cell>
          <cell r="M4962">
            <v>15.28</v>
          </cell>
          <cell r="P4962">
            <v>2.5948952879581153</v>
          </cell>
        </row>
        <row r="4963">
          <cell r="A4963" t="str">
            <v>BPB-056-ENG458053-A</v>
          </cell>
          <cell r="G4963" t="str">
            <v>InRet</v>
          </cell>
          <cell r="L4963">
            <v>43963</v>
          </cell>
          <cell r="M4963">
            <v>69.25</v>
          </cell>
          <cell r="P4963">
            <v>5.9237545126353792</v>
          </cell>
        </row>
        <row r="4964">
          <cell r="A4964" t="str">
            <v>BPB-056-ENG458053-B</v>
          </cell>
          <cell r="G4964" t="str">
            <v>INSI$</v>
          </cell>
          <cell r="L4964">
            <v>43973</v>
          </cell>
          <cell r="M4964">
            <v>70</v>
          </cell>
          <cell r="P4964">
            <v>5.8602857142857143</v>
          </cell>
        </row>
        <row r="4965">
          <cell r="A4965" t="str">
            <v>BPB-056-ENG458053-C</v>
          </cell>
          <cell r="G4965" t="str">
            <v>InRet</v>
          </cell>
          <cell r="L4965">
            <v>43985</v>
          </cell>
          <cell r="M4965">
            <v>70.5</v>
          </cell>
          <cell r="P4965">
            <v>7.1236879432624116</v>
          </cell>
        </row>
        <row r="4966">
          <cell r="A4966" t="str">
            <v>BPB-056-ENG458053-F</v>
          </cell>
          <cell r="G4966" t="str">
            <v xml:space="preserve">INAC </v>
          </cell>
          <cell r="L4966">
            <v>43955</v>
          </cell>
          <cell r="M4966">
            <v>68.75</v>
          </cell>
          <cell r="P4966">
            <v>5.6269090909090913</v>
          </cell>
        </row>
        <row r="4967">
          <cell r="A4967" t="str">
            <v>BPB-056-ENG458053CHS</v>
          </cell>
          <cell r="G4967" t="str">
            <v>IDESP</v>
          </cell>
          <cell r="L4967">
            <v>45352</v>
          </cell>
          <cell r="M4967">
            <v>861</v>
          </cell>
          <cell r="P4967">
            <v>5.1529999999999996</v>
          </cell>
        </row>
        <row r="4968">
          <cell r="A4968" t="str">
            <v>BPB-056-ENG5575CHS</v>
          </cell>
          <cell r="G4968" t="str">
            <v>IDESP</v>
          </cell>
          <cell r="L4968">
            <v>44840</v>
          </cell>
          <cell r="M4968">
            <v>155.25</v>
          </cell>
          <cell r="P4968">
            <v>8.5299999999999994</v>
          </cell>
        </row>
        <row r="4969">
          <cell r="A4969" t="str">
            <v>BPB-056-ENG5575CHS-A</v>
          </cell>
          <cell r="G4969" t="str">
            <v xml:space="preserve">INSI </v>
          </cell>
          <cell r="L4969">
            <v>44714</v>
          </cell>
          <cell r="M4969">
            <v>125.25</v>
          </cell>
          <cell r="P4969">
            <v>13.8956</v>
          </cell>
        </row>
        <row r="4970">
          <cell r="A4970" t="str">
            <v>BPB-058-30205-MX</v>
          </cell>
          <cell r="G4970" t="str">
            <v xml:space="preserve">INAC </v>
          </cell>
          <cell r="L4970">
            <v>42551</v>
          </cell>
          <cell r="M4970">
            <v>15.2</v>
          </cell>
          <cell r="P4970">
            <v>1.368421052631579</v>
          </cell>
        </row>
        <row r="4971">
          <cell r="A4971" t="str">
            <v>BPB-058-30206-MX</v>
          </cell>
          <cell r="G4971" t="str">
            <v xml:space="preserve">INAC </v>
          </cell>
          <cell r="L4971">
            <v>42366</v>
          </cell>
          <cell r="M4971">
            <v>13.42</v>
          </cell>
          <cell r="P4971">
            <v>2.3308494783904621</v>
          </cell>
        </row>
        <row r="4972">
          <cell r="A4972" t="str">
            <v>BPB-058-30207-MX</v>
          </cell>
          <cell r="G4972" t="str">
            <v xml:space="preserve">CR   </v>
          </cell>
          <cell r="L4972">
            <v>43126.703275462962</v>
          </cell>
          <cell r="M4972">
            <v>19.86</v>
          </cell>
          <cell r="P4972">
            <v>0.80563947633434041</v>
          </cell>
        </row>
        <row r="4973">
          <cell r="A4973" t="str">
            <v>BPB-058-30208-MX</v>
          </cell>
          <cell r="G4973" t="str">
            <v>vpret</v>
          </cell>
          <cell r="L4973">
            <v>43804</v>
          </cell>
          <cell r="M4973">
            <v>62.25</v>
          </cell>
          <cell r="P4973">
            <v>1.51</v>
          </cell>
        </row>
        <row r="4974">
          <cell r="A4974" t="str">
            <v>BPB-058-30209-MX</v>
          </cell>
          <cell r="G4974" t="str">
            <v>vpret</v>
          </cell>
          <cell r="L4974">
            <v>44278</v>
          </cell>
          <cell r="M4974">
            <v>96.75</v>
          </cell>
          <cell r="P4974">
            <v>2.3100999999999998</v>
          </cell>
        </row>
        <row r="4975">
          <cell r="A4975" t="str">
            <v>BPB-058-30210-MX</v>
          </cell>
          <cell r="G4975" t="str">
            <v>vpret</v>
          </cell>
          <cell r="L4975">
            <v>44026</v>
          </cell>
          <cell r="M4975">
            <v>74.5</v>
          </cell>
          <cell r="P4975">
            <v>2.08</v>
          </cell>
        </row>
        <row r="4976">
          <cell r="A4976" t="str">
            <v>BPB-058-30211-MX</v>
          </cell>
          <cell r="G4976" t="str">
            <v>VPRet</v>
          </cell>
          <cell r="L4976">
            <v>42142</v>
          </cell>
          <cell r="M4976">
            <v>8.98</v>
          </cell>
          <cell r="P4976">
            <v>3.0716926503340756</v>
          </cell>
        </row>
        <row r="4977">
          <cell r="A4977" t="str">
            <v>BPB-058-30212-MX</v>
          </cell>
          <cell r="G4977" t="str">
            <v>vpret</v>
          </cell>
          <cell r="L4977">
            <v>45261</v>
          </cell>
          <cell r="M4977">
            <v>376</v>
          </cell>
          <cell r="P4977">
            <v>3.6532579787234041</v>
          </cell>
        </row>
        <row r="4978">
          <cell r="A4978" t="str">
            <v>BPB-058-30216-MX</v>
          </cell>
          <cell r="G4978" t="str">
            <v>VPRet</v>
          </cell>
          <cell r="L4978">
            <v>42622</v>
          </cell>
          <cell r="M4978">
            <v>15.31</v>
          </cell>
          <cell r="P4978">
            <v>7.51</v>
          </cell>
        </row>
        <row r="4979">
          <cell r="A4979" t="str">
            <v>BPB-058-30309-MX</v>
          </cell>
          <cell r="G4979" t="str">
            <v>VPRet</v>
          </cell>
          <cell r="L4979">
            <v>42619</v>
          </cell>
          <cell r="M4979">
            <v>15.25</v>
          </cell>
          <cell r="P4979">
            <v>3.8899999999999997</v>
          </cell>
        </row>
        <row r="4980">
          <cell r="A4980" t="str">
            <v>BPB-058-32009</v>
          </cell>
          <cell r="G4980" t="str">
            <v xml:space="preserve">INSI </v>
          </cell>
          <cell r="L4980">
            <v>41753</v>
          </cell>
          <cell r="M4980">
            <v>8.0500000000000007</v>
          </cell>
          <cell r="P4980">
            <v>0.23200000000000001</v>
          </cell>
        </row>
        <row r="4981">
          <cell r="A4981" t="str">
            <v>BPB-058-32017-MX</v>
          </cell>
          <cell r="G4981" t="str">
            <v xml:space="preserve">INAC </v>
          </cell>
          <cell r="L4981">
            <v>42310</v>
          </cell>
          <cell r="M4981">
            <v>9.61</v>
          </cell>
          <cell r="P4981">
            <v>20.697190426638919</v>
          </cell>
        </row>
        <row r="4982">
          <cell r="A4982" t="str">
            <v>BPB-058-32018-X</v>
          </cell>
          <cell r="G4982" t="str">
            <v>IPFAB</v>
          </cell>
          <cell r="L4982">
            <v>39854</v>
          </cell>
          <cell r="M4982">
            <v>3.4870000000000001</v>
          </cell>
          <cell r="P4982">
            <v>0.28677900000000001</v>
          </cell>
        </row>
        <row r="4983">
          <cell r="A4983" t="str">
            <v>BPB-058-32020</v>
          </cell>
          <cell r="G4983" t="str">
            <v xml:space="preserve">CR   </v>
          </cell>
          <cell r="L4983">
            <v>40428.376423611109</v>
          </cell>
          <cell r="M4983">
            <v>3.97</v>
          </cell>
          <cell r="P4983">
            <v>5.6840000000000002</v>
          </cell>
        </row>
        <row r="4984">
          <cell r="A4984" t="str">
            <v>BPB-058-32024-X</v>
          </cell>
          <cell r="G4984" t="str">
            <v xml:space="preserve">CR   </v>
          </cell>
          <cell r="L4984">
            <v>40428.376423611109</v>
          </cell>
          <cell r="M4984">
            <v>3.97</v>
          </cell>
          <cell r="P4984">
            <v>0.28499999999999998</v>
          </cell>
        </row>
        <row r="4985">
          <cell r="A4985" t="str">
            <v>BPB-058-32210-MX</v>
          </cell>
          <cell r="G4985" t="str">
            <v>vpret</v>
          </cell>
          <cell r="L4985">
            <v>43991</v>
          </cell>
          <cell r="M4985">
            <v>70.75</v>
          </cell>
          <cell r="P4985">
            <v>2.9108000000000001</v>
          </cell>
        </row>
        <row r="4986">
          <cell r="A4986" t="str">
            <v>BPB-058-32211-MX</v>
          </cell>
          <cell r="G4986" t="str">
            <v>vpret</v>
          </cell>
          <cell r="L4986">
            <v>43390</v>
          </cell>
          <cell r="M4986">
            <v>36.9</v>
          </cell>
          <cell r="P4986">
            <v>4.4789430894308948</v>
          </cell>
        </row>
        <row r="4987">
          <cell r="A4987" t="str">
            <v>BPB-058-32212-MX</v>
          </cell>
          <cell r="G4987" t="str">
            <v>VPRet</v>
          </cell>
          <cell r="L4987">
            <v>42145</v>
          </cell>
          <cell r="M4987">
            <v>8.99</v>
          </cell>
          <cell r="P4987">
            <v>5.4401999999999999</v>
          </cell>
        </row>
        <row r="4988">
          <cell r="A4988" t="str">
            <v>BPB-058-32310</v>
          </cell>
          <cell r="G4988" t="str">
            <v xml:space="preserve">INAC </v>
          </cell>
          <cell r="L4988">
            <v>42433</v>
          </cell>
          <cell r="M4988">
            <v>15.73</v>
          </cell>
          <cell r="P4988">
            <v>35.600762873490147</v>
          </cell>
        </row>
        <row r="4989">
          <cell r="A4989" t="str">
            <v>BPB-058-33010</v>
          </cell>
          <cell r="G4989" t="str">
            <v>INDEV</v>
          </cell>
          <cell r="L4989">
            <v>41288</v>
          </cell>
          <cell r="M4989">
            <v>4.95</v>
          </cell>
          <cell r="P4989">
            <v>5.2787878787878784</v>
          </cell>
        </row>
        <row r="4990">
          <cell r="A4990" t="str">
            <v>BPB-058-33117</v>
          </cell>
          <cell r="G4990" t="str">
            <v>IDESP</v>
          </cell>
          <cell r="L4990">
            <v>40646</v>
          </cell>
          <cell r="M4990">
            <v>4.08</v>
          </cell>
          <cell r="P4990">
            <v>9.3099000000000007</v>
          </cell>
        </row>
        <row r="4991">
          <cell r="A4991" t="str">
            <v>BPB-058-LM104949-911</v>
          </cell>
          <cell r="G4991" t="str">
            <v>vpret</v>
          </cell>
          <cell r="L4991">
            <v>44442</v>
          </cell>
          <cell r="M4991">
            <v>103</v>
          </cell>
          <cell r="P4991">
            <v>2.7173883495145632</v>
          </cell>
        </row>
        <row r="4992">
          <cell r="A4992" t="str">
            <v>BPB-059-59502-02-A2</v>
          </cell>
          <cell r="G4992" t="str">
            <v>VPRet</v>
          </cell>
          <cell r="L4992">
            <v>42569</v>
          </cell>
          <cell r="M4992">
            <v>15.4</v>
          </cell>
          <cell r="P4992">
            <v>1.2165194805194806</v>
          </cell>
        </row>
        <row r="4993">
          <cell r="A4993" t="str">
            <v>BPB-059-59502-03-A3</v>
          </cell>
          <cell r="G4993" t="str">
            <v>VPRet</v>
          </cell>
          <cell r="L4993">
            <v>42569</v>
          </cell>
          <cell r="M4993">
            <v>15.4</v>
          </cell>
          <cell r="P4993">
            <v>0.37376863636363639</v>
          </cell>
        </row>
        <row r="4994">
          <cell r="A4994" t="str">
            <v>BPB-059-59502-08-A8</v>
          </cell>
          <cell r="G4994" t="str">
            <v>VPRet</v>
          </cell>
          <cell r="L4994">
            <v>42569</v>
          </cell>
          <cell r="M4994">
            <v>15.4</v>
          </cell>
          <cell r="P4994">
            <v>0.34996590909090908</v>
          </cell>
        </row>
        <row r="4995">
          <cell r="A4995" t="str">
            <v>BPB-059-AG-205-SB</v>
          </cell>
          <cell r="G4995" t="str">
            <v>IPFAB</v>
          </cell>
          <cell r="L4995">
            <v>39582</v>
          </cell>
          <cell r="M4995">
            <v>3.165</v>
          </cell>
          <cell r="P4995">
            <v>14.030964000000001</v>
          </cell>
        </row>
        <row r="4996">
          <cell r="A4996" t="str">
            <v>BPB-059-BUJE-205-SB</v>
          </cell>
          <cell r="G4996" t="str">
            <v xml:space="preserve">INAC </v>
          </cell>
          <cell r="L4996">
            <v>39637</v>
          </cell>
          <cell r="M4996">
            <v>3.0169999999999999</v>
          </cell>
          <cell r="P4996">
            <v>1.3589658601259529</v>
          </cell>
        </row>
        <row r="4997">
          <cell r="A4997" t="str">
            <v>BPB-059-EJE-205-SB</v>
          </cell>
          <cell r="G4997" t="str">
            <v xml:space="preserve">INAC </v>
          </cell>
          <cell r="L4997">
            <v>39653</v>
          </cell>
          <cell r="M4997">
            <v>3.0179999999999998</v>
          </cell>
          <cell r="P4997">
            <v>2.4519549370444005</v>
          </cell>
        </row>
        <row r="4998">
          <cell r="A4998" t="str">
            <v>BPB-059-GU-2047</v>
          </cell>
          <cell r="G4998" t="str">
            <v xml:space="preserve">INAC </v>
          </cell>
          <cell r="L4998">
            <v>44529</v>
          </cell>
          <cell r="M4998">
            <v>105.75</v>
          </cell>
          <cell r="P4998">
            <v>0.18751773049645387</v>
          </cell>
        </row>
        <row r="4999">
          <cell r="A4999" t="str">
            <v>BPB-059-PB003367A</v>
          </cell>
          <cell r="G4999" t="str">
            <v>vpret</v>
          </cell>
          <cell r="L4999">
            <v>44484</v>
          </cell>
          <cell r="M4999">
            <v>104.25</v>
          </cell>
          <cell r="P4999">
            <v>9.5923261390887292E-4</v>
          </cell>
        </row>
        <row r="5000">
          <cell r="A5000" t="str">
            <v>BPB-099-CP-6G081740A</v>
          </cell>
          <cell r="G5000" t="str">
            <v xml:space="preserve">CR   </v>
          </cell>
          <cell r="L5000">
            <v>42139.431759259256</v>
          </cell>
          <cell r="M5000">
            <v>8.9700000000000006</v>
          </cell>
          <cell r="P5000">
            <v>1.1148272017837236E-2</v>
          </cell>
        </row>
        <row r="5001">
          <cell r="A5001" t="str">
            <v>BPB-099-CP-6H081933</v>
          </cell>
          <cell r="G5001" t="str">
            <v xml:space="preserve">CR   </v>
          </cell>
          <cell r="L5001">
            <v>42139.431759259256</v>
          </cell>
          <cell r="M5001">
            <v>8.9700000000000006</v>
          </cell>
          <cell r="P5001">
            <v>1.1148272017837236E-2</v>
          </cell>
        </row>
        <row r="5002">
          <cell r="A5002" t="str">
            <v>BPB-099-FOLDER</v>
          </cell>
          <cell r="G5002" t="str">
            <v xml:space="preserve">CR   </v>
          </cell>
          <cell r="L5002">
            <v>40486.76048611111</v>
          </cell>
          <cell r="M5002">
            <v>3.98</v>
          </cell>
          <cell r="P5002">
            <v>2.5125628140703518E-3</v>
          </cell>
        </row>
        <row r="5003">
          <cell r="A5003" t="str">
            <v>BPB-099-PEN-1-A</v>
          </cell>
          <cell r="G5003" t="str">
            <v xml:space="preserve">CR   </v>
          </cell>
          <cell r="L5003">
            <v>42139.431759259256</v>
          </cell>
          <cell r="M5003">
            <v>8.9700000000000006</v>
          </cell>
          <cell r="P5003">
            <v>1.1148272017837236E-2</v>
          </cell>
        </row>
        <row r="5004">
          <cell r="A5004" t="str">
            <v>BPB-133-01.10.016</v>
          </cell>
          <cell r="G5004" t="str">
            <v>vpret</v>
          </cell>
          <cell r="L5004">
            <v>45819</v>
          </cell>
          <cell r="M5004">
            <v>1200</v>
          </cell>
          <cell r="P5004">
            <v>18.2506375</v>
          </cell>
        </row>
        <row r="5005">
          <cell r="A5005" t="str">
            <v>BPB-133-01.10.017</v>
          </cell>
          <cell r="G5005" t="str">
            <v>vpret</v>
          </cell>
          <cell r="L5005">
            <v>45819</v>
          </cell>
          <cell r="M5005">
            <v>1200</v>
          </cell>
          <cell r="P5005">
            <v>19.987420833333331</v>
          </cell>
        </row>
        <row r="5006">
          <cell r="A5006" t="str">
            <v>BPB-133-04330121-01</v>
          </cell>
          <cell r="G5006" t="str">
            <v>vpret</v>
          </cell>
          <cell r="L5006">
            <v>45782</v>
          </cell>
          <cell r="M5006">
            <v>1190</v>
          </cell>
          <cell r="P5006">
            <v>59.804921008403362</v>
          </cell>
        </row>
        <row r="5007">
          <cell r="A5007" t="str">
            <v>BPB-133-ASA-410-04</v>
          </cell>
          <cell r="G5007" t="str">
            <v>IDESP</v>
          </cell>
          <cell r="L5007">
            <v>42829</v>
          </cell>
          <cell r="M5007">
            <v>15.72</v>
          </cell>
          <cell r="P5007">
            <v>8.9999999999999993E-3</v>
          </cell>
        </row>
        <row r="5008">
          <cell r="A5008" t="str">
            <v>BPB-133-ASA-80-2-10</v>
          </cell>
          <cell r="G5008" t="str">
            <v>vpret</v>
          </cell>
          <cell r="L5008">
            <v>45855</v>
          </cell>
          <cell r="M5008">
            <v>1275</v>
          </cell>
          <cell r="P5008">
            <v>19.787599999999998</v>
          </cell>
        </row>
        <row r="5009">
          <cell r="A5009" t="str">
            <v>BPB-133-ASA-80-2-12</v>
          </cell>
          <cell r="G5009" t="str">
            <v>vpret</v>
          </cell>
          <cell r="L5009">
            <v>45855</v>
          </cell>
          <cell r="M5009">
            <v>1275</v>
          </cell>
          <cell r="P5009">
            <v>20.21469568627451</v>
          </cell>
        </row>
        <row r="5010">
          <cell r="A5010" t="str">
            <v>BPB-133-CA-550-A01</v>
          </cell>
          <cell r="G5010" t="str">
            <v>vpret</v>
          </cell>
          <cell r="L5010">
            <v>45981</v>
          </cell>
          <cell r="M5010">
            <v>1430</v>
          </cell>
          <cell r="P5010">
            <v>61.683566433566433</v>
          </cell>
        </row>
        <row r="5011">
          <cell r="A5011" t="str">
            <v>BPB-133-CA-550-A02</v>
          </cell>
          <cell r="G5011" t="str">
            <v>VPRet</v>
          </cell>
          <cell r="L5011">
            <v>43196</v>
          </cell>
          <cell r="M5011">
            <v>20.5</v>
          </cell>
          <cell r="P5011">
            <v>10.216048780487805</v>
          </cell>
        </row>
        <row r="5012">
          <cell r="A5012" t="str">
            <v>BPB-133-E080001004</v>
          </cell>
          <cell r="G5012" t="str">
            <v>vpret</v>
          </cell>
          <cell r="L5012">
            <v>45475</v>
          </cell>
          <cell r="M5012">
            <v>932.5</v>
          </cell>
          <cell r="P5012">
            <v>8.4290680965147455</v>
          </cell>
        </row>
        <row r="5013">
          <cell r="A5013" t="str">
            <v>BPB-133-E080001012</v>
          </cell>
          <cell r="G5013" t="str">
            <v>vpret</v>
          </cell>
          <cell r="L5013">
            <v>45965</v>
          </cell>
          <cell r="M5013">
            <v>1500</v>
          </cell>
          <cell r="P5013">
            <v>9.2680800000000012</v>
          </cell>
        </row>
        <row r="5014">
          <cell r="A5014" t="str">
            <v>BPB-133-M040000059</v>
          </cell>
          <cell r="G5014" t="str">
            <v>vpret</v>
          </cell>
          <cell r="L5014">
            <v>45481</v>
          </cell>
          <cell r="M5014">
            <v>934.5</v>
          </cell>
          <cell r="P5014">
            <v>105.73168004280365</v>
          </cell>
        </row>
        <row r="5015">
          <cell r="A5015" t="str">
            <v>BPB-133-M040000075</v>
          </cell>
          <cell r="G5015" t="str">
            <v>vpret</v>
          </cell>
          <cell r="L5015">
            <v>45996</v>
          </cell>
          <cell r="M5015">
            <v>1470</v>
          </cell>
          <cell r="P5015">
            <v>125.72074965986396</v>
          </cell>
        </row>
        <row r="5016">
          <cell r="A5016" t="str">
            <v>BPB-133-M040000077</v>
          </cell>
          <cell r="G5016" t="str">
            <v>vpret</v>
          </cell>
          <cell r="L5016">
            <v>45481</v>
          </cell>
          <cell r="M5016">
            <v>934.5</v>
          </cell>
          <cell r="P5016">
            <v>59.173111824505085</v>
          </cell>
        </row>
        <row r="5017">
          <cell r="A5017" t="str">
            <v>BPB-133-PB000152</v>
          </cell>
          <cell r="G5017" t="str">
            <v>VPRet</v>
          </cell>
          <cell r="L5017">
            <v>42870</v>
          </cell>
          <cell r="M5017">
            <v>15.77</v>
          </cell>
          <cell r="P5017">
            <v>4.4806594800253645</v>
          </cell>
        </row>
        <row r="5018">
          <cell r="A5018" t="str">
            <v>BPB-133-PB000153</v>
          </cell>
          <cell r="G5018" t="str">
            <v>vpret</v>
          </cell>
          <cell r="L5018">
            <v>43832</v>
          </cell>
          <cell r="M5018">
            <v>63</v>
          </cell>
          <cell r="P5018">
            <v>0.34809523809523807</v>
          </cell>
        </row>
        <row r="5019">
          <cell r="A5019" t="str">
            <v>BPB-133-PB000154</v>
          </cell>
          <cell r="G5019" t="str">
            <v>VPRet</v>
          </cell>
          <cell r="L5019">
            <v>43145</v>
          </cell>
          <cell r="M5019">
            <v>20.399999999999999</v>
          </cell>
          <cell r="P5019">
            <v>4.7928921568627461</v>
          </cell>
        </row>
        <row r="5020">
          <cell r="A5020" t="str">
            <v>BPB-133-PB000155</v>
          </cell>
          <cell r="G5020" t="str">
            <v>vpret</v>
          </cell>
          <cell r="L5020">
            <v>45972</v>
          </cell>
          <cell r="M5020">
            <v>1445</v>
          </cell>
          <cell r="P5020">
            <v>3.113</v>
          </cell>
        </row>
        <row r="5021">
          <cell r="A5021" t="str">
            <v>BPB-133-PB000156</v>
          </cell>
          <cell r="G5021" t="str">
            <v>VPRet</v>
          </cell>
          <cell r="L5021">
            <v>43145</v>
          </cell>
          <cell r="M5021">
            <v>20.399999999999999</v>
          </cell>
          <cell r="P5021">
            <v>1.7218627450980393</v>
          </cell>
        </row>
        <row r="5022">
          <cell r="A5022" t="str">
            <v>BPB-133-PB000157</v>
          </cell>
          <cell r="G5022" t="str">
            <v>vpret</v>
          </cell>
          <cell r="L5022">
            <v>45579</v>
          </cell>
          <cell r="M5022">
            <v>998.5</v>
          </cell>
          <cell r="P5022">
            <v>1.9562003004506761</v>
          </cell>
        </row>
        <row r="5023">
          <cell r="A5023" t="str">
            <v>BPB-133-PB000159</v>
          </cell>
          <cell r="G5023" t="str">
            <v>VPRet</v>
          </cell>
          <cell r="L5023">
            <v>42893</v>
          </cell>
          <cell r="M5023">
            <v>16.239999999999998</v>
          </cell>
          <cell r="P5023">
            <v>1.8208128078817736</v>
          </cell>
        </row>
        <row r="5024">
          <cell r="A5024" t="str">
            <v>BPB-133-PB000721</v>
          </cell>
          <cell r="G5024" t="str">
            <v>vpret</v>
          </cell>
          <cell r="L5024">
            <v>45951</v>
          </cell>
          <cell r="M5024">
            <v>1495</v>
          </cell>
          <cell r="P5024">
            <v>0.82251237458193982</v>
          </cell>
        </row>
        <row r="5025">
          <cell r="A5025" t="str">
            <v>BPB-133-PB000840</v>
          </cell>
          <cell r="G5025" t="str">
            <v>vpret</v>
          </cell>
          <cell r="L5025">
            <v>45972</v>
          </cell>
          <cell r="M5025">
            <v>1445</v>
          </cell>
          <cell r="P5025">
            <v>2.514499653979239</v>
          </cell>
        </row>
        <row r="5026">
          <cell r="A5026" t="str">
            <v>BPB-133-PB000842</v>
          </cell>
          <cell r="G5026" t="str">
            <v>vpret</v>
          </cell>
          <cell r="L5026">
            <v>43864</v>
          </cell>
          <cell r="M5026">
            <v>63</v>
          </cell>
          <cell r="P5026">
            <v>1.948</v>
          </cell>
        </row>
        <row r="5027">
          <cell r="A5027" t="str">
            <v>BPB-133-PB000849</v>
          </cell>
          <cell r="G5027" t="str">
            <v>vpret</v>
          </cell>
          <cell r="L5027">
            <v>45812</v>
          </cell>
          <cell r="M5027">
            <v>1200</v>
          </cell>
          <cell r="P5027">
            <v>1.3718600000000001</v>
          </cell>
        </row>
        <row r="5028">
          <cell r="A5028" t="str">
            <v>BPB-133-PB000850</v>
          </cell>
          <cell r="G5028" t="str">
            <v>vpret</v>
          </cell>
          <cell r="L5028">
            <v>43340</v>
          </cell>
          <cell r="M5028">
            <v>31.4</v>
          </cell>
          <cell r="P5028">
            <v>2.3878662420382168</v>
          </cell>
        </row>
        <row r="5029">
          <cell r="A5029" t="str">
            <v>BPB-133-PB000852</v>
          </cell>
          <cell r="G5029" t="str">
            <v>vpret</v>
          </cell>
          <cell r="L5029">
            <v>45943</v>
          </cell>
          <cell r="M5029">
            <v>1450</v>
          </cell>
          <cell r="P5029">
            <v>2.245015172413793</v>
          </cell>
        </row>
        <row r="5030">
          <cell r="A5030" t="str">
            <v>BPB-133-PB000861</v>
          </cell>
          <cell r="G5030" t="str">
            <v>VPRet</v>
          </cell>
          <cell r="L5030">
            <v>43068</v>
          </cell>
          <cell r="M5030">
            <v>17.72</v>
          </cell>
          <cell r="P5030">
            <v>3.3398419864559821</v>
          </cell>
        </row>
        <row r="5031">
          <cell r="A5031" t="str">
            <v>BPB-133-PB000862</v>
          </cell>
          <cell r="G5031" t="str">
            <v>VPRet</v>
          </cell>
          <cell r="L5031">
            <v>43082</v>
          </cell>
          <cell r="M5031">
            <v>17.670000000000002</v>
          </cell>
          <cell r="P5031">
            <v>1.7792303338992641</v>
          </cell>
        </row>
        <row r="5032">
          <cell r="A5032" t="str">
            <v>BPB-133-PB000863</v>
          </cell>
          <cell r="G5032" t="str">
            <v>vpret</v>
          </cell>
          <cell r="L5032">
            <v>44036</v>
          </cell>
          <cell r="M5032">
            <v>75.5</v>
          </cell>
          <cell r="P5032">
            <v>1.0919205298013244</v>
          </cell>
        </row>
        <row r="5033">
          <cell r="A5033" t="str">
            <v>BPB-133-PB000864</v>
          </cell>
          <cell r="G5033" t="str">
            <v>vpret</v>
          </cell>
          <cell r="L5033">
            <v>45814</v>
          </cell>
          <cell r="M5033">
            <v>1205</v>
          </cell>
          <cell r="P5033">
            <v>3.0369858921161828</v>
          </cell>
        </row>
        <row r="5034">
          <cell r="A5034" t="str">
            <v>BPB-133-PB000954</v>
          </cell>
          <cell r="G5034" t="str">
            <v>VPRet</v>
          </cell>
          <cell r="L5034">
            <v>42843</v>
          </cell>
          <cell r="M5034">
            <v>15.53</v>
          </cell>
          <cell r="P5034">
            <v>2.3232453316162265</v>
          </cell>
        </row>
        <row r="5035">
          <cell r="A5035" t="str">
            <v>BPB-133-PB001027</v>
          </cell>
          <cell r="G5035" t="str">
            <v>vpret</v>
          </cell>
          <cell r="L5035">
            <v>44607</v>
          </cell>
          <cell r="M5035">
            <v>111.75</v>
          </cell>
          <cell r="P5035">
            <v>4.8113736017897093</v>
          </cell>
        </row>
        <row r="5036">
          <cell r="A5036" t="str">
            <v>BPB-133-PB001028</v>
          </cell>
          <cell r="G5036" t="str">
            <v>vpret</v>
          </cell>
          <cell r="L5036">
            <v>44607</v>
          </cell>
          <cell r="M5036">
            <v>111.75</v>
          </cell>
          <cell r="P5036">
            <v>2.7048411633109621</v>
          </cell>
        </row>
        <row r="5037">
          <cell r="A5037" t="str">
            <v>BPB-133-PB001029</v>
          </cell>
          <cell r="G5037" t="str">
            <v>vpret</v>
          </cell>
          <cell r="L5037">
            <v>45944</v>
          </cell>
          <cell r="M5037">
            <v>1375</v>
          </cell>
          <cell r="P5037">
            <v>2.8084145454545455</v>
          </cell>
        </row>
        <row r="5038">
          <cell r="A5038" t="str">
            <v>BPB-133-PB001030</v>
          </cell>
          <cell r="G5038" t="str">
            <v>vpret</v>
          </cell>
          <cell r="L5038">
            <v>44278</v>
          </cell>
          <cell r="M5038">
            <v>96.75</v>
          </cell>
          <cell r="P5038">
            <v>1.2589147286821705E-2</v>
          </cell>
        </row>
        <row r="5039">
          <cell r="A5039" t="str">
            <v>BPB-133-PB001055</v>
          </cell>
          <cell r="G5039" t="str">
            <v>vpret</v>
          </cell>
          <cell r="L5039">
            <v>44606</v>
          </cell>
          <cell r="M5039">
            <v>111.25</v>
          </cell>
          <cell r="P5039">
            <v>2.3059955056179775</v>
          </cell>
        </row>
        <row r="5040">
          <cell r="A5040" t="str">
            <v>BPB-133-PB001096</v>
          </cell>
          <cell r="G5040" t="str">
            <v>vpret</v>
          </cell>
          <cell r="L5040">
            <v>45972</v>
          </cell>
          <cell r="M5040">
            <v>1445</v>
          </cell>
          <cell r="P5040">
            <v>1.8304</v>
          </cell>
        </row>
        <row r="5041">
          <cell r="A5041" t="str">
            <v>BPB-133-PB001097</v>
          </cell>
          <cell r="G5041" t="str">
            <v>vpret</v>
          </cell>
          <cell r="L5041">
            <v>46008</v>
          </cell>
          <cell r="M5041">
            <v>1480</v>
          </cell>
          <cell r="P5041">
            <v>1.3582925675675674</v>
          </cell>
        </row>
        <row r="5042">
          <cell r="A5042" t="str">
            <v>BPB-133-PB001098</v>
          </cell>
          <cell r="G5042" t="str">
            <v>vpret</v>
          </cell>
          <cell r="L5042">
            <v>44607</v>
          </cell>
          <cell r="M5042">
            <v>111.75</v>
          </cell>
          <cell r="P5042">
            <v>5.0473199105145419</v>
          </cell>
        </row>
        <row r="5043">
          <cell r="A5043" t="str">
            <v>BPB-133-PB001184</v>
          </cell>
          <cell r="G5043" t="str">
            <v>vpret</v>
          </cell>
          <cell r="L5043">
            <v>45804</v>
          </cell>
          <cell r="M5043">
            <v>1160</v>
          </cell>
          <cell r="P5043">
            <v>3.0556724137931033</v>
          </cell>
        </row>
        <row r="5044">
          <cell r="A5044" t="str">
            <v>BPB-133-PB001284</v>
          </cell>
          <cell r="G5044" t="str">
            <v>vpret</v>
          </cell>
          <cell r="L5044">
            <v>45594</v>
          </cell>
          <cell r="M5044">
            <v>1008</v>
          </cell>
          <cell r="P5044">
            <v>1.3077490079365079</v>
          </cell>
        </row>
        <row r="5045">
          <cell r="A5045" t="str">
            <v>BPB-133-PB001335</v>
          </cell>
          <cell r="G5045" t="str">
            <v>vpret</v>
          </cell>
          <cell r="L5045">
            <v>45919</v>
          </cell>
          <cell r="M5045">
            <v>1495</v>
          </cell>
          <cell r="P5045">
            <v>1.8468816053511707</v>
          </cell>
        </row>
        <row r="5046">
          <cell r="A5046" t="str">
            <v>BPB-133-PB001349</v>
          </cell>
          <cell r="G5046" t="str">
            <v>VPRet</v>
          </cell>
          <cell r="L5046">
            <v>42930</v>
          </cell>
          <cell r="M5046">
            <v>17.25</v>
          </cell>
          <cell r="P5046">
            <v>1.2550724637681159</v>
          </cell>
        </row>
        <row r="5047">
          <cell r="A5047" t="str">
            <v>BPB-133-PB001429</v>
          </cell>
          <cell r="G5047" t="str">
            <v>VPRet</v>
          </cell>
          <cell r="L5047">
            <v>42838</v>
          </cell>
          <cell r="M5047">
            <v>15.52</v>
          </cell>
          <cell r="P5047">
            <v>1.1617268041237114</v>
          </cell>
        </row>
        <row r="5048">
          <cell r="A5048" t="str">
            <v>BPB-133-PB001440</v>
          </cell>
          <cell r="G5048" t="str">
            <v>VPRet</v>
          </cell>
          <cell r="L5048">
            <v>42842</v>
          </cell>
          <cell r="M5048">
            <v>15.52</v>
          </cell>
          <cell r="P5048">
            <v>1.7229381443298968</v>
          </cell>
        </row>
        <row r="5049">
          <cell r="A5049" t="str">
            <v>BPB-133-PB001459</v>
          </cell>
          <cell r="G5049" t="str">
            <v>VPRet</v>
          </cell>
          <cell r="L5049">
            <v>42842</v>
          </cell>
          <cell r="M5049">
            <v>15.52</v>
          </cell>
          <cell r="P5049">
            <v>1.6681701030927836</v>
          </cell>
        </row>
        <row r="5050">
          <cell r="A5050" t="str">
            <v>BPB-133-PB001470</v>
          </cell>
          <cell r="G5050" t="str">
            <v>VPRet</v>
          </cell>
          <cell r="L5050">
            <v>42899</v>
          </cell>
          <cell r="M5050">
            <v>16.170000000000002</v>
          </cell>
          <cell r="P5050">
            <v>4</v>
          </cell>
        </row>
        <row r="5051">
          <cell r="A5051" t="str">
            <v>BPB-133-PB001473</v>
          </cell>
          <cell r="G5051" t="str">
            <v>VPRet</v>
          </cell>
          <cell r="L5051">
            <v>42900</v>
          </cell>
          <cell r="M5051">
            <v>16.170000000000002</v>
          </cell>
          <cell r="P5051">
            <v>3.9437229437229435</v>
          </cell>
        </row>
        <row r="5052">
          <cell r="A5052" t="str">
            <v>BPB-133-PB001506</v>
          </cell>
          <cell r="G5052" t="str">
            <v>vpret</v>
          </cell>
          <cell r="L5052">
            <v>43271</v>
          </cell>
          <cell r="M5052">
            <v>28.1</v>
          </cell>
          <cell r="P5052">
            <v>1.790035587188612</v>
          </cell>
        </row>
        <row r="5053">
          <cell r="A5053" t="str">
            <v>BPB-133-PB001540</v>
          </cell>
          <cell r="G5053" t="str">
            <v>VPRet</v>
          </cell>
          <cell r="L5053">
            <v>42871</v>
          </cell>
          <cell r="M5053">
            <v>15.81</v>
          </cell>
          <cell r="P5053">
            <v>1.3181530676786843</v>
          </cell>
        </row>
        <row r="5054">
          <cell r="A5054" t="str">
            <v>BPB-133-PB001600</v>
          </cell>
          <cell r="G5054" t="str">
            <v>VPRet</v>
          </cell>
          <cell r="L5054">
            <v>42858</v>
          </cell>
          <cell r="M5054">
            <v>15.67</v>
          </cell>
          <cell r="P5054">
            <v>1.7281429483088704</v>
          </cell>
        </row>
        <row r="5055">
          <cell r="A5055" t="str">
            <v>BPB-133-PB001842</v>
          </cell>
          <cell r="G5055" t="str">
            <v>vpret</v>
          </cell>
          <cell r="L5055">
            <v>45792</v>
          </cell>
          <cell r="M5055">
            <v>1150</v>
          </cell>
          <cell r="P5055">
            <v>4.0621999999999998</v>
          </cell>
        </row>
        <row r="5056">
          <cell r="A5056" t="str">
            <v>BPB-133-PB002091</v>
          </cell>
          <cell r="G5056" t="str">
            <v>vpret</v>
          </cell>
          <cell r="L5056">
            <v>45799</v>
          </cell>
          <cell r="M5056">
            <v>1160</v>
          </cell>
          <cell r="P5056">
            <v>1.6297448275862068</v>
          </cell>
        </row>
        <row r="5057">
          <cell r="A5057" t="str">
            <v>BPB-133-PB002452</v>
          </cell>
          <cell r="G5057" t="str">
            <v>vpret</v>
          </cell>
          <cell r="L5057">
            <v>45813</v>
          </cell>
          <cell r="M5057">
            <v>1200</v>
          </cell>
          <cell r="P5057">
            <v>2.4634924999999996</v>
          </cell>
        </row>
        <row r="5058">
          <cell r="A5058" t="str">
            <v>BPB-133-PB002860</v>
          </cell>
          <cell r="G5058" t="str">
            <v>vpret</v>
          </cell>
          <cell r="L5058">
            <v>45965</v>
          </cell>
          <cell r="M5058">
            <v>1500</v>
          </cell>
          <cell r="P5058">
            <v>4.943170666666667</v>
          </cell>
        </row>
        <row r="5059">
          <cell r="A5059" t="str">
            <v>BPB-133-PB002861</v>
          </cell>
          <cell r="G5059" t="str">
            <v>vpret</v>
          </cell>
          <cell r="L5059">
            <v>45812</v>
          </cell>
          <cell r="M5059">
            <v>1200</v>
          </cell>
          <cell r="P5059">
            <v>2.64812</v>
          </cell>
        </row>
        <row r="5060">
          <cell r="A5060" t="str">
            <v>BPB-133-PB002862</v>
          </cell>
          <cell r="G5060" t="str">
            <v>vpret</v>
          </cell>
          <cell r="L5060">
            <v>44847</v>
          </cell>
          <cell r="M5060">
            <v>157.25</v>
          </cell>
          <cell r="P5060">
            <v>2.6534817170111289</v>
          </cell>
        </row>
        <row r="5061">
          <cell r="A5061" t="str">
            <v>BPB-133-PB003254</v>
          </cell>
          <cell r="G5061" t="str">
            <v>vpret</v>
          </cell>
          <cell r="L5061">
            <v>45972</v>
          </cell>
          <cell r="M5061">
            <v>1445</v>
          </cell>
          <cell r="P5061">
            <v>1.5568</v>
          </cell>
        </row>
        <row r="5062">
          <cell r="A5062" t="str">
            <v>BPB-133-PB003292</v>
          </cell>
          <cell r="G5062" t="str">
            <v>vpret</v>
          </cell>
          <cell r="L5062">
            <v>45804</v>
          </cell>
          <cell r="M5062">
            <v>1160</v>
          </cell>
          <cell r="P5062">
            <v>1.8288827586206895</v>
          </cell>
        </row>
        <row r="5063">
          <cell r="A5063" t="str">
            <v>BPB-133-PB003312</v>
          </cell>
          <cell r="G5063" t="str">
            <v>vpret</v>
          </cell>
          <cell r="L5063">
            <v>44606</v>
          </cell>
          <cell r="M5063">
            <v>111.25</v>
          </cell>
          <cell r="P5063">
            <v>1.6699955056179776</v>
          </cell>
        </row>
        <row r="5064">
          <cell r="A5064" t="str">
            <v>BPB-133-PB004008</v>
          </cell>
          <cell r="G5064" t="str">
            <v>vpret</v>
          </cell>
          <cell r="L5064">
            <v>45048</v>
          </cell>
          <cell r="M5064">
            <v>229</v>
          </cell>
          <cell r="P5064">
            <v>4.8356768558951959</v>
          </cell>
        </row>
        <row r="5065">
          <cell r="A5065" t="str">
            <v>BPB-133-PB004009</v>
          </cell>
          <cell r="G5065" t="str">
            <v>vpret</v>
          </cell>
          <cell r="L5065">
            <v>45048</v>
          </cell>
          <cell r="M5065">
            <v>229</v>
          </cell>
          <cell r="P5065">
            <v>3.4251921397379914</v>
          </cell>
        </row>
        <row r="5066">
          <cell r="A5066" t="str">
            <v>BPB-133-PB004010</v>
          </cell>
          <cell r="G5066" t="str">
            <v>vpret</v>
          </cell>
          <cell r="L5066">
            <v>45049</v>
          </cell>
          <cell r="M5066">
            <v>230.5</v>
          </cell>
          <cell r="P5066">
            <v>3.8549370932754878</v>
          </cell>
        </row>
        <row r="5067">
          <cell r="A5067" t="str">
            <v>BPB-133-PB004011</v>
          </cell>
          <cell r="G5067" t="str">
            <v>vpret</v>
          </cell>
          <cell r="L5067">
            <v>45048</v>
          </cell>
          <cell r="M5067">
            <v>229</v>
          </cell>
          <cell r="P5067">
            <v>1.8971004366812225</v>
          </cell>
        </row>
        <row r="5068">
          <cell r="A5068" t="str">
            <v>BPB-133-PB004012</v>
          </cell>
          <cell r="G5068" t="str">
            <v>vpret</v>
          </cell>
          <cell r="L5068">
            <v>45350</v>
          </cell>
          <cell r="M5068">
            <v>860</v>
          </cell>
          <cell r="P5068">
            <v>1.1537290697674418</v>
          </cell>
        </row>
        <row r="5069">
          <cell r="A5069" t="str">
            <v>BPB-133-PB004013</v>
          </cell>
          <cell r="G5069" t="str">
            <v>vpret</v>
          </cell>
          <cell r="L5069">
            <v>45048</v>
          </cell>
          <cell r="M5069">
            <v>229</v>
          </cell>
          <cell r="P5069">
            <v>2.2441310043668121</v>
          </cell>
        </row>
        <row r="5070">
          <cell r="A5070" t="str">
            <v>BPB-133-PB004520</v>
          </cell>
          <cell r="G5070" t="str">
            <v>vpret</v>
          </cell>
          <cell r="L5070">
            <v>45818</v>
          </cell>
          <cell r="M5070">
            <v>1200</v>
          </cell>
          <cell r="P5070">
            <v>4.1407999999999996</v>
          </cell>
        </row>
        <row r="5071">
          <cell r="A5071" t="str">
            <v>BPB-133-PB004758</v>
          </cell>
          <cell r="G5071" t="str">
            <v>vpret</v>
          </cell>
          <cell r="L5071">
            <v>44285</v>
          </cell>
          <cell r="M5071">
            <v>97.25</v>
          </cell>
          <cell r="P5071">
            <v>4.8051413881748072E-2</v>
          </cell>
        </row>
        <row r="5072">
          <cell r="A5072" t="str">
            <v>BPB-133-PB004759</v>
          </cell>
          <cell r="G5072" t="str">
            <v>vpret</v>
          </cell>
          <cell r="L5072">
            <v>45813</v>
          </cell>
          <cell r="M5072">
            <v>1200</v>
          </cell>
          <cell r="P5072">
            <v>3.1711316666666667</v>
          </cell>
        </row>
        <row r="5073">
          <cell r="A5073" t="str">
            <v>BPB-133-PB004761</v>
          </cell>
          <cell r="G5073" t="str">
            <v>vpret</v>
          </cell>
          <cell r="L5073">
            <v>44286</v>
          </cell>
          <cell r="M5073">
            <v>97.25</v>
          </cell>
          <cell r="P5073">
            <v>2.4431876606683802E-2</v>
          </cell>
        </row>
        <row r="5074">
          <cell r="A5074" t="str">
            <v>BPB-133-PB004763</v>
          </cell>
          <cell r="G5074" t="str">
            <v>vpret</v>
          </cell>
          <cell r="L5074">
            <v>44286</v>
          </cell>
          <cell r="M5074">
            <v>97.25</v>
          </cell>
          <cell r="P5074">
            <v>2.1840616966580979E-2</v>
          </cell>
        </row>
        <row r="5075">
          <cell r="A5075" t="str">
            <v>BPB-133-PB004764</v>
          </cell>
          <cell r="G5075" t="str">
            <v>VPRet</v>
          </cell>
          <cell r="L5075">
            <v>42936</v>
          </cell>
          <cell r="M5075">
            <v>17.510000000000002</v>
          </cell>
          <cell r="P5075">
            <v>1.5025699600228439</v>
          </cell>
        </row>
        <row r="5076">
          <cell r="A5076" t="str">
            <v>BPB-133-PB004771</v>
          </cell>
          <cell r="G5076" t="str">
            <v>vpret</v>
          </cell>
          <cell r="L5076">
            <v>45812</v>
          </cell>
          <cell r="M5076">
            <v>1200</v>
          </cell>
          <cell r="P5076">
            <v>1.8020600000000002</v>
          </cell>
        </row>
        <row r="5077">
          <cell r="A5077" t="str">
            <v>BPB-133-PB004772</v>
          </cell>
          <cell r="G5077" t="str">
            <v>vpret</v>
          </cell>
          <cell r="L5077">
            <v>45814</v>
          </cell>
          <cell r="M5077">
            <v>1205</v>
          </cell>
          <cell r="P5077">
            <v>2.8799004149377594</v>
          </cell>
        </row>
        <row r="5078">
          <cell r="A5078" t="str">
            <v>BPB-133-PB004773</v>
          </cell>
          <cell r="G5078" t="str">
            <v>vpret</v>
          </cell>
          <cell r="L5078">
            <v>44299</v>
          </cell>
          <cell r="M5078">
            <v>98</v>
          </cell>
          <cell r="P5078">
            <v>2.0989795918367346E-2</v>
          </cell>
        </row>
        <row r="5079">
          <cell r="A5079" t="str">
            <v>BPB-133-PB004848</v>
          </cell>
          <cell r="G5079" t="str">
            <v>vpret</v>
          </cell>
          <cell r="L5079">
            <v>45943</v>
          </cell>
          <cell r="M5079">
            <v>1450</v>
          </cell>
          <cell r="P5079">
            <v>3.1258420689655169</v>
          </cell>
        </row>
        <row r="5080">
          <cell r="A5080" t="str">
            <v>BPB-133-PB004864</v>
          </cell>
          <cell r="G5080" t="str">
            <v>VPRet</v>
          </cell>
          <cell r="L5080">
            <v>42982</v>
          </cell>
          <cell r="M5080">
            <v>17.600000000000001</v>
          </cell>
          <cell r="P5080">
            <v>1.5261363636363634</v>
          </cell>
        </row>
        <row r="5081">
          <cell r="A5081" t="str">
            <v>BPB-133-PB004865</v>
          </cell>
          <cell r="G5081" t="str">
            <v>VPRet</v>
          </cell>
          <cell r="L5081">
            <v>42983</v>
          </cell>
          <cell r="M5081">
            <v>17.7</v>
          </cell>
          <cell r="P5081">
            <v>99.640112994350289</v>
          </cell>
        </row>
        <row r="5082">
          <cell r="A5082" t="str">
            <v>BPB-133-PB005305</v>
          </cell>
          <cell r="G5082" t="str">
            <v>vpret</v>
          </cell>
          <cell r="L5082">
            <v>44838</v>
          </cell>
          <cell r="M5082">
            <v>154.25</v>
          </cell>
          <cell r="P5082">
            <v>1.7201880064829822</v>
          </cell>
        </row>
        <row r="5083">
          <cell r="A5083" t="str">
            <v>BPB-133-PB005306</v>
          </cell>
          <cell r="G5083" t="str">
            <v>vpret</v>
          </cell>
          <cell r="L5083">
            <v>44287</v>
          </cell>
          <cell r="M5083">
            <v>97.5</v>
          </cell>
          <cell r="P5083">
            <v>1.558974358974359E-2</v>
          </cell>
        </row>
        <row r="5084">
          <cell r="A5084" t="str">
            <v>BPB-133-PB005307</v>
          </cell>
          <cell r="G5084" t="str">
            <v>vpret</v>
          </cell>
          <cell r="L5084">
            <v>45705</v>
          </cell>
          <cell r="M5084">
            <v>1078</v>
          </cell>
          <cell r="P5084">
            <v>2.7261326530612249</v>
          </cell>
        </row>
        <row r="5085">
          <cell r="A5085" t="str">
            <v>BPB-133-PB005350</v>
          </cell>
          <cell r="G5085" t="str">
            <v>vpret</v>
          </cell>
          <cell r="L5085">
            <v>45972</v>
          </cell>
          <cell r="M5085">
            <v>1445</v>
          </cell>
          <cell r="P5085">
            <v>1.167</v>
          </cell>
        </row>
        <row r="5086">
          <cell r="A5086" t="str">
            <v>BPB-133-PB005519</v>
          </cell>
          <cell r="G5086" t="str">
            <v>vpret</v>
          </cell>
          <cell r="L5086">
            <v>45972</v>
          </cell>
          <cell r="M5086">
            <v>1445</v>
          </cell>
          <cell r="P5086">
            <v>1.784</v>
          </cell>
        </row>
        <row r="5087">
          <cell r="A5087" t="str">
            <v>BPB-133-PB005641</v>
          </cell>
          <cell r="G5087" t="str">
            <v>vpret</v>
          </cell>
          <cell r="L5087">
            <v>45505</v>
          </cell>
          <cell r="M5087">
            <v>951.5</v>
          </cell>
          <cell r="P5087">
            <v>1.9576584340514975</v>
          </cell>
        </row>
        <row r="5088">
          <cell r="A5088" t="str">
            <v>BPB-133-PB005642</v>
          </cell>
          <cell r="G5088" t="str">
            <v>vpret</v>
          </cell>
          <cell r="L5088">
            <v>43879</v>
          </cell>
          <cell r="M5088">
            <v>63.25</v>
          </cell>
          <cell r="P5088">
            <v>0.82572332015810268</v>
          </cell>
        </row>
        <row r="5089">
          <cell r="A5089" t="str">
            <v>BPB-133-PB006001</v>
          </cell>
          <cell r="G5089" t="str">
            <v>vpret</v>
          </cell>
          <cell r="L5089">
            <v>44846</v>
          </cell>
          <cell r="M5089">
            <v>157</v>
          </cell>
          <cell r="P5089">
            <v>3.0361847133757962</v>
          </cell>
        </row>
        <row r="5090">
          <cell r="A5090" t="str">
            <v>BPB-133-PB006004</v>
          </cell>
          <cell r="G5090" t="str">
            <v>vpret</v>
          </cell>
          <cell r="L5090">
            <v>45943</v>
          </cell>
          <cell r="M5090">
            <v>1450</v>
          </cell>
          <cell r="P5090">
            <v>4.9781068965517239</v>
          </cell>
        </row>
        <row r="5091">
          <cell r="A5091" t="str">
            <v>BPB-133-PB006005</v>
          </cell>
          <cell r="G5091" t="str">
            <v>vpret</v>
          </cell>
          <cell r="L5091">
            <v>44308</v>
          </cell>
          <cell r="M5091">
            <v>98.25</v>
          </cell>
          <cell r="P5091">
            <v>2.8274809160305343E-2</v>
          </cell>
        </row>
        <row r="5092">
          <cell r="A5092" t="str">
            <v>BPB-133-PB006186</v>
          </cell>
          <cell r="G5092" t="str">
            <v>vpret</v>
          </cell>
          <cell r="L5092">
            <v>45972</v>
          </cell>
          <cell r="M5092">
            <v>1445</v>
          </cell>
          <cell r="P5092">
            <v>2.5688</v>
          </cell>
        </row>
        <row r="5093">
          <cell r="A5093" t="str">
            <v>BPB-133-PB006212</v>
          </cell>
          <cell r="G5093" t="str">
            <v>IPFAP</v>
          </cell>
          <cell r="L5093">
            <v>45398</v>
          </cell>
          <cell r="M5093">
            <v>887</v>
          </cell>
          <cell r="P5093">
            <v>1.7617474633596393</v>
          </cell>
        </row>
        <row r="5094">
          <cell r="A5094" t="str">
            <v>BPB-133-PB006402</v>
          </cell>
          <cell r="G5094" t="str">
            <v>IPFAP</v>
          </cell>
          <cell r="L5094">
            <v>45944</v>
          </cell>
          <cell r="M5094">
            <v>1375</v>
          </cell>
          <cell r="P5094">
            <v>3.3927272727272726</v>
          </cell>
        </row>
        <row r="5095">
          <cell r="A5095" t="str">
            <v>BPB-133-PB008775</v>
          </cell>
          <cell r="G5095" t="str">
            <v>vpret</v>
          </cell>
          <cell r="L5095">
            <v>45440</v>
          </cell>
          <cell r="M5095">
            <v>911.5</v>
          </cell>
          <cell r="P5095">
            <v>1.6939758639605047</v>
          </cell>
        </row>
        <row r="5096">
          <cell r="A5096" t="str">
            <v>BPB-133-PB010158</v>
          </cell>
          <cell r="G5096" t="str">
            <v xml:space="preserve">CR   </v>
          </cell>
          <cell r="L5096">
            <v>46008.659502314818</v>
          </cell>
          <cell r="M5096">
            <v>1480</v>
          </cell>
          <cell r="P5096">
            <v>0.93200000000000005</v>
          </cell>
        </row>
        <row r="5097">
          <cell r="A5097" t="str">
            <v>BPB-133-T060001020</v>
          </cell>
          <cell r="G5097" t="str">
            <v>vpret</v>
          </cell>
          <cell r="L5097">
            <v>45477</v>
          </cell>
          <cell r="M5097">
            <v>933.5</v>
          </cell>
          <cell r="P5097">
            <v>39.702424209962508</v>
          </cell>
        </row>
        <row r="5098">
          <cell r="A5098" t="str">
            <v>BPB-998-6205-2RST-C3</v>
          </cell>
          <cell r="G5098" t="str">
            <v>INDEV</v>
          </cell>
          <cell r="L5098">
            <v>40683</v>
          </cell>
          <cell r="M5098">
            <v>4.12</v>
          </cell>
          <cell r="P5098">
            <v>5.6199999999999992</v>
          </cell>
        </row>
        <row r="5099">
          <cell r="A5099" t="str">
            <v>BPB-998-DTR2047-FM</v>
          </cell>
          <cell r="G5099" t="str">
            <v>IPFAB</v>
          </cell>
          <cell r="L5099">
            <v>40484</v>
          </cell>
          <cell r="M5099">
            <v>3.98</v>
          </cell>
          <cell r="P5099">
            <v>5.84</v>
          </cell>
        </row>
        <row r="5100">
          <cell r="A5100" t="str">
            <v>BPB-998-DTR3572-FM</v>
          </cell>
          <cell r="G5100" t="str">
            <v>IPFAB</v>
          </cell>
          <cell r="L5100">
            <v>45511</v>
          </cell>
          <cell r="M5100">
            <v>954.5</v>
          </cell>
          <cell r="P5100">
            <v>0.2611</v>
          </cell>
        </row>
        <row r="5101">
          <cell r="A5101" t="str">
            <v>BPB-998-HC-208-DBL</v>
          </cell>
          <cell r="G5101" t="str">
            <v>INDEV</v>
          </cell>
          <cell r="L5101">
            <v>40746</v>
          </cell>
          <cell r="M5101">
            <v>4.16</v>
          </cell>
          <cell r="P5101">
            <v>3.03</v>
          </cell>
        </row>
        <row r="5102">
          <cell r="A5102" t="str">
            <v>BPB-998-J91-R</v>
          </cell>
          <cell r="G5102" t="str">
            <v>IDESP</v>
          </cell>
          <cell r="L5102">
            <v>43608</v>
          </cell>
          <cell r="M5102">
            <v>45.9</v>
          </cell>
          <cell r="P5102">
            <v>18.899999999999999</v>
          </cell>
        </row>
        <row r="5103">
          <cell r="A5103" t="str">
            <v>BPB-998-SAB207-35DG</v>
          </cell>
          <cell r="G5103" t="str">
            <v>IPFAB</v>
          </cell>
          <cell r="L5103">
            <v>40443</v>
          </cell>
          <cell r="M5103">
            <v>3.97</v>
          </cell>
          <cell r="P5103">
            <v>2.5299999999999998</v>
          </cell>
        </row>
        <row r="5104">
          <cell r="A5104" t="str">
            <v>BPB-999-12025-P</v>
          </cell>
          <cell r="G5104" t="str">
            <v>IPFAP</v>
          </cell>
          <cell r="L5104">
            <v>43950</v>
          </cell>
          <cell r="M5104">
            <v>68.5</v>
          </cell>
          <cell r="P5104">
            <v>4.7642335766423365</v>
          </cell>
        </row>
        <row r="5105">
          <cell r="A5105" t="str">
            <v>BPB-999-16006</v>
          </cell>
          <cell r="G5105" t="str">
            <v>INDEV</v>
          </cell>
          <cell r="L5105">
            <v>41288</v>
          </cell>
          <cell r="M5105">
            <v>4.95</v>
          </cell>
          <cell r="P5105">
            <v>0.60404040404040404</v>
          </cell>
        </row>
        <row r="5106">
          <cell r="A5106" t="str">
            <v>BPB-999-1635-2RLD</v>
          </cell>
          <cell r="G5106" t="str">
            <v>IPFAP</v>
          </cell>
          <cell r="L5106">
            <v>42068</v>
          </cell>
          <cell r="M5106">
            <v>8.76</v>
          </cell>
          <cell r="P5106">
            <v>0.9063698630136986</v>
          </cell>
        </row>
        <row r="5107">
          <cell r="A5107" t="str">
            <v>BPB-999-203-KRR2</v>
          </cell>
          <cell r="G5107" t="str">
            <v>IPFAP</v>
          </cell>
          <cell r="L5107">
            <v>43858</v>
          </cell>
          <cell r="M5107">
            <v>63</v>
          </cell>
          <cell r="P5107">
            <v>0.90999999999999992</v>
          </cell>
        </row>
        <row r="5108">
          <cell r="A5108" t="str">
            <v>BPB-999-204-JY3</v>
          </cell>
          <cell r="G5108" t="str">
            <v>IPFAB</v>
          </cell>
          <cell r="L5108">
            <v>45392</v>
          </cell>
          <cell r="M5108">
            <v>883.5</v>
          </cell>
          <cell r="P5108">
            <v>1.59</v>
          </cell>
        </row>
        <row r="5109">
          <cell r="A5109" t="str">
            <v>BPB-999-204-JZ6</v>
          </cell>
          <cell r="G5109" t="str">
            <v>IPFAB</v>
          </cell>
          <cell r="L5109">
            <v>40161</v>
          </cell>
          <cell r="M5109">
            <v>3.82</v>
          </cell>
          <cell r="P5109">
            <v>0.97150000000000003</v>
          </cell>
        </row>
        <row r="5110">
          <cell r="A5110" t="str">
            <v>BPB-999-204JY3</v>
          </cell>
          <cell r="G5110" t="str">
            <v xml:space="preserve">INSI </v>
          </cell>
          <cell r="L5110">
            <v>40645</v>
          </cell>
          <cell r="M5110">
            <v>4.08</v>
          </cell>
          <cell r="P5110">
            <v>16.6373</v>
          </cell>
        </row>
        <row r="5111">
          <cell r="A5111" t="str">
            <v>BPB-999-205SB-B</v>
          </cell>
          <cell r="G5111" t="str">
            <v>IPFAP</v>
          </cell>
          <cell r="L5111">
            <v>42524</v>
          </cell>
          <cell r="M5111">
            <v>14.29</v>
          </cell>
          <cell r="P5111">
            <v>2.6926801959412177</v>
          </cell>
        </row>
        <row r="5112">
          <cell r="A5112" t="str">
            <v>BPB-999-207-KRRB17</v>
          </cell>
          <cell r="G5112" t="str">
            <v>IPFAP</v>
          </cell>
          <cell r="L5112">
            <v>44433</v>
          </cell>
          <cell r="M5112">
            <v>102.5</v>
          </cell>
          <cell r="P5112">
            <v>1.5221073170731707</v>
          </cell>
        </row>
        <row r="5113">
          <cell r="A5113" t="str">
            <v>BPB-999-207-KRRB19</v>
          </cell>
          <cell r="G5113" t="str">
            <v>IPFAB</v>
          </cell>
          <cell r="L5113">
            <v>40161</v>
          </cell>
          <cell r="M5113">
            <v>3.82</v>
          </cell>
          <cell r="P5113">
            <v>3.08</v>
          </cell>
        </row>
        <row r="5114">
          <cell r="A5114" t="str">
            <v>BPB-999-208-TPL-08</v>
          </cell>
          <cell r="G5114" t="str">
            <v>IPFAP</v>
          </cell>
          <cell r="L5114">
            <v>44691</v>
          </cell>
          <cell r="M5114">
            <v>121.75</v>
          </cell>
          <cell r="P5114">
            <v>0.1888</v>
          </cell>
        </row>
        <row r="5115">
          <cell r="A5115" t="str">
            <v>BPB-999-22210-CW33C3</v>
          </cell>
          <cell r="G5115" t="str">
            <v>IPFAP</v>
          </cell>
          <cell r="L5115">
            <v>44321</v>
          </cell>
          <cell r="M5115">
            <v>98.75</v>
          </cell>
          <cell r="P5115">
            <v>3.81</v>
          </cell>
        </row>
        <row r="5116">
          <cell r="A5116" t="str">
            <v>BPB-999-30203-MX</v>
          </cell>
          <cell r="G5116" t="str">
            <v>vpret</v>
          </cell>
          <cell r="L5116">
            <v>45427</v>
          </cell>
          <cell r="M5116">
            <v>904</v>
          </cell>
          <cell r="P5116">
            <v>0.58673672566371682</v>
          </cell>
        </row>
        <row r="5117">
          <cell r="A5117" t="str">
            <v>BPB-999-30204-MX</v>
          </cell>
          <cell r="G5117" t="str">
            <v>vpret</v>
          </cell>
          <cell r="L5117">
            <v>45957</v>
          </cell>
          <cell r="M5117">
            <v>1515</v>
          </cell>
          <cell r="P5117">
            <v>0.4736633663366337</v>
          </cell>
        </row>
        <row r="5118">
          <cell r="A5118" t="str">
            <v>BPB-999-30205-MX</v>
          </cell>
          <cell r="G5118" t="str">
            <v>vpret</v>
          </cell>
          <cell r="L5118">
            <v>45959</v>
          </cell>
          <cell r="M5118">
            <v>1495</v>
          </cell>
          <cell r="P5118">
            <v>0.53999999999999992</v>
          </cell>
        </row>
        <row r="5119">
          <cell r="A5119" t="str">
            <v>BPB-999-30206-MX</v>
          </cell>
          <cell r="G5119" t="str">
            <v>vpret</v>
          </cell>
          <cell r="L5119">
            <v>45957</v>
          </cell>
          <cell r="M5119">
            <v>1515</v>
          </cell>
          <cell r="P5119">
            <v>0.70062706270627062</v>
          </cell>
        </row>
        <row r="5120">
          <cell r="A5120" t="str">
            <v>BPB-999-30207-MX</v>
          </cell>
          <cell r="G5120" t="str">
            <v>vpret</v>
          </cell>
          <cell r="L5120">
            <v>45967</v>
          </cell>
          <cell r="M5120">
            <v>1475</v>
          </cell>
          <cell r="P5120">
            <v>0.99681355932203386</v>
          </cell>
        </row>
        <row r="5121">
          <cell r="A5121" t="str">
            <v>BPB-999-30208-MX</v>
          </cell>
          <cell r="G5121" t="str">
            <v>vpret</v>
          </cell>
          <cell r="L5121">
            <v>45967</v>
          </cell>
          <cell r="M5121">
            <v>1475</v>
          </cell>
          <cell r="P5121">
            <v>1.2530847457627119</v>
          </cell>
        </row>
        <row r="5122">
          <cell r="A5122" t="str">
            <v>BPB-999-30209-MX</v>
          </cell>
          <cell r="G5122" t="str">
            <v>vpret</v>
          </cell>
          <cell r="L5122">
            <v>45355</v>
          </cell>
          <cell r="M5122">
            <v>861.5</v>
          </cell>
          <cell r="P5122">
            <v>1.86</v>
          </cell>
        </row>
        <row r="5123">
          <cell r="A5123" t="str">
            <v>BPB-999-30210-MX</v>
          </cell>
          <cell r="G5123" t="str">
            <v>vpret</v>
          </cell>
          <cell r="L5123">
            <v>45629</v>
          </cell>
          <cell r="M5123">
            <v>1032</v>
          </cell>
          <cell r="P5123">
            <v>1.5060077519379846</v>
          </cell>
        </row>
        <row r="5124">
          <cell r="A5124" t="str">
            <v>BPB-999-30211-MX</v>
          </cell>
          <cell r="G5124" t="str">
            <v>vpret</v>
          </cell>
          <cell r="L5124">
            <v>46008</v>
          </cell>
          <cell r="M5124">
            <v>1480</v>
          </cell>
          <cell r="P5124">
            <v>1.89</v>
          </cell>
        </row>
        <row r="5125">
          <cell r="A5125" t="str">
            <v>BPB-999-30212-MX</v>
          </cell>
          <cell r="G5125" t="str">
            <v>vpret</v>
          </cell>
          <cell r="L5125">
            <v>45889</v>
          </cell>
          <cell r="M5125">
            <v>1310</v>
          </cell>
          <cell r="P5125">
            <v>2.1320610687022903</v>
          </cell>
        </row>
        <row r="5126">
          <cell r="A5126" t="str">
            <v>BPB-999-30213-MX</v>
          </cell>
          <cell r="G5126" t="str">
            <v>vpret</v>
          </cell>
          <cell r="L5126">
            <v>45425</v>
          </cell>
          <cell r="M5126">
            <v>901.5</v>
          </cell>
          <cell r="P5126">
            <v>3.5401552967276757</v>
          </cell>
        </row>
        <row r="5127">
          <cell r="A5127" t="str">
            <v>BPB-999-30220-MX</v>
          </cell>
          <cell r="G5127" t="str">
            <v>vpret</v>
          </cell>
          <cell r="L5127">
            <v>44251</v>
          </cell>
          <cell r="M5127">
            <v>94.25</v>
          </cell>
          <cell r="P5127">
            <v>8.1</v>
          </cell>
        </row>
        <row r="5128">
          <cell r="A5128" t="str">
            <v>BPB-999-30305-MX</v>
          </cell>
          <cell r="G5128" t="str">
            <v>vpret</v>
          </cell>
          <cell r="L5128">
            <v>45554</v>
          </cell>
          <cell r="M5128">
            <v>982</v>
          </cell>
          <cell r="P5128">
            <v>0.77759674134419554</v>
          </cell>
        </row>
        <row r="5129">
          <cell r="A5129" t="str">
            <v>BPB-999-30307-MX</v>
          </cell>
          <cell r="G5129" t="str">
            <v>vpret</v>
          </cell>
          <cell r="L5129">
            <v>45876</v>
          </cell>
          <cell r="M5129">
            <v>1345</v>
          </cell>
          <cell r="P5129">
            <v>1.5457249070631971</v>
          </cell>
        </row>
        <row r="5130">
          <cell r="A5130" t="str">
            <v>BPB-999-30308-MX</v>
          </cell>
          <cell r="G5130" t="str">
            <v>vpret</v>
          </cell>
          <cell r="L5130">
            <v>45624</v>
          </cell>
          <cell r="M5130">
            <v>1028</v>
          </cell>
          <cell r="P5130">
            <v>1.9196741245136186</v>
          </cell>
        </row>
        <row r="5131">
          <cell r="A5131" t="str">
            <v>BPB-999-30309-MX</v>
          </cell>
          <cell r="G5131" t="str">
            <v>vpret</v>
          </cell>
          <cell r="L5131">
            <v>45742</v>
          </cell>
          <cell r="M5131">
            <v>1091.25</v>
          </cell>
          <cell r="P5131">
            <v>1.9886323024054982</v>
          </cell>
        </row>
        <row r="5132">
          <cell r="A5132" t="str">
            <v>BPB-999-30310-MX</v>
          </cell>
          <cell r="G5132" t="str">
            <v>vpret</v>
          </cell>
          <cell r="L5132">
            <v>45624</v>
          </cell>
          <cell r="M5132">
            <v>1028</v>
          </cell>
          <cell r="P5132">
            <v>2.8248054474708173</v>
          </cell>
        </row>
        <row r="5133">
          <cell r="A5133" t="str">
            <v>BPB-999-30311-MX</v>
          </cell>
          <cell r="G5133" t="str">
            <v>vpret</v>
          </cell>
          <cell r="L5133">
            <v>45509</v>
          </cell>
          <cell r="M5133">
            <v>953.5</v>
          </cell>
          <cell r="P5133">
            <v>3.592448872574725</v>
          </cell>
        </row>
        <row r="5134">
          <cell r="A5134" t="str">
            <v>BPB-999-32007-MX</v>
          </cell>
          <cell r="G5134" t="str">
            <v>vpret</v>
          </cell>
          <cell r="L5134">
            <v>45905</v>
          </cell>
          <cell r="M5134">
            <v>1375</v>
          </cell>
          <cell r="P5134">
            <v>0.76</v>
          </cell>
        </row>
        <row r="5135">
          <cell r="A5135" t="str">
            <v>BPB-999-32008-MX</v>
          </cell>
          <cell r="G5135" t="str">
            <v>vpret</v>
          </cell>
          <cell r="L5135">
            <v>45428</v>
          </cell>
          <cell r="M5135">
            <v>904.5</v>
          </cell>
          <cell r="P5135">
            <v>1.2622775013819789</v>
          </cell>
        </row>
        <row r="5136">
          <cell r="A5136" t="str">
            <v>BPB-999-32009-MX</v>
          </cell>
          <cell r="G5136" t="str">
            <v>vpret</v>
          </cell>
          <cell r="L5136">
            <v>45429</v>
          </cell>
          <cell r="M5136">
            <v>905</v>
          </cell>
          <cell r="P5136">
            <v>1.5297900552486188</v>
          </cell>
        </row>
        <row r="5137">
          <cell r="A5137" t="str">
            <v>BPB-999-32010-MX</v>
          </cell>
          <cell r="G5137" t="str">
            <v>vpret</v>
          </cell>
          <cell r="L5137">
            <v>45954</v>
          </cell>
          <cell r="M5137">
            <v>1505</v>
          </cell>
          <cell r="P5137">
            <v>1.1677076411960134</v>
          </cell>
        </row>
        <row r="5138">
          <cell r="A5138" t="str">
            <v>BPB-999-32013-MX</v>
          </cell>
          <cell r="G5138" t="str">
            <v>vpret</v>
          </cell>
          <cell r="L5138">
            <v>44313</v>
          </cell>
          <cell r="M5138">
            <v>98.5</v>
          </cell>
          <cell r="P5138">
            <v>2.9441624365482233</v>
          </cell>
        </row>
        <row r="5139">
          <cell r="A5139" t="str">
            <v>BPB-999-32014-MX</v>
          </cell>
          <cell r="G5139" t="str">
            <v>vpret</v>
          </cell>
          <cell r="L5139">
            <v>45629</v>
          </cell>
          <cell r="M5139">
            <v>1032</v>
          </cell>
          <cell r="P5139">
            <v>2.7445009689922477</v>
          </cell>
        </row>
        <row r="5140">
          <cell r="A5140" t="str">
            <v>BPB-999-32016-MX</v>
          </cell>
          <cell r="G5140" t="str">
            <v>vpret</v>
          </cell>
          <cell r="L5140">
            <v>45876</v>
          </cell>
          <cell r="M5140">
            <v>1345</v>
          </cell>
          <cell r="P5140">
            <v>3.292193308550186</v>
          </cell>
        </row>
        <row r="5141">
          <cell r="A5141" t="str">
            <v>BPB-999-32205-MX</v>
          </cell>
          <cell r="G5141" t="str">
            <v>vpret</v>
          </cell>
          <cell r="L5141">
            <v>45876</v>
          </cell>
          <cell r="M5141">
            <v>1345</v>
          </cell>
          <cell r="P5141">
            <v>1.0438661710037174</v>
          </cell>
        </row>
        <row r="5142">
          <cell r="A5142" t="str">
            <v>BPB-999-32206-MX</v>
          </cell>
          <cell r="G5142" t="str">
            <v>vpret</v>
          </cell>
          <cell r="L5142">
            <v>45523</v>
          </cell>
          <cell r="M5142">
            <v>962</v>
          </cell>
          <cell r="P5142">
            <v>1.0120478170478171</v>
          </cell>
        </row>
        <row r="5143">
          <cell r="A5143" t="str">
            <v>BPB-999-32207-MX</v>
          </cell>
          <cell r="G5143" t="str">
            <v>vpret</v>
          </cell>
          <cell r="L5143">
            <v>45553</v>
          </cell>
          <cell r="M5143">
            <v>982</v>
          </cell>
          <cell r="P5143">
            <v>1.6426731160896131</v>
          </cell>
        </row>
        <row r="5144">
          <cell r="A5144" t="str">
            <v>BPB-999-32208-MX</v>
          </cell>
          <cell r="G5144" t="str">
            <v>vpret</v>
          </cell>
          <cell r="L5144">
            <v>45223</v>
          </cell>
          <cell r="M5144">
            <v>365.5</v>
          </cell>
          <cell r="P5144">
            <v>1.83</v>
          </cell>
        </row>
        <row r="5145">
          <cell r="A5145" t="str">
            <v>BPB-999-32209-MX</v>
          </cell>
          <cell r="G5145" t="str">
            <v>vpret</v>
          </cell>
          <cell r="L5145">
            <v>45912</v>
          </cell>
          <cell r="M5145">
            <v>1445</v>
          </cell>
          <cell r="P5145">
            <v>1.2370242214532872</v>
          </cell>
        </row>
        <row r="5146">
          <cell r="A5146" t="str">
            <v>BPB-999-32210-MX</v>
          </cell>
          <cell r="G5146" t="str">
            <v>vpret</v>
          </cell>
          <cell r="L5146">
            <v>46003</v>
          </cell>
          <cell r="M5146">
            <v>1460</v>
          </cell>
          <cell r="P5146">
            <v>1.5610958904109589</v>
          </cell>
        </row>
        <row r="5147">
          <cell r="A5147" t="str">
            <v>BPB-999-32211-MX</v>
          </cell>
          <cell r="G5147" t="str">
            <v>vpret</v>
          </cell>
          <cell r="L5147">
            <v>45916</v>
          </cell>
          <cell r="M5147">
            <v>1475</v>
          </cell>
          <cell r="P5147">
            <v>1.7618644067796609</v>
          </cell>
        </row>
        <row r="5148">
          <cell r="A5148" t="str">
            <v>BPB-999-32212-MX</v>
          </cell>
          <cell r="G5148" t="str">
            <v>vpret</v>
          </cell>
          <cell r="L5148">
            <v>45994</v>
          </cell>
          <cell r="M5148">
            <v>1480</v>
          </cell>
          <cell r="P5148">
            <v>2.3719594594594593</v>
          </cell>
        </row>
        <row r="5149">
          <cell r="A5149" t="str">
            <v>BPB-999-32213-MX</v>
          </cell>
          <cell r="G5149" t="str">
            <v>vpret</v>
          </cell>
          <cell r="L5149">
            <v>45959</v>
          </cell>
          <cell r="M5149">
            <v>1495</v>
          </cell>
          <cell r="P5149">
            <v>3.4353511705685622</v>
          </cell>
        </row>
        <row r="5150">
          <cell r="A5150" t="str">
            <v>BPB-999-32214-MX</v>
          </cell>
          <cell r="G5150" t="str">
            <v>vpret</v>
          </cell>
          <cell r="L5150">
            <v>45742</v>
          </cell>
          <cell r="M5150">
            <v>1091.25</v>
          </cell>
          <cell r="P5150">
            <v>3.8273676975945015</v>
          </cell>
        </row>
        <row r="5151">
          <cell r="A5151" t="str">
            <v>BPB-999-32216-MX</v>
          </cell>
          <cell r="G5151" t="str">
            <v>vpret</v>
          </cell>
          <cell r="L5151">
            <v>45313</v>
          </cell>
          <cell r="M5151">
            <v>839.25</v>
          </cell>
          <cell r="P5151">
            <v>5.8899994042299673</v>
          </cell>
        </row>
        <row r="5152">
          <cell r="A5152" t="str">
            <v>BPB-999-32217-MX</v>
          </cell>
          <cell r="G5152" t="str">
            <v>vpret</v>
          </cell>
          <cell r="L5152">
            <v>45313</v>
          </cell>
          <cell r="M5152">
            <v>839.25</v>
          </cell>
          <cell r="P5152">
            <v>7.0300005957700327</v>
          </cell>
        </row>
        <row r="5153">
          <cell r="A5153" t="str">
            <v>BPB-999-32218-MX</v>
          </cell>
          <cell r="G5153" t="str">
            <v>vpret</v>
          </cell>
          <cell r="L5153">
            <v>45323</v>
          </cell>
          <cell r="M5153">
            <v>845.5</v>
          </cell>
          <cell r="P5153">
            <v>8.99</v>
          </cell>
        </row>
        <row r="5154">
          <cell r="A5154" t="str">
            <v>BPB-999-32219-MX</v>
          </cell>
          <cell r="G5154" t="str">
            <v>vpret</v>
          </cell>
          <cell r="L5154">
            <v>45854</v>
          </cell>
          <cell r="M5154">
            <v>1280</v>
          </cell>
          <cell r="P5154">
            <v>8.83</v>
          </cell>
        </row>
        <row r="5155">
          <cell r="A5155" t="str">
            <v>BPB-999-32220-MX</v>
          </cell>
          <cell r="G5155" t="str">
            <v>vpret</v>
          </cell>
          <cell r="L5155">
            <v>44988</v>
          </cell>
          <cell r="M5155">
            <v>205</v>
          </cell>
          <cell r="P5155">
            <v>12.976390243902438</v>
          </cell>
        </row>
        <row r="5156">
          <cell r="A5156" t="str">
            <v>BPB-999-32307-MX</v>
          </cell>
          <cell r="G5156" t="str">
            <v>vpret</v>
          </cell>
          <cell r="L5156">
            <v>45866</v>
          </cell>
          <cell r="M5156">
            <v>1295</v>
          </cell>
          <cell r="P5156">
            <v>2.4318532818532819</v>
          </cell>
        </row>
        <row r="5157">
          <cell r="A5157" t="str">
            <v>BPB-999-33010-MX</v>
          </cell>
          <cell r="G5157" t="str">
            <v>vpret</v>
          </cell>
          <cell r="L5157">
            <v>45552</v>
          </cell>
          <cell r="M5157">
            <v>982</v>
          </cell>
          <cell r="P5157">
            <v>1.7009928716904277</v>
          </cell>
        </row>
        <row r="5158">
          <cell r="A5158" t="str">
            <v>BPB-999-33013-MX</v>
          </cell>
          <cell r="G5158" t="str">
            <v>vpret</v>
          </cell>
          <cell r="L5158">
            <v>45835</v>
          </cell>
          <cell r="M5158">
            <v>1205</v>
          </cell>
          <cell r="P5158">
            <v>2.2000000000000002</v>
          </cell>
        </row>
        <row r="5159">
          <cell r="A5159" t="str">
            <v>BPB-999-33117-MX</v>
          </cell>
          <cell r="G5159" t="str">
            <v>vpret</v>
          </cell>
          <cell r="L5159">
            <v>45433</v>
          </cell>
          <cell r="M5159">
            <v>907.5</v>
          </cell>
          <cell r="P5159">
            <v>7.3802203856749315</v>
          </cell>
        </row>
        <row r="5160">
          <cell r="A5160" t="str">
            <v>BPB-999-33209-MX</v>
          </cell>
          <cell r="G5160" t="str">
            <v>vpret</v>
          </cell>
          <cell r="L5160">
            <v>45786</v>
          </cell>
          <cell r="M5160">
            <v>1130</v>
          </cell>
          <cell r="P5160">
            <v>2.5695575221238935</v>
          </cell>
        </row>
        <row r="5161">
          <cell r="A5161" t="str">
            <v>BPB-999-33210-MX</v>
          </cell>
          <cell r="G5161" t="str">
            <v>vpret</v>
          </cell>
          <cell r="L5161">
            <v>45866</v>
          </cell>
          <cell r="M5161">
            <v>1295</v>
          </cell>
          <cell r="P5161">
            <v>2.618918918918919</v>
          </cell>
        </row>
        <row r="5162">
          <cell r="A5162" t="str">
            <v>BPB-999-3984-20</v>
          </cell>
          <cell r="G5162" t="str">
            <v>vpret</v>
          </cell>
          <cell r="L5162">
            <v>45525</v>
          </cell>
          <cell r="M5162">
            <v>963</v>
          </cell>
          <cell r="P5162">
            <v>3.1618380062305294</v>
          </cell>
        </row>
        <row r="5163">
          <cell r="A5163" t="str">
            <v>BPB-999-5206-2RST</v>
          </cell>
          <cell r="G5163" t="str">
            <v>IPFAP</v>
          </cell>
          <cell r="L5163">
            <v>42837</v>
          </cell>
          <cell r="M5163">
            <v>15.61</v>
          </cell>
          <cell r="P5163">
            <v>3.6849967969250481</v>
          </cell>
        </row>
        <row r="5164">
          <cell r="A5164" t="str">
            <v>BPB-999-5207-KRRB19</v>
          </cell>
          <cell r="G5164" t="str">
            <v>IPFAP</v>
          </cell>
          <cell r="L5164">
            <v>42556</v>
          </cell>
          <cell r="M5164">
            <v>15.31</v>
          </cell>
          <cell r="P5164">
            <v>4.7961201828870017</v>
          </cell>
        </row>
        <row r="5165">
          <cell r="A5165" t="str">
            <v>BPB-999-5210-2RST-C3</v>
          </cell>
          <cell r="G5165" t="str">
            <v>IPFAB</v>
          </cell>
          <cell r="L5165">
            <v>40231</v>
          </cell>
          <cell r="M5165">
            <v>3.88</v>
          </cell>
          <cell r="P5165">
            <v>4.7779999999999996</v>
          </cell>
        </row>
        <row r="5166">
          <cell r="A5166" t="str">
            <v>BPB-999-5211-2RST</v>
          </cell>
          <cell r="G5166" t="str">
            <v>IPFAP</v>
          </cell>
          <cell r="L5166">
            <v>42249</v>
          </cell>
          <cell r="M5166">
            <v>9.35</v>
          </cell>
          <cell r="P5166">
            <v>8.06</v>
          </cell>
        </row>
        <row r="5167">
          <cell r="A5167" t="str">
            <v>BPB-999-5211-2RSTC3</v>
          </cell>
          <cell r="G5167" t="str">
            <v>IPFAB</v>
          </cell>
          <cell r="L5167">
            <v>41771</v>
          </cell>
          <cell r="M5167">
            <v>8.0500000000000007</v>
          </cell>
          <cell r="P5167">
            <v>8.06</v>
          </cell>
        </row>
        <row r="5168">
          <cell r="A5168" t="str">
            <v>BPB-999-6009</v>
          </cell>
          <cell r="G5168" t="str">
            <v>IPFAP</v>
          </cell>
          <cell r="L5168">
            <v>43972</v>
          </cell>
          <cell r="M5168">
            <v>70</v>
          </cell>
          <cell r="P5168">
            <v>0.53442857142857136</v>
          </cell>
        </row>
        <row r="5169">
          <cell r="A5169" t="str">
            <v>BPB-999-6013-2RST-22</v>
          </cell>
          <cell r="G5169" t="str">
            <v xml:space="preserve">CR   </v>
          </cell>
          <cell r="L5169">
            <v>40428.376423611109</v>
          </cell>
          <cell r="M5169">
            <v>3.97</v>
          </cell>
          <cell r="P5169">
            <v>5.093</v>
          </cell>
        </row>
        <row r="5170">
          <cell r="A5170" t="str">
            <v>BPB-999-6203-2RLD</v>
          </cell>
          <cell r="G5170" t="str">
            <v>IPFAB</v>
          </cell>
          <cell r="L5170">
            <v>41549</v>
          </cell>
          <cell r="M5170">
            <v>5.8</v>
          </cell>
          <cell r="P5170">
            <v>0.3155</v>
          </cell>
        </row>
        <row r="5171">
          <cell r="A5171" t="str">
            <v>BPB-999-6208-2RST</v>
          </cell>
          <cell r="G5171" t="str">
            <v>IPFAB</v>
          </cell>
          <cell r="L5171">
            <v>40827</v>
          </cell>
          <cell r="M5171">
            <v>4.24</v>
          </cell>
          <cell r="P5171">
            <v>1.91</v>
          </cell>
        </row>
        <row r="5172">
          <cell r="A5172" t="str">
            <v>BPB-999-6306-2RLD-C3</v>
          </cell>
          <cell r="G5172" t="str">
            <v>IPFAB</v>
          </cell>
          <cell r="L5172">
            <v>43168</v>
          </cell>
          <cell r="M5172">
            <v>20.62</v>
          </cell>
          <cell r="P5172">
            <v>3.2881</v>
          </cell>
        </row>
        <row r="5173">
          <cell r="A5173" t="str">
            <v>BPB-999-6308</v>
          </cell>
          <cell r="G5173" t="str">
            <v>IPFAP</v>
          </cell>
          <cell r="L5173">
            <v>44300</v>
          </cell>
          <cell r="M5173">
            <v>98</v>
          </cell>
          <cell r="P5173">
            <v>1.3128163265306123</v>
          </cell>
        </row>
        <row r="5174">
          <cell r="A5174" t="str">
            <v>BPB-999-ACL-207-23</v>
          </cell>
          <cell r="G5174" t="str">
            <v>IPFAP</v>
          </cell>
          <cell r="L5174">
            <v>42958</v>
          </cell>
          <cell r="M5174">
            <v>18</v>
          </cell>
          <cell r="P5174">
            <v>3.1533333333333333</v>
          </cell>
        </row>
        <row r="5175">
          <cell r="A5175" t="str">
            <v>BPB-999-ACL-207-35RG</v>
          </cell>
          <cell r="G5175" t="str">
            <v>IPFAP</v>
          </cell>
          <cell r="L5175">
            <v>44322</v>
          </cell>
          <cell r="M5175">
            <v>98.75</v>
          </cell>
          <cell r="P5175">
            <v>0.57478481012658222</v>
          </cell>
        </row>
        <row r="5176">
          <cell r="A5176" t="str">
            <v>BPB-999-ACL205-16RG</v>
          </cell>
          <cell r="G5176" t="str">
            <v>IPFAP</v>
          </cell>
          <cell r="L5176">
            <v>44628</v>
          </cell>
          <cell r="M5176">
            <v>113.5</v>
          </cell>
          <cell r="P5176">
            <v>2.09</v>
          </cell>
        </row>
        <row r="5177">
          <cell r="A5177" t="str">
            <v>BPB-999-ACL205-16RR</v>
          </cell>
          <cell r="G5177" t="str">
            <v>IPFAP</v>
          </cell>
          <cell r="L5177">
            <v>44628</v>
          </cell>
          <cell r="M5177">
            <v>113.5</v>
          </cell>
          <cell r="P5177">
            <v>2.0873127753303966</v>
          </cell>
        </row>
        <row r="5178">
          <cell r="A5178" t="str">
            <v>BPB-999-ACL206-30RG</v>
          </cell>
          <cell r="G5178" t="str">
            <v>IPFAP</v>
          </cell>
          <cell r="L5178">
            <v>43157</v>
          </cell>
          <cell r="M5178">
            <v>20.27</v>
          </cell>
          <cell r="P5178">
            <v>0.38916132215096205</v>
          </cell>
        </row>
        <row r="5179">
          <cell r="A5179" t="str">
            <v>BPB-999-AISI304-1MM</v>
          </cell>
          <cell r="G5179" t="str">
            <v xml:space="preserve">INAC </v>
          </cell>
          <cell r="L5179">
            <v>44001</v>
          </cell>
          <cell r="M5179">
            <v>72.5</v>
          </cell>
          <cell r="P5179">
            <v>10.758620689655173</v>
          </cell>
        </row>
        <row r="5180">
          <cell r="A5180" t="str">
            <v>BPB-999-AISI420Ø25.4</v>
          </cell>
          <cell r="G5180" t="str">
            <v xml:space="preserve">INAC </v>
          </cell>
          <cell r="L5180">
            <v>43551</v>
          </cell>
          <cell r="M5180">
            <v>43.6</v>
          </cell>
          <cell r="P5180">
            <v>16.732568807339447</v>
          </cell>
        </row>
        <row r="5181">
          <cell r="A5181" t="str">
            <v>BPB-999-AL-10</v>
          </cell>
          <cell r="G5181" t="str">
            <v xml:space="preserve">INAC </v>
          </cell>
          <cell r="L5181">
            <v>42810</v>
          </cell>
          <cell r="M5181">
            <v>15.84</v>
          </cell>
          <cell r="P5181">
            <v>3.3137626262626263</v>
          </cell>
        </row>
        <row r="5182">
          <cell r="A5182" t="str">
            <v>BPB-999-AL7075</v>
          </cell>
          <cell r="G5182" t="str">
            <v xml:space="preserve">INAC </v>
          </cell>
          <cell r="L5182">
            <v>42810</v>
          </cell>
          <cell r="M5182">
            <v>15.84</v>
          </cell>
          <cell r="P5182">
            <v>343.08080808080808</v>
          </cell>
        </row>
        <row r="5183">
          <cell r="A5183" t="str">
            <v>BPB-999-ASA-410-REEL</v>
          </cell>
          <cell r="G5183" t="str">
            <v xml:space="preserve">INAC </v>
          </cell>
          <cell r="L5183">
            <v>43745</v>
          </cell>
          <cell r="M5183">
            <v>59.4</v>
          </cell>
          <cell r="P5183">
            <v>3.1584175084175086</v>
          </cell>
        </row>
        <row r="5184">
          <cell r="A5184" t="str">
            <v>BPB-999-ASA-50-1</v>
          </cell>
          <cell r="G5184" t="str">
            <v>IPFAP</v>
          </cell>
          <cell r="L5184">
            <v>42514</v>
          </cell>
          <cell r="M5184">
            <v>14.35</v>
          </cell>
          <cell r="P5184">
            <v>0.58519860627177711</v>
          </cell>
        </row>
        <row r="5185">
          <cell r="A5185" t="str">
            <v>BPB-999-BA-3616-ZOH</v>
          </cell>
          <cell r="G5185" t="str">
            <v>IPFAB</v>
          </cell>
          <cell r="L5185">
            <v>42543</v>
          </cell>
          <cell r="M5185">
            <v>14.21</v>
          </cell>
          <cell r="P5185">
            <v>2.4980000000000002</v>
          </cell>
        </row>
        <row r="5186">
          <cell r="A5186" t="str">
            <v>BPB-999-BB203-KRR2FD</v>
          </cell>
          <cell r="G5186" t="str">
            <v>IPFAP</v>
          </cell>
          <cell r="L5186">
            <v>44931</v>
          </cell>
          <cell r="M5186">
            <v>185.75</v>
          </cell>
          <cell r="P5186">
            <v>1.0999999999999999</v>
          </cell>
        </row>
        <row r="5187">
          <cell r="A5187" t="str">
            <v>BPB-999-BP-12001</v>
          </cell>
          <cell r="G5187" t="str">
            <v>IPFAP</v>
          </cell>
          <cell r="L5187">
            <v>43285</v>
          </cell>
          <cell r="M5187">
            <v>28.3</v>
          </cell>
          <cell r="P5187">
            <v>2.52</v>
          </cell>
        </row>
        <row r="5188">
          <cell r="A5188" t="str">
            <v>BPB-999-BP-12011-01</v>
          </cell>
          <cell r="G5188" t="str">
            <v>IPFAP</v>
          </cell>
          <cell r="L5188">
            <v>44932</v>
          </cell>
          <cell r="M5188">
            <v>185.75</v>
          </cell>
          <cell r="P5188">
            <v>5.51</v>
          </cell>
        </row>
        <row r="5189">
          <cell r="A5189" t="str">
            <v>BPB-999-BP-12011-BD</v>
          </cell>
          <cell r="G5189" t="str">
            <v>INPEE</v>
          </cell>
          <cell r="L5189">
            <v>44792</v>
          </cell>
          <cell r="M5189">
            <v>142</v>
          </cell>
          <cell r="P5189">
            <v>7.98</v>
          </cell>
        </row>
        <row r="5190">
          <cell r="A5190" t="str">
            <v>BPB-999-BP-12011-BI</v>
          </cell>
          <cell r="G5190" t="str">
            <v>IPFAP</v>
          </cell>
          <cell r="L5190">
            <v>44799</v>
          </cell>
          <cell r="M5190">
            <v>144</v>
          </cell>
          <cell r="P5190">
            <v>5.2398993055555554</v>
          </cell>
        </row>
        <row r="5191">
          <cell r="A5191" t="str">
            <v>BPB-999-BP-17010</v>
          </cell>
          <cell r="G5191" t="str">
            <v>IPFAP</v>
          </cell>
          <cell r="L5191">
            <v>43711</v>
          </cell>
          <cell r="M5191">
            <v>57</v>
          </cell>
          <cell r="P5191">
            <v>3.9751228070175437</v>
          </cell>
        </row>
        <row r="5192">
          <cell r="A5192" t="str">
            <v>BPB-999-CF5202-2RST</v>
          </cell>
          <cell r="G5192" t="str">
            <v>IPFAP</v>
          </cell>
          <cell r="L5192">
            <v>42458</v>
          </cell>
          <cell r="M5192">
            <v>14.96</v>
          </cell>
          <cell r="P5192">
            <v>2.4911831550802135</v>
          </cell>
        </row>
        <row r="5193">
          <cell r="A5193" t="str">
            <v>BPB-999-DAC-42840039</v>
          </cell>
          <cell r="G5193" t="str">
            <v>IPFAB</v>
          </cell>
          <cell r="L5193">
            <v>40948</v>
          </cell>
          <cell r="M5193">
            <v>4.3499999999999996</v>
          </cell>
          <cell r="P5193">
            <v>4.79</v>
          </cell>
        </row>
        <row r="5194">
          <cell r="A5194" t="str">
            <v>BPB-999-DS4575C25CHS</v>
          </cell>
          <cell r="G5194" t="str">
            <v>IPFAP</v>
          </cell>
          <cell r="L5194">
            <v>43390</v>
          </cell>
          <cell r="M5194">
            <v>36.9</v>
          </cell>
          <cell r="P5194">
            <v>3.423577235772358</v>
          </cell>
        </row>
        <row r="5195">
          <cell r="A5195" t="str">
            <v>BPB-999-E200Ø50</v>
          </cell>
          <cell r="G5195" t="str">
            <v xml:space="preserve">INAC </v>
          </cell>
          <cell r="L5195">
            <v>42717</v>
          </cell>
          <cell r="M5195">
            <v>16.27</v>
          </cell>
          <cell r="P5195">
            <v>159.31776275353411</v>
          </cell>
        </row>
        <row r="5196">
          <cell r="A5196" t="str">
            <v>BPB-999-ECL210-50D-3</v>
          </cell>
          <cell r="G5196" t="str">
            <v xml:space="preserve">CR   </v>
          </cell>
          <cell r="L5196">
            <v>43126.737314814818</v>
          </cell>
          <cell r="M5196">
            <v>19.86</v>
          </cell>
          <cell r="P5196">
            <v>6.0976837865055389</v>
          </cell>
        </row>
        <row r="5197">
          <cell r="A5197" t="str">
            <v>BPB-999-ECL212-39D</v>
          </cell>
          <cell r="G5197" t="str">
            <v>IPFAB</v>
          </cell>
          <cell r="L5197">
            <v>40197</v>
          </cell>
          <cell r="M5197">
            <v>3.83</v>
          </cell>
          <cell r="P5197">
            <v>7.5095999999999998</v>
          </cell>
        </row>
        <row r="5198">
          <cell r="A5198" t="str">
            <v>BPB-999-ECL212-60DG</v>
          </cell>
          <cell r="G5198" t="str">
            <v>IPFAP</v>
          </cell>
          <cell r="L5198">
            <v>44656</v>
          </cell>
          <cell r="M5198">
            <v>116.75</v>
          </cell>
          <cell r="P5198">
            <v>12.45</v>
          </cell>
        </row>
        <row r="5199">
          <cell r="A5199" t="str">
            <v>BPB-999-FB-211</v>
          </cell>
          <cell r="G5199" t="str">
            <v>IPFAP</v>
          </cell>
          <cell r="L5199">
            <v>44267</v>
          </cell>
          <cell r="M5199">
            <v>95.75</v>
          </cell>
          <cell r="P5199">
            <v>0.57208355091383811</v>
          </cell>
        </row>
        <row r="5200">
          <cell r="A5200" t="str">
            <v>BPB-999-FT-208</v>
          </cell>
          <cell r="G5200" t="str">
            <v xml:space="preserve">INAC </v>
          </cell>
          <cell r="L5200">
            <v>42675</v>
          </cell>
          <cell r="M5200">
            <v>15.4</v>
          </cell>
          <cell r="P5200">
            <v>15.974999999999998</v>
          </cell>
        </row>
        <row r="5201">
          <cell r="A5201" t="str">
            <v>BPB-999-G-210-KYYB2</v>
          </cell>
          <cell r="G5201" t="str">
            <v>IPFAP</v>
          </cell>
          <cell r="L5201">
            <v>42632</v>
          </cell>
          <cell r="M5201">
            <v>15.4</v>
          </cell>
          <cell r="P5201">
            <v>5.3350649350649348</v>
          </cell>
        </row>
        <row r="5202">
          <cell r="A5202" t="str">
            <v>BPB-999-G-5209-KRRB2</v>
          </cell>
          <cell r="G5202" t="str">
            <v xml:space="preserve">INSI </v>
          </cell>
          <cell r="L5202">
            <v>42706</v>
          </cell>
          <cell r="M5202">
            <v>16.100000000000001</v>
          </cell>
          <cell r="P5202">
            <v>5.34</v>
          </cell>
        </row>
        <row r="5203">
          <cell r="A5203" t="str">
            <v>BPB-999-H-305</v>
          </cell>
          <cell r="G5203" t="str">
            <v>IPFAB</v>
          </cell>
          <cell r="L5203">
            <v>40604</v>
          </cell>
          <cell r="M5203">
            <v>4.0599999999999996</v>
          </cell>
          <cell r="P5203">
            <v>0.70199999999999996</v>
          </cell>
        </row>
        <row r="5204">
          <cell r="A5204" t="str">
            <v>BPB-999-HC-207-DBL</v>
          </cell>
          <cell r="G5204" t="str">
            <v xml:space="preserve">INAC </v>
          </cell>
          <cell r="L5204">
            <v>44105</v>
          </cell>
          <cell r="M5204">
            <v>80</v>
          </cell>
          <cell r="P5204">
            <v>8.6374999999999993</v>
          </cell>
        </row>
        <row r="5205">
          <cell r="A5205" t="str">
            <v>BPB-999-HD04-2RST</v>
          </cell>
          <cell r="G5205" t="str">
            <v>IPFAP</v>
          </cell>
          <cell r="L5205">
            <v>42632</v>
          </cell>
          <cell r="M5205">
            <v>15.4</v>
          </cell>
          <cell r="P5205">
            <v>0.99740259740259729</v>
          </cell>
        </row>
        <row r="5206">
          <cell r="A5206" t="str">
            <v>BPB-999-HD06-2RST</v>
          </cell>
          <cell r="G5206" t="str">
            <v>IPFAP</v>
          </cell>
          <cell r="L5206">
            <v>42863</v>
          </cell>
          <cell r="M5206">
            <v>15.67</v>
          </cell>
          <cell r="P5206">
            <v>1.7455009572431397</v>
          </cell>
        </row>
        <row r="5207">
          <cell r="A5207" t="str">
            <v>BPB-999-LM104949-911</v>
          </cell>
          <cell r="G5207" t="str">
            <v>vpret</v>
          </cell>
          <cell r="L5207">
            <v>44245</v>
          </cell>
          <cell r="M5207">
            <v>93.75</v>
          </cell>
          <cell r="P5207">
            <v>1.8</v>
          </cell>
        </row>
        <row r="5208">
          <cell r="A5208" t="str">
            <v>BPB-999-LM68149-110</v>
          </cell>
          <cell r="G5208" t="str">
            <v>vpret</v>
          </cell>
          <cell r="L5208">
            <v>44327</v>
          </cell>
          <cell r="M5208">
            <v>99</v>
          </cell>
          <cell r="P5208">
            <v>1.026</v>
          </cell>
        </row>
        <row r="5209">
          <cell r="A5209" t="str">
            <v>BPB-999-LS03-2RST</v>
          </cell>
          <cell r="G5209" t="str">
            <v>IPFAP</v>
          </cell>
          <cell r="L5209">
            <v>42790</v>
          </cell>
          <cell r="M5209">
            <v>15.96</v>
          </cell>
          <cell r="P5209">
            <v>0.43639724310776939</v>
          </cell>
        </row>
        <row r="5210">
          <cell r="A5210" t="str">
            <v>BPB-999-MS00-2RST</v>
          </cell>
          <cell r="G5210" t="str">
            <v>IPFAP</v>
          </cell>
          <cell r="L5210">
            <v>42797</v>
          </cell>
          <cell r="M5210">
            <v>15.77</v>
          </cell>
          <cell r="P5210">
            <v>0.41410272669625875</v>
          </cell>
        </row>
        <row r="5211">
          <cell r="A5211" t="str">
            <v>BPB-999-MS01-2RST</v>
          </cell>
          <cell r="G5211" t="str">
            <v>IPFAP</v>
          </cell>
          <cell r="L5211">
            <v>42752</v>
          </cell>
          <cell r="M5211">
            <v>16.25</v>
          </cell>
          <cell r="P5211">
            <v>0.41860307692307691</v>
          </cell>
        </row>
        <row r="5212">
          <cell r="A5212" t="str">
            <v>BPB-999-MS03-2RST</v>
          </cell>
          <cell r="G5212" t="str">
            <v>IPFAP</v>
          </cell>
          <cell r="L5212">
            <v>42675</v>
          </cell>
          <cell r="M5212">
            <v>15.4</v>
          </cell>
          <cell r="P5212">
            <v>0.52402597402597406</v>
          </cell>
        </row>
        <row r="5213">
          <cell r="A5213" t="str">
            <v>BPB-999-MS04-2RST</v>
          </cell>
          <cell r="G5213" t="str">
            <v>IPFAP</v>
          </cell>
          <cell r="L5213">
            <v>42460</v>
          </cell>
          <cell r="M5213">
            <v>14.9</v>
          </cell>
          <cell r="P5213">
            <v>5.0067114093959732E-2</v>
          </cell>
        </row>
        <row r="5214">
          <cell r="A5214" t="str">
            <v>BPB-999-MS05-2RST</v>
          </cell>
          <cell r="G5214" t="str">
            <v>IPFAB</v>
          </cell>
          <cell r="L5214">
            <v>41960</v>
          </cell>
          <cell r="M5214">
            <v>8.5299999999999994</v>
          </cell>
          <cell r="P5214">
            <v>1.0765</v>
          </cell>
        </row>
        <row r="5215">
          <cell r="A5215" t="str">
            <v>BPB-999-MS08-2RST</v>
          </cell>
          <cell r="G5215" t="str">
            <v>IPFAP</v>
          </cell>
          <cell r="L5215">
            <v>44096</v>
          </cell>
          <cell r="M5215">
            <v>79.5</v>
          </cell>
          <cell r="P5215">
            <v>1.9819999999999998</v>
          </cell>
        </row>
        <row r="5216">
          <cell r="A5216" t="str">
            <v>BPB-999-NK-5025</v>
          </cell>
          <cell r="G5216" t="str">
            <v>INDEV</v>
          </cell>
          <cell r="L5216">
            <v>41288</v>
          </cell>
          <cell r="M5216">
            <v>4.95</v>
          </cell>
          <cell r="P5216">
            <v>1.1595959595959595</v>
          </cell>
        </row>
        <row r="5217">
          <cell r="A5217" t="str">
            <v>BPB-999-PE-209</v>
          </cell>
          <cell r="G5217" t="str">
            <v>IPFAP</v>
          </cell>
          <cell r="L5217">
            <v>44329</v>
          </cell>
          <cell r="M5217">
            <v>99</v>
          </cell>
          <cell r="P5217">
            <v>3.3374020202020205</v>
          </cell>
        </row>
        <row r="5218">
          <cell r="A5218" t="str">
            <v>BPB-999-PFT-7-ZM</v>
          </cell>
          <cell r="G5218" t="str">
            <v>IPFAP</v>
          </cell>
          <cell r="L5218">
            <v>43819</v>
          </cell>
          <cell r="M5218">
            <v>63</v>
          </cell>
          <cell r="P5218">
            <v>0.97</v>
          </cell>
        </row>
        <row r="5219">
          <cell r="A5219" t="str">
            <v>BPB-999-PLASTICGRASS</v>
          </cell>
          <cell r="G5219" t="str">
            <v>IDESP</v>
          </cell>
          <cell r="L5219">
            <v>43298</v>
          </cell>
          <cell r="M5219">
            <v>27.8</v>
          </cell>
          <cell r="P5219">
            <v>2.25</v>
          </cell>
        </row>
        <row r="5220">
          <cell r="A5220" t="str">
            <v>BPB-999-RLD-6805</v>
          </cell>
          <cell r="G5220" t="str">
            <v>IPFAP</v>
          </cell>
          <cell r="L5220">
            <v>40407</v>
          </cell>
          <cell r="M5220">
            <v>3.96</v>
          </cell>
          <cell r="P5220">
            <v>1.9898989898989899E-2</v>
          </cell>
        </row>
        <row r="5221">
          <cell r="A5221" t="str">
            <v>BPB-999-RLD-6905</v>
          </cell>
          <cell r="G5221" t="str">
            <v>IPFAP</v>
          </cell>
          <cell r="L5221">
            <v>40407</v>
          </cell>
          <cell r="M5221">
            <v>3.96</v>
          </cell>
          <cell r="P5221">
            <v>1.9898989898989899E-2</v>
          </cell>
        </row>
        <row r="5222">
          <cell r="A5222" t="str">
            <v>BPB-999-SAB206-30DG</v>
          </cell>
          <cell r="G5222" t="str">
            <v xml:space="preserve">INAC </v>
          </cell>
          <cell r="L5222">
            <v>45882</v>
          </cell>
          <cell r="M5222">
            <v>1330</v>
          </cell>
          <cell r="P5222">
            <v>6.2406015037593985</v>
          </cell>
        </row>
        <row r="5223">
          <cell r="A5223" t="str">
            <v>BPB-999-SAB207-35DG</v>
          </cell>
          <cell r="G5223" t="str">
            <v>vpret</v>
          </cell>
          <cell r="L5223">
            <v>45687</v>
          </cell>
          <cell r="M5223">
            <v>1071</v>
          </cell>
          <cell r="P5223">
            <v>2.4507058823529415</v>
          </cell>
        </row>
        <row r="5224">
          <cell r="A5224" t="str">
            <v>BPB-999-SAB208-40DG</v>
          </cell>
          <cell r="G5224" t="str">
            <v>vpret</v>
          </cell>
          <cell r="L5224">
            <v>45629</v>
          </cell>
          <cell r="M5224">
            <v>1032</v>
          </cell>
          <cell r="P5224">
            <v>1.491468992248062</v>
          </cell>
        </row>
        <row r="5225">
          <cell r="A5225" t="str">
            <v>BPB-999-SAB209-45DG</v>
          </cell>
          <cell r="G5225" t="str">
            <v>vpret</v>
          </cell>
          <cell r="L5225">
            <v>45631</v>
          </cell>
          <cell r="M5225">
            <v>1032.5</v>
          </cell>
          <cell r="P5225">
            <v>5.9499777239709442</v>
          </cell>
        </row>
        <row r="5226">
          <cell r="A5226" t="str">
            <v>BPB-999-SAB210-50DG</v>
          </cell>
          <cell r="G5226" t="str">
            <v>vpret</v>
          </cell>
          <cell r="L5226">
            <v>44085</v>
          </cell>
          <cell r="M5226">
            <v>79</v>
          </cell>
          <cell r="P5226">
            <v>4.1533734177215189</v>
          </cell>
        </row>
        <row r="5227">
          <cell r="A5227" t="str">
            <v>BPB-999-SAB5207-35</v>
          </cell>
          <cell r="G5227" t="str">
            <v>IPFAP</v>
          </cell>
          <cell r="L5227">
            <v>44319</v>
          </cell>
          <cell r="M5227">
            <v>98.5</v>
          </cell>
          <cell r="P5227">
            <v>4.5600000000000005</v>
          </cell>
        </row>
        <row r="5228">
          <cell r="A5228" t="str">
            <v>BPB-999-SABP-214-70L</v>
          </cell>
          <cell r="G5228" t="str">
            <v>IPFAP</v>
          </cell>
          <cell r="L5228">
            <v>44267</v>
          </cell>
          <cell r="M5228">
            <v>95.75</v>
          </cell>
          <cell r="P5228">
            <v>14.37</v>
          </cell>
        </row>
        <row r="5229">
          <cell r="A5229" t="str">
            <v>BPB-999-SAE-HEX-38.1</v>
          </cell>
          <cell r="G5229" t="str">
            <v>InTer</v>
          </cell>
          <cell r="L5229">
            <v>44461</v>
          </cell>
          <cell r="M5229">
            <v>103.75</v>
          </cell>
          <cell r="P5229">
            <v>9.6385542168674707E-3</v>
          </cell>
        </row>
        <row r="5230">
          <cell r="A5230" t="str">
            <v>BPB-999-SAE1010Ø152</v>
          </cell>
          <cell r="G5230" t="str">
            <v xml:space="preserve">INAC </v>
          </cell>
          <cell r="L5230">
            <v>45054</v>
          </cell>
          <cell r="M5230">
            <v>234</v>
          </cell>
          <cell r="P5230">
            <v>714.35299145299143</v>
          </cell>
        </row>
        <row r="5231">
          <cell r="A5231" t="str">
            <v>BPB-999-SAE1040Ø165</v>
          </cell>
          <cell r="G5231" t="str">
            <v xml:space="preserve">INAC </v>
          </cell>
          <cell r="L5231">
            <v>45414</v>
          </cell>
          <cell r="M5231">
            <v>896</v>
          </cell>
          <cell r="P5231">
            <v>758.03</v>
          </cell>
        </row>
        <row r="5232">
          <cell r="A5232" t="str">
            <v>BPB-999-SAE1040Ø26</v>
          </cell>
          <cell r="G5232" t="str">
            <v xml:space="preserve">INAC </v>
          </cell>
          <cell r="L5232">
            <v>40731</v>
          </cell>
          <cell r="M5232">
            <v>4.1500000000000004</v>
          </cell>
          <cell r="P5232">
            <v>7.2327228915662642</v>
          </cell>
        </row>
        <row r="5233">
          <cell r="A5233" t="str">
            <v>BPB-999-SAE1040Ø27</v>
          </cell>
          <cell r="G5233" t="str">
            <v>IPFAP</v>
          </cell>
          <cell r="L5233">
            <v>42635</v>
          </cell>
          <cell r="M5233">
            <v>15.46</v>
          </cell>
          <cell r="P5233">
            <v>6.6970051746442429</v>
          </cell>
        </row>
        <row r="5234">
          <cell r="A5234" t="str">
            <v>BPB-999-SAE1040Ø63.5</v>
          </cell>
          <cell r="G5234" t="str">
            <v xml:space="preserve">INAC </v>
          </cell>
          <cell r="L5234">
            <v>45412</v>
          </cell>
          <cell r="M5234">
            <v>895.5</v>
          </cell>
          <cell r="P5234">
            <v>77.386934673366838</v>
          </cell>
        </row>
        <row r="5235">
          <cell r="A5235" t="str">
            <v>BPB-999-SAE1040Ø70</v>
          </cell>
          <cell r="G5235" t="str">
            <v xml:space="preserve">INAC </v>
          </cell>
          <cell r="L5235">
            <v>44817</v>
          </cell>
          <cell r="M5235">
            <v>148.75</v>
          </cell>
          <cell r="P5235">
            <v>170.6529075630252</v>
          </cell>
        </row>
        <row r="5236">
          <cell r="A5236" t="str">
            <v>BPB-999-SAE1040Ø76</v>
          </cell>
          <cell r="G5236" t="str">
            <v xml:space="preserve">INAC </v>
          </cell>
          <cell r="L5236">
            <v>45412</v>
          </cell>
          <cell r="M5236">
            <v>895.5</v>
          </cell>
          <cell r="P5236">
            <v>114.68453378001117</v>
          </cell>
        </row>
        <row r="5237">
          <cell r="A5237" t="str">
            <v>BPB-999-SAE1045LØ50</v>
          </cell>
          <cell r="G5237" t="str">
            <v>INSI$</v>
          </cell>
          <cell r="L5237">
            <v>40456</v>
          </cell>
          <cell r="M5237">
            <v>3.98</v>
          </cell>
          <cell r="P5237">
            <v>22.613065326633166</v>
          </cell>
        </row>
        <row r="5238">
          <cell r="A5238" t="str">
            <v>BPB-999-SAE1045LØ70</v>
          </cell>
          <cell r="G5238" t="str">
            <v>IPFAP</v>
          </cell>
          <cell r="L5238">
            <v>45770</v>
          </cell>
          <cell r="M5238">
            <v>1120</v>
          </cell>
          <cell r="P5238">
            <v>91.594642857142858</v>
          </cell>
        </row>
        <row r="5239">
          <cell r="A5239" t="str">
            <v>BPB-999-SAE1045Ø101.</v>
          </cell>
          <cell r="G5239" t="str">
            <v xml:space="preserve">INAC </v>
          </cell>
          <cell r="L5239">
            <v>42809</v>
          </cell>
          <cell r="M5239">
            <v>15.85</v>
          </cell>
          <cell r="P5239">
            <v>106.19683911671925</v>
          </cell>
        </row>
        <row r="5240">
          <cell r="A5240" t="str">
            <v>BPB-999-SAE1045Ø114.</v>
          </cell>
          <cell r="G5240" t="str">
            <v xml:space="preserve">INAC </v>
          </cell>
          <cell r="L5240">
            <v>45961</v>
          </cell>
          <cell r="M5240">
            <v>1465</v>
          </cell>
          <cell r="P5240">
            <v>166.8014470989761</v>
          </cell>
        </row>
        <row r="5241">
          <cell r="A5241" t="str">
            <v>BPB-999-SAE1045Ø130</v>
          </cell>
          <cell r="G5241" t="str">
            <v xml:space="preserve">INAC </v>
          </cell>
          <cell r="L5241">
            <v>42783</v>
          </cell>
          <cell r="M5241">
            <v>15.81</v>
          </cell>
          <cell r="P5241">
            <v>157.29907020872864</v>
          </cell>
        </row>
        <row r="5242">
          <cell r="A5242" t="str">
            <v>BPB-999-SAE1045Ø15</v>
          </cell>
          <cell r="G5242" t="str">
            <v xml:space="preserve">INAC </v>
          </cell>
          <cell r="L5242">
            <v>43944</v>
          </cell>
          <cell r="M5242">
            <v>67.75</v>
          </cell>
          <cell r="P5242">
            <v>3.6593357933579336</v>
          </cell>
        </row>
        <row r="5243">
          <cell r="A5243" t="str">
            <v>BPB-999-SAE1045Ø254</v>
          </cell>
          <cell r="G5243" t="str">
            <v xml:space="preserve">INAC </v>
          </cell>
          <cell r="L5243">
            <v>42674</v>
          </cell>
          <cell r="M5243">
            <v>15.4</v>
          </cell>
          <cell r="P5243">
            <v>2076.9668831168833</v>
          </cell>
        </row>
        <row r="5244">
          <cell r="A5244" t="str">
            <v>BPB-999-SAE1045Ø27</v>
          </cell>
          <cell r="G5244" t="str">
            <v xml:space="preserve">INAC </v>
          </cell>
          <cell r="L5244">
            <v>42741</v>
          </cell>
          <cell r="M5244">
            <v>16.43</v>
          </cell>
          <cell r="P5244">
            <v>8.5982349360925134</v>
          </cell>
        </row>
        <row r="5245">
          <cell r="A5245" t="str">
            <v>BPB-999-SAE1045Ø28.6</v>
          </cell>
          <cell r="G5245" t="str">
            <v>IPFAP</v>
          </cell>
          <cell r="L5245">
            <v>45694</v>
          </cell>
          <cell r="M5245">
            <v>1074.5</v>
          </cell>
          <cell r="P5245">
            <v>0.11187538389948813</v>
          </cell>
        </row>
        <row r="5246">
          <cell r="A5246" t="str">
            <v>BPB-999-SAE1045Ø32</v>
          </cell>
          <cell r="G5246" t="str">
            <v xml:space="preserve">INAC </v>
          </cell>
          <cell r="L5246">
            <v>44252</v>
          </cell>
          <cell r="M5246">
            <v>94.5</v>
          </cell>
          <cell r="P5246">
            <v>14.612486772486774</v>
          </cell>
        </row>
        <row r="5247">
          <cell r="A5247" t="str">
            <v>BPB-999-SAE1045Ø34.9</v>
          </cell>
          <cell r="G5247" t="str">
            <v xml:space="preserve">INAC </v>
          </cell>
          <cell r="L5247">
            <v>41894</v>
          </cell>
          <cell r="M5247">
            <v>8.41</v>
          </cell>
          <cell r="P5247">
            <v>15.352259215219977</v>
          </cell>
        </row>
        <row r="5248">
          <cell r="A5248" t="str">
            <v>BPB-999-SAE1045Ø36</v>
          </cell>
          <cell r="G5248" t="str">
            <v xml:space="preserve">INAC </v>
          </cell>
          <cell r="L5248">
            <v>42741</v>
          </cell>
          <cell r="M5248">
            <v>16.43</v>
          </cell>
          <cell r="P5248">
            <v>20.769933049300061</v>
          </cell>
        </row>
        <row r="5249">
          <cell r="A5249" t="str">
            <v>BPB-999-SAE1045Ø38.1</v>
          </cell>
          <cell r="G5249" t="str">
            <v xml:space="preserve">INAC </v>
          </cell>
          <cell r="L5249">
            <v>42552</v>
          </cell>
          <cell r="M5249">
            <v>15.21</v>
          </cell>
          <cell r="P5249">
            <v>27.031262327416172</v>
          </cell>
        </row>
        <row r="5250">
          <cell r="A5250" t="str">
            <v>BPB-999-SAE1045Ø42</v>
          </cell>
          <cell r="G5250" t="str">
            <v xml:space="preserve">INAC </v>
          </cell>
          <cell r="L5250">
            <v>42703</v>
          </cell>
          <cell r="M5250">
            <v>15.75</v>
          </cell>
          <cell r="P5250">
            <v>16.342857142857142</v>
          </cell>
        </row>
        <row r="5251">
          <cell r="A5251" t="str">
            <v>BPB-999-SAE1045Ø47.6</v>
          </cell>
          <cell r="G5251" t="str">
            <v xml:space="preserve">INAC </v>
          </cell>
          <cell r="L5251">
            <v>45994</v>
          </cell>
          <cell r="M5251">
            <v>1480</v>
          </cell>
          <cell r="P5251">
            <v>15.913067837837838</v>
          </cell>
        </row>
        <row r="5252">
          <cell r="A5252" t="str">
            <v>BPB-999-SAE1045Ø55</v>
          </cell>
          <cell r="G5252" t="str">
            <v xml:space="preserve">INAC </v>
          </cell>
          <cell r="L5252">
            <v>44566</v>
          </cell>
          <cell r="M5252">
            <v>108</v>
          </cell>
          <cell r="P5252">
            <v>73.733333333333334</v>
          </cell>
        </row>
        <row r="5253">
          <cell r="A5253" t="str">
            <v>BPB-999-SAE1045Ø69.8</v>
          </cell>
          <cell r="G5253" t="str">
            <v xml:space="preserve">INAC </v>
          </cell>
          <cell r="L5253">
            <v>42552</v>
          </cell>
          <cell r="M5253">
            <v>15.21</v>
          </cell>
          <cell r="P5253">
            <v>82.11439842209073</v>
          </cell>
        </row>
        <row r="5254">
          <cell r="A5254" t="str">
            <v>BPB-999-SAE1045Ø76.2</v>
          </cell>
          <cell r="G5254" t="str">
            <v>IPFAP</v>
          </cell>
          <cell r="L5254">
            <v>45694</v>
          </cell>
          <cell r="M5254">
            <v>1074.5</v>
          </cell>
          <cell r="P5254">
            <v>95.473243369008841</v>
          </cell>
        </row>
        <row r="5255">
          <cell r="A5255" t="str">
            <v>BPB-999-SAE1045Ø88.9</v>
          </cell>
          <cell r="G5255" t="str">
            <v xml:space="preserve">INAC </v>
          </cell>
          <cell r="L5255">
            <v>45461</v>
          </cell>
          <cell r="M5255">
            <v>922</v>
          </cell>
          <cell r="P5255">
            <v>147.49</v>
          </cell>
        </row>
        <row r="5256">
          <cell r="A5256" t="str">
            <v>BPB-999-SAE4140</v>
          </cell>
          <cell r="G5256" t="str">
            <v xml:space="preserve">INAC </v>
          </cell>
          <cell r="L5256">
            <v>42774</v>
          </cell>
          <cell r="M5256">
            <v>16.059999999999999</v>
          </cell>
          <cell r="P5256">
            <v>20.174346201743464</v>
          </cell>
        </row>
        <row r="5257">
          <cell r="A5257" t="str">
            <v>BPB-999-SAE4140Ø101</v>
          </cell>
          <cell r="G5257" t="str">
            <v xml:space="preserve">INAC </v>
          </cell>
          <cell r="L5257">
            <v>42405</v>
          </cell>
          <cell r="M5257">
            <v>14.5</v>
          </cell>
          <cell r="P5257">
            <v>162.28965517241377</v>
          </cell>
        </row>
        <row r="5258">
          <cell r="A5258" t="str">
            <v>BPB-999-SAE4140Ø120</v>
          </cell>
          <cell r="G5258" t="str">
            <v xml:space="preserve">INAC </v>
          </cell>
          <cell r="L5258">
            <v>42586</v>
          </cell>
          <cell r="M5258">
            <v>15.16</v>
          </cell>
          <cell r="P5258">
            <v>413.27176781002635</v>
          </cell>
        </row>
        <row r="5259">
          <cell r="A5259" t="str">
            <v>BPB-999-SAE4140Ø17.5</v>
          </cell>
          <cell r="G5259" t="str">
            <v xml:space="preserve">INAC </v>
          </cell>
          <cell r="L5259">
            <v>41663</v>
          </cell>
          <cell r="M5259">
            <v>7.95</v>
          </cell>
          <cell r="P5259">
            <v>6.1719119496855344</v>
          </cell>
        </row>
        <row r="5260">
          <cell r="A5260" t="str">
            <v>BPB-999-SAE4140Ø178</v>
          </cell>
          <cell r="G5260" t="str">
            <v xml:space="preserve">INSI </v>
          </cell>
          <cell r="L5260">
            <v>44404</v>
          </cell>
          <cell r="M5260">
            <v>101.5</v>
          </cell>
          <cell r="P5260">
            <v>684.28440000000001</v>
          </cell>
        </row>
        <row r="5261">
          <cell r="A5261" t="str">
            <v>BPB-999-SAE4140Ø25.4</v>
          </cell>
          <cell r="G5261" t="str">
            <v xml:space="preserve">INAC </v>
          </cell>
          <cell r="L5261">
            <v>44659</v>
          </cell>
          <cell r="M5261">
            <v>117.25</v>
          </cell>
          <cell r="P5261">
            <v>22.492402558635394</v>
          </cell>
        </row>
        <row r="5262">
          <cell r="A5262" t="str">
            <v>BPB-999-SAE4140Ø27</v>
          </cell>
          <cell r="G5262" t="str">
            <v xml:space="preserve">INAC </v>
          </cell>
          <cell r="L5262">
            <v>45903</v>
          </cell>
          <cell r="M5262">
            <v>1375</v>
          </cell>
          <cell r="P5262">
            <v>7.5030933090909091</v>
          </cell>
        </row>
        <row r="5263">
          <cell r="A5263" t="str">
            <v>BPB-999-SAE4140Ø31.7</v>
          </cell>
          <cell r="G5263" t="str">
            <v xml:space="preserve">INAC </v>
          </cell>
          <cell r="L5263">
            <v>42298</v>
          </cell>
          <cell r="M5263">
            <v>9.5500000000000007</v>
          </cell>
          <cell r="P5263">
            <v>18.73923560209424</v>
          </cell>
        </row>
        <row r="5264">
          <cell r="A5264" t="str">
            <v>BPB-999-SAE4140Ø34.9</v>
          </cell>
          <cell r="G5264" t="str">
            <v xml:space="preserve">INAC </v>
          </cell>
          <cell r="L5264">
            <v>42831</v>
          </cell>
          <cell r="M5264">
            <v>15.69</v>
          </cell>
          <cell r="P5264">
            <v>22.649196940726579</v>
          </cell>
        </row>
        <row r="5265">
          <cell r="A5265" t="str">
            <v>BPB-999-SAE4140Ø38.1</v>
          </cell>
          <cell r="G5265" t="str">
            <v>IPFAP</v>
          </cell>
          <cell r="L5265">
            <v>45694</v>
          </cell>
          <cell r="M5265">
            <v>1074.5</v>
          </cell>
          <cell r="P5265">
            <v>29.578080037226616</v>
          </cell>
        </row>
        <row r="5266">
          <cell r="A5266" t="str">
            <v>BPB-999-SAE4140Ø47.6</v>
          </cell>
          <cell r="G5266" t="str">
            <v>IPFAP</v>
          </cell>
          <cell r="L5266">
            <v>45694</v>
          </cell>
          <cell r="M5266">
            <v>1074.5</v>
          </cell>
          <cell r="P5266">
            <v>41.340111679851091</v>
          </cell>
        </row>
        <row r="5267">
          <cell r="A5267" t="str">
            <v>BPB-999-SAE4140Ø50.8</v>
          </cell>
          <cell r="G5267" t="str">
            <v xml:space="preserve">INAC </v>
          </cell>
          <cell r="L5267">
            <v>45461</v>
          </cell>
          <cell r="M5267">
            <v>922</v>
          </cell>
          <cell r="P5267">
            <v>57.599999999999994</v>
          </cell>
        </row>
        <row r="5268">
          <cell r="A5268" t="str">
            <v>BPB-999-SAE4140Ø63.5</v>
          </cell>
          <cell r="G5268" t="str">
            <v>IPFAP</v>
          </cell>
          <cell r="L5268">
            <v>41955</v>
          </cell>
          <cell r="M5268">
            <v>8.52</v>
          </cell>
          <cell r="P5268">
            <v>69.966255868544593</v>
          </cell>
        </row>
        <row r="5269">
          <cell r="A5269" t="str">
            <v>BPB-999-SAE4140Ø69.8</v>
          </cell>
          <cell r="G5269" t="str">
            <v>IPFAP</v>
          </cell>
          <cell r="L5269">
            <v>42310</v>
          </cell>
          <cell r="M5269">
            <v>9.61</v>
          </cell>
          <cell r="P5269">
            <v>99.65546305931322</v>
          </cell>
        </row>
        <row r="5270">
          <cell r="A5270" t="str">
            <v>BPB-999-SAE52100Ø28.</v>
          </cell>
          <cell r="G5270" t="str">
            <v xml:space="preserve">INAC </v>
          </cell>
          <cell r="L5270">
            <v>41988</v>
          </cell>
          <cell r="M5270">
            <v>8.58</v>
          </cell>
          <cell r="P5270">
            <v>34.926188811188808</v>
          </cell>
        </row>
        <row r="5271">
          <cell r="A5271" t="str">
            <v>BPB-999-SAE52100Ø44</v>
          </cell>
          <cell r="G5271" t="str">
            <v xml:space="preserve">INAC </v>
          </cell>
          <cell r="L5271">
            <v>41849</v>
          </cell>
          <cell r="M5271">
            <v>8.19</v>
          </cell>
          <cell r="P5271">
            <v>64.053614163614171</v>
          </cell>
        </row>
        <row r="5272">
          <cell r="A5272" t="str">
            <v>BPB-999-SAE52100Ø47</v>
          </cell>
          <cell r="G5272" t="str">
            <v>IPFAP</v>
          </cell>
          <cell r="L5272">
            <v>45694</v>
          </cell>
          <cell r="M5272">
            <v>1074.5</v>
          </cell>
          <cell r="P5272">
            <v>0.82044727780362958</v>
          </cell>
        </row>
        <row r="5273">
          <cell r="A5273" t="str">
            <v>BPB-999-SAE52100Ø80</v>
          </cell>
          <cell r="G5273" t="str">
            <v xml:space="preserve">INAC </v>
          </cell>
          <cell r="L5273">
            <v>41843</v>
          </cell>
          <cell r="M5273">
            <v>8.18</v>
          </cell>
          <cell r="P5273">
            <v>268.48173594132032</v>
          </cell>
        </row>
        <row r="5274">
          <cell r="A5274" t="str">
            <v>BPB-999-SAE52100Ø82</v>
          </cell>
          <cell r="G5274" t="str">
            <v xml:space="preserve">INAC </v>
          </cell>
          <cell r="L5274">
            <v>41941</v>
          </cell>
          <cell r="M5274">
            <v>8.5</v>
          </cell>
          <cell r="P5274">
            <v>295.56544705882357</v>
          </cell>
        </row>
        <row r="5275">
          <cell r="A5275" t="str">
            <v>BPB-999-SAE8620Ø25.4</v>
          </cell>
          <cell r="G5275" t="str">
            <v xml:space="preserve">INAC </v>
          </cell>
          <cell r="L5275">
            <v>42522</v>
          </cell>
          <cell r="M5275">
            <v>14.35</v>
          </cell>
          <cell r="P5275">
            <v>14.996515679442508</v>
          </cell>
        </row>
        <row r="5276">
          <cell r="A5276" t="str">
            <v>BPB-999-SAE8620Ø31.7</v>
          </cell>
          <cell r="G5276" t="str">
            <v>INPEE</v>
          </cell>
          <cell r="L5276">
            <v>43979</v>
          </cell>
          <cell r="M5276">
            <v>70.25</v>
          </cell>
          <cell r="P5276">
            <v>15.564299999999999</v>
          </cell>
        </row>
        <row r="5277">
          <cell r="A5277" t="str">
            <v>BPB-999-SAE8620Ø44.5</v>
          </cell>
          <cell r="G5277" t="str">
            <v xml:space="preserve">INAC </v>
          </cell>
          <cell r="L5277">
            <v>42502</v>
          </cell>
          <cell r="M5277">
            <v>14.54</v>
          </cell>
          <cell r="P5277">
            <v>46.251719394773041</v>
          </cell>
        </row>
        <row r="5278">
          <cell r="A5278" t="str">
            <v>BPB-999-SFC-85-M</v>
          </cell>
          <cell r="G5278" t="str">
            <v>IPFAP</v>
          </cell>
          <cell r="L5278">
            <v>42724</v>
          </cell>
          <cell r="M5278">
            <v>16.170000000000002</v>
          </cell>
          <cell r="P5278">
            <v>5.3536796536796531</v>
          </cell>
        </row>
        <row r="5279">
          <cell r="A5279" t="str">
            <v>BPB-999-TCX206</v>
          </cell>
          <cell r="G5279" t="str">
            <v>IPFAB</v>
          </cell>
          <cell r="L5279">
            <v>40795</v>
          </cell>
          <cell r="M5279">
            <v>4.24</v>
          </cell>
          <cell r="P5279">
            <v>0.9</v>
          </cell>
        </row>
        <row r="5280">
          <cell r="A5280" t="str">
            <v>BPB-999-TCY206</v>
          </cell>
          <cell r="G5280" t="str">
            <v>IPFAB</v>
          </cell>
          <cell r="L5280">
            <v>40808</v>
          </cell>
          <cell r="M5280">
            <v>4.2300000000000004</v>
          </cell>
          <cell r="P5280">
            <v>0.38090000000000002</v>
          </cell>
        </row>
        <row r="5281">
          <cell r="A5281" t="str">
            <v>BPB-999-UC-207-DBL</v>
          </cell>
          <cell r="G5281" t="str">
            <v>IPFAB</v>
          </cell>
          <cell r="L5281">
            <v>40976</v>
          </cell>
          <cell r="M5281">
            <v>4.3600000000000003</v>
          </cell>
          <cell r="P5281">
            <v>2.76</v>
          </cell>
        </row>
        <row r="5282">
          <cell r="A5282" t="str">
            <v>BPB-999-W-208-YYB22</v>
          </cell>
          <cell r="G5282" t="str">
            <v>IPFAP</v>
          </cell>
          <cell r="L5282">
            <v>43396</v>
          </cell>
          <cell r="M5282">
            <v>37.299999999999997</v>
          </cell>
          <cell r="P5282">
            <v>2.4932439678284184</v>
          </cell>
        </row>
        <row r="5283">
          <cell r="A5283" t="str">
            <v>BPB-999-Y-30209-MX</v>
          </cell>
          <cell r="G5283" t="str">
            <v xml:space="preserve">CR   </v>
          </cell>
          <cell r="L5283">
            <v>40428.376423611109</v>
          </cell>
          <cell r="M5283">
            <v>3.97</v>
          </cell>
          <cell r="P5283">
            <v>0.27900000000000003</v>
          </cell>
        </row>
        <row r="5284">
          <cell r="A5284" t="str">
            <v>BPB-HS--6201-2RLD-C0</v>
          </cell>
          <cell r="G5284" t="str">
            <v xml:space="preserve">INAC </v>
          </cell>
          <cell r="L5284">
            <v>41611</v>
          </cell>
          <cell r="M5284">
            <v>6.16</v>
          </cell>
          <cell r="P5284">
            <v>0.5892857142857143</v>
          </cell>
        </row>
        <row r="5285">
          <cell r="A5285" t="str">
            <v>BPB-HS--6201-2RLD-C3</v>
          </cell>
          <cell r="G5285" t="str">
            <v xml:space="preserve">INSI </v>
          </cell>
          <cell r="L5285">
            <v>42830</v>
          </cell>
          <cell r="M5285">
            <v>15.71</v>
          </cell>
          <cell r="P5285">
            <v>0.2311</v>
          </cell>
        </row>
        <row r="5286">
          <cell r="A5286" t="str">
            <v>BPB-HS--6203-2RLD-C3</v>
          </cell>
          <cell r="G5286" t="str">
            <v xml:space="preserve">INAC </v>
          </cell>
          <cell r="L5286">
            <v>41253</v>
          </cell>
          <cell r="M5286">
            <v>4.87</v>
          </cell>
          <cell r="P5286">
            <v>0.75154004106776184</v>
          </cell>
        </row>
        <row r="5287">
          <cell r="A5287" t="str">
            <v>BPB-HS--6805-2RLD-C3</v>
          </cell>
          <cell r="G5287" t="str">
            <v>IPFAP</v>
          </cell>
          <cell r="L5287">
            <v>42326</v>
          </cell>
          <cell r="M5287">
            <v>9.7100000000000009</v>
          </cell>
          <cell r="P5287">
            <v>0.31700308959835222</v>
          </cell>
        </row>
        <row r="5288">
          <cell r="A5288" t="str">
            <v>BPB-HS--LS04-D-C3</v>
          </cell>
          <cell r="G5288" t="str">
            <v>VPRet</v>
          </cell>
          <cell r="L5288">
            <v>42705</v>
          </cell>
          <cell r="M5288">
            <v>16.07</v>
          </cell>
          <cell r="P5288">
            <v>0.51400124455507157</v>
          </cell>
        </row>
        <row r="5289">
          <cell r="A5289" t="str">
            <v>BPB-LED-BP-03</v>
          </cell>
          <cell r="G5289" t="str">
            <v>IDESP</v>
          </cell>
          <cell r="L5289">
            <v>40863</v>
          </cell>
          <cell r="M5289">
            <v>4.29</v>
          </cell>
          <cell r="P5289">
            <v>595</v>
          </cell>
        </row>
        <row r="5290">
          <cell r="A5290" t="str">
            <v>BPB-LED-BPH-01</v>
          </cell>
          <cell r="G5290" t="str">
            <v>INMUE</v>
          </cell>
          <cell r="L5290">
            <v>40976</v>
          </cell>
          <cell r="M5290">
            <v>4.3600000000000003</v>
          </cell>
          <cell r="P5290">
            <v>594.99999999999989</v>
          </cell>
        </row>
        <row r="5291">
          <cell r="A5291" t="str">
            <v>BPB-S---6201-2RLD-C0</v>
          </cell>
          <cell r="G5291" t="str">
            <v xml:space="preserve">INAC </v>
          </cell>
          <cell r="L5291">
            <v>41079</v>
          </cell>
          <cell r="M5291">
            <v>4.51</v>
          </cell>
          <cell r="P5291">
            <v>0.25942350332594233</v>
          </cell>
        </row>
        <row r="5292">
          <cell r="A5292" t="str">
            <v>BPB-S---6201-2RLD-C3</v>
          </cell>
          <cell r="G5292" t="str">
            <v xml:space="preserve">INAC </v>
          </cell>
          <cell r="L5292">
            <v>41079</v>
          </cell>
          <cell r="M5292">
            <v>4.51</v>
          </cell>
          <cell r="P5292">
            <v>0.25942350332594233</v>
          </cell>
        </row>
        <row r="5293">
          <cell r="A5293" t="str">
            <v>BPB-S---6203-2RLD-C3</v>
          </cell>
          <cell r="G5293" t="str">
            <v>INPE$</v>
          </cell>
          <cell r="L5293">
            <v>41233</v>
          </cell>
          <cell r="M5293">
            <v>4.8099999999999996</v>
          </cell>
          <cell r="P5293">
            <v>0.76091476091476096</v>
          </cell>
        </row>
        <row r="5294">
          <cell r="A5294" t="str">
            <v>BPB-S---6805-2RLD-C3</v>
          </cell>
          <cell r="G5294" t="str">
            <v>IPFAP</v>
          </cell>
          <cell r="L5294">
            <v>42326</v>
          </cell>
          <cell r="M5294">
            <v>9.7100000000000009</v>
          </cell>
          <cell r="P5294">
            <v>0.31700308959835222</v>
          </cell>
        </row>
        <row r="5295">
          <cell r="A5295" t="str">
            <v>BPB-SS--6201-2RLD-C0</v>
          </cell>
          <cell r="G5295" t="str">
            <v xml:space="preserve">INAC </v>
          </cell>
          <cell r="L5295">
            <v>41079</v>
          </cell>
          <cell r="M5295">
            <v>4.51</v>
          </cell>
          <cell r="P5295">
            <v>0.25942350332594233</v>
          </cell>
        </row>
        <row r="5296">
          <cell r="A5296" t="str">
            <v>BPB-SS--6201-2RLD-C3</v>
          </cell>
          <cell r="G5296" t="str">
            <v xml:space="preserve">INAC </v>
          </cell>
          <cell r="L5296">
            <v>41079</v>
          </cell>
          <cell r="M5296">
            <v>4.51</v>
          </cell>
          <cell r="P5296">
            <v>0.25942350332594233</v>
          </cell>
        </row>
        <row r="5297">
          <cell r="A5297" t="str">
            <v>BPB-SS--6203-2RLD-C3</v>
          </cell>
          <cell r="G5297" t="str">
            <v>INPE$</v>
          </cell>
          <cell r="L5297">
            <v>41233</v>
          </cell>
          <cell r="M5297">
            <v>4.8099999999999996</v>
          </cell>
          <cell r="P5297">
            <v>0.76091476091476096</v>
          </cell>
        </row>
        <row r="5298">
          <cell r="A5298" t="str">
            <v>BPB-SS--6805-2RLD-C3</v>
          </cell>
          <cell r="G5298" t="str">
            <v>IPFAP</v>
          </cell>
          <cell r="L5298">
            <v>42326</v>
          </cell>
          <cell r="M5298">
            <v>9.7100000000000009</v>
          </cell>
          <cell r="P5298">
            <v>0.31700308959835222</v>
          </cell>
        </row>
        <row r="5299">
          <cell r="A5299" t="str">
            <v>BPB-SSS-6201-2RLD-C0</v>
          </cell>
          <cell r="G5299" t="str">
            <v xml:space="preserve">INAC </v>
          </cell>
          <cell r="L5299">
            <v>41079</v>
          </cell>
          <cell r="M5299">
            <v>4.51</v>
          </cell>
          <cell r="P5299">
            <v>0.25942350332594233</v>
          </cell>
        </row>
        <row r="5300">
          <cell r="A5300" t="str">
            <v>BPB-SSS-6203-2RLD-C3</v>
          </cell>
          <cell r="G5300" t="str">
            <v xml:space="preserve">INAC </v>
          </cell>
          <cell r="L5300">
            <v>41253</v>
          </cell>
          <cell r="M5300">
            <v>4.87</v>
          </cell>
          <cell r="P5300">
            <v>0.75154004106776184</v>
          </cell>
        </row>
        <row r="5301">
          <cell r="A5301" t="str">
            <v>BPB-SSS-6805-2RLD-C3</v>
          </cell>
          <cell r="G5301" t="str">
            <v>IPFAP</v>
          </cell>
          <cell r="L5301">
            <v>42326</v>
          </cell>
          <cell r="M5301">
            <v>9.7100000000000009</v>
          </cell>
          <cell r="P5301">
            <v>0.31700308959835222</v>
          </cell>
        </row>
        <row r="5302">
          <cell r="A5302" t="str">
            <v>BRO-048-ER-51</v>
          </cell>
          <cell r="G5302" t="str">
            <v xml:space="preserve">INAC </v>
          </cell>
          <cell r="L5302">
            <v>39927</v>
          </cell>
          <cell r="M5302">
            <v>3.71</v>
          </cell>
          <cell r="P5302">
            <v>147.37533692722374</v>
          </cell>
        </row>
        <row r="5303">
          <cell r="A5303" t="str">
            <v>CBF-040-22205</v>
          </cell>
          <cell r="G5303" t="str">
            <v xml:space="preserve">CR   </v>
          </cell>
          <cell r="L5303">
            <v>37981</v>
          </cell>
          <cell r="M5303">
            <v>2.96</v>
          </cell>
          <cell r="P5303">
            <v>7.26</v>
          </cell>
        </row>
        <row r="5304">
          <cell r="A5304" t="str">
            <v>CMG-031-306924</v>
          </cell>
          <cell r="G5304" t="str">
            <v xml:space="preserve">CR   </v>
          </cell>
          <cell r="L5304">
            <v>38811</v>
          </cell>
          <cell r="M5304">
            <v>3.085</v>
          </cell>
          <cell r="P5304">
            <v>3.5684999999999998</v>
          </cell>
        </row>
        <row r="5305">
          <cell r="A5305" t="str">
            <v>CMG-031-313659</v>
          </cell>
          <cell r="G5305" t="str">
            <v xml:space="preserve">CR   </v>
          </cell>
          <cell r="L5305">
            <v>38624</v>
          </cell>
          <cell r="M5305">
            <v>2.915</v>
          </cell>
          <cell r="P5305">
            <v>11.583</v>
          </cell>
        </row>
        <row r="5306">
          <cell r="A5306" t="str">
            <v>CMG-031-315509</v>
          </cell>
          <cell r="G5306" t="str">
            <v xml:space="preserve">CR   </v>
          </cell>
          <cell r="L5306">
            <v>38624</v>
          </cell>
          <cell r="M5306">
            <v>2.915</v>
          </cell>
          <cell r="P5306">
            <v>9.8010000000000002</v>
          </cell>
        </row>
        <row r="5307">
          <cell r="A5307" t="str">
            <v>CMG-031-399-360L</v>
          </cell>
          <cell r="G5307" t="str">
            <v xml:space="preserve">CR   </v>
          </cell>
          <cell r="L5307">
            <v>38811</v>
          </cell>
          <cell r="M5307">
            <v>3.085</v>
          </cell>
          <cell r="P5307">
            <v>4.8999999999999998E-3</v>
          </cell>
        </row>
        <row r="5308">
          <cell r="A5308" t="str">
            <v>CMG-031-440682</v>
          </cell>
          <cell r="G5308" t="str">
            <v xml:space="preserve">CR   </v>
          </cell>
          <cell r="L5308">
            <v>38624</v>
          </cell>
          <cell r="M5308">
            <v>2.915</v>
          </cell>
          <cell r="P5308">
            <v>6.1929999999999996</v>
          </cell>
        </row>
        <row r="5309">
          <cell r="A5309" t="str">
            <v>CMG-031-512180</v>
          </cell>
          <cell r="G5309" t="str">
            <v xml:space="preserve">INSI </v>
          </cell>
          <cell r="L5309">
            <v>39518</v>
          </cell>
          <cell r="M5309">
            <v>3.1579999999999999</v>
          </cell>
          <cell r="P5309">
            <v>1</v>
          </cell>
        </row>
        <row r="5310">
          <cell r="A5310" t="str">
            <v>CMG-031-612844-B</v>
          </cell>
          <cell r="G5310" t="str">
            <v xml:space="preserve">CR   </v>
          </cell>
          <cell r="L5310">
            <v>38624</v>
          </cell>
          <cell r="M5310">
            <v>2.915</v>
          </cell>
          <cell r="P5310">
            <v>7.0069999999999997</v>
          </cell>
        </row>
        <row r="5311">
          <cell r="A5311" t="str">
            <v>CMG-031-615722</v>
          </cell>
          <cell r="G5311" t="str">
            <v xml:space="preserve">CR   </v>
          </cell>
          <cell r="L5311">
            <v>38811</v>
          </cell>
          <cell r="M5311">
            <v>3.085</v>
          </cell>
          <cell r="P5311">
            <v>2.9169999999999998</v>
          </cell>
        </row>
        <row r="5312">
          <cell r="A5312" t="str">
            <v>CMG-031-639114</v>
          </cell>
          <cell r="G5312" t="str">
            <v xml:space="preserve">CR   </v>
          </cell>
          <cell r="L5312">
            <v>38811</v>
          </cell>
          <cell r="M5312">
            <v>3.085</v>
          </cell>
          <cell r="P5312">
            <v>3.3039000000000001</v>
          </cell>
        </row>
        <row r="5313">
          <cell r="A5313" t="str">
            <v>CMG-031-639175</v>
          </cell>
          <cell r="G5313" t="str">
            <v xml:space="preserve">CR   </v>
          </cell>
          <cell r="L5313">
            <v>38624</v>
          </cell>
          <cell r="M5313">
            <v>2.915</v>
          </cell>
          <cell r="P5313">
            <v>4.29</v>
          </cell>
        </row>
        <row r="5314">
          <cell r="A5314" t="str">
            <v>CMG-031-89647-3</v>
          </cell>
          <cell r="G5314" t="str">
            <v xml:space="preserve">CR   </v>
          </cell>
          <cell r="L5314">
            <v>38624</v>
          </cell>
          <cell r="M5314">
            <v>2.915</v>
          </cell>
          <cell r="P5314">
            <v>8.2829999999999995</v>
          </cell>
        </row>
        <row r="5315">
          <cell r="A5315" t="str">
            <v>CMG-031-BBF-633295</v>
          </cell>
          <cell r="G5315" t="str">
            <v xml:space="preserve">CR   </v>
          </cell>
          <cell r="L5315">
            <v>38624</v>
          </cell>
          <cell r="M5315">
            <v>2.915</v>
          </cell>
          <cell r="P5315">
            <v>4.8070000000000004</v>
          </cell>
        </row>
        <row r="5316">
          <cell r="A5316" t="str">
            <v>CMG-031-C4T-3552-357</v>
          </cell>
          <cell r="G5316" t="str">
            <v xml:space="preserve">CR   </v>
          </cell>
          <cell r="L5316">
            <v>38624</v>
          </cell>
          <cell r="M5316">
            <v>2.915</v>
          </cell>
          <cell r="P5316">
            <v>2.464</v>
          </cell>
        </row>
        <row r="5317">
          <cell r="A5317" t="str">
            <v>CMG-031-C4T-3553-357</v>
          </cell>
          <cell r="G5317" t="str">
            <v xml:space="preserve">CR   </v>
          </cell>
          <cell r="L5317">
            <v>38811</v>
          </cell>
          <cell r="M5317">
            <v>3.085</v>
          </cell>
          <cell r="P5317">
            <v>1.1328</v>
          </cell>
        </row>
        <row r="5318">
          <cell r="A5318" t="str">
            <v>CMG-031-FC-10893</v>
          </cell>
          <cell r="G5318" t="str">
            <v xml:space="preserve">CR   </v>
          </cell>
          <cell r="L5318">
            <v>38624</v>
          </cell>
          <cell r="M5318">
            <v>2.915</v>
          </cell>
          <cell r="P5318">
            <v>17.919</v>
          </cell>
        </row>
        <row r="5319">
          <cell r="A5319" t="str">
            <v>CMG-031-G-88703</v>
          </cell>
          <cell r="G5319" t="str">
            <v xml:space="preserve">CR   </v>
          </cell>
          <cell r="L5319">
            <v>38624</v>
          </cell>
          <cell r="M5319">
            <v>2.915</v>
          </cell>
          <cell r="P5319">
            <v>7.6890000000000001</v>
          </cell>
        </row>
        <row r="5320">
          <cell r="A5320" t="str">
            <v>CMG-031-GB-10667</v>
          </cell>
          <cell r="G5320" t="str">
            <v>INDEV</v>
          </cell>
          <cell r="L5320">
            <v>41288</v>
          </cell>
          <cell r="M5320">
            <v>4.95</v>
          </cell>
          <cell r="P5320">
            <v>38.626262626262623</v>
          </cell>
        </row>
        <row r="5321">
          <cell r="A5321" t="str">
            <v>CMG-031-I-130501</v>
          </cell>
          <cell r="G5321" t="str">
            <v xml:space="preserve">CR   </v>
          </cell>
          <cell r="L5321">
            <v>38624</v>
          </cell>
          <cell r="M5321">
            <v>2.915</v>
          </cell>
          <cell r="P5321">
            <v>21.395</v>
          </cell>
        </row>
        <row r="5322">
          <cell r="A5322" t="str">
            <v>CMG-031-KT-127</v>
          </cell>
          <cell r="G5322" t="str">
            <v xml:space="preserve">CR   </v>
          </cell>
          <cell r="L5322">
            <v>38624</v>
          </cell>
          <cell r="M5322">
            <v>2.915</v>
          </cell>
          <cell r="P5322">
            <v>2.5960000000000001</v>
          </cell>
        </row>
        <row r="5323">
          <cell r="A5323" t="str">
            <v>CMG-031-MTH-7025</v>
          </cell>
          <cell r="G5323" t="str">
            <v xml:space="preserve">CR   </v>
          </cell>
          <cell r="L5323">
            <v>38811</v>
          </cell>
          <cell r="M5323">
            <v>3.085</v>
          </cell>
          <cell r="P5323">
            <v>3.4518</v>
          </cell>
        </row>
        <row r="5324">
          <cell r="A5324" t="str">
            <v>CMG-031-UC-1305-TAM</v>
          </cell>
          <cell r="G5324" t="str">
            <v xml:space="preserve">CR   </v>
          </cell>
          <cell r="L5324">
            <v>38624</v>
          </cell>
          <cell r="M5324">
            <v>2.915</v>
          </cell>
          <cell r="P5324">
            <v>7.4359999999999999</v>
          </cell>
        </row>
        <row r="5325">
          <cell r="A5325" t="str">
            <v>CMG-031-UY-1307-TM</v>
          </cell>
          <cell r="G5325" t="str">
            <v xml:space="preserve">CR   </v>
          </cell>
          <cell r="L5325">
            <v>38811</v>
          </cell>
          <cell r="M5325">
            <v>3.085</v>
          </cell>
          <cell r="P5325">
            <v>4.2880000000000003</v>
          </cell>
        </row>
        <row r="5326">
          <cell r="A5326" t="str">
            <v>CMG-032-T-70001</v>
          </cell>
          <cell r="G5326" t="str">
            <v xml:space="preserve">CR   </v>
          </cell>
          <cell r="L5326">
            <v>38624</v>
          </cell>
          <cell r="M5326">
            <v>2.915</v>
          </cell>
          <cell r="P5326">
            <v>9.8010000000000002</v>
          </cell>
        </row>
        <row r="5327">
          <cell r="A5327" t="str">
            <v>CMG-032-T-70002</v>
          </cell>
          <cell r="G5327" t="str">
            <v xml:space="preserve">CR   </v>
          </cell>
          <cell r="L5327">
            <v>38624</v>
          </cell>
          <cell r="M5327">
            <v>2.915</v>
          </cell>
          <cell r="P5327">
            <v>10.131</v>
          </cell>
        </row>
        <row r="5328">
          <cell r="A5328" t="str">
            <v>CMG-032-T-70003</v>
          </cell>
          <cell r="G5328" t="str">
            <v xml:space="preserve">CR   </v>
          </cell>
          <cell r="L5328">
            <v>38624</v>
          </cell>
          <cell r="M5328">
            <v>2.915</v>
          </cell>
          <cell r="P5328">
            <v>10.054</v>
          </cell>
        </row>
        <row r="5329">
          <cell r="A5329" t="str">
            <v>CMG-032-T-71001</v>
          </cell>
          <cell r="G5329" t="str">
            <v xml:space="preserve">CR   </v>
          </cell>
          <cell r="L5329">
            <v>38624</v>
          </cell>
          <cell r="M5329">
            <v>2.915</v>
          </cell>
          <cell r="P5329">
            <v>4.9939999999999998</v>
          </cell>
        </row>
        <row r="5330">
          <cell r="A5330" t="str">
            <v>CMG-032-T-71002</v>
          </cell>
          <cell r="G5330" t="str">
            <v xml:space="preserve">CR   </v>
          </cell>
          <cell r="L5330">
            <v>38624</v>
          </cell>
          <cell r="M5330">
            <v>2.915</v>
          </cell>
          <cell r="P5330">
            <v>4.9939999999999998</v>
          </cell>
        </row>
        <row r="5331">
          <cell r="A5331" t="str">
            <v>CMG-032-T-71006</v>
          </cell>
          <cell r="G5331" t="str">
            <v xml:space="preserve">CR   </v>
          </cell>
          <cell r="L5331">
            <v>38624</v>
          </cell>
          <cell r="M5331">
            <v>2.915</v>
          </cell>
          <cell r="P5331">
            <v>4.4109999999999996</v>
          </cell>
        </row>
        <row r="5332">
          <cell r="A5332" t="str">
            <v>CMG-032-T-71007</v>
          </cell>
          <cell r="G5332" t="str">
            <v xml:space="preserve">CR   </v>
          </cell>
          <cell r="L5332">
            <v>38624</v>
          </cell>
          <cell r="M5332">
            <v>2.915</v>
          </cell>
          <cell r="P5332">
            <v>4.7409999999999997</v>
          </cell>
        </row>
        <row r="5333">
          <cell r="A5333" t="str">
            <v>CMG-032-T-71008</v>
          </cell>
          <cell r="G5333" t="str">
            <v xml:space="preserve">CR   </v>
          </cell>
          <cell r="L5333">
            <v>38624</v>
          </cell>
          <cell r="M5333">
            <v>2.915</v>
          </cell>
          <cell r="P5333">
            <v>11.297000000000001</v>
          </cell>
        </row>
        <row r="5334">
          <cell r="A5334" t="str">
            <v>CMG-032-T-71012</v>
          </cell>
          <cell r="G5334" t="str">
            <v xml:space="preserve">CR   </v>
          </cell>
          <cell r="L5334">
            <v>38624</v>
          </cell>
          <cell r="M5334">
            <v>2.915</v>
          </cell>
          <cell r="P5334">
            <v>8.8109999999999999</v>
          </cell>
        </row>
        <row r="5335">
          <cell r="A5335" t="str">
            <v>CMG-032-T-71014</v>
          </cell>
          <cell r="G5335" t="str">
            <v xml:space="preserve">CR   </v>
          </cell>
          <cell r="L5335">
            <v>38624</v>
          </cell>
          <cell r="M5335">
            <v>2.915</v>
          </cell>
          <cell r="P5335">
            <v>6.6</v>
          </cell>
        </row>
        <row r="5336">
          <cell r="A5336" t="str">
            <v>CMG-032-T-72001</v>
          </cell>
          <cell r="G5336" t="str">
            <v xml:space="preserve">CR   </v>
          </cell>
          <cell r="L5336">
            <v>38624</v>
          </cell>
          <cell r="M5336">
            <v>2.915</v>
          </cell>
          <cell r="P5336">
            <v>9.0310000000000006</v>
          </cell>
        </row>
        <row r="5337">
          <cell r="A5337" t="str">
            <v>CMG-032-T-72002</v>
          </cell>
          <cell r="G5337" t="str">
            <v xml:space="preserve">CR   </v>
          </cell>
          <cell r="L5337">
            <v>38624</v>
          </cell>
          <cell r="M5337">
            <v>2.915</v>
          </cell>
          <cell r="P5337">
            <v>9.0310000000000006</v>
          </cell>
        </row>
        <row r="5338">
          <cell r="A5338" t="str">
            <v>CMG-032-T-75001</v>
          </cell>
          <cell r="G5338" t="str">
            <v xml:space="preserve">CR   </v>
          </cell>
          <cell r="L5338">
            <v>38624</v>
          </cell>
          <cell r="M5338">
            <v>2.915</v>
          </cell>
          <cell r="P5338">
            <v>8.1950000000000003</v>
          </cell>
        </row>
        <row r="5339">
          <cell r="A5339" t="str">
            <v>CMG-035-NJ-304</v>
          </cell>
          <cell r="G5339" t="str">
            <v xml:space="preserve">CR   </v>
          </cell>
          <cell r="L5339">
            <v>38811</v>
          </cell>
          <cell r="M5339">
            <v>3.085</v>
          </cell>
          <cell r="P5339">
            <v>1.1231</v>
          </cell>
        </row>
        <row r="5340">
          <cell r="A5340" t="str">
            <v>CMG-035-NJ-306</v>
          </cell>
          <cell r="G5340" t="str">
            <v>INDEV</v>
          </cell>
          <cell r="L5340">
            <v>41288</v>
          </cell>
          <cell r="M5340">
            <v>4.95</v>
          </cell>
          <cell r="P5340">
            <v>1.0606060606060606</v>
          </cell>
        </row>
        <row r="5341">
          <cell r="A5341" t="str">
            <v>CMG-035-NJ-307</v>
          </cell>
          <cell r="G5341" t="str">
            <v xml:space="preserve">CR   </v>
          </cell>
          <cell r="L5341">
            <v>38624</v>
          </cell>
          <cell r="M5341">
            <v>2.915</v>
          </cell>
          <cell r="P5341">
            <v>4.29</v>
          </cell>
        </row>
        <row r="5342">
          <cell r="A5342" t="str">
            <v>CMG-035-NJ-309</v>
          </cell>
          <cell r="G5342" t="str">
            <v>INDEV</v>
          </cell>
          <cell r="L5342">
            <v>41288</v>
          </cell>
          <cell r="M5342">
            <v>4.95</v>
          </cell>
          <cell r="P5342">
            <v>1.8606060606060608</v>
          </cell>
        </row>
        <row r="5343">
          <cell r="A5343" t="str">
            <v>CMG-035-NU-205</v>
          </cell>
          <cell r="G5343" t="str">
            <v>INDEV</v>
          </cell>
          <cell r="L5343">
            <v>41288</v>
          </cell>
          <cell r="M5343">
            <v>4.95</v>
          </cell>
          <cell r="P5343">
            <v>0.99797979797979808</v>
          </cell>
        </row>
        <row r="5344">
          <cell r="A5344" t="str">
            <v>CMG-036-EJE-4016-AL</v>
          </cell>
          <cell r="G5344" t="str">
            <v xml:space="preserve">CR   </v>
          </cell>
          <cell r="L5344">
            <v>38624</v>
          </cell>
          <cell r="M5344">
            <v>2.915</v>
          </cell>
          <cell r="P5344">
            <v>3.1240000000000001</v>
          </cell>
        </row>
        <row r="5345">
          <cell r="A5345" t="str">
            <v>CMG-036-EJE-4016-FE</v>
          </cell>
          <cell r="G5345" t="str">
            <v xml:space="preserve">CR   </v>
          </cell>
          <cell r="L5345">
            <v>38624</v>
          </cell>
          <cell r="M5345">
            <v>2.915</v>
          </cell>
          <cell r="P5345">
            <v>3.2559999999999998</v>
          </cell>
        </row>
        <row r="5346">
          <cell r="A5346" t="str">
            <v>CMG-040-1208-K</v>
          </cell>
          <cell r="G5346" t="str">
            <v xml:space="preserve">INSI </v>
          </cell>
          <cell r="L5346">
            <v>37626</v>
          </cell>
          <cell r="M5346">
            <v>3.34</v>
          </cell>
          <cell r="P5346">
            <v>0.01</v>
          </cell>
        </row>
        <row r="5347">
          <cell r="A5347" t="str">
            <v>CMG-040-1308</v>
          </cell>
          <cell r="G5347" t="str">
            <v xml:space="preserve">CR   </v>
          </cell>
          <cell r="L5347">
            <v>37981</v>
          </cell>
          <cell r="M5347">
            <v>2.96</v>
          </cell>
          <cell r="P5347">
            <v>3.45</v>
          </cell>
        </row>
        <row r="5348">
          <cell r="A5348" t="str">
            <v>CMG-040-22214-KW33</v>
          </cell>
          <cell r="G5348" t="str">
            <v>INDEV</v>
          </cell>
          <cell r="L5348">
            <v>41288</v>
          </cell>
          <cell r="M5348">
            <v>4.95</v>
          </cell>
          <cell r="P5348">
            <v>32.585858585858588</v>
          </cell>
        </row>
        <row r="5349">
          <cell r="A5349" t="str">
            <v>CMG-040-30304</v>
          </cell>
          <cell r="G5349" t="str">
            <v xml:space="preserve">CR   </v>
          </cell>
          <cell r="L5349">
            <v>38624</v>
          </cell>
          <cell r="M5349">
            <v>2.915</v>
          </cell>
          <cell r="P5349">
            <v>1.4410000000000001</v>
          </cell>
        </row>
        <row r="5350">
          <cell r="A5350" t="str">
            <v>CMG-040-32005</v>
          </cell>
          <cell r="G5350" t="str">
            <v xml:space="preserve">CR   </v>
          </cell>
          <cell r="L5350">
            <v>38811</v>
          </cell>
          <cell r="M5350">
            <v>3.085</v>
          </cell>
          <cell r="P5350">
            <v>0.70009999999999994</v>
          </cell>
        </row>
        <row r="5351">
          <cell r="A5351" t="str">
            <v>CMG-040-32018-X</v>
          </cell>
          <cell r="G5351" t="str">
            <v xml:space="preserve">CR   </v>
          </cell>
          <cell r="L5351">
            <v>38811</v>
          </cell>
          <cell r="M5351">
            <v>3.085</v>
          </cell>
          <cell r="P5351">
            <v>5.3136000000000001</v>
          </cell>
        </row>
        <row r="5352">
          <cell r="A5352" t="str">
            <v>CMG-040-3204</v>
          </cell>
          <cell r="G5352" t="str">
            <v>INDEV</v>
          </cell>
          <cell r="L5352">
            <v>41288</v>
          </cell>
          <cell r="M5352">
            <v>4.95</v>
          </cell>
          <cell r="P5352">
            <v>1.3090909090909091</v>
          </cell>
        </row>
        <row r="5353">
          <cell r="A5353" t="str">
            <v>CMG-040-32217</v>
          </cell>
          <cell r="G5353" t="str">
            <v xml:space="preserve">CR   </v>
          </cell>
          <cell r="L5353">
            <v>38624</v>
          </cell>
          <cell r="M5353">
            <v>2.915</v>
          </cell>
          <cell r="P5353">
            <v>12.331</v>
          </cell>
        </row>
        <row r="5354">
          <cell r="A5354" t="str">
            <v>CMG-040-32307</v>
          </cell>
          <cell r="G5354" t="str">
            <v xml:space="preserve">CR   </v>
          </cell>
          <cell r="L5354">
            <v>38811</v>
          </cell>
          <cell r="M5354">
            <v>3.085</v>
          </cell>
          <cell r="P5354">
            <v>1.0452999999999999</v>
          </cell>
        </row>
        <row r="5355">
          <cell r="A5355" t="str">
            <v>CMG-040-3305</v>
          </cell>
          <cell r="G5355" t="str">
            <v xml:space="preserve">CR   </v>
          </cell>
          <cell r="L5355">
            <v>38624</v>
          </cell>
          <cell r="M5355">
            <v>2.915</v>
          </cell>
          <cell r="P5355">
            <v>3.5640000000000001</v>
          </cell>
        </row>
        <row r="5356">
          <cell r="A5356" t="str">
            <v>CMG-040-3306</v>
          </cell>
          <cell r="G5356" t="str">
            <v xml:space="preserve">INAC </v>
          </cell>
          <cell r="L5356">
            <v>40228</v>
          </cell>
          <cell r="M5356">
            <v>3.88</v>
          </cell>
          <cell r="P5356">
            <v>5.4123711340206189</v>
          </cell>
        </row>
        <row r="5357">
          <cell r="A5357" t="str">
            <v>CMG-040-3306-2Z</v>
          </cell>
          <cell r="G5357" t="str">
            <v xml:space="preserve">CR   </v>
          </cell>
          <cell r="L5357">
            <v>38811</v>
          </cell>
          <cell r="M5357">
            <v>3.085</v>
          </cell>
          <cell r="P5357">
            <v>2.3481999999999998</v>
          </cell>
        </row>
        <row r="5358">
          <cell r="A5358" t="str">
            <v>CMG-040-51105</v>
          </cell>
          <cell r="G5358" t="str">
            <v xml:space="preserve">CR   </v>
          </cell>
          <cell r="L5358">
            <v>37981</v>
          </cell>
          <cell r="M5358">
            <v>2.96</v>
          </cell>
          <cell r="P5358">
            <v>0.64</v>
          </cell>
        </row>
        <row r="5359">
          <cell r="A5359" t="str">
            <v>CMG-040-51106</v>
          </cell>
          <cell r="G5359" t="str">
            <v xml:space="preserve">CR   </v>
          </cell>
          <cell r="L5359">
            <v>38624</v>
          </cell>
          <cell r="M5359">
            <v>2.915</v>
          </cell>
          <cell r="P5359">
            <v>0.75900000000000001</v>
          </cell>
        </row>
        <row r="5360">
          <cell r="A5360" t="str">
            <v>CMG-040-51107</v>
          </cell>
          <cell r="G5360" t="str">
            <v>INDEV</v>
          </cell>
          <cell r="L5360">
            <v>41288</v>
          </cell>
          <cell r="M5360">
            <v>4.95</v>
          </cell>
          <cell r="P5360">
            <v>0.29494949494949491</v>
          </cell>
        </row>
        <row r="5361">
          <cell r="A5361" t="str">
            <v>CMG-040-51113</v>
          </cell>
          <cell r="G5361" t="str">
            <v>INDEV</v>
          </cell>
          <cell r="L5361">
            <v>41288</v>
          </cell>
          <cell r="M5361">
            <v>4.95</v>
          </cell>
          <cell r="P5361">
            <v>0.5575757575757575</v>
          </cell>
        </row>
        <row r="5362">
          <cell r="A5362" t="str">
            <v>CMG-040-51204</v>
          </cell>
          <cell r="G5362" t="str">
            <v xml:space="preserve">CR   </v>
          </cell>
          <cell r="L5362">
            <v>38624</v>
          </cell>
          <cell r="M5362">
            <v>2.915</v>
          </cell>
          <cell r="P5362">
            <v>0.79200000000000004</v>
          </cell>
        </row>
        <row r="5363">
          <cell r="A5363" t="str">
            <v>CMG-040-51206</v>
          </cell>
          <cell r="G5363" t="str">
            <v xml:space="preserve">CR   </v>
          </cell>
          <cell r="L5363">
            <v>38624</v>
          </cell>
          <cell r="M5363">
            <v>2.915</v>
          </cell>
          <cell r="P5363">
            <v>1.0009999999999999</v>
          </cell>
        </row>
        <row r="5364">
          <cell r="A5364" t="str">
            <v>CMG-040-51207</v>
          </cell>
          <cell r="G5364" t="str">
            <v xml:space="preserve">CR   </v>
          </cell>
          <cell r="L5364">
            <v>37981</v>
          </cell>
          <cell r="M5364">
            <v>2.96</v>
          </cell>
          <cell r="P5364">
            <v>0.93</v>
          </cell>
        </row>
        <row r="5365">
          <cell r="A5365" t="str">
            <v>CMG-040-51208</v>
          </cell>
          <cell r="G5365" t="str">
            <v>INDEV</v>
          </cell>
          <cell r="L5365">
            <v>41288</v>
          </cell>
          <cell r="M5365">
            <v>4.95</v>
          </cell>
          <cell r="P5365">
            <v>0.34949494949494947</v>
          </cell>
        </row>
        <row r="5366">
          <cell r="A5366" t="str">
            <v>CMG-040-51209</v>
          </cell>
          <cell r="G5366" t="str">
            <v xml:space="preserve">CR   </v>
          </cell>
          <cell r="L5366">
            <v>38811</v>
          </cell>
          <cell r="M5366">
            <v>3.085</v>
          </cell>
          <cell r="P5366">
            <v>0.56399999999999995</v>
          </cell>
        </row>
        <row r="5367">
          <cell r="A5367" t="str">
            <v>CMG-040-51210</v>
          </cell>
          <cell r="G5367" t="str">
            <v xml:space="preserve">CR   </v>
          </cell>
          <cell r="L5367">
            <v>38624</v>
          </cell>
          <cell r="M5367">
            <v>2.915</v>
          </cell>
          <cell r="P5367">
            <v>1.617</v>
          </cell>
        </row>
        <row r="5368">
          <cell r="A5368" t="str">
            <v>CMG-040-51220</v>
          </cell>
          <cell r="G5368" t="str">
            <v xml:space="preserve">CR   </v>
          </cell>
          <cell r="L5368">
            <v>38624</v>
          </cell>
          <cell r="M5368">
            <v>2.915</v>
          </cell>
          <cell r="P5368">
            <v>4.4000000000000004</v>
          </cell>
        </row>
        <row r="5369">
          <cell r="A5369" t="str">
            <v>CMG-040-6001</v>
          </cell>
          <cell r="G5369" t="str">
            <v>INDEV</v>
          </cell>
          <cell r="L5369">
            <v>41288</v>
          </cell>
          <cell r="M5369">
            <v>4.95</v>
          </cell>
          <cell r="P5369">
            <v>0.10707070707070707</v>
          </cell>
        </row>
        <row r="5370">
          <cell r="A5370" t="str">
            <v>CMG-040-6001-2RS</v>
          </cell>
          <cell r="G5370" t="str">
            <v xml:space="preserve">CR   </v>
          </cell>
          <cell r="L5370">
            <v>38811</v>
          </cell>
          <cell r="M5370">
            <v>3.085</v>
          </cell>
          <cell r="P5370">
            <v>0.1656</v>
          </cell>
        </row>
        <row r="5371">
          <cell r="A5371" t="str">
            <v>CMG-040-6007-2RS</v>
          </cell>
          <cell r="G5371" t="str">
            <v xml:space="preserve">CR   </v>
          </cell>
          <cell r="L5371">
            <v>38811</v>
          </cell>
          <cell r="M5371">
            <v>3.085</v>
          </cell>
          <cell r="P5371">
            <v>0.56399999999999995</v>
          </cell>
        </row>
        <row r="5372">
          <cell r="A5372" t="str">
            <v>CMG-040-609-2Z</v>
          </cell>
          <cell r="G5372" t="str">
            <v xml:space="preserve">CR   </v>
          </cell>
          <cell r="L5372">
            <v>38624</v>
          </cell>
          <cell r="M5372">
            <v>2.915</v>
          </cell>
          <cell r="P5372">
            <v>0.39600000000000002</v>
          </cell>
        </row>
        <row r="5373">
          <cell r="A5373" t="str">
            <v>CMG-040-6204-*</v>
          </cell>
          <cell r="G5373" t="str">
            <v xml:space="preserve">CR   </v>
          </cell>
          <cell r="L5373">
            <v>38811</v>
          </cell>
          <cell r="M5373">
            <v>3.085</v>
          </cell>
          <cell r="P5373">
            <v>0.14330000000000001</v>
          </cell>
        </row>
        <row r="5374">
          <cell r="A5374" t="str">
            <v>CMG-040-6204-1RS</v>
          </cell>
          <cell r="G5374" t="str">
            <v xml:space="preserve">CR   </v>
          </cell>
          <cell r="L5374">
            <v>38811</v>
          </cell>
          <cell r="M5374">
            <v>3.085</v>
          </cell>
          <cell r="P5374">
            <v>0.1671</v>
          </cell>
        </row>
        <row r="5375">
          <cell r="A5375" t="str">
            <v>CMG-040-6204-2RS*</v>
          </cell>
          <cell r="G5375" t="str">
            <v xml:space="preserve">CR   </v>
          </cell>
          <cell r="L5375">
            <v>37981</v>
          </cell>
          <cell r="M5375">
            <v>2.96</v>
          </cell>
          <cell r="P5375">
            <v>0.37</v>
          </cell>
        </row>
        <row r="5376">
          <cell r="A5376" t="str">
            <v>CMG-040-6208-2Z</v>
          </cell>
          <cell r="G5376" t="str">
            <v xml:space="preserve">CR   </v>
          </cell>
          <cell r="L5376">
            <v>38624</v>
          </cell>
          <cell r="M5376">
            <v>2.915</v>
          </cell>
          <cell r="P5376">
            <v>1.4410000000000001</v>
          </cell>
        </row>
        <row r="5377">
          <cell r="A5377" t="str">
            <v>CMG-040-6212</v>
          </cell>
          <cell r="G5377" t="str">
            <v xml:space="preserve">CR   </v>
          </cell>
          <cell r="L5377">
            <v>38624</v>
          </cell>
          <cell r="M5377">
            <v>2.915</v>
          </cell>
          <cell r="P5377">
            <v>2.9039999999999999</v>
          </cell>
        </row>
        <row r="5378">
          <cell r="A5378" t="str">
            <v>CMG-040-6220</v>
          </cell>
          <cell r="G5378" t="str">
            <v xml:space="preserve">CR   </v>
          </cell>
          <cell r="L5378">
            <v>38624</v>
          </cell>
          <cell r="M5378">
            <v>2.915</v>
          </cell>
          <cell r="P5378">
            <v>12.43</v>
          </cell>
        </row>
        <row r="5379">
          <cell r="A5379" t="str">
            <v>CMG-040-626</v>
          </cell>
          <cell r="G5379" t="str">
            <v xml:space="preserve">CR   </v>
          </cell>
          <cell r="L5379">
            <v>38624</v>
          </cell>
          <cell r="M5379">
            <v>2.915</v>
          </cell>
          <cell r="P5379">
            <v>0.27500000000000002</v>
          </cell>
        </row>
        <row r="5380">
          <cell r="A5380" t="str">
            <v>CMG-040-6304</v>
          </cell>
          <cell r="G5380" t="str">
            <v>INDEV</v>
          </cell>
          <cell r="L5380">
            <v>41288</v>
          </cell>
          <cell r="M5380">
            <v>4.95</v>
          </cell>
          <cell r="P5380">
            <v>0.20610101010101009</v>
          </cell>
        </row>
        <row r="5381">
          <cell r="A5381" t="str">
            <v>CMG-040-6304-1RS</v>
          </cell>
          <cell r="G5381" t="str">
            <v>INDEV</v>
          </cell>
          <cell r="L5381">
            <v>41288</v>
          </cell>
          <cell r="M5381">
            <v>4.95</v>
          </cell>
          <cell r="P5381">
            <v>0.29494949494949491</v>
          </cell>
        </row>
        <row r="5382">
          <cell r="A5382" t="str">
            <v>CMG-040-6314</v>
          </cell>
          <cell r="G5382" t="str">
            <v xml:space="preserve">CR   </v>
          </cell>
          <cell r="L5382">
            <v>37981</v>
          </cell>
          <cell r="M5382">
            <v>2.96</v>
          </cell>
          <cell r="P5382">
            <v>6.18</v>
          </cell>
        </row>
        <row r="5383">
          <cell r="A5383" t="str">
            <v>CMG-040-7208-B</v>
          </cell>
          <cell r="G5383" t="str">
            <v>INDEV</v>
          </cell>
          <cell r="L5383">
            <v>41288</v>
          </cell>
          <cell r="M5383">
            <v>4.95</v>
          </cell>
          <cell r="P5383">
            <v>1.0040404040404038</v>
          </cell>
        </row>
        <row r="5384">
          <cell r="A5384" t="str">
            <v>CMG-040-7209-B</v>
          </cell>
          <cell r="G5384" t="str">
            <v xml:space="preserve">INAC </v>
          </cell>
          <cell r="L5384">
            <v>42892</v>
          </cell>
          <cell r="M5384">
            <v>16.25</v>
          </cell>
          <cell r="P5384">
            <v>11.692307692307692</v>
          </cell>
        </row>
        <row r="5385">
          <cell r="A5385" t="str">
            <v>CMG-040-7308-A</v>
          </cell>
          <cell r="G5385" t="str">
            <v xml:space="preserve">CR   </v>
          </cell>
          <cell r="L5385">
            <v>38624</v>
          </cell>
          <cell r="M5385">
            <v>2.915</v>
          </cell>
          <cell r="P5385">
            <v>3.883</v>
          </cell>
        </row>
        <row r="5386">
          <cell r="A5386" t="str">
            <v>CMG-041-1205-K</v>
          </cell>
          <cell r="G5386" t="str">
            <v>INDEV</v>
          </cell>
          <cell r="L5386">
            <v>41288</v>
          </cell>
          <cell r="M5386">
            <v>4.95</v>
          </cell>
          <cell r="P5386">
            <v>4.2323232323232318</v>
          </cell>
        </row>
        <row r="5387">
          <cell r="A5387" t="str">
            <v>CMG-041-1207-K</v>
          </cell>
          <cell r="G5387" t="str">
            <v>INDEV</v>
          </cell>
          <cell r="L5387">
            <v>41288</v>
          </cell>
          <cell r="M5387">
            <v>4.95</v>
          </cell>
          <cell r="P5387">
            <v>7.2323232323232318</v>
          </cell>
        </row>
        <row r="5388">
          <cell r="A5388" t="str">
            <v>CMG-041-1210</v>
          </cell>
          <cell r="G5388" t="str">
            <v xml:space="preserve">CR   </v>
          </cell>
          <cell r="L5388">
            <v>38811</v>
          </cell>
          <cell r="M5388">
            <v>3.085</v>
          </cell>
          <cell r="P5388">
            <v>1.5411999999999999</v>
          </cell>
        </row>
        <row r="5389">
          <cell r="A5389" t="str">
            <v>CMG-041-1309-K</v>
          </cell>
          <cell r="G5389" t="str">
            <v>INDEV</v>
          </cell>
          <cell r="L5389">
            <v>41288</v>
          </cell>
          <cell r="M5389">
            <v>4.95</v>
          </cell>
          <cell r="P5389">
            <v>11.020202020202019</v>
          </cell>
        </row>
        <row r="5390">
          <cell r="A5390" t="str">
            <v>CMG-041-6017-2RS</v>
          </cell>
          <cell r="G5390" t="str">
            <v xml:space="preserve">CR   </v>
          </cell>
          <cell r="L5390">
            <v>38624</v>
          </cell>
          <cell r="M5390">
            <v>2.915</v>
          </cell>
          <cell r="P5390">
            <v>6.3360000000000003</v>
          </cell>
        </row>
        <row r="5391">
          <cell r="A5391" t="str">
            <v>CMG-041-607-2Z</v>
          </cell>
          <cell r="G5391" t="str">
            <v xml:space="preserve">INAC </v>
          </cell>
          <cell r="L5391">
            <v>39952</v>
          </cell>
          <cell r="M5391">
            <v>3.74</v>
          </cell>
          <cell r="P5391">
            <v>0.2566844919786096</v>
          </cell>
        </row>
        <row r="5392">
          <cell r="A5392" t="str">
            <v>CMG-041-608-2Z</v>
          </cell>
          <cell r="G5392" t="str">
            <v xml:space="preserve">CR   </v>
          </cell>
          <cell r="L5392">
            <v>38624</v>
          </cell>
          <cell r="M5392">
            <v>2.915</v>
          </cell>
          <cell r="P5392">
            <v>0.27500000000000002</v>
          </cell>
        </row>
        <row r="5393">
          <cell r="A5393" t="str">
            <v>CMG-041-626-2Z</v>
          </cell>
          <cell r="G5393" t="str">
            <v xml:space="preserve">CR   </v>
          </cell>
          <cell r="L5393">
            <v>38624</v>
          </cell>
          <cell r="M5393">
            <v>2.915</v>
          </cell>
          <cell r="P5393">
            <v>0.27500000000000002</v>
          </cell>
        </row>
        <row r="5394">
          <cell r="A5394" t="str">
            <v>CMG-041-628-2Z</v>
          </cell>
          <cell r="G5394" t="str">
            <v xml:space="preserve">CR   </v>
          </cell>
          <cell r="L5394">
            <v>38624</v>
          </cell>
          <cell r="M5394">
            <v>2.915</v>
          </cell>
          <cell r="P5394">
            <v>0.42899999999999999</v>
          </cell>
        </row>
        <row r="5395">
          <cell r="A5395" t="str">
            <v>CMG-041-629-2Z</v>
          </cell>
          <cell r="G5395" t="str">
            <v xml:space="preserve">CR   </v>
          </cell>
          <cell r="L5395">
            <v>38624</v>
          </cell>
          <cell r="M5395">
            <v>2.915</v>
          </cell>
          <cell r="P5395">
            <v>0.53900000000000003</v>
          </cell>
        </row>
        <row r="5396">
          <cell r="A5396" t="str">
            <v>CMG-043-16009</v>
          </cell>
          <cell r="G5396" t="str">
            <v>INDEV</v>
          </cell>
          <cell r="L5396">
            <v>41288</v>
          </cell>
          <cell r="M5396">
            <v>4.95</v>
          </cell>
          <cell r="P5396">
            <v>0.6778383838383838</v>
          </cell>
        </row>
        <row r="5397">
          <cell r="A5397" t="str">
            <v>CMG-047-176209-2RS</v>
          </cell>
          <cell r="G5397" t="str">
            <v xml:space="preserve">CR   </v>
          </cell>
          <cell r="L5397">
            <v>38624</v>
          </cell>
          <cell r="M5397">
            <v>2.915</v>
          </cell>
          <cell r="P5397">
            <v>4.048</v>
          </cell>
        </row>
        <row r="5398">
          <cell r="A5398" t="str">
            <v>CMG-047-176210-2RSK</v>
          </cell>
          <cell r="G5398" t="str">
            <v>INDEV</v>
          </cell>
          <cell r="L5398">
            <v>41288</v>
          </cell>
          <cell r="M5398">
            <v>4.95</v>
          </cell>
          <cell r="P5398">
            <v>14.848484848484848</v>
          </cell>
        </row>
        <row r="5399">
          <cell r="A5399" t="str">
            <v>CMG-047-176211-2RS</v>
          </cell>
          <cell r="G5399" t="str">
            <v xml:space="preserve">CR   </v>
          </cell>
          <cell r="L5399">
            <v>38624</v>
          </cell>
          <cell r="M5399">
            <v>2.915</v>
          </cell>
          <cell r="P5399">
            <v>6.6989999999999998</v>
          </cell>
        </row>
        <row r="5400">
          <cell r="A5400" t="str">
            <v>CMG-047-FT-210</v>
          </cell>
          <cell r="G5400" t="str">
            <v>INDEV</v>
          </cell>
          <cell r="L5400">
            <v>41288</v>
          </cell>
          <cell r="M5400">
            <v>4.95</v>
          </cell>
          <cell r="P5400">
            <v>1.4383838383838383</v>
          </cell>
        </row>
        <row r="5401">
          <cell r="A5401" t="str">
            <v>CMG-047-HA-212</v>
          </cell>
          <cell r="G5401" t="str">
            <v>INDEV</v>
          </cell>
          <cell r="L5401">
            <v>41288</v>
          </cell>
          <cell r="M5401">
            <v>4.95</v>
          </cell>
          <cell r="P5401">
            <v>5.0505050505050502</v>
          </cell>
        </row>
        <row r="5402">
          <cell r="A5402" t="str">
            <v>CMG-047-P-208</v>
          </cell>
          <cell r="G5402" t="str">
            <v xml:space="preserve">CR   </v>
          </cell>
          <cell r="L5402">
            <v>38811</v>
          </cell>
          <cell r="M5402">
            <v>3.085</v>
          </cell>
          <cell r="P5402">
            <v>0.64470000000000005</v>
          </cell>
        </row>
        <row r="5403">
          <cell r="A5403" t="str">
            <v>CMG-047-UC-206</v>
          </cell>
          <cell r="G5403" t="str">
            <v xml:space="preserve">CR   </v>
          </cell>
          <cell r="L5403">
            <v>38811</v>
          </cell>
          <cell r="M5403">
            <v>3.085</v>
          </cell>
          <cell r="P5403">
            <v>0.89800000000000002</v>
          </cell>
        </row>
        <row r="5404">
          <cell r="A5404" t="str">
            <v>CMG-047-UC-207-20</v>
          </cell>
          <cell r="G5404" t="str">
            <v xml:space="preserve">CR   </v>
          </cell>
          <cell r="L5404">
            <v>38624</v>
          </cell>
          <cell r="M5404">
            <v>2.915</v>
          </cell>
          <cell r="P5404">
            <v>3.0249999999999999</v>
          </cell>
        </row>
        <row r="5405">
          <cell r="A5405" t="str">
            <v>CMG-050-12649-10</v>
          </cell>
          <cell r="G5405" t="str">
            <v xml:space="preserve">CR   </v>
          </cell>
          <cell r="L5405">
            <v>38811</v>
          </cell>
          <cell r="M5405">
            <v>3.085</v>
          </cell>
          <cell r="P5405">
            <v>0.64170000000000005</v>
          </cell>
        </row>
        <row r="5406">
          <cell r="A5406" t="str">
            <v>CMG-050-26822-882T</v>
          </cell>
          <cell r="G5406" t="str">
            <v xml:space="preserve">CR   </v>
          </cell>
          <cell r="L5406">
            <v>38624</v>
          </cell>
          <cell r="M5406">
            <v>2.915</v>
          </cell>
          <cell r="P5406">
            <v>11.648999999999999</v>
          </cell>
        </row>
        <row r="5407">
          <cell r="A5407" t="str">
            <v>CMG-058-30204-MX</v>
          </cell>
          <cell r="G5407" t="str">
            <v>vpret</v>
          </cell>
          <cell r="L5407">
            <v>44027</v>
          </cell>
          <cell r="M5407">
            <v>75</v>
          </cell>
          <cell r="P5407">
            <v>0.71520000000000006</v>
          </cell>
        </row>
        <row r="5408">
          <cell r="A5408" t="str">
            <v>CMG-058-30205-MX</v>
          </cell>
          <cell r="G5408" t="str">
            <v>VPRet</v>
          </cell>
          <cell r="L5408">
            <v>42863</v>
          </cell>
          <cell r="M5408">
            <v>15.67</v>
          </cell>
          <cell r="P5408">
            <v>0.6649649010848756</v>
          </cell>
        </row>
        <row r="5409">
          <cell r="A5409" t="str">
            <v>CMG-058-30206-MX</v>
          </cell>
          <cell r="G5409" t="str">
            <v>VPRet</v>
          </cell>
          <cell r="L5409">
            <v>42682</v>
          </cell>
          <cell r="M5409">
            <v>15.26</v>
          </cell>
          <cell r="P5409">
            <v>0.72870249017038002</v>
          </cell>
        </row>
        <row r="5410">
          <cell r="A5410" t="str">
            <v>CMG-058-30207-MX</v>
          </cell>
          <cell r="G5410" t="str">
            <v>VPRet</v>
          </cell>
          <cell r="L5410">
            <v>42795</v>
          </cell>
          <cell r="M5410">
            <v>15.89</v>
          </cell>
          <cell r="P5410">
            <v>1.1271239773442416</v>
          </cell>
        </row>
        <row r="5411">
          <cell r="A5411" t="str">
            <v>CMG-058-30210-MX</v>
          </cell>
          <cell r="G5411" t="str">
            <v>VPRet</v>
          </cell>
          <cell r="L5411">
            <v>43186</v>
          </cell>
          <cell r="M5411">
            <v>20.48</v>
          </cell>
          <cell r="P5411">
            <v>1.14013671875</v>
          </cell>
        </row>
        <row r="5412">
          <cell r="A5412" t="str">
            <v>CMG-058-HM-518445-41</v>
          </cell>
          <cell r="G5412" t="str">
            <v xml:space="preserve">INAC </v>
          </cell>
          <cell r="L5412">
            <v>43185</v>
          </cell>
          <cell r="M5412">
            <v>20.55</v>
          </cell>
          <cell r="P5412">
            <v>17.523231143552309</v>
          </cell>
        </row>
        <row r="5413">
          <cell r="A5413" t="str">
            <v>CNT-REV-A-C02</v>
          </cell>
          <cell r="G5413" t="str">
            <v>IDESP</v>
          </cell>
          <cell r="L5413">
            <v>41624</v>
          </cell>
          <cell r="M5413">
            <v>6.29</v>
          </cell>
          <cell r="P5413">
            <v>0.18</v>
          </cell>
        </row>
        <row r="5414">
          <cell r="A5414" t="str">
            <v>CNT-REV-B221001</v>
          </cell>
          <cell r="G5414" t="str">
            <v>IDESP</v>
          </cell>
          <cell r="L5414">
            <v>41402</v>
          </cell>
          <cell r="M5414">
            <v>5.21</v>
          </cell>
          <cell r="P5414">
            <v>9.5500000000000007</v>
          </cell>
        </row>
        <row r="5415">
          <cell r="A5415" t="str">
            <v>CNT-REV-BP80131P</v>
          </cell>
          <cell r="G5415" t="str">
            <v>IDESP</v>
          </cell>
          <cell r="L5415">
            <v>41402</v>
          </cell>
          <cell r="M5415">
            <v>5.21</v>
          </cell>
          <cell r="P5415">
            <v>10.06</v>
          </cell>
        </row>
        <row r="5416">
          <cell r="A5416" t="str">
            <v>CNT-REV-BP80135P</v>
          </cell>
          <cell r="G5416" t="str">
            <v>IDESP</v>
          </cell>
          <cell r="L5416">
            <v>41402</v>
          </cell>
          <cell r="M5416">
            <v>5.21</v>
          </cell>
          <cell r="P5416">
            <v>10.06</v>
          </cell>
        </row>
        <row r="5417">
          <cell r="A5417" t="str">
            <v>CNT-REV-DECO-FLOR-B</v>
          </cell>
          <cell r="G5417" t="str">
            <v>IDESP</v>
          </cell>
          <cell r="L5417">
            <v>42397</v>
          </cell>
          <cell r="M5417">
            <v>14.09</v>
          </cell>
          <cell r="P5417">
            <v>186.66499999999999</v>
          </cell>
        </row>
        <row r="5418">
          <cell r="A5418" t="str">
            <v>CNT-REV-DECO-FLOR-C</v>
          </cell>
          <cell r="G5418" t="str">
            <v>IDESP</v>
          </cell>
          <cell r="L5418">
            <v>42397</v>
          </cell>
          <cell r="M5418">
            <v>14.09</v>
          </cell>
          <cell r="P5418">
            <v>115.66500000000001</v>
          </cell>
        </row>
        <row r="5419">
          <cell r="A5419" t="str">
            <v>CNT-REV-DECO-FLOR-D</v>
          </cell>
          <cell r="G5419" t="str">
            <v>IDESP</v>
          </cell>
          <cell r="L5419">
            <v>42397</v>
          </cell>
          <cell r="M5419">
            <v>14.09</v>
          </cell>
          <cell r="P5419">
            <v>42.5</v>
          </cell>
        </row>
        <row r="5420">
          <cell r="A5420" t="str">
            <v>CNT-REV-DECO-GARZA</v>
          </cell>
          <cell r="G5420" t="str">
            <v>IDESP</v>
          </cell>
          <cell r="L5420">
            <v>42397</v>
          </cell>
          <cell r="M5420">
            <v>14.09</v>
          </cell>
          <cell r="P5420">
            <v>650</v>
          </cell>
        </row>
        <row r="5421">
          <cell r="A5421" t="str">
            <v>CNT-REV-DECO-GLOBO</v>
          </cell>
          <cell r="G5421" t="str">
            <v>IDESP</v>
          </cell>
          <cell r="L5421">
            <v>42397</v>
          </cell>
          <cell r="M5421">
            <v>14.09</v>
          </cell>
          <cell r="P5421">
            <v>383.33</v>
          </cell>
        </row>
        <row r="5422">
          <cell r="A5422" t="str">
            <v>CNT-REV-DECO-LEON</v>
          </cell>
          <cell r="G5422" t="str">
            <v>IDESP</v>
          </cell>
          <cell r="L5422">
            <v>42397</v>
          </cell>
          <cell r="M5422">
            <v>14.09</v>
          </cell>
          <cell r="P5422">
            <v>371.66500000000002</v>
          </cell>
        </row>
        <row r="5423">
          <cell r="A5423" t="str">
            <v>CNT-REV-DECO-SAP</v>
          </cell>
          <cell r="G5423" t="str">
            <v>IDESP</v>
          </cell>
          <cell r="L5423">
            <v>42397</v>
          </cell>
          <cell r="M5423">
            <v>14.09</v>
          </cell>
          <cell r="P5423">
            <v>224.66499999999999</v>
          </cell>
        </row>
        <row r="5424">
          <cell r="A5424" t="str">
            <v>CNT-REV-DS02-140*25</v>
          </cell>
          <cell r="G5424" t="str">
            <v>IDESP</v>
          </cell>
          <cell r="L5424">
            <v>41402</v>
          </cell>
          <cell r="M5424">
            <v>5.21</v>
          </cell>
          <cell r="P5424">
            <v>32.5</v>
          </cell>
        </row>
        <row r="5425">
          <cell r="A5425" t="str">
            <v>CNT-REV-K03-40*25</v>
          </cell>
          <cell r="G5425" t="str">
            <v>IDESP</v>
          </cell>
          <cell r="L5425">
            <v>41624</v>
          </cell>
          <cell r="M5425">
            <v>6.29</v>
          </cell>
          <cell r="P5425">
            <v>1.1000000000000001</v>
          </cell>
        </row>
        <row r="5426">
          <cell r="A5426" t="str">
            <v>CNT-REV-L-FLOOR-2205</v>
          </cell>
          <cell r="G5426" t="str">
            <v>IDESP</v>
          </cell>
          <cell r="L5426">
            <v>42397</v>
          </cell>
          <cell r="M5426">
            <v>14.09</v>
          </cell>
          <cell r="P5426">
            <v>21</v>
          </cell>
        </row>
        <row r="5427">
          <cell r="A5427" t="str">
            <v>CNT-REV-L-FLOOR91558</v>
          </cell>
          <cell r="G5427" t="str">
            <v>IDESP</v>
          </cell>
          <cell r="L5427">
            <v>42397</v>
          </cell>
          <cell r="M5427">
            <v>14.09</v>
          </cell>
          <cell r="P5427">
            <v>21</v>
          </cell>
        </row>
        <row r="5428">
          <cell r="A5428" t="str">
            <v>CNT-REV-TC1050</v>
          </cell>
          <cell r="G5428" t="str">
            <v>IDESP</v>
          </cell>
          <cell r="L5428">
            <v>44571</v>
          </cell>
          <cell r="M5428">
            <v>108.5</v>
          </cell>
          <cell r="P5428">
            <v>350</v>
          </cell>
        </row>
        <row r="5429">
          <cell r="A5429" t="str">
            <v>CRW-HRB-GLIFOS-75.7</v>
          </cell>
          <cell r="G5429" t="str">
            <v>INDEV</v>
          </cell>
          <cell r="L5429">
            <v>41676</v>
          </cell>
          <cell r="M5429">
            <v>7.96</v>
          </cell>
          <cell r="P5429">
            <v>4.135427135678392</v>
          </cell>
        </row>
        <row r="5430">
          <cell r="A5430" t="str">
            <v>CSB-040-1209</v>
          </cell>
          <cell r="G5430" t="str">
            <v xml:space="preserve">CR   </v>
          </cell>
          <cell r="L5430">
            <v>38624</v>
          </cell>
          <cell r="M5430">
            <v>2.915</v>
          </cell>
          <cell r="P5430">
            <v>1.0999999999999999E-2</v>
          </cell>
        </row>
        <row r="5431">
          <cell r="A5431" t="str">
            <v>CTI-250-112-CB</v>
          </cell>
          <cell r="G5431" t="str">
            <v>IPFAP</v>
          </cell>
          <cell r="L5431">
            <v>45853</v>
          </cell>
          <cell r="M5431">
            <v>1295</v>
          </cell>
          <cell r="P5431">
            <v>2124.27</v>
          </cell>
        </row>
        <row r="5432">
          <cell r="A5432" t="str">
            <v>CTI-250-112CB-10</v>
          </cell>
          <cell r="G5432" t="str">
            <v>IPFAP</v>
          </cell>
          <cell r="L5432">
            <v>45996</v>
          </cell>
          <cell r="M5432">
            <v>1470</v>
          </cell>
          <cell r="P5432">
            <v>14.411251700680273</v>
          </cell>
        </row>
        <row r="5433">
          <cell r="A5433" t="str">
            <v>CTI-250-112CB-A7</v>
          </cell>
          <cell r="G5433" t="str">
            <v xml:space="preserve">INAC </v>
          </cell>
          <cell r="L5433">
            <v>46006</v>
          </cell>
          <cell r="M5433">
            <v>1465</v>
          </cell>
          <cell r="P5433">
            <v>5.0003754266211606</v>
          </cell>
        </row>
        <row r="5434">
          <cell r="A5434" t="str">
            <v>CTI-250-112CB-EI</v>
          </cell>
          <cell r="G5434" t="str">
            <v>IPFAP</v>
          </cell>
          <cell r="L5434">
            <v>45996</v>
          </cell>
          <cell r="M5434">
            <v>1470</v>
          </cell>
          <cell r="P5434">
            <v>40.634999999999998</v>
          </cell>
        </row>
        <row r="5435">
          <cell r="A5435" t="str">
            <v>DKF-040-51107</v>
          </cell>
          <cell r="G5435" t="str">
            <v xml:space="preserve">CR   </v>
          </cell>
          <cell r="L5435">
            <v>38624</v>
          </cell>
          <cell r="M5435">
            <v>2.915</v>
          </cell>
          <cell r="P5435">
            <v>1.7929999999999999</v>
          </cell>
        </row>
        <row r="5436">
          <cell r="A5436" t="str">
            <v>DKF-040-51207</v>
          </cell>
          <cell r="G5436" t="str">
            <v xml:space="preserve">CR   </v>
          </cell>
          <cell r="L5436">
            <v>38624</v>
          </cell>
          <cell r="M5436">
            <v>2.915</v>
          </cell>
          <cell r="P5436">
            <v>1.925</v>
          </cell>
        </row>
        <row r="5437">
          <cell r="A5437" t="str">
            <v>DKF-040-6017</v>
          </cell>
          <cell r="G5437" t="str">
            <v xml:space="preserve">CR   </v>
          </cell>
          <cell r="L5437">
            <v>38811</v>
          </cell>
          <cell r="M5437">
            <v>3.085</v>
          </cell>
          <cell r="P5437">
            <v>4.3301999999999996</v>
          </cell>
        </row>
        <row r="5438">
          <cell r="A5438" t="str">
            <v>DKF-040-6304</v>
          </cell>
          <cell r="G5438" t="str">
            <v xml:space="preserve">CR   </v>
          </cell>
          <cell r="L5438">
            <v>38811</v>
          </cell>
          <cell r="M5438">
            <v>3.085</v>
          </cell>
          <cell r="P5438">
            <v>0.69140000000000001</v>
          </cell>
        </row>
        <row r="5439">
          <cell r="A5439" t="str">
            <v>DKF-040-NU-1016</v>
          </cell>
          <cell r="G5439" t="str">
            <v xml:space="preserve">CR   </v>
          </cell>
          <cell r="L5439">
            <v>38624</v>
          </cell>
          <cell r="M5439">
            <v>2.915</v>
          </cell>
          <cell r="P5439">
            <v>13.387</v>
          </cell>
        </row>
        <row r="5440">
          <cell r="A5440" t="str">
            <v>DKF-043-6002</v>
          </cell>
          <cell r="G5440" t="str">
            <v xml:space="preserve">CR   </v>
          </cell>
          <cell r="L5440">
            <v>38811</v>
          </cell>
          <cell r="M5440">
            <v>3.085</v>
          </cell>
          <cell r="P5440">
            <v>0.48399999999999999</v>
          </cell>
        </row>
        <row r="5441">
          <cell r="A5441" t="str">
            <v>DKF-043-6007-1Z</v>
          </cell>
          <cell r="G5441" t="str">
            <v xml:space="preserve">CR   </v>
          </cell>
          <cell r="L5441">
            <v>38811</v>
          </cell>
          <cell r="M5441">
            <v>3.085</v>
          </cell>
          <cell r="P5441">
            <v>1.2445999999999999</v>
          </cell>
        </row>
        <row r="5442">
          <cell r="A5442" t="str">
            <v>DKF-043-6007-2Z</v>
          </cell>
          <cell r="G5442" t="str">
            <v xml:space="preserve">INSI </v>
          </cell>
          <cell r="L5442">
            <v>38182</v>
          </cell>
          <cell r="M5442">
            <v>2.948</v>
          </cell>
          <cell r="P5442">
            <v>1.61</v>
          </cell>
        </row>
        <row r="5443">
          <cell r="A5443" t="str">
            <v>DKF-043-6201</v>
          </cell>
          <cell r="G5443" t="str">
            <v>INDEV</v>
          </cell>
          <cell r="L5443">
            <v>41288</v>
          </cell>
          <cell r="M5443">
            <v>4.95</v>
          </cell>
          <cell r="P5443">
            <v>1.9090909090909089</v>
          </cell>
        </row>
        <row r="5444">
          <cell r="A5444" t="str">
            <v>DKF-043-6204-C3</v>
          </cell>
          <cell r="G5444" t="str">
            <v xml:space="preserve">CR   </v>
          </cell>
          <cell r="L5444">
            <v>38624</v>
          </cell>
          <cell r="M5444">
            <v>2.915</v>
          </cell>
          <cell r="P5444">
            <v>0.79200000000000004</v>
          </cell>
        </row>
        <row r="5445">
          <cell r="A5445" t="str">
            <v>DKF-043-6209-N</v>
          </cell>
          <cell r="G5445" t="str">
            <v xml:space="preserve">CR   </v>
          </cell>
          <cell r="L5445">
            <v>38811</v>
          </cell>
          <cell r="M5445">
            <v>3.085</v>
          </cell>
          <cell r="P5445">
            <v>2.6880000000000002</v>
          </cell>
        </row>
        <row r="5446">
          <cell r="A5446" t="str">
            <v>DKF-043-6304-1Z</v>
          </cell>
          <cell r="G5446" t="str">
            <v>INDEV</v>
          </cell>
          <cell r="L5446">
            <v>41288</v>
          </cell>
          <cell r="M5446">
            <v>4.95</v>
          </cell>
          <cell r="P5446">
            <v>1.1232323232323231</v>
          </cell>
        </row>
        <row r="5447">
          <cell r="A5447" t="str">
            <v>DKF-043-6318</v>
          </cell>
          <cell r="G5447" t="str">
            <v>INDEV</v>
          </cell>
          <cell r="L5447">
            <v>41288</v>
          </cell>
          <cell r="M5447">
            <v>4.95</v>
          </cell>
          <cell r="P5447">
            <v>17.422222222222221</v>
          </cell>
        </row>
        <row r="5448">
          <cell r="A5448" t="str">
            <v>DRA-033-ASA-40-1</v>
          </cell>
          <cell r="G5448" t="str">
            <v xml:space="preserve">INSI </v>
          </cell>
          <cell r="L5448">
            <v>42964</v>
          </cell>
          <cell r="M5448">
            <v>17.52</v>
          </cell>
          <cell r="P5448">
            <v>0.81279999999999997</v>
          </cell>
        </row>
        <row r="5449">
          <cell r="A5449" t="str">
            <v>DRA-033-ASA-40-2</v>
          </cell>
          <cell r="G5449" t="str">
            <v xml:space="preserve">CR   </v>
          </cell>
          <cell r="L5449">
            <v>38624</v>
          </cell>
          <cell r="M5449">
            <v>2.915</v>
          </cell>
          <cell r="P5449">
            <v>3.278</v>
          </cell>
        </row>
        <row r="5450">
          <cell r="A5450" t="str">
            <v>DRA-033-ASA-60-1</v>
          </cell>
          <cell r="G5450" t="str">
            <v xml:space="preserve">CR   </v>
          </cell>
          <cell r="L5450">
            <v>38624</v>
          </cell>
          <cell r="M5450">
            <v>2.915</v>
          </cell>
          <cell r="P5450">
            <v>2.6509999999999998</v>
          </cell>
        </row>
        <row r="5451">
          <cell r="A5451" t="str">
            <v>FAF-040-2MM204WIDUL</v>
          </cell>
          <cell r="G5451" t="str">
            <v xml:space="preserve">INAC </v>
          </cell>
          <cell r="L5451">
            <v>38013</v>
          </cell>
          <cell r="M5451">
            <v>2.91</v>
          </cell>
          <cell r="P5451">
            <v>140.17525773195877</v>
          </cell>
        </row>
        <row r="5452">
          <cell r="A5452" t="str">
            <v>FAF-043-MM-45-BS-75</v>
          </cell>
          <cell r="G5452" t="str">
            <v xml:space="preserve">INAC </v>
          </cell>
          <cell r="L5452">
            <v>38783</v>
          </cell>
          <cell r="M5452">
            <v>3.077</v>
          </cell>
          <cell r="P5452">
            <v>317.30906727331819</v>
          </cell>
        </row>
        <row r="5453">
          <cell r="A5453" t="str">
            <v>FAG-031-804356</v>
          </cell>
          <cell r="G5453" t="str">
            <v xml:space="preserve">INAC </v>
          </cell>
          <cell r="L5453">
            <v>40254</v>
          </cell>
          <cell r="M5453">
            <v>3.88</v>
          </cell>
          <cell r="P5453">
            <v>51.546391752577321</v>
          </cell>
        </row>
        <row r="5454">
          <cell r="A5454" t="str">
            <v>FAG-040-6013-2RS</v>
          </cell>
          <cell r="G5454" t="str">
            <v xml:space="preserve">CR   </v>
          </cell>
          <cell r="L5454">
            <v>38811</v>
          </cell>
          <cell r="M5454">
            <v>3.085</v>
          </cell>
          <cell r="P5454">
            <v>6.0674000000000001</v>
          </cell>
        </row>
        <row r="5455">
          <cell r="A5455" t="str">
            <v>FAG-040-6214-2RS</v>
          </cell>
          <cell r="G5455" t="str">
            <v>INDEV</v>
          </cell>
          <cell r="L5455">
            <v>39363</v>
          </cell>
          <cell r="M5455">
            <v>3.1560000000000001</v>
          </cell>
          <cell r="P5455">
            <v>4.6142268694550062</v>
          </cell>
        </row>
        <row r="5456">
          <cell r="A5456" t="str">
            <v>FAG-040-7201-B</v>
          </cell>
          <cell r="G5456" t="str">
            <v xml:space="preserve">INAC </v>
          </cell>
          <cell r="L5456">
            <v>39202</v>
          </cell>
          <cell r="M5456">
            <v>3.09</v>
          </cell>
          <cell r="P5456">
            <v>17.799352750809064</v>
          </cell>
        </row>
        <row r="5457">
          <cell r="A5457" t="str">
            <v>FIA-030-FX-90-15HP</v>
          </cell>
          <cell r="G5457" t="str">
            <v xml:space="preserve">CR   </v>
          </cell>
          <cell r="L5457">
            <v>38624</v>
          </cell>
          <cell r="M5457">
            <v>2.915</v>
          </cell>
          <cell r="P5457">
            <v>254.13300000000001</v>
          </cell>
        </row>
        <row r="5458">
          <cell r="A5458" t="str">
            <v>FK--031-88107</v>
          </cell>
          <cell r="G5458" t="str">
            <v xml:space="preserve">CR   </v>
          </cell>
          <cell r="L5458">
            <v>38811</v>
          </cell>
          <cell r="M5458">
            <v>3.085</v>
          </cell>
          <cell r="P5458">
            <v>1.7459</v>
          </cell>
        </row>
        <row r="5459">
          <cell r="A5459" t="str">
            <v>FK--031-88506</v>
          </cell>
          <cell r="G5459" t="str">
            <v>INDEV</v>
          </cell>
          <cell r="L5459">
            <v>41288</v>
          </cell>
          <cell r="M5459">
            <v>4.95</v>
          </cell>
          <cell r="P5459">
            <v>1.3099191919191919</v>
          </cell>
        </row>
        <row r="5460">
          <cell r="A5460" t="str">
            <v>FK--031-88508-2RS</v>
          </cell>
          <cell r="G5460" t="str">
            <v>INDEV</v>
          </cell>
          <cell r="L5460">
            <v>38812</v>
          </cell>
          <cell r="M5460">
            <v>3.0830000000000002</v>
          </cell>
          <cell r="P5460">
            <v>1.4464482646772623</v>
          </cell>
        </row>
        <row r="5461">
          <cell r="A5461" t="str">
            <v>FK--031-88509-2RS</v>
          </cell>
          <cell r="G5461" t="str">
            <v xml:space="preserve">CR   </v>
          </cell>
          <cell r="L5461">
            <v>38811</v>
          </cell>
          <cell r="M5461">
            <v>3.085</v>
          </cell>
          <cell r="P5461">
            <v>2.6187999999999998</v>
          </cell>
        </row>
        <row r="5462">
          <cell r="A5462" t="str">
            <v>FK--037-T-208</v>
          </cell>
          <cell r="G5462" t="str">
            <v xml:space="preserve">CR   </v>
          </cell>
          <cell r="L5462">
            <v>38624</v>
          </cell>
          <cell r="M5462">
            <v>2.915</v>
          </cell>
          <cell r="P5462">
            <v>2.0680000000000001</v>
          </cell>
        </row>
        <row r="5463">
          <cell r="A5463" t="str">
            <v>FK--040-F-210</v>
          </cell>
          <cell r="G5463" t="str">
            <v>IDESP</v>
          </cell>
          <cell r="L5463">
            <v>38798</v>
          </cell>
          <cell r="M5463">
            <v>3.0739999999999998</v>
          </cell>
          <cell r="P5463">
            <v>1.71</v>
          </cell>
        </row>
        <row r="5464">
          <cell r="A5464" t="str">
            <v>FK--040-UC-209</v>
          </cell>
          <cell r="G5464" t="str">
            <v xml:space="preserve">CR   </v>
          </cell>
          <cell r="L5464">
            <v>38624</v>
          </cell>
          <cell r="M5464">
            <v>2.915</v>
          </cell>
          <cell r="P5464">
            <v>3.806</v>
          </cell>
        </row>
        <row r="5465">
          <cell r="A5465" t="str">
            <v>FK--047-AEL-207-23</v>
          </cell>
          <cell r="G5465" t="str">
            <v xml:space="preserve">CR   </v>
          </cell>
          <cell r="L5465">
            <v>38811</v>
          </cell>
          <cell r="M5465">
            <v>3.085</v>
          </cell>
          <cell r="P5465">
            <v>2.2730999999999999</v>
          </cell>
        </row>
        <row r="5466">
          <cell r="A5466" t="str">
            <v>FK--047-AEL-207-35</v>
          </cell>
          <cell r="G5466" t="str">
            <v xml:space="preserve">CR   </v>
          </cell>
          <cell r="L5466">
            <v>38624</v>
          </cell>
          <cell r="M5466">
            <v>2.915</v>
          </cell>
          <cell r="P5466">
            <v>2.6070000000000002</v>
          </cell>
        </row>
        <row r="5467">
          <cell r="A5467" t="str">
            <v>FK--047-F-204</v>
          </cell>
          <cell r="G5467" t="str">
            <v>INDEV</v>
          </cell>
          <cell r="L5467">
            <v>41288</v>
          </cell>
          <cell r="M5467">
            <v>4.95</v>
          </cell>
          <cell r="P5467">
            <v>0.51040404040404042</v>
          </cell>
        </row>
        <row r="5468">
          <cell r="A5468" t="str">
            <v>FK--047-F-205</v>
          </cell>
          <cell r="G5468" t="str">
            <v>IPFAP</v>
          </cell>
          <cell r="L5468">
            <v>41699</v>
          </cell>
          <cell r="M5468">
            <v>7.9</v>
          </cell>
          <cell r="P5468">
            <v>1.5632911392405062</v>
          </cell>
        </row>
        <row r="5469">
          <cell r="A5469" t="str">
            <v>FK--047-F-207</v>
          </cell>
          <cell r="G5469" t="str">
            <v xml:space="preserve">INAC </v>
          </cell>
          <cell r="L5469">
            <v>40431</v>
          </cell>
          <cell r="M5469">
            <v>3.97</v>
          </cell>
          <cell r="P5469">
            <v>3.6070528967254405</v>
          </cell>
        </row>
        <row r="5470">
          <cell r="A5470" t="str">
            <v>FK--047-F-212</v>
          </cell>
          <cell r="G5470" t="str">
            <v>IPFAB</v>
          </cell>
          <cell r="L5470">
            <v>38832</v>
          </cell>
          <cell r="M5470">
            <v>3.0470000000000002</v>
          </cell>
          <cell r="P5470">
            <v>2.2332999999999998</v>
          </cell>
        </row>
        <row r="5471">
          <cell r="A5471" t="str">
            <v>FK--047-FL-209</v>
          </cell>
          <cell r="G5471" t="str">
            <v>INDEV</v>
          </cell>
          <cell r="L5471">
            <v>41288</v>
          </cell>
          <cell r="M5471">
            <v>4.95</v>
          </cell>
          <cell r="P5471">
            <v>2.5268686868686867</v>
          </cell>
        </row>
        <row r="5472">
          <cell r="A5472" t="str">
            <v>FK--047-FT-206</v>
          </cell>
          <cell r="G5472" t="str">
            <v xml:space="preserve">INAC </v>
          </cell>
          <cell r="L5472">
            <v>42859</v>
          </cell>
          <cell r="M5472">
            <v>15.63</v>
          </cell>
          <cell r="P5472">
            <v>2.942418426103647</v>
          </cell>
        </row>
        <row r="5473">
          <cell r="A5473" t="str">
            <v>FK--047-FT-207</v>
          </cell>
          <cell r="G5473" t="str">
            <v>IPFAB</v>
          </cell>
          <cell r="L5473">
            <v>40119</v>
          </cell>
          <cell r="M5473">
            <v>3.83</v>
          </cell>
          <cell r="P5473">
            <v>1.1353</v>
          </cell>
        </row>
        <row r="5474">
          <cell r="A5474" t="str">
            <v>FK--047-HA-209</v>
          </cell>
          <cell r="G5474" t="str">
            <v xml:space="preserve">INAC </v>
          </cell>
          <cell r="L5474">
            <v>38812</v>
          </cell>
          <cell r="M5474">
            <v>3.0830000000000002</v>
          </cell>
          <cell r="P5474">
            <v>8.6928316574764839</v>
          </cell>
        </row>
        <row r="5475">
          <cell r="A5475" t="str">
            <v>FK--047-P-206</v>
          </cell>
          <cell r="G5475" t="str">
            <v xml:space="preserve">INSI </v>
          </cell>
          <cell r="L5475">
            <v>40351</v>
          </cell>
          <cell r="M5475">
            <v>3.94</v>
          </cell>
          <cell r="P5475">
            <v>0.96379999999999999</v>
          </cell>
        </row>
        <row r="5476">
          <cell r="A5476" t="str">
            <v>FK--047-P-207</v>
          </cell>
          <cell r="G5476" t="str">
            <v xml:space="preserve">CR   </v>
          </cell>
          <cell r="L5476">
            <v>38624</v>
          </cell>
          <cell r="M5476">
            <v>2.915</v>
          </cell>
          <cell r="P5476">
            <v>1.3640000000000001</v>
          </cell>
        </row>
        <row r="5477">
          <cell r="A5477" t="str">
            <v>FK--047-SA-207-20</v>
          </cell>
          <cell r="G5477" t="str">
            <v>INDEV</v>
          </cell>
          <cell r="L5477">
            <v>41288</v>
          </cell>
          <cell r="M5477">
            <v>4.95</v>
          </cell>
          <cell r="P5477">
            <v>9.4949494949494948</v>
          </cell>
        </row>
        <row r="5478">
          <cell r="A5478" t="str">
            <v>FK--047-SB-205</v>
          </cell>
          <cell r="G5478" t="str">
            <v xml:space="preserve">CR   </v>
          </cell>
          <cell r="L5478">
            <v>38811</v>
          </cell>
          <cell r="M5478">
            <v>3.085</v>
          </cell>
          <cell r="P5478">
            <v>1.2791999999999999</v>
          </cell>
        </row>
        <row r="5479">
          <cell r="A5479" t="str">
            <v>FK--047-SB-206</v>
          </cell>
          <cell r="G5479" t="str">
            <v xml:space="preserve">CR   </v>
          </cell>
          <cell r="L5479">
            <v>38624</v>
          </cell>
          <cell r="M5479">
            <v>2.915</v>
          </cell>
          <cell r="P5479">
            <v>1.859</v>
          </cell>
        </row>
        <row r="5480">
          <cell r="A5480" t="str">
            <v>FK--047-SB-207</v>
          </cell>
          <cell r="G5480" t="str">
            <v xml:space="preserve">CR   </v>
          </cell>
          <cell r="L5480">
            <v>38811</v>
          </cell>
          <cell r="M5480">
            <v>3.085</v>
          </cell>
          <cell r="P5480">
            <v>2.0051999999999999</v>
          </cell>
        </row>
        <row r="5481">
          <cell r="A5481" t="str">
            <v>FK--047-T-206</v>
          </cell>
          <cell r="G5481" t="str">
            <v>IPFAB</v>
          </cell>
          <cell r="L5481">
            <v>38399</v>
          </cell>
          <cell r="M5481">
            <v>2.9039999999999999</v>
          </cell>
          <cell r="P5481">
            <v>2.6</v>
          </cell>
        </row>
        <row r="5482">
          <cell r="A5482" t="str">
            <v>FK--047-UC-204</v>
          </cell>
          <cell r="G5482" t="str">
            <v xml:space="preserve">CR   </v>
          </cell>
          <cell r="L5482">
            <v>38624</v>
          </cell>
          <cell r="M5482">
            <v>2.915</v>
          </cell>
          <cell r="P5482">
            <v>1.4079999999999999</v>
          </cell>
        </row>
        <row r="5483">
          <cell r="A5483" t="str">
            <v>FK--047-UC-207</v>
          </cell>
          <cell r="G5483" t="str">
            <v>IPFAB</v>
          </cell>
          <cell r="L5483">
            <v>38287</v>
          </cell>
          <cell r="M5483">
            <v>2.9729999999999999</v>
          </cell>
          <cell r="P5483">
            <v>2.5059</v>
          </cell>
        </row>
        <row r="5484">
          <cell r="A5484" t="str">
            <v>FK--047-UC-210</v>
          </cell>
          <cell r="G5484" t="str">
            <v>IPFAP</v>
          </cell>
          <cell r="L5484">
            <v>42710</v>
          </cell>
          <cell r="M5484">
            <v>16.18</v>
          </cell>
          <cell r="P5484">
            <v>0.622849196538937</v>
          </cell>
        </row>
        <row r="5485">
          <cell r="A5485" t="str">
            <v>FK--047-UC-211</v>
          </cell>
          <cell r="G5485" t="str">
            <v>IPFAP</v>
          </cell>
          <cell r="L5485">
            <v>42685</v>
          </cell>
          <cell r="M5485">
            <v>15.2</v>
          </cell>
          <cell r="P5485">
            <v>5.03</v>
          </cell>
        </row>
        <row r="5486">
          <cell r="A5486" t="str">
            <v>FK--047-UC-211-35</v>
          </cell>
          <cell r="G5486" t="str">
            <v>IPFAB</v>
          </cell>
          <cell r="L5486">
            <v>37769</v>
          </cell>
          <cell r="M5486">
            <v>2.88</v>
          </cell>
          <cell r="P5486">
            <v>8.7799999999999994</v>
          </cell>
        </row>
        <row r="5487">
          <cell r="A5487" t="str">
            <v>FK--047-UCF-204</v>
          </cell>
          <cell r="G5487" t="str">
            <v xml:space="preserve">CR   </v>
          </cell>
          <cell r="L5487">
            <v>38811</v>
          </cell>
          <cell r="M5487">
            <v>3.085</v>
          </cell>
          <cell r="P5487">
            <v>1.7544999999999999</v>
          </cell>
        </row>
        <row r="5488">
          <cell r="A5488" t="str">
            <v>FK--047-UCF-207</v>
          </cell>
          <cell r="G5488" t="str">
            <v xml:space="preserve">CR   </v>
          </cell>
          <cell r="L5488">
            <v>38624</v>
          </cell>
          <cell r="M5488">
            <v>2.915</v>
          </cell>
          <cell r="P5488">
            <v>2.3650000000000002</v>
          </cell>
        </row>
        <row r="5489">
          <cell r="A5489" t="str">
            <v>FK--047-UCF-209</v>
          </cell>
          <cell r="G5489" t="str">
            <v xml:space="preserve">CR   </v>
          </cell>
          <cell r="L5489">
            <v>38624</v>
          </cell>
          <cell r="M5489">
            <v>2.915</v>
          </cell>
          <cell r="P5489">
            <v>5.1479999999999997</v>
          </cell>
        </row>
        <row r="5490">
          <cell r="A5490" t="str">
            <v>FK--047-UCL-207</v>
          </cell>
          <cell r="G5490" t="str">
            <v xml:space="preserve">CR   </v>
          </cell>
          <cell r="L5490">
            <v>38624</v>
          </cell>
          <cell r="M5490">
            <v>2.915</v>
          </cell>
          <cell r="P5490">
            <v>3.4870000000000001</v>
          </cell>
        </row>
        <row r="5491">
          <cell r="A5491" t="str">
            <v>FK--047-UCP-211</v>
          </cell>
          <cell r="G5491" t="str">
            <v xml:space="preserve">INAC </v>
          </cell>
          <cell r="L5491">
            <v>42256</v>
          </cell>
          <cell r="M5491">
            <v>9.3800000000000008</v>
          </cell>
          <cell r="P5491">
            <v>27.18975479744136</v>
          </cell>
        </row>
        <row r="5492">
          <cell r="A5492" t="str">
            <v>FK--047-UCT-208</v>
          </cell>
          <cell r="G5492" t="str">
            <v xml:space="preserve">CR   </v>
          </cell>
          <cell r="L5492">
            <v>38811</v>
          </cell>
          <cell r="M5492">
            <v>3.085</v>
          </cell>
          <cell r="P5492">
            <v>4.3301999999999996</v>
          </cell>
        </row>
        <row r="5493">
          <cell r="A5493" t="str">
            <v>FK--051-H-213</v>
          </cell>
          <cell r="G5493" t="str">
            <v xml:space="preserve">INAC </v>
          </cell>
          <cell r="L5493">
            <v>38741</v>
          </cell>
          <cell r="M5493">
            <v>3.0379999999999998</v>
          </cell>
          <cell r="P5493">
            <v>3.0319289005924954</v>
          </cell>
        </row>
        <row r="5494">
          <cell r="A5494" t="str">
            <v>FK--051-H-216</v>
          </cell>
          <cell r="G5494" t="str">
            <v>INDEV</v>
          </cell>
          <cell r="L5494">
            <v>41288</v>
          </cell>
          <cell r="M5494">
            <v>4.95</v>
          </cell>
          <cell r="P5494">
            <v>7.1010101010101003</v>
          </cell>
        </row>
        <row r="5495">
          <cell r="A5495" t="str">
            <v>FK--051-H-217</v>
          </cell>
          <cell r="G5495" t="str">
            <v>INDEV</v>
          </cell>
          <cell r="L5495">
            <v>39224</v>
          </cell>
          <cell r="M5495">
            <v>3.0750000000000002</v>
          </cell>
          <cell r="P5495">
            <v>4.1567479674796743</v>
          </cell>
        </row>
        <row r="5496">
          <cell r="A5496" t="str">
            <v>FK--051-H-218</v>
          </cell>
          <cell r="G5496" t="str">
            <v xml:space="preserve">CR   </v>
          </cell>
          <cell r="L5496">
            <v>38811</v>
          </cell>
          <cell r="M5496">
            <v>3.085</v>
          </cell>
          <cell r="P5496">
            <v>8.6E-3</v>
          </cell>
        </row>
        <row r="5497">
          <cell r="A5497" t="str">
            <v>FK--051-H-315</v>
          </cell>
          <cell r="G5497" t="str">
            <v xml:space="preserve">INAC </v>
          </cell>
          <cell r="L5497">
            <v>38705</v>
          </cell>
          <cell r="M5497">
            <v>3.0350000000000001</v>
          </cell>
          <cell r="P5497">
            <v>3.4741350906095554</v>
          </cell>
        </row>
        <row r="5498">
          <cell r="A5498" t="str">
            <v>FLT-031-616034-N</v>
          </cell>
          <cell r="G5498" t="str">
            <v xml:space="preserve">CR   </v>
          </cell>
          <cell r="L5498">
            <v>38624</v>
          </cell>
          <cell r="M5498">
            <v>2.915</v>
          </cell>
          <cell r="P5498">
            <v>3.2484000000000002</v>
          </cell>
        </row>
        <row r="5499">
          <cell r="A5499" t="str">
            <v>FLT-040-62201-2RS</v>
          </cell>
          <cell r="G5499" t="str">
            <v xml:space="preserve">CR   </v>
          </cell>
          <cell r="L5499">
            <v>38624</v>
          </cell>
          <cell r="M5499">
            <v>2.915</v>
          </cell>
          <cell r="P5499">
            <v>1.012</v>
          </cell>
        </row>
        <row r="5500">
          <cell r="A5500" t="str">
            <v>FLT-040-98305</v>
          </cell>
          <cell r="G5500" t="str">
            <v xml:space="preserve">CR   </v>
          </cell>
          <cell r="L5500">
            <v>38811</v>
          </cell>
          <cell r="M5500">
            <v>3.085</v>
          </cell>
          <cell r="P5500">
            <v>1.0186999999999999</v>
          </cell>
        </row>
        <row r="5501">
          <cell r="A5501" t="str">
            <v>FLT-047-UCT-206</v>
          </cell>
          <cell r="G5501" t="str">
            <v xml:space="preserve">INAC </v>
          </cell>
          <cell r="L5501">
            <v>38372</v>
          </cell>
          <cell r="M5501">
            <v>2.9430000000000001</v>
          </cell>
          <cell r="P5501">
            <v>4.6265715256540947</v>
          </cell>
        </row>
        <row r="5502">
          <cell r="A5502" t="str">
            <v>FLT-050-104949-11</v>
          </cell>
          <cell r="G5502" t="str">
            <v xml:space="preserve">INAC </v>
          </cell>
          <cell r="L5502">
            <v>37932</v>
          </cell>
          <cell r="M5502">
            <v>2.855</v>
          </cell>
          <cell r="P5502">
            <v>3.5131348511383536</v>
          </cell>
        </row>
        <row r="5503">
          <cell r="A5503" t="str">
            <v>FLT-050-903249-210</v>
          </cell>
          <cell r="G5503" t="str">
            <v xml:space="preserve">CR   </v>
          </cell>
          <cell r="L5503">
            <v>38811</v>
          </cell>
          <cell r="M5503">
            <v>3.085</v>
          </cell>
          <cell r="P5503">
            <v>5.8859000000000004</v>
          </cell>
        </row>
        <row r="5504">
          <cell r="A5504" t="str">
            <v>GBC-050-30208</v>
          </cell>
          <cell r="G5504" t="str">
            <v xml:space="preserve">CR   </v>
          </cell>
          <cell r="L5504">
            <v>38811</v>
          </cell>
          <cell r="M5504">
            <v>3.085</v>
          </cell>
          <cell r="P5504">
            <v>1.5002</v>
          </cell>
        </row>
        <row r="5505">
          <cell r="A5505" t="str">
            <v>GCR-040-6211</v>
          </cell>
          <cell r="G5505" t="str">
            <v>INDEV</v>
          </cell>
          <cell r="L5505">
            <v>41288</v>
          </cell>
          <cell r="M5505">
            <v>4.95</v>
          </cell>
          <cell r="P5505">
            <v>0.74818181818181817</v>
          </cell>
        </row>
        <row r="5506">
          <cell r="A5506" t="str">
            <v>GIO-029-C-10-CAJA</v>
          </cell>
          <cell r="G5506" t="str">
            <v>IDESP</v>
          </cell>
          <cell r="L5506">
            <v>42423</v>
          </cell>
          <cell r="M5506">
            <v>15.33</v>
          </cell>
          <cell r="P5506">
            <v>0.9224</v>
          </cell>
        </row>
        <row r="5507">
          <cell r="A5507" t="str">
            <v>GIO-029-C-11-CAJA</v>
          </cell>
          <cell r="G5507" t="str">
            <v>IDESP</v>
          </cell>
          <cell r="L5507">
            <v>42423</v>
          </cell>
          <cell r="M5507">
            <v>15.33</v>
          </cell>
          <cell r="P5507">
            <v>0.9224</v>
          </cell>
        </row>
        <row r="5508">
          <cell r="A5508" t="str">
            <v>GPZ-030-EJE-3-"</v>
          </cell>
          <cell r="G5508" t="str">
            <v xml:space="preserve">CR   </v>
          </cell>
          <cell r="L5508">
            <v>37981</v>
          </cell>
          <cell r="M5508">
            <v>2.96</v>
          </cell>
          <cell r="P5508">
            <v>330.99</v>
          </cell>
        </row>
        <row r="5509">
          <cell r="A5509" t="str">
            <v>GPZ-031-6-7707</v>
          </cell>
          <cell r="G5509" t="str">
            <v xml:space="preserve">CR   </v>
          </cell>
          <cell r="L5509">
            <v>38624</v>
          </cell>
          <cell r="M5509">
            <v>2.915</v>
          </cell>
          <cell r="P5509">
            <v>3.6080000000000001</v>
          </cell>
        </row>
        <row r="5510">
          <cell r="A5510" t="str">
            <v>GPZ-031-UY-1308-TM</v>
          </cell>
          <cell r="G5510" t="str">
            <v xml:space="preserve">CR   </v>
          </cell>
          <cell r="L5510">
            <v>38624</v>
          </cell>
          <cell r="M5510">
            <v>2.915</v>
          </cell>
          <cell r="P5510">
            <v>4.6639999999999997</v>
          </cell>
        </row>
        <row r="5511">
          <cell r="A5511" t="str">
            <v>GPZ-031-UY-1310-TS</v>
          </cell>
          <cell r="G5511" t="str">
            <v xml:space="preserve">CR   </v>
          </cell>
          <cell r="L5511">
            <v>38811</v>
          </cell>
          <cell r="M5511">
            <v>3.085</v>
          </cell>
          <cell r="P5511">
            <v>2.5863999999999998</v>
          </cell>
        </row>
        <row r="5512">
          <cell r="A5512" t="str">
            <v>GPZ-034-GE-12-E</v>
          </cell>
          <cell r="G5512" t="str">
            <v xml:space="preserve">CR   </v>
          </cell>
          <cell r="L5512">
            <v>38624</v>
          </cell>
          <cell r="M5512">
            <v>2.915</v>
          </cell>
          <cell r="P5512">
            <v>1.2430000000000001</v>
          </cell>
        </row>
        <row r="5513">
          <cell r="A5513" t="str">
            <v>GPZ-034-GE-15-E</v>
          </cell>
          <cell r="G5513" t="str">
            <v xml:space="preserve">CR   </v>
          </cell>
          <cell r="L5513">
            <v>38624</v>
          </cell>
          <cell r="M5513">
            <v>2.915</v>
          </cell>
          <cell r="P5513">
            <v>1.5069999999999999</v>
          </cell>
        </row>
        <row r="5514">
          <cell r="A5514" t="str">
            <v>GPZ-034-GE-30-E</v>
          </cell>
          <cell r="G5514" t="str">
            <v xml:space="preserve">INAC </v>
          </cell>
          <cell r="L5514">
            <v>38198</v>
          </cell>
          <cell r="M5514">
            <v>2.976</v>
          </cell>
          <cell r="P5514">
            <v>3.528225806451613</v>
          </cell>
        </row>
        <row r="5515">
          <cell r="A5515" t="str">
            <v>GPZ-034-GE-40-E</v>
          </cell>
          <cell r="G5515" t="str">
            <v xml:space="preserve">CR   </v>
          </cell>
          <cell r="L5515">
            <v>38811</v>
          </cell>
          <cell r="M5515">
            <v>3.085</v>
          </cell>
          <cell r="P5515">
            <v>0.87509999999999999</v>
          </cell>
        </row>
        <row r="5516">
          <cell r="A5516" t="str">
            <v>GPZ-034-GE-50-ES</v>
          </cell>
          <cell r="G5516" t="str">
            <v xml:space="preserve">CR   </v>
          </cell>
          <cell r="L5516">
            <v>38811</v>
          </cell>
          <cell r="M5516">
            <v>3.085</v>
          </cell>
          <cell r="P5516">
            <v>1.4182999999999999</v>
          </cell>
        </row>
        <row r="5517">
          <cell r="A5517" t="str">
            <v>GPZ-034-GE-6-E</v>
          </cell>
          <cell r="G5517" t="str">
            <v xml:space="preserve">CR   </v>
          </cell>
          <cell r="L5517">
            <v>38624</v>
          </cell>
          <cell r="M5517">
            <v>2.915</v>
          </cell>
          <cell r="P5517">
            <v>0.79200000000000004</v>
          </cell>
        </row>
        <row r="5518">
          <cell r="A5518" t="str">
            <v>GPZ-034-GE-60-E</v>
          </cell>
          <cell r="G5518" t="str">
            <v xml:space="preserve">CR   </v>
          </cell>
          <cell r="L5518">
            <v>38811</v>
          </cell>
          <cell r="M5518">
            <v>3.085</v>
          </cell>
          <cell r="P5518">
            <v>2.3239000000000001</v>
          </cell>
        </row>
        <row r="5519">
          <cell r="A5519" t="str">
            <v>GPZ-035-NF-208</v>
          </cell>
          <cell r="G5519" t="str">
            <v>INDEV</v>
          </cell>
          <cell r="L5519">
            <v>41288</v>
          </cell>
          <cell r="M5519">
            <v>4.95</v>
          </cell>
          <cell r="P5519">
            <v>2.7878787878787881</v>
          </cell>
        </row>
        <row r="5520">
          <cell r="A5520" t="str">
            <v>GPZ-035-NU-205</v>
          </cell>
          <cell r="G5520" t="str">
            <v>INDEV</v>
          </cell>
          <cell r="L5520">
            <v>41288</v>
          </cell>
          <cell r="M5520">
            <v>4.95</v>
          </cell>
          <cell r="P5520">
            <v>0.54141414141414146</v>
          </cell>
        </row>
        <row r="5521">
          <cell r="A5521" t="str">
            <v>GPZ-035-NU-211</v>
          </cell>
          <cell r="G5521" t="str">
            <v>INDEV</v>
          </cell>
          <cell r="L5521">
            <v>41288</v>
          </cell>
          <cell r="M5521">
            <v>4.95</v>
          </cell>
          <cell r="P5521">
            <v>4.1939393939393943</v>
          </cell>
        </row>
        <row r="5522">
          <cell r="A5522" t="str">
            <v>GPZ-035-NU-314</v>
          </cell>
          <cell r="G5522" t="str">
            <v xml:space="preserve">CR   </v>
          </cell>
          <cell r="L5522">
            <v>38811</v>
          </cell>
          <cell r="M5522">
            <v>3.085</v>
          </cell>
          <cell r="P5522">
            <v>4.1810999999999998</v>
          </cell>
        </row>
        <row r="5523">
          <cell r="A5523" t="str">
            <v>GPZ-040-1204</v>
          </cell>
          <cell r="G5523" t="str">
            <v xml:space="preserve">CR   </v>
          </cell>
          <cell r="L5523">
            <v>37981</v>
          </cell>
          <cell r="M5523">
            <v>2.96</v>
          </cell>
          <cell r="P5523">
            <v>0.99</v>
          </cell>
        </row>
        <row r="5524">
          <cell r="A5524" t="str">
            <v>GPZ-040-1205-K+H</v>
          </cell>
          <cell r="G5524" t="str">
            <v>INDEV</v>
          </cell>
          <cell r="L5524">
            <v>41288</v>
          </cell>
          <cell r="M5524">
            <v>4.95</v>
          </cell>
          <cell r="P5524">
            <v>1.2888888888888888</v>
          </cell>
        </row>
        <row r="5525">
          <cell r="A5525" t="str">
            <v>GPZ-040-1206</v>
          </cell>
          <cell r="G5525" t="str">
            <v xml:space="preserve">CR   </v>
          </cell>
          <cell r="L5525">
            <v>38624</v>
          </cell>
          <cell r="M5525">
            <v>2.915</v>
          </cell>
          <cell r="P5525">
            <v>1326.6</v>
          </cell>
        </row>
        <row r="5526">
          <cell r="A5526" t="str">
            <v>GPZ-040-1207</v>
          </cell>
          <cell r="G5526" t="str">
            <v xml:space="preserve">CR   </v>
          </cell>
          <cell r="L5526">
            <v>38624</v>
          </cell>
          <cell r="M5526">
            <v>2.915</v>
          </cell>
          <cell r="P5526">
            <v>1.4410000000000001</v>
          </cell>
        </row>
        <row r="5527">
          <cell r="A5527" t="str">
            <v>GPZ-040-1207-K</v>
          </cell>
          <cell r="G5527" t="str">
            <v xml:space="preserve">CR   </v>
          </cell>
          <cell r="L5527">
            <v>37981</v>
          </cell>
          <cell r="M5527">
            <v>2.96</v>
          </cell>
          <cell r="P5527">
            <v>1.6</v>
          </cell>
        </row>
        <row r="5528">
          <cell r="A5528" t="str">
            <v>GPZ-040-1215-K</v>
          </cell>
          <cell r="G5528" t="str">
            <v xml:space="preserve">CR   </v>
          </cell>
          <cell r="L5528">
            <v>38624</v>
          </cell>
          <cell r="M5528">
            <v>2.915</v>
          </cell>
          <cell r="P5528">
            <v>7.1609999999999996</v>
          </cell>
        </row>
        <row r="5529">
          <cell r="A5529" t="str">
            <v>GPZ-040-1306-K</v>
          </cell>
          <cell r="G5529" t="str">
            <v xml:space="preserve">CR   </v>
          </cell>
          <cell r="L5529">
            <v>37981</v>
          </cell>
          <cell r="M5529">
            <v>2.96</v>
          </cell>
          <cell r="P5529">
            <v>1.78</v>
          </cell>
        </row>
        <row r="5530">
          <cell r="A5530" t="str">
            <v>GPZ-040-16001</v>
          </cell>
          <cell r="G5530" t="str">
            <v>INDEV</v>
          </cell>
          <cell r="L5530">
            <v>41288</v>
          </cell>
          <cell r="M5530">
            <v>4.95</v>
          </cell>
          <cell r="P5530">
            <v>0.12311111111111112</v>
          </cell>
        </row>
        <row r="5531">
          <cell r="A5531" t="str">
            <v>GPZ-040-2208</v>
          </cell>
          <cell r="G5531" t="str">
            <v xml:space="preserve">CR   </v>
          </cell>
          <cell r="L5531">
            <v>38624</v>
          </cell>
          <cell r="M5531">
            <v>2.915</v>
          </cell>
          <cell r="P5531">
            <v>2.5630000000000002</v>
          </cell>
        </row>
        <row r="5532">
          <cell r="A5532" t="str">
            <v>GPZ-040-2210</v>
          </cell>
          <cell r="G5532" t="str">
            <v xml:space="preserve">CR   </v>
          </cell>
          <cell r="L5532">
            <v>38811</v>
          </cell>
          <cell r="M5532">
            <v>3.085</v>
          </cell>
          <cell r="P5532">
            <v>1.3744000000000001</v>
          </cell>
        </row>
        <row r="5533">
          <cell r="A5533" t="str">
            <v>GPZ-040-22218-CCK</v>
          </cell>
          <cell r="G5533" t="str">
            <v xml:space="preserve">CR   </v>
          </cell>
          <cell r="L5533">
            <v>38811</v>
          </cell>
          <cell r="M5533">
            <v>3.085</v>
          </cell>
          <cell r="P5533">
            <v>8.7850999999999999</v>
          </cell>
        </row>
        <row r="5534">
          <cell r="A5534" t="str">
            <v>GPZ-040-22222-CCW3</v>
          </cell>
          <cell r="G5534" t="str">
            <v xml:space="preserve">CR   </v>
          </cell>
          <cell r="L5534">
            <v>38624</v>
          </cell>
          <cell r="M5534">
            <v>2.915</v>
          </cell>
          <cell r="P5534">
            <v>29.248999999999999</v>
          </cell>
        </row>
        <row r="5535">
          <cell r="A5535" t="str">
            <v>GPZ-040-22224-CCKW</v>
          </cell>
          <cell r="G5535" t="str">
            <v xml:space="preserve">CR   </v>
          </cell>
          <cell r="L5535">
            <v>38624</v>
          </cell>
          <cell r="M5535">
            <v>2.915</v>
          </cell>
          <cell r="P5535">
            <v>33.033000000000001</v>
          </cell>
        </row>
        <row r="5536">
          <cell r="A5536" t="str">
            <v>GPZ-040-2305</v>
          </cell>
          <cell r="G5536" t="str">
            <v>INDEV</v>
          </cell>
          <cell r="L5536">
            <v>41288</v>
          </cell>
          <cell r="M5536">
            <v>4.95</v>
          </cell>
          <cell r="P5536">
            <v>5.5555555555555554</v>
          </cell>
        </row>
        <row r="5537">
          <cell r="A5537" t="str">
            <v>GPZ-040-2306</v>
          </cell>
          <cell r="G5537" t="str">
            <v xml:space="preserve">CR   </v>
          </cell>
          <cell r="L5537">
            <v>38811</v>
          </cell>
          <cell r="M5537">
            <v>3.085</v>
          </cell>
          <cell r="P5537">
            <v>1.2543</v>
          </cell>
        </row>
        <row r="5538">
          <cell r="A5538" t="str">
            <v>GPZ-040-2308</v>
          </cell>
          <cell r="G5538" t="str">
            <v xml:space="preserve">CR   </v>
          </cell>
          <cell r="L5538">
            <v>37981</v>
          </cell>
          <cell r="M5538">
            <v>2.96</v>
          </cell>
          <cell r="P5538">
            <v>2.88</v>
          </cell>
        </row>
        <row r="5539">
          <cell r="A5539" t="str">
            <v>GPZ-040-2310</v>
          </cell>
          <cell r="G5539" t="str">
            <v xml:space="preserve">CR   </v>
          </cell>
          <cell r="L5539">
            <v>38811</v>
          </cell>
          <cell r="M5539">
            <v>3.085</v>
          </cell>
          <cell r="P5539">
            <v>1.9982</v>
          </cell>
        </row>
        <row r="5540">
          <cell r="A5540" t="str">
            <v>GPZ-040-30212</v>
          </cell>
          <cell r="G5540" t="str">
            <v xml:space="preserve">CR   </v>
          </cell>
          <cell r="L5540">
            <v>38624</v>
          </cell>
          <cell r="M5540">
            <v>2.915</v>
          </cell>
          <cell r="P5540">
            <v>2.431</v>
          </cell>
        </row>
        <row r="5541">
          <cell r="A5541" t="str">
            <v>GPZ-040-30306</v>
          </cell>
          <cell r="G5541" t="str">
            <v xml:space="preserve">CR   </v>
          </cell>
          <cell r="L5541">
            <v>38624</v>
          </cell>
          <cell r="M5541">
            <v>2.915</v>
          </cell>
          <cell r="P5541">
            <v>1.6196226415094339</v>
          </cell>
        </row>
        <row r="5542">
          <cell r="A5542" t="str">
            <v>GPZ-040-30307</v>
          </cell>
          <cell r="G5542" t="str">
            <v xml:space="preserve">CR   </v>
          </cell>
          <cell r="L5542">
            <v>38811</v>
          </cell>
          <cell r="M5542">
            <v>3.085</v>
          </cell>
          <cell r="P5542">
            <v>0.7611</v>
          </cell>
        </row>
        <row r="5543">
          <cell r="A5543" t="str">
            <v>GPZ-040-30311</v>
          </cell>
          <cell r="G5543" t="str">
            <v>INDEV</v>
          </cell>
          <cell r="L5543">
            <v>41288</v>
          </cell>
          <cell r="M5543">
            <v>4.95</v>
          </cell>
          <cell r="P5543">
            <v>1.7091919191919192</v>
          </cell>
        </row>
        <row r="5544">
          <cell r="A5544" t="str">
            <v>GPZ-040-30312</v>
          </cell>
          <cell r="G5544" t="str">
            <v xml:space="preserve">CR   </v>
          </cell>
          <cell r="L5544">
            <v>38811</v>
          </cell>
          <cell r="M5544">
            <v>3.085</v>
          </cell>
          <cell r="P5544">
            <v>1.7504</v>
          </cell>
        </row>
        <row r="5545">
          <cell r="A5545" t="str">
            <v>GPZ-040-32009</v>
          </cell>
          <cell r="G5545" t="str">
            <v xml:space="preserve">CR   </v>
          </cell>
          <cell r="L5545">
            <v>38624</v>
          </cell>
          <cell r="M5545">
            <v>2.915</v>
          </cell>
          <cell r="P5545">
            <v>1.7270000000000001</v>
          </cell>
        </row>
        <row r="5546">
          <cell r="A5546" t="str">
            <v>GPZ-040-32013</v>
          </cell>
          <cell r="G5546" t="str">
            <v>INDEV</v>
          </cell>
          <cell r="L5546">
            <v>40667</v>
          </cell>
          <cell r="M5546">
            <v>4.1100000000000003</v>
          </cell>
          <cell r="P5546">
            <v>1.1279075425790752</v>
          </cell>
        </row>
        <row r="5547">
          <cell r="A5547" t="str">
            <v>GPZ-040-32206</v>
          </cell>
          <cell r="G5547" t="str">
            <v xml:space="preserve">CR   </v>
          </cell>
          <cell r="L5547">
            <v>38811</v>
          </cell>
          <cell r="M5547">
            <v>3.085</v>
          </cell>
          <cell r="P5547">
            <v>0.64659999999999995</v>
          </cell>
        </row>
        <row r="5548">
          <cell r="A5548" t="str">
            <v>GPZ-040-32207</v>
          </cell>
          <cell r="G5548" t="str">
            <v xml:space="preserve">CR   </v>
          </cell>
          <cell r="L5548">
            <v>38624</v>
          </cell>
          <cell r="M5548">
            <v>2.915</v>
          </cell>
          <cell r="P5548">
            <v>1.6719999999999999</v>
          </cell>
        </row>
        <row r="5549">
          <cell r="A5549" t="str">
            <v>GPZ-040-32211</v>
          </cell>
          <cell r="G5549" t="str">
            <v xml:space="preserve">CR   </v>
          </cell>
          <cell r="L5549">
            <v>38624</v>
          </cell>
          <cell r="M5549">
            <v>2.915</v>
          </cell>
          <cell r="P5549">
            <v>2.3210000000000002</v>
          </cell>
        </row>
        <row r="5550">
          <cell r="A5550" t="str">
            <v>GPZ-040-32214</v>
          </cell>
          <cell r="G5550" t="str">
            <v xml:space="preserve">CR   </v>
          </cell>
          <cell r="L5550">
            <v>38811</v>
          </cell>
          <cell r="M5550">
            <v>3.085</v>
          </cell>
          <cell r="P5550">
            <v>2.0920999999999998</v>
          </cell>
        </row>
        <row r="5551">
          <cell r="A5551" t="str">
            <v>GPZ-040-32216</v>
          </cell>
          <cell r="G5551" t="str">
            <v xml:space="preserve">CR   </v>
          </cell>
          <cell r="L5551">
            <v>38811</v>
          </cell>
          <cell r="M5551">
            <v>3.085</v>
          </cell>
          <cell r="P5551">
            <v>2.7271999999999998</v>
          </cell>
        </row>
        <row r="5552">
          <cell r="A5552" t="str">
            <v>GPZ-040-32305</v>
          </cell>
          <cell r="G5552" t="str">
            <v xml:space="preserve">CR   </v>
          </cell>
          <cell r="L5552">
            <v>38811</v>
          </cell>
          <cell r="M5552">
            <v>3.085</v>
          </cell>
          <cell r="P5552">
            <v>0.72440000000000004</v>
          </cell>
        </row>
        <row r="5553">
          <cell r="A5553" t="str">
            <v>GPZ-040-32306</v>
          </cell>
          <cell r="G5553" t="str">
            <v xml:space="preserve">CR   </v>
          </cell>
          <cell r="L5553">
            <v>38624</v>
          </cell>
          <cell r="M5553">
            <v>2.915</v>
          </cell>
          <cell r="P5553">
            <v>3.6960000000000002</v>
          </cell>
        </row>
        <row r="5554">
          <cell r="A5554" t="str">
            <v>GPZ-040-32308</v>
          </cell>
          <cell r="G5554" t="str">
            <v xml:space="preserve">CR   </v>
          </cell>
          <cell r="L5554">
            <v>38624</v>
          </cell>
          <cell r="M5554">
            <v>2.915</v>
          </cell>
          <cell r="P5554">
            <v>4.6310000000000002</v>
          </cell>
        </row>
        <row r="5555">
          <cell r="A5555" t="str">
            <v>GPZ-040-32310</v>
          </cell>
          <cell r="G5555" t="str">
            <v xml:space="preserve">CR   </v>
          </cell>
          <cell r="L5555">
            <v>37981</v>
          </cell>
          <cell r="M5555">
            <v>2.96</v>
          </cell>
          <cell r="P5555">
            <v>4.6900000000000004</v>
          </cell>
        </row>
        <row r="5556">
          <cell r="A5556" t="str">
            <v>GPZ-040-32311</v>
          </cell>
          <cell r="G5556" t="str">
            <v xml:space="preserve">CR   </v>
          </cell>
          <cell r="L5556">
            <v>38811</v>
          </cell>
          <cell r="M5556">
            <v>3.085</v>
          </cell>
          <cell r="P5556">
            <v>2.2850000000000001</v>
          </cell>
        </row>
        <row r="5557">
          <cell r="A5557" t="str">
            <v>GPZ-040-32314</v>
          </cell>
          <cell r="G5557" t="str">
            <v>INDEV</v>
          </cell>
          <cell r="L5557">
            <v>41288</v>
          </cell>
          <cell r="M5557">
            <v>4.95</v>
          </cell>
          <cell r="P5557">
            <v>2.8606060606060604</v>
          </cell>
        </row>
        <row r="5558">
          <cell r="A5558" t="str">
            <v>GPZ-040-32315</v>
          </cell>
          <cell r="G5558" t="str">
            <v xml:space="preserve">CR   </v>
          </cell>
          <cell r="L5558">
            <v>37981</v>
          </cell>
          <cell r="M5558">
            <v>2.96</v>
          </cell>
          <cell r="P5558">
            <v>8.94</v>
          </cell>
        </row>
        <row r="5559">
          <cell r="A5559" t="str">
            <v>GPZ-040-3309</v>
          </cell>
          <cell r="G5559" t="str">
            <v>INDEV</v>
          </cell>
          <cell r="L5559">
            <v>41288</v>
          </cell>
          <cell r="M5559">
            <v>4.95</v>
          </cell>
          <cell r="P5559">
            <v>2.7252525252525253</v>
          </cell>
        </row>
        <row r="5560">
          <cell r="A5560" t="str">
            <v>GPZ-040-51101</v>
          </cell>
          <cell r="G5560" t="str">
            <v xml:space="preserve">CR   </v>
          </cell>
          <cell r="L5560">
            <v>38624</v>
          </cell>
          <cell r="M5560">
            <v>2.915</v>
          </cell>
          <cell r="P5560">
            <v>0.51700000000000002</v>
          </cell>
        </row>
        <row r="5561">
          <cell r="A5561" t="str">
            <v>GPZ-040-51105</v>
          </cell>
          <cell r="G5561" t="str">
            <v xml:space="preserve">CR   </v>
          </cell>
          <cell r="L5561">
            <v>37981</v>
          </cell>
          <cell r="M5561">
            <v>2.96</v>
          </cell>
          <cell r="P5561">
            <v>0.55000000000000004</v>
          </cell>
        </row>
        <row r="5562">
          <cell r="A5562" t="str">
            <v>GPZ-040-51111</v>
          </cell>
          <cell r="G5562" t="str">
            <v xml:space="preserve">CR   </v>
          </cell>
          <cell r="L5562">
            <v>38624</v>
          </cell>
          <cell r="M5562">
            <v>2.915</v>
          </cell>
          <cell r="P5562">
            <v>1.419</v>
          </cell>
        </row>
        <row r="5563">
          <cell r="A5563" t="str">
            <v>GPZ-040-51206</v>
          </cell>
          <cell r="G5563" t="str">
            <v xml:space="preserve">CR   </v>
          </cell>
          <cell r="L5563">
            <v>38624</v>
          </cell>
          <cell r="M5563">
            <v>2.915</v>
          </cell>
          <cell r="P5563">
            <v>0.99</v>
          </cell>
        </row>
        <row r="5564">
          <cell r="A5564" t="str">
            <v>GPZ-040-51222</v>
          </cell>
          <cell r="G5564" t="str">
            <v xml:space="preserve">CR   </v>
          </cell>
          <cell r="L5564">
            <v>37981</v>
          </cell>
          <cell r="M5564">
            <v>2.96</v>
          </cell>
          <cell r="P5564">
            <v>6.74</v>
          </cell>
        </row>
        <row r="5565">
          <cell r="A5565" t="str">
            <v>GPZ-040-51305</v>
          </cell>
          <cell r="G5565" t="str">
            <v xml:space="preserve">CR   </v>
          </cell>
          <cell r="L5565">
            <v>38811</v>
          </cell>
          <cell r="M5565">
            <v>3.085</v>
          </cell>
          <cell r="P5565">
            <v>0.89939999999999998</v>
          </cell>
        </row>
        <row r="5566">
          <cell r="A5566" t="str">
            <v>GPZ-040-51309</v>
          </cell>
          <cell r="G5566" t="str">
            <v>INDEV</v>
          </cell>
          <cell r="L5566">
            <v>41288</v>
          </cell>
          <cell r="M5566">
            <v>4.95</v>
          </cell>
          <cell r="P5566">
            <v>10.616161616161616</v>
          </cell>
        </row>
        <row r="5567">
          <cell r="A5567" t="str">
            <v>GPZ-040-6015-2RS</v>
          </cell>
          <cell r="G5567" t="str">
            <v xml:space="preserve">CR   </v>
          </cell>
          <cell r="L5567">
            <v>37981</v>
          </cell>
          <cell r="M5567">
            <v>2.96</v>
          </cell>
          <cell r="P5567">
            <v>4.43</v>
          </cell>
        </row>
        <row r="5568">
          <cell r="A5568" t="str">
            <v>GPZ-040-6016</v>
          </cell>
          <cell r="G5568" t="str">
            <v>INDEV</v>
          </cell>
          <cell r="L5568">
            <v>41288</v>
          </cell>
          <cell r="M5568">
            <v>4.95</v>
          </cell>
          <cell r="P5568">
            <v>1.7588282828282829</v>
          </cell>
        </row>
        <row r="5569">
          <cell r="A5569" t="str">
            <v>GPZ-040-6016-2RS</v>
          </cell>
          <cell r="G5569" t="str">
            <v xml:space="preserve">CR   </v>
          </cell>
          <cell r="L5569">
            <v>38624</v>
          </cell>
          <cell r="M5569">
            <v>2.915</v>
          </cell>
          <cell r="P5569">
            <v>5.665</v>
          </cell>
        </row>
        <row r="5570">
          <cell r="A5570" t="str">
            <v>GPZ-040-6017</v>
          </cell>
          <cell r="G5570" t="str">
            <v xml:space="preserve">CR   </v>
          </cell>
          <cell r="L5570">
            <v>38811</v>
          </cell>
          <cell r="M5570">
            <v>3.085</v>
          </cell>
          <cell r="P5570">
            <v>1.6773</v>
          </cell>
        </row>
        <row r="5571">
          <cell r="A5571" t="str">
            <v>GPZ-040-6017-2RS</v>
          </cell>
          <cell r="G5571" t="str">
            <v>INDEV</v>
          </cell>
          <cell r="L5571">
            <v>41288</v>
          </cell>
          <cell r="M5571">
            <v>4.95</v>
          </cell>
          <cell r="P5571">
            <v>18.585858585858585</v>
          </cell>
        </row>
        <row r="5572">
          <cell r="A5572" t="str">
            <v>GPZ-040-6205-2Z</v>
          </cell>
          <cell r="G5572" t="str">
            <v xml:space="preserve">CR   </v>
          </cell>
          <cell r="L5572">
            <v>38624</v>
          </cell>
          <cell r="M5572">
            <v>2.915</v>
          </cell>
          <cell r="P5572">
            <v>0.71499999999999997</v>
          </cell>
        </row>
        <row r="5573">
          <cell r="A5573" t="str">
            <v>GPZ-040-6205-N</v>
          </cell>
          <cell r="G5573" t="str">
            <v xml:space="preserve">CR   </v>
          </cell>
          <cell r="L5573">
            <v>38811</v>
          </cell>
          <cell r="M5573">
            <v>3.085</v>
          </cell>
          <cell r="P5573">
            <v>0.31790000000000002</v>
          </cell>
        </row>
        <row r="5574">
          <cell r="A5574" t="str">
            <v>GPZ-040-6210</v>
          </cell>
          <cell r="G5574" t="str">
            <v>INDEV</v>
          </cell>
          <cell r="L5574">
            <v>38006</v>
          </cell>
          <cell r="M5574">
            <v>2.8849999999999998</v>
          </cell>
          <cell r="P5574">
            <v>1.3469670710571926</v>
          </cell>
        </row>
        <row r="5575">
          <cell r="A5575" t="str">
            <v>GPZ-040-6210-2RS</v>
          </cell>
          <cell r="G5575" t="str">
            <v xml:space="preserve">INSI </v>
          </cell>
          <cell r="L5575">
            <v>40030</v>
          </cell>
          <cell r="M5575">
            <v>3.84</v>
          </cell>
          <cell r="P5575">
            <v>0.48620000000000002</v>
          </cell>
        </row>
        <row r="5576">
          <cell r="A5576" t="str">
            <v>GPZ-040-6210-2Z</v>
          </cell>
          <cell r="G5576" t="str">
            <v xml:space="preserve">CR   </v>
          </cell>
          <cell r="L5576">
            <v>38811</v>
          </cell>
          <cell r="M5576">
            <v>3.085</v>
          </cell>
          <cell r="P5576">
            <v>0.92369999999999997</v>
          </cell>
        </row>
        <row r="5577">
          <cell r="A5577" t="str">
            <v>GPZ-040-6219</v>
          </cell>
          <cell r="G5577" t="str">
            <v>INDEV</v>
          </cell>
          <cell r="L5577">
            <v>41288</v>
          </cell>
          <cell r="M5577">
            <v>4.95</v>
          </cell>
          <cell r="P5577">
            <v>22.09090909090909</v>
          </cell>
        </row>
        <row r="5578">
          <cell r="A5578" t="str">
            <v>GPZ-040-62205-2RS</v>
          </cell>
          <cell r="G5578" t="str">
            <v xml:space="preserve">CR   </v>
          </cell>
          <cell r="L5578">
            <v>38624</v>
          </cell>
          <cell r="M5578">
            <v>2.915</v>
          </cell>
          <cell r="P5578">
            <v>1.1659999999999999</v>
          </cell>
        </row>
        <row r="5579">
          <cell r="A5579" t="str">
            <v>GPZ-040-6306</v>
          </cell>
          <cell r="G5579" t="str">
            <v xml:space="preserve">CR   </v>
          </cell>
          <cell r="L5579">
            <v>38811</v>
          </cell>
          <cell r="M5579">
            <v>3.085</v>
          </cell>
          <cell r="P5579">
            <v>0.63200000000000001</v>
          </cell>
        </row>
        <row r="5580">
          <cell r="A5580" t="str">
            <v>GPZ-040-6308</v>
          </cell>
          <cell r="G5580" t="str">
            <v xml:space="preserve">CR   </v>
          </cell>
          <cell r="L5580">
            <v>37981</v>
          </cell>
          <cell r="M5580">
            <v>2.96</v>
          </cell>
          <cell r="P5580">
            <v>1.85</v>
          </cell>
        </row>
        <row r="5581">
          <cell r="A5581" t="str">
            <v>GPZ-040-6311-N</v>
          </cell>
          <cell r="G5581" t="str">
            <v xml:space="preserve">CR   </v>
          </cell>
          <cell r="L5581">
            <v>38624</v>
          </cell>
          <cell r="M5581">
            <v>2.915</v>
          </cell>
          <cell r="P5581">
            <v>6.5780000000000003</v>
          </cell>
        </row>
        <row r="5582">
          <cell r="A5582" t="str">
            <v>GPZ-040-6317</v>
          </cell>
          <cell r="G5582" t="str">
            <v>INDEV</v>
          </cell>
          <cell r="L5582">
            <v>41288</v>
          </cell>
          <cell r="M5582">
            <v>4.95</v>
          </cell>
          <cell r="P5582">
            <v>9.4060606060606062</v>
          </cell>
        </row>
        <row r="5583">
          <cell r="A5583" t="str">
            <v>GPZ-040-6318</v>
          </cell>
          <cell r="G5583" t="str">
            <v>INDEV</v>
          </cell>
          <cell r="L5583">
            <v>41288</v>
          </cell>
          <cell r="M5583">
            <v>4.95</v>
          </cell>
          <cell r="P5583">
            <v>33.101010101010097</v>
          </cell>
        </row>
        <row r="5584">
          <cell r="A5584" t="str">
            <v>GPZ-040-6320</v>
          </cell>
          <cell r="G5584" t="str">
            <v xml:space="preserve">CR   </v>
          </cell>
          <cell r="L5584">
            <v>38811</v>
          </cell>
          <cell r="M5584">
            <v>3.085</v>
          </cell>
          <cell r="P5584">
            <v>7.5502000000000002</v>
          </cell>
        </row>
        <row r="5585">
          <cell r="A5585" t="str">
            <v>GPZ-040-6405</v>
          </cell>
          <cell r="G5585" t="str">
            <v xml:space="preserve">CR   </v>
          </cell>
          <cell r="L5585">
            <v>38811</v>
          </cell>
          <cell r="M5585">
            <v>3.085</v>
          </cell>
          <cell r="P5585">
            <v>1.0987</v>
          </cell>
        </row>
        <row r="5586">
          <cell r="A5586" t="str">
            <v>GPZ-040-6406</v>
          </cell>
          <cell r="G5586" t="str">
            <v>INDEV</v>
          </cell>
          <cell r="L5586">
            <v>41288</v>
          </cell>
          <cell r="M5586">
            <v>4.95</v>
          </cell>
          <cell r="P5586">
            <v>0.85454545454545461</v>
          </cell>
        </row>
        <row r="5587">
          <cell r="A5587" t="str">
            <v>GPZ-040-7211</v>
          </cell>
          <cell r="G5587" t="str">
            <v>INDEV</v>
          </cell>
          <cell r="L5587">
            <v>41288</v>
          </cell>
          <cell r="M5587">
            <v>4.95</v>
          </cell>
          <cell r="P5587">
            <v>3.028282828282828</v>
          </cell>
        </row>
        <row r="5588">
          <cell r="A5588" t="str">
            <v>GPZ-040-7305</v>
          </cell>
          <cell r="G5588" t="str">
            <v>INDEV</v>
          </cell>
          <cell r="L5588">
            <v>41288</v>
          </cell>
          <cell r="M5588">
            <v>4.95</v>
          </cell>
          <cell r="P5588">
            <v>0.8747272727272728</v>
          </cell>
        </row>
        <row r="5589">
          <cell r="A5589" t="str">
            <v>GPZ-040-7308</v>
          </cell>
          <cell r="G5589" t="str">
            <v>INDEV</v>
          </cell>
          <cell r="L5589">
            <v>41288</v>
          </cell>
          <cell r="M5589">
            <v>4.95</v>
          </cell>
          <cell r="P5589">
            <v>3.5414141414141413</v>
          </cell>
        </row>
        <row r="5590">
          <cell r="A5590" t="str">
            <v>GPZ-040-7309</v>
          </cell>
          <cell r="G5590" t="str">
            <v xml:space="preserve">CR   </v>
          </cell>
          <cell r="L5590">
            <v>38811</v>
          </cell>
          <cell r="M5590">
            <v>3.085</v>
          </cell>
          <cell r="P5590">
            <v>1.7113</v>
          </cell>
        </row>
        <row r="5591">
          <cell r="A5591" t="str">
            <v>GPZ-040-7809-M</v>
          </cell>
          <cell r="G5591" t="str">
            <v>INDEV</v>
          </cell>
          <cell r="L5591">
            <v>41288</v>
          </cell>
          <cell r="M5591">
            <v>4.95</v>
          </cell>
          <cell r="P5591">
            <v>1.3647474747474746</v>
          </cell>
        </row>
        <row r="5592">
          <cell r="A5592" t="str">
            <v>GPZ-040-E-20</v>
          </cell>
          <cell r="G5592" t="str">
            <v>INDEV</v>
          </cell>
          <cell r="L5592">
            <v>41288</v>
          </cell>
          <cell r="M5592">
            <v>4.95</v>
          </cell>
          <cell r="P5592">
            <v>0.44848484848484849</v>
          </cell>
        </row>
        <row r="5593">
          <cell r="A5593" t="str">
            <v>GPZ-041-1204-K</v>
          </cell>
          <cell r="G5593" t="str">
            <v xml:space="preserve">CR   </v>
          </cell>
          <cell r="L5593">
            <v>38624</v>
          </cell>
          <cell r="M5593">
            <v>2.915</v>
          </cell>
          <cell r="P5593">
            <v>1.133</v>
          </cell>
        </row>
        <row r="5594">
          <cell r="A5594" t="str">
            <v>GPZ-041-624-2Z</v>
          </cell>
          <cell r="G5594" t="str">
            <v xml:space="preserve">CR   </v>
          </cell>
          <cell r="L5594">
            <v>38624</v>
          </cell>
          <cell r="M5594">
            <v>2.915</v>
          </cell>
          <cell r="P5594">
            <v>0.35199999999999998</v>
          </cell>
        </row>
        <row r="5595">
          <cell r="A5595" t="str">
            <v>GPZ-043-30208</v>
          </cell>
          <cell r="G5595" t="str">
            <v xml:space="preserve">CR   </v>
          </cell>
          <cell r="L5595">
            <v>38811</v>
          </cell>
          <cell r="M5595">
            <v>3.085</v>
          </cell>
          <cell r="P5595">
            <v>1.1208</v>
          </cell>
        </row>
        <row r="5596">
          <cell r="A5596" t="str">
            <v>GPZ-043-32007</v>
          </cell>
          <cell r="G5596" t="str">
            <v xml:space="preserve">CR   </v>
          </cell>
          <cell r="L5596">
            <v>38624</v>
          </cell>
          <cell r="M5596">
            <v>2.915</v>
          </cell>
          <cell r="P5596">
            <v>2.0943396226415096</v>
          </cell>
        </row>
        <row r="5597">
          <cell r="A5597" t="str">
            <v>GPZ-043-32213</v>
          </cell>
          <cell r="G5597" t="str">
            <v xml:space="preserve">INAC </v>
          </cell>
          <cell r="L5597">
            <v>42796</v>
          </cell>
          <cell r="M5597">
            <v>15.84</v>
          </cell>
          <cell r="P5597">
            <v>13.636363636363637</v>
          </cell>
        </row>
        <row r="5598">
          <cell r="A5598" t="str">
            <v>GPZ-043-6307-ZN</v>
          </cell>
          <cell r="G5598" t="str">
            <v>INDEV</v>
          </cell>
          <cell r="L5598">
            <v>40081</v>
          </cell>
          <cell r="M5598">
            <v>3.85</v>
          </cell>
          <cell r="P5598">
            <v>0.60831168831168836</v>
          </cell>
        </row>
        <row r="5599">
          <cell r="A5599" t="str">
            <v>GPZ-043-6310-N</v>
          </cell>
          <cell r="G5599" t="str">
            <v xml:space="preserve">CR   </v>
          </cell>
          <cell r="L5599">
            <v>38624</v>
          </cell>
          <cell r="M5599">
            <v>2.915</v>
          </cell>
          <cell r="P5599">
            <v>3.278</v>
          </cell>
        </row>
        <row r="5600">
          <cell r="A5600" t="str">
            <v>HER-ABR-1-500X21X203</v>
          </cell>
          <cell r="G5600" t="str">
            <v>IDESP</v>
          </cell>
          <cell r="L5600">
            <v>42215</v>
          </cell>
          <cell r="M5600">
            <v>9.2200000000000006</v>
          </cell>
          <cell r="P5600">
            <v>68.03</v>
          </cell>
        </row>
        <row r="5601">
          <cell r="A5601" t="str">
            <v>HER-ABR-1-500X23X203</v>
          </cell>
          <cell r="G5601" t="str">
            <v>IDESP</v>
          </cell>
          <cell r="L5601">
            <v>42215</v>
          </cell>
          <cell r="M5601">
            <v>9.2200000000000006</v>
          </cell>
          <cell r="P5601">
            <v>78.23</v>
          </cell>
        </row>
        <row r="5602">
          <cell r="A5602" t="str">
            <v>HER-ABR-3MK1310IR-10</v>
          </cell>
          <cell r="G5602" t="str">
            <v>IDESP</v>
          </cell>
          <cell r="L5602">
            <v>42915</v>
          </cell>
          <cell r="M5602">
            <v>16.68</v>
          </cell>
          <cell r="P5602">
            <v>62.04</v>
          </cell>
        </row>
        <row r="5603">
          <cell r="A5603" t="str">
            <v>HER-ABR-3MK1310IR-13</v>
          </cell>
          <cell r="G5603" t="str">
            <v>IDESP</v>
          </cell>
          <cell r="L5603">
            <v>41442</v>
          </cell>
          <cell r="M5603">
            <v>5.33</v>
          </cell>
          <cell r="P5603">
            <v>61.1</v>
          </cell>
        </row>
        <row r="5604">
          <cell r="A5604" t="str">
            <v>HER-ABR-3MK1310OR-21</v>
          </cell>
          <cell r="G5604" t="str">
            <v>IDESP</v>
          </cell>
          <cell r="L5604">
            <v>42915</v>
          </cell>
          <cell r="M5604">
            <v>16.68</v>
          </cell>
          <cell r="P5604">
            <v>69.8</v>
          </cell>
        </row>
        <row r="5605">
          <cell r="A5605" t="str">
            <v>HER-ABR-3MK1310OR-23</v>
          </cell>
          <cell r="G5605" t="str">
            <v>IDESP</v>
          </cell>
          <cell r="L5605">
            <v>41442</v>
          </cell>
          <cell r="M5605">
            <v>5.33</v>
          </cell>
          <cell r="P5605">
            <v>73.400000000000006</v>
          </cell>
        </row>
        <row r="5606">
          <cell r="A5606" t="str">
            <v>HER-ABR-BO-29X44X10</v>
          </cell>
          <cell r="G5606" t="str">
            <v>IDESP</v>
          </cell>
          <cell r="L5606">
            <v>42215</v>
          </cell>
          <cell r="M5606">
            <v>9.2200000000000006</v>
          </cell>
          <cell r="P5606">
            <v>0.65</v>
          </cell>
        </row>
        <row r="5607">
          <cell r="A5607" t="str">
            <v>HER-ABR-BO20X22.5X8</v>
          </cell>
          <cell r="G5607" t="str">
            <v>IDESP</v>
          </cell>
          <cell r="L5607">
            <v>41326</v>
          </cell>
          <cell r="M5607">
            <v>5.0199999999999996</v>
          </cell>
          <cell r="P5607">
            <v>0.35</v>
          </cell>
        </row>
        <row r="5608">
          <cell r="A5608" t="str">
            <v>HER-ABR-BO20X35X8</v>
          </cell>
          <cell r="G5608" t="str">
            <v>IDESP</v>
          </cell>
          <cell r="L5608">
            <v>42215</v>
          </cell>
          <cell r="M5608">
            <v>9.2200000000000006</v>
          </cell>
          <cell r="P5608">
            <v>0.39</v>
          </cell>
        </row>
        <row r="5609">
          <cell r="A5609" t="str">
            <v>HER-ABR-BO20X36X8</v>
          </cell>
          <cell r="G5609" t="str">
            <v>IDESP</v>
          </cell>
          <cell r="L5609">
            <v>42215</v>
          </cell>
          <cell r="M5609">
            <v>9.2200000000000006</v>
          </cell>
          <cell r="P5609">
            <v>0.41</v>
          </cell>
        </row>
        <row r="5610">
          <cell r="A5610" t="str">
            <v>HER-ABR-BO29X26.5X10</v>
          </cell>
          <cell r="G5610" t="str">
            <v>IDESP</v>
          </cell>
          <cell r="L5610">
            <v>42215</v>
          </cell>
          <cell r="M5610">
            <v>9.2200000000000006</v>
          </cell>
          <cell r="P5610">
            <v>0.52</v>
          </cell>
        </row>
        <row r="5611">
          <cell r="A5611" t="str">
            <v>HER-ABR-BO29X38.5X10</v>
          </cell>
          <cell r="G5611" t="str">
            <v>IDESP</v>
          </cell>
          <cell r="L5611">
            <v>42215</v>
          </cell>
          <cell r="M5611">
            <v>9.2200000000000006</v>
          </cell>
          <cell r="P5611">
            <v>0.61</v>
          </cell>
        </row>
        <row r="5612">
          <cell r="A5612" t="str">
            <v>HER-ABR-BO40X32X12</v>
          </cell>
          <cell r="G5612" t="str">
            <v>IDESP</v>
          </cell>
          <cell r="L5612">
            <v>41326</v>
          </cell>
          <cell r="M5612">
            <v>5.0199999999999996</v>
          </cell>
          <cell r="P5612">
            <v>0.7</v>
          </cell>
        </row>
        <row r="5613">
          <cell r="A5613" t="str">
            <v>HER-ABR-BO40X44X12</v>
          </cell>
          <cell r="G5613" t="str">
            <v>IDESP</v>
          </cell>
          <cell r="L5613">
            <v>41326</v>
          </cell>
          <cell r="M5613">
            <v>5.0199999999999996</v>
          </cell>
          <cell r="P5613">
            <v>0.84</v>
          </cell>
        </row>
        <row r="5614">
          <cell r="A5614" t="str">
            <v>HER-ABR-BO40X51X12</v>
          </cell>
          <cell r="G5614" t="str">
            <v>IDESP</v>
          </cell>
          <cell r="L5614">
            <v>41326</v>
          </cell>
          <cell r="M5614">
            <v>5.0199999999999996</v>
          </cell>
          <cell r="P5614">
            <v>1.1000000000000001</v>
          </cell>
        </row>
        <row r="5615">
          <cell r="A5615" t="str">
            <v>HER-ABR-GarnetSand</v>
          </cell>
          <cell r="G5615" t="str">
            <v>IDESP</v>
          </cell>
          <cell r="L5615">
            <v>45656</v>
          </cell>
          <cell r="M5615">
            <v>1051</v>
          </cell>
          <cell r="P5615">
            <v>253</v>
          </cell>
        </row>
        <row r="5616">
          <cell r="A5616" t="str">
            <v>HER-ABR-MESH#60</v>
          </cell>
          <cell r="G5616" t="str">
            <v>IDESP</v>
          </cell>
          <cell r="L5616">
            <v>42514</v>
          </cell>
          <cell r="M5616">
            <v>14.35</v>
          </cell>
          <cell r="P5616">
            <v>0.23799999999999999</v>
          </cell>
        </row>
        <row r="5617">
          <cell r="A5617" t="str">
            <v>HER-ABR-OR68X11.5X10</v>
          </cell>
          <cell r="G5617" t="str">
            <v>IDESP</v>
          </cell>
          <cell r="L5617">
            <v>41326</v>
          </cell>
          <cell r="M5617">
            <v>5.0199999999999996</v>
          </cell>
          <cell r="P5617">
            <v>0.95</v>
          </cell>
        </row>
        <row r="5618">
          <cell r="A5618" t="str">
            <v>HER-ABR-ORR41X8X8</v>
          </cell>
          <cell r="G5618" t="str">
            <v>IDESP</v>
          </cell>
          <cell r="L5618">
            <v>42215</v>
          </cell>
          <cell r="M5618">
            <v>9.2200000000000006</v>
          </cell>
          <cell r="P5618">
            <v>0.45</v>
          </cell>
        </row>
        <row r="5619">
          <cell r="A5619" t="str">
            <v>HER-ABR-ORR55X9.5X10</v>
          </cell>
          <cell r="G5619" t="str">
            <v>IDESP</v>
          </cell>
          <cell r="L5619">
            <v>42215</v>
          </cell>
          <cell r="M5619">
            <v>9.2200000000000006</v>
          </cell>
          <cell r="P5619">
            <v>0.57999999999999996</v>
          </cell>
        </row>
        <row r="5620">
          <cell r="A5620" t="str">
            <v>HER-ABR-PDT500X10/16</v>
          </cell>
          <cell r="G5620" t="str">
            <v>IDESP</v>
          </cell>
          <cell r="L5620">
            <v>42215</v>
          </cell>
          <cell r="M5620">
            <v>9.2200000000000006</v>
          </cell>
          <cell r="P5620">
            <v>59.67</v>
          </cell>
        </row>
        <row r="5621">
          <cell r="A5621" t="str">
            <v>HER-ABR-PDT500X13/16</v>
          </cell>
          <cell r="G5621" t="str">
            <v>IDESP</v>
          </cell>
          <cell r="L5621">
            <v>42215</v>
          </cell>
          <cell r="M5621">
            <v>9.2200000000000006</v>
          </cell>
          <cell r="P5621">
            <v>65.16</v>
          </cell>
        </row>
        <row r="5622">
          <cell r="A5622" t="str">
            <v>HER-INS-DCG11T3022N</v>
          </cell>
          <cell r="G5622" t="str">
            <v>IDESP</v>
          </cell>
          <cell r="L5622">
            <v>45912</v>
          </cell>
          <cell r="M5622">
            <v>1445</v>
          </cell>
          <cell r="P5622">
            <v>10.5</v>
          </cell>
        </row>
        <row r="5623">
          <cell r="A5623" t="str">
            <v>HER-INS-DCG11T3042N</v>
          </cell>
          <cell r="G5623" t="str">
            <v>IDESP</v>
          </cell>
          <cell r="L5623">
            <v>45912</v>
          </cell>
          <cell r="M5623">
            <v>1445</v>
          </cell>
          <cell r="P5623">
            <v>10.5</v>
          </cell>
        </row>
        <row r="5624">
          <cell r="A5624" t="str">
            <v>HER-INS-DCG11T3082N</v>
          </cell>
          <cell r="G5624" t="str">
            <v>IDESP</v>
          </cell>
          <cell r="L5624">
            <v>45912</v>
          </cell>
          <cell r="M5624">
            <v>1445</v>
          </cell>
          <cell r="P5624">
            <v>10.5</v>
          </cell>
        </row>
        <row r="5625">
          <cell r="A5625" t="str">
            <v>HER-INS-TCG0902043N</v>
          </cell>
          <cell r="G5625" t="str">
            <v>IDESP</v>
          </cell>
          <cell r="L5625">
            <v>45912</v>
          </cell>
          <cell r="M5625">
            <v>1445</v>
          </cell>
          <cell r="P5625">
            <v>12</v>
          </cell>
        </row>
        <row r="5626">
          <cell r="A5626" t="str">
            <v>HER-INS-TCG0902083N</v>
          </cell>
          <cell r="G5626" t="str">
            <v>IDESP</v>
          </cell>
          <cell r="L5626">
            <v>45912</v>
          </cell>
          <cell r="M5626">
            <v>1445</v>
          </cell>
          <cell r="P5626">
            <v>12</v>
          </cell>
        </row>
        <row r="5627">
          <cell r="A5627" t="str">
            <v>HER-INS-TCG1102043N</v>
          </cell>
          <cell r="G5627" t="str">
            <v>IDESP</v>
          </cell>
          <cell r="L5627">
            <v>45912</v>
          </cell>
          <cell r="M5627">
            <v>1445</v>
          </cell>
          <cell r="P5627">
            <v>12</v>
          </cell>
        </row>
        <row r="5628">
          <cell r="A5628" t="str">
            <v>HER-INS-TCG1102083N</v>
          </cell>
          <cell r="G5628" t="str">
            <v>IDESP</v>
          </cell>
          <cell r="L5628">
            <v>45912</v>
          </cell>
          <cell r="M5628">
            <v>1445</v>
          </cell>
          <cell r="P5628">
            <v>12</v>
          </cell>
        </row>
        <row r="5629">
          <cell r="A5629" t="str">
            <v>HER-INS-TNG1604043N</v>
          </cell>
          <cell r="G5629" t="str">
            <v>IDESP</v>
          </cell>
          <cell r="L5629">
            <v>45912</v>
          </cell>
          <cell r="M5629">
            <v>1445</v>
          </cell>
          <cell r="P5629">
            <v>12</v>
          </cell>
        </row>
        <row r="5630">
          <cell r="A5630" t="str">
            <v>HER-INS-VBG1604042N</v>
          </cell>
          <cell r="G5630" t="str">
            <v>IDESP</v>
          </cell>
          <cell r="L5630">
            <v>45912</v>
          </cell>
          <cell r="M5630">
            <v>1445</v>
          </cell>
          <cell r="P5630">
            <v>11.2</v>
          </cell>
        </row>
        <row r="5631">
          <cell r="A5631" t="str">
            <v>HER-INS-VBG1604082N</v>
          </cell>
          <cell r="G5631" t="str">
            <v>IDESP</v>
          </cell>
          <cell r="L5631">
            <v>45912</v>
          </cell>
          <cell r="M5631">
            <v>1445</v>
          </cell>
          <cell r="P5631">
            <v>11.2</v>
          </cell>
        </row>
        <row r="5632">
          <cell r="A5632" t="str">
            <v>IB--031-BBF-633313-F</v>
          </cell>
          <cell r="G5632" t="str">
            <v xml:space="preserve">CR   </v>
          </cell>
          <cell r="L5632">
            <v>38624</v>
          </cell>
          <cell r="M5632">
            <v>2.915</v>
          </cell>
          <cell r="P5632">
            <v>9.0310000000000006</v>
          </cell>
        </row>
        <row r="5633">
          <cell r="A5633" t="str">
            <v>IB--031-GB-12094</v>
          </cell>
          <cell r="G5633" t="str">
            <v xml:space="preserve">INSI </v>
          </cell>
          <cell r="L5633">
            <v>39513</v>
          </cell>
          <cell r="M5633">
            <v>3.1520000000000001</v>
          </cell>
          <cell r="P5633">
            <v>1</v>
          </cell>
        </row>
        <row r="5634">
          <cell r="A5634" t="str">
            <v>IB--040-F-208</v>
          </cell>
          <cell r="G5634" t="str">
            <v xml:space="preserve">CR   </v>
          </cell>
          <cell r="L5634">
            <v>38624</v>
          </cell>
          <cell r="M5634">
            <v>2.915</v>
          </cell>
          <cell r="P5634">
            <v>1.331</v>
          </cell>
        </row>
        <row r="5635">
          <cell r="A5635" t="str">
            <v>IB--040-UC-212</v>
          </cell>
          <cell r="G5635" t="str">
            <v xml:space="preserve">INAC </v>
          </cell>
          <cell r="L5635">
            <v>39658</v>
          </cell>
          <cell r="M5635">
            <v>3.02</v>
          </cell>
          <cell r="P5635">
            <v>13.475132450331126</v>
          </cell>
        </row>
        <row r="5636">
          <cell r="A5636" t="str">
            <v>IB--047-AEL-207-35</v>
          </cell>
          <cell r="G5636" t="str">
            <v xml:space="preserve">CR   </v>
          </cell>
          <cell r="L5636">
            <v>38811</v>
          </cell>
          <cell r="M5636">
            <v>3.085</v>
          </cell>
          <cell r="P5636">
            <v>2.0484</v>
          </cell>
        </row>
        <row r="5637">
          <cell r="A5637" t="str">
            <v>IB--047-AEL-210</v>
          </cell>
          <cell r="G5637" t="str">
            <v xml:space="preserve">CR   </v>
          </cell>
          <cell r="L5637">
            <v>38811</v>
          </cell>
          <cell r="M5637">
            <v>3.085</v>
          </cell>
          <cell r="P5637">
            <v>8.6E-3</v>
          </cell>
        </row>
        <row r="5638">
          <cell r="A5638" t="str">
            <v>IB--047-P-214</v>
          </cell>
          <cell r="G5638" t="str">
            <v xml:space="preserve">INAC </v>
          </cell>
          <cell r="L5638">
            <v>39787</v>
          </cell>
          <cell r="M5638">
            <v>3.4430000000000001</v>
          </cell>
          <cell r="P5638">
            <v>11.617775196049957</v>
          </cell>
        </row>
        <row r="5639">
          <cell r="A5639" t="str">
            <v>IB--047-UC-205</v>
          </cell>
          <cell r="G5639" t="str">
            <v xml:space="preserve">INAC </v>
          </cell>
          <cell r="L5639">
            <v>42796</v>
          </cell>
          <cell r="M5639">
            <v>15.84</v>
          </cell>
          <cell r="P5639">
            <v>3.4343434343434343</v>
          </cell>
        </row>
        <row r="5640">
          <cell r="A5640" t="str">
            <v>IB--047-UC-214</v>
          </cell>
          <cell r="G5640" t="str">
            <v xml:space="preserve">CR   </v>
          </cell>
          <cell r="L5640">
            <v>38811</v>
          </cell>
          <cell r="M5640">
            <v>3.085</v>
          </cell>
          <cell r="P5640">
            <v>7.984</v>
          </cell>
        </row>
        <row r="5641">
          <cell r="A5641" t="str">
            <v>IB--047-UEL-208</v>
          </cell>
          <cell r="G5641" t="str">
            <v xml:space="preserve">INSI </v>
          </cell>
          <cell r="L5641">
            <v>37626</v>
          </cell>
          <cell r="M5641">
            <v>3.34</v>
          </cell>
          <cell r="P5641">
            <v>0.01</v>
          </cell>
        </row>
        <row r="5642">
          <cell r="A5642" t="str">
            <v>IKO-034-GE-17-ES-2RS</v>
          </cell>
          <cell r="G5642" t="str">
            <v xml:space="preserve">CR   </v>
          </cell>
          <cell r="L5642">
            <v>38624</v>
          </cell>
          <cell r="M5642">
            <v>2.915</v>
          </cell>
          <cell r="P5642">
            <v>9.7849056603773583</v>
          </cell>
        </row>
        <row r="5643">
          <cell r="A5643" t="str">
            <v>IKO-034-POS-10</v>
          </cell>
          <cell r="G5643" t="str">
            <v xml:space="preserve">CR   </v>
          </cell>
          <cell r="L5643">
            <v>38811</v>
          </cell>
          <cell r="M5643">
            <v>3.085</v>
          </cell>
          <cell r="P5643">
            <v>7.2453000000000003</v>
          </cell>
        </row>
        <row r="5644">
          <cell r="A5644" t="str">
            <v>IKO-034-POS-12</v>
          </cell>
          <cell r="G5644" t="str">
            <v xml:space="preserve">CR   </v>
          </cell>
          <cell r="L5644">
            <v>38811</v>
          </cell>
          <cell r="M5644">
            <v>3.085</v>
          </cell>
          <cell r="P5644">
            <v>8.9056999999999995</v>
          </cell>
        </row>
        <row r="5645">
          <cell r="A5645" t="str">
            <v>IKO-034-POS-18</v>
          </cell>
          <cell r="G5645" t="str">
            <v xml:space="preserve">CR   </v>
          </cell>
          <cell r="L5645">
            <v>38811</v>
          </cell>
          <cell r="M5645">
            <v>3.085</v>
          </cell>
          <cell r="P5645">
            <v>12.4679</v>
          </cell>
        </row>
        <row r="5646">
          <cell r="A5646" t="str">
            <v>IKO-034-SBB-14-2RS</v>
          </cell>
          <cell r="G5646" t="str">
            <v xml:space="preserve">CR   </v>
          </cell>
          <cell r="L5646">
            <v>38811</v>
          </cell>
          <cell r="M5646">
            <v>3.085</v>
          </cell>
          <cell r="P5646">
            <v>9.0565999999999995</v>
          </cell>
        </row>
        <row r="5647">
          <cell r="A5647" t="str">
            <v>IKO-035-BA-2016-Z</v>
          </cell>
          <cell r="G5647" t="str">
            <v xml:space="preserve">INAC </v>
          </cell>
          <cell r="L5647">
            <v>38525</v>
          </cell>
          <cell r="M5647">
            <v>2.8690000000000002</v>
          </cell>
          <cell r="P5647">
            <v>4.4301150226559773</v>
          </cell>
        </row>
        <row r="5648">
          <cell r="A5648" t="str">
            <v>IKO-035-BA-2020-Z</v>
          </cell>
          <cell r="G5648" t="str">
            <v>INDEV</v>
          </cell>
          <cell r="L5648">
            <v>38532</v>
          </cell>
          <cell r="M5648">
            <v>2.8940000000000001</v>
          </cell>
          <cell r="P5648">
            <v>5.1416724257083626</v>
          </cell>
        </row>
        <row r="5649">
          <cell r="A5649" t="str">
            <v>IKO-035-BA-2220-Z</v>
          </cell>
          <cell r="G5649" t="str">
            <v xml:space="preserve">INAC </v>
          </cell>
          <cell r="L5649">
            <v>38531</v>
          </cell>
          <cell r="M5649">
            <v>2.8889999999999998</v>
          </cell>
          <cell r="P5649">
            <v>4.7490481135340952</v>
          </cell>
        </row>
        <row r="5650">
          <cell r="A5650" t="str">
            <v>IKO-035-BHA-1612-ZOH</v>
          </cell>
          <cell r="G5650" t="str">
            <v xml:space="preserve">CR   </v>
          </cell>
          <cell r="L5650">
            <v>38624</v>
          </cell>
          <cell r="M5650">
            <v>2.915</v>
          </cell>
          <cell r="P5650">
            <v>0.92400000000000004</v>
          </cell>
        </row>
        <row r="5651">
          <cell r="A5651" t="str">
            <v>IKO-035-BHA-2020-ZOH</v>
          </cell>
          <cell r="G5651" t="str">
            <v xml:space="preserve">INSI </v>
          </cell>
          <cell r="L5651">
            <v>39518</v>
          </cell>
          <cell r="M5651">
            <v>3.1579999999999999</v>
          </cell>
          <cell r="P5651">
            <v>1.4079999999999999</v>
          </cell>
        </row>
        <row r="5652">
          <cell r="A5652" t="str">
            <v>IKO-035-BHA-3216-ZOH</v>
          </cell>
          <cell r="G5652" t="str">
            <v xml:space="preserve">CR   </v>
          </cell>
          <cell r="L5652">
            <v>38624</v>
          </cell>
          <cell r="M5652">
            <v>2.915</v>
          </cell>
          <cell r="P5652">
            <v>2.4529999999999998</v>
          </cell>
        </row>
        <row r="5653">
          <cell r="A5653" t="str">
            <v>IKO-035-K-25X31X20</v>
          </cell>
          <cell r="G5653" t="str">
            <v xml:space="preserve">INAC </v>
          </cell>
          <cell r="L5653">
            <v>39827</v>
          </cell>
          <cell r="M5653">
            <v>3.4510000000000001</v>
          </cell>
          <cell r="P5653">
            <v>4.1031585047812227</v>
          </cell>
        </row>
        <row r="5654">
          <cell r="A5654" t="str">
            <v>IKO-035-NAX-50</v>
          </cell>
          <cell r="G5654" t="str">
            <v>INDEV</v>
          </cell>
          <cell r="L5654">
            <v>41288</v>
          </cell>
          <cell r="M5654">
            <v>4.95</v>
          </cell>
          <cell r="P5654">
            <v>140.92727272727274</v>
          </cell>
        </row>
        <row r="5655">
          <cell r="A5655" t="str">
            <v>IKO-035-NK-2216</v>
          </cell>
          <cell r="G5655" t="str">
            <v xml:space="preserve">CR   </v>
          </cell>
          <cell r="L5655">
            <v>38624</v>
          </cell>
          <cell r="M5655">
            <v>2.915</v>
          </cell>
          <cell r="P5655">
            <v>3.3769999999999998</v>
          </cell>
        </row>
        <row r="5656">
          <cell r="A5656" t="str">
            <v>IKO-035-NK-2416</v>
          </cell>
          <cell r="G5656" t="str">
            <v xml:space="preserve">CR   </v>
          </cell>
          <cell r="L5656">
            <v>38624</v>
          </cell>
          <cell r="M5656">
            <v>2.915</v>
          </cell>
          <cell r="P5656">
            <v>3.5310000000000001</v>
          </cell>
        </row>
        <row r="5657">
          <cell r="A5657" t="str">
            <v>IKO-035-NK-2520</v>
          </cell>
          <cell r="G5657" t="str">
            <v xml:space="preserve">CR   </v>
          </cell>
          <cell r="L5657">
            <v>38624</v>
          </cell>
          <cell r="M5657">
            <v>2.915</v>
          </cell>
          <cell r="P5657">
            <v>5.4669999999999996</v>
          </cell>
        </row>
        <row r="5658">
          <cell r="A5658" t="str">
            <v>IKO-035-NK-2830</v>
          </cell>
          <cell r="G5658" t="str">
            <v>INDEV</v>
          </cell>
          <cell r="L5658">
            <v>41288</v>
          </cell>
          <cell r="M5658">
            <v>4.95</v>
          </cell>
          <cell r="P5658">
            <v>1.806888888888889</v>
          </cell>
        </row>
        <row r="5659">
          <cell r="A5659" t="str">
            <v>IKO-035-NK-3230</v>
          </cell>
          <cell r="G5659" t="str">
            <v>INDEV</v>
          </cell>
          <cell r="L5659">
            <v>41288</v>
          </cell>
          <cell r="M5659">
            <v>4.95</v>
          </cell>
          <cell r="P5659">
            <v>1.8272121212121213</v>
          </cell>
        </row>
        <row r="5660">
          <cell r="A5660" t="str">
            <v>IKO-035-NK-4030</v>
          </cell>
          <cell r="G5660" t="str">
            <v xml:space="preserve">CR   </v>
          </cell>
          <cell r="L5660">
            <v>38624</v>
          </cell>
          <cell r="M5660">
            <v>2.915</v>
          </cell>
          <cell r="P5660">
            <v>4.9059999999999997</v>
          </cell>
        </row>
        <row r="5661">
          <cell r="A5661" t="str">
            <v>IKO-035-NK-5025</v>
          </cell>
          <cell r="G5661" t="str">
            <v xml:space="preserve">CR   </v>
          </cell>
          <cell r="L5661">
            <v>38624</v>
          </cell>
          <cell r="M5661">
            <v>2.915</v>
          </cell>
          <cell r="P5661">
            <v>5.7309999999999999</v>
          </cell>
        </row>
        <row r="5662">
          <cell r="A5662" t="str">
            <v>IKO-035-NKI-28-30</v>
          </cell>
          <cell r="G5662" t="str">
            <v>IPFAB</v>
          </cell>
          <cell r="L5662">
            <v>38631</v>
          </cell>
          <cell r="M5662">
            <v>2.923</v>
          </cell>
          <cell r="P5662">
            <v>10.107100000000001</v>
          </cell>
        </row>
        <row r="5663">
          <cell r="A5663" t="str">
            <v>IKO-035-RNA-6904</v>
          </cell>
          <cell r="G5663" t="str">
            <v xml:space="preserve">INAC </v>
          </cell>
          <cell r="L5663">
            <v>39371</v>
          </cell>
          <cell r="M5663">
            <v>3.157</v>
          </cell>
          <cell r="P5663">
            <v>17.231548938866013</v>
          </cell>
        </row>
        <row r="5664">
          <cell r="A5664" t="str">
            <v>IKO-035-RNA-6905</v>
          </cell>
          <cell r="G5664" t="str">
            <v xml:space="preserve">INSI </v>
          </cell>
          <cell r="L5664">
            <v>39371</v>
          </cell>
          <cell r="M5664">
            <v>3.157</v>
          </cell>
          <cell r="P5664">
            <v>18.245200000000001</v>
          </cell>
        </row>
        <row r="5665">
          <cell r="A5665" t="str">
            <v>IKO-035-SCE-1212</v>
          </cell>
          <cell r="G5665" t="str">
            <v xml:space="preserve">INAC </v>
          </cell>
          <cell r="L5665">
            <v>40392</v>
          </cell>
          <cell r="M5665">
            <v>3.96</v>
          </cell>
          <cell r="P5665">
            <v>3.5151515151515151</v>
          </cell>
        </row>
        <row r="5666">
          <cell r="A5666" t="str">
            <v>IKO-043-CR-18-VUU</v>
          </cell>
          <cell r="G5666" t="str">
            <v xml:space="preserve">INAC </v>
          </cell>
          <cell r="L5666">
            <v>39776</v>
          </cell>
          <cell r="M5666">
            <v>3.3330000000000002</v>
          </cell>
          <cell r="P5666">
            <v>19.84038403840384</v>
          </cell>
        </row>
        <row r="5667">
          <cell r="A5667" t="str">
            <v>INA-031-F-122901.7</v>
          </cell>
          <cell r="G5667" t="str">
            <v xml:space="preserve">INAC </v>
          </cell>
          <cell r="L5667">
            <v>38674</v>
          </cell>
          <cell r="M5667">
            <v>2.9430000000000001</v>
          </cell>
          <cell r="P5667">
            <v>28.882093102276588</v>
          </cell>
        </row>
        <row r="5668">
          <cell r="A5668" t="str">
            <v>INA-032-F-234709</v>
          </cell>
          <cell r="G5668" t="str">
            <v xml:space="preserve">INAC </v>
          </cell>
          <cell r="L5668">
            <v>38552</v>
          </cell>
          <cell r="M5668">
            <v>2.8639999999999999</v>
          </cell>
          <cell r="P5668">
            <v>141.27094972067042</v>
          </cell>
        </row>
        <row r="5669">
          <cell r="A5669" t="str">
            <v>INA-035-BA-3616</v>
          </cell>
          <cell r="G5669" t="str">
            <v xml:space="preserve">CR   </v>
          </cell>
          <cell r="L5669">
            <v>38811</v>
          </cell>
          <cell r="M5669">
            <v>3.085</v>
          </cell>
          <cell r="P5669">
            <v>12.2127</v>
          </cell>
        </row>
        <row r="5670">
          <cell r="A5670" t="str">
            <v>INA-035-HK-3020</v>
          </cell>
          <cell r="G5670" t="str">
            <v xml:space="preserve">INAC </v>
          </cell>
          <cell r="L5670">
            <v>41151</v>
          </cell>
          <cell r="M5670">
            <v>4.6399999999999997</v>
          </cell>
          <cell r="P5670">
            <v>5.6896551724137936</v>
          </cell>
        </row>
        <row r="5671">
          <cell r="A5671" t="str">
            <v>INA-035-HK-5520</v>
          </cell>
          <cell r="G5671" t="str">
            <v xml:space="preserve">INAC </v>
          </cell>
          <cell r="L5671">
            <v>41157</v>
          </cell>
          <cell r="M5671">
            <v>4.6500000000000004</v>
          </cell>
          <cell r="P5671">
            <v>12.898924731182793</v>
          </cell>
        </row>
        <row r="5672">
          <cell r="A5672" t="str">
            <v>INA-035-RNA-6904</v>
          </cell>
          <cell r="G5672" t="str">
            <v xml:space="preserve">INSI </v>
          </cell>
          <cell r="L5672">
            <v>39377</v>
          </cell>
          <cell r="M5672">
            <v>3.1629999999999998</v>
          </cell>
          <cell r="P5672">
            <v>16.6677</v>
          </cell>
        </row>
        <row r="5673">
          <cell r="A5673" t="str">
            <v>INA-035-SCE-99</v>
          </cell>
          <cell r="G5673" t="str">
            <v xml:space="preserve">INAC </v>
          </cell>
          <cell r="L5673">
            <v>40555</v>
          </cell>
          <cell r="M5673">
            <v>4</v>
          </cell>
          <cell r="P5673">
            <v>6.3362499999999997</v>
          </cell>
        </row>
        <row r="5674">
          <cell r="A5674" t="str">
            <v>INA-037-NA-30</v>
          </cell>
          <cell r="G5674" t="str">
            <v xml:space="preserve">CR   </v>
          </cell>
          <cell r="L5674">
            <v>38624</v>
          </cell>
          <cell r="M5674">
            <v>2.915</v>
          </cell>
          <cell r="P5674">
            <v>18.062000000000001</v>
          </cell>
        </row>
        <row r="5675">
          <cell r="A5675" t="str">
            <v>INA-037-NAO-30</v>
          </cell>
          <cell r="G5675" t="str">
            <v xml:space="preserve">CR   </v>
          </cell>
          <cell r="L5675">
            <v>38624</v>
          </cell>
          <cell r="M5675">
            <v>2.915</v>
          </cell>
          <cell r="P5675">
            <v>49.225000000000001</v>
          </cell>
        </row>
        <row r="5676">
          <cell r="A5676" t="str">
            <v>INA-047-GRA-10-NPPB</v>
          </cell>
          <cell r="G5676" t="str">
            <v xml:space="preserve">CR   </v>
          </cell>
          <cell r="L5676">
            <v>38624</v>
          </cell>
          <cell r="M5676">
            <v>2.915</v>
          </cell>
          <cell r="P5676">
            <v>9.8119999999999994</v>
          </cell>
        </row>
        <row r="5677">
          <cell r="A5677" t="str">
            <v>INA-047-UEL-310-50MM</v>
          </cell>
          <cell r="G5677" t="str">
            <v xml:space="preserve">CR   </v>
          </cell>
          <cell r="L5677">
            <v>38624</v>
          </cell>
          <cell r="M5677">
            <v>2.915</v>
          </cell>
          <cell r="P5677">
            <v>12.331</v>
          </cell>
        </row>
        <row r="5678">
          <cell r="A5678" t="str">
            <v>INA-048-BE30-AH01</v>
          </cell>
          <cell r="G5678" t="str">
            <v>InRet</v>
          </cell>
          <cell r="L5678">
            <v>40791</v>
          </cell>
          <cell r="M5678">
            <v>4.24</v>
          </cell>
          <cell r="P5678">
            <v>17.216981132075471</v>
          </cell>
        </row>
        <row r="5679">
          <cell r="A5679" t="str">
            <v>INA-048-F-45802-1</v>
          </cell>
          <cell r="G5679" t="str">
            <v xml:space="preserve">INAC </v>
          </cell>
          <cell r="L5679">
            <v>37678</v>
          </cell>
          <cell r="M5679">
            <v>3.17</v>
          </cell>
          <cell r="P5679">
            <v>18.170347003154575</v>
          </cell>
        </row>
        <row r="5680">
          <cell r="A5680" t="str">
            <v>INA-048-NE-50-KP21</v>
          </cell>
          <cell r="G5680" t="str">
            <v>IPFAB</v>
          </cell>
          <cell r="L5680">
            <v>37943</v>
          </cell>
          <cell r="M5680">
            <v>2.8650000000000002</v>
          </cell>
          <cell r="P5680">
            <v>19</v>
          </cell>
        </row>
        <row r="5681">
          <cell r="A5681" t="str">
            <v>INS-CAT-AGRICOLA</v>
          </cell>
          <cell r="G5681" t="str">
            <v xml:space="preserve">CR   </v>
          </cell>
          <cell r="L5681">
            <v>38811</v>
          </cell>
          <cell r="M5681">
            <v>3.085</v>
          </cell>
          <cell r="P5681">
            <v>8.6E-3</v>
          </cell>
        </row>
        <row r="5682">
          <cell r="A5682" t="str">
            <v>INS-CAT-BOLITAS</v>
          </cell>
          <cell r="G5682" t="str">
            <v xml:space="preserve">CR   </v>
          </cell>
          <cell r="L5682">
            <v>38811</v>
          </cell>
          <cell r="M5682">
            <v>3.085</v>
          </cell>
          <cell r="P5682">
            <v>8.6E-3</v>
          </cell>
        </row>
        <row r="5683">
          <cell r="A5683" t="str">
            <v>INS-CAT-BUJES</v>
          </cell>
          <cell r="G5683" t="str">
            <v xml:space="preserve">CR   </v>
          </cell>
          <cell r="L5683">
            <v>38811</v>
          </cell>
          <cell r="M5683">
            <v>3.085</v>
          </cell>
          <cell r="P5683">
            <v>8.6E-3</v>
          </cell>
        </row>
        <row r="5684">
          <cell r="A5684" t="str">
            <v>INS-CAT-CAD-ANSI-EST</v>
          </cell>
          <cell r="G5684" t="str">
            <v xml:space="preserve">CR   </v>
          </cell>
          <cell r="L5684">
            <v>38811</v>
          </cell>
          <cell r="M5684">
            <v>3.085</v>
          </cell>
          <cell r="P5684">
            <v>8.6E-3</v>
          </cell>
        </row>
        <row r="5685">
          <cell r="A5685" t="str">
            <v>INS-CAT-CAD-ISO-BRIT</v>
          </cell>
          <cell r="G5685" t="str">
            <v xml:space="preserve">CR   </v>
          </cell>
          <cell r="L5685">
            <v>38811</v>
          </cell>
          <cell r="M5685">
            <v>3.085</v>
          </cell>
          <cell r="P5685">
            <v>8.6E-3</v>
          </cell>
        </row>
        <row r="5686">
          <cell r="A5686" t="str">
            <v>INS-CAT-CAD-PROCOAT</v>
          </cell>
          <cell r="G5686" t="str">
            <v xml:space="preserve">CR   </v>
          </cell>
          <cell r="L5686">
            <v>38811</v>
          </cell>
          <cell r="M5686">
            <v>3.085</v>
          </cell>
          <cell r="P5686">
            <v>8.6E-3</v>
          </cell>
        </row>
        <row r="5687">
          <cell r="A5687" t="str">
            <v>INS-CAT-CAD-QUEST</v>
          </cell>
          <cell r="G5687" t="str">
            <v xml:space="preserve">CR   </v>
          </cell>
          <cell r="L5687">
            <v>38811</v>
          </cell>
          <cell r="M5687">
            <v>3.085</v>
          </cell>
          <cell r="P5687">
            <v>8.6E-3</v>
          </cell>
        </row>
        <row r="5688">
          <cell r="A5688" t="str">
            <v>INS-CAT-CADENAS</v>
          </cell>
          <cell r="G5688" t="str">
            <v xml:space="preserve">CR   </v>
          </cell>
          <cell r="L5688">
            <v>38811</v>
          </cell>
          <cell r="M5688">
            <v>3.085</v>
          </cell>
          <cell r="P5688">
            <v>8.6E-3</v>
          </cell>
        </row>
        <row r="5689">
          <cell r="A5689" t="str">
            <v>INS-CAT-CATALOGOS</v>
          </cell>
          <cell r="G5689" t="str">
            <v xml:space="preserve">CR   </v>
          </cell>
          <cell r="L5689">
            <v>40486.76048611111</v>
          </cell>
          <cell r="M5689">
            <v>3.98</v>
          </cell>
          <cell r="P5689">
            <v>2.5125628140703518E-3</v>
          </cell>
        </row>
        <row r="5690">
          <cell r="A5690" t="str">
            <v>INS-CAT-CONO-CUBETA</v>
          </cell>
          <cell r="G5690" t="str">
            <v xml:space="preserve">CR   </v>
          </cell>
          <cell r="L5690">
            <v>38811</v>
          </cell>
          <cell r="M5690">
            <v>3.085</v>
          </cell>
          <cell r="P5690">
            <v>8.6E-3</v>
          </cell>
        </row>
        <row r="5691">
          <cell r="A5691" t="str">
            <v>INS-CAT-SOPORTES</v>
          </cell>
          <cell r="G5691" t="str">
            <v xml:space="preserve">CR   </v>
          </cell>
          <cell r="L5691">
            <v>38811</v>
          </cell>
          <cell r="M5691">
            <v>3.085</v>
          </cell>
          <cell r="P5691">
            <v>1.0800000000000001E-2</v>
          </cell>
        </row>
        <row r="5692">
          <cell r="A5692" t="str">
            <v>IRB-031-IR-3536</v>
          </cell>
          <cell r="G5692" t="str">
            <v xml:space="preserve">CR   </v>
          </cell>
          <cell r="L5692">
            <v>38624</v>
          </cell>
          <cell r="M5692">
            <v>2.915</v>
          </cell>
          <cell r="P5692">
            <v>10.791</v>
          </cell>
        </row>
        <row r="5693">
          <cell r="A5693" t="str">
            <v>KBC-040-T-322-28</v>
          </cell>
          <cell r="G5693" t="str">
            <v xml:space="preserve">INSI </v>
          </cell>
          <cell r="L5693">
            <v>39513</v>
          </cell>
          <cell r="M5693">
            <v>3.1520000000000001</v>
          </cell>
          <cell r="P5693">
            <v>1</v>
          </cell>
        </row>
        <row r="5694">
          <cell r="A5694" t="str">
            <v>KBC-041-6308-C3</v>
          </cell>
          <cell r="G5694" t="str">
            <v xml:space="preserve">INAC </v>
          </cell>
          <cell r="L5694">
            <v>40193</v>
          </cell>
          <cell r="M5694">
            <v>3.82</v>
          </cell>
          <cell r="P5694">
            <v>8.3926701570680642</v>
          </cell>
        </row>
        <row r="5695">
          <cell r="A5695" t="str">
            <v>KBC-048-W-208-PP5</v>
          </cell>
          <cell r="G5695" t="str">
            <v xml:space="preserve">CR   </v>
          </cell>
          <cell r="L5695">
            <v>38811</v>
          </cell>
          <cell r="M5695">
            <v>3.085</v>
          </cell>
          <cell r="P5695">
            <v>3.4157000000000002</v>
          </cell>
        </row>
        <row r="5696">
          <cell r="A5696" t="str">
            <v>KG--031-509043-A</v>
          </cell>
          <cell r="G5696" t="str">
            <v>IDESP</v>
          </cell>
          <cell r="L5696">
            <v>39009</v>
          </cell>
          <cell r="M5696">
            <v>3.0910000000000002</v>
          </cell>
          <cell r="P5696">
            <v>1</v>
          </cell>
        </row>
        <row r="5697">
          <cell r="A5697" t="str">
            <v>KG--035-NJ-208</v>
          </cell>
          <cell r="G5697" t="str">
            <v>IDESP</v>
          </cell>
          <cell r="L5697">
            <v>39009</v>
          </cell>
          <cell r="M5697">
            <v>3.0910000000000002</v>
          </cell>
          <cell r="P5697">
            <v>2.52</v>
          </cell>
        </row>
        <row r="5698">
          <cell r="A5698" t="str">
            <v>KG--035-NUP-206</v>
          </cell>
          <cell r="G5698" t="str">
            <v>IDESP</v>
          </cell>
          <cell r="L5698">
            <v>39009</v>
          </cell>
          <cell r="M5698">
            <v>3.0910000000000002</v>
          </cell>
          <cell r="P5698">
            <v>2.2000000000000002</v>
          </cell>
        </row>
        <row r="5699">
          <cell r="A5699" t="str">
            <v>KG--040-1206</v>
          </cell>
          <cell r="G5699" t="str">
            <v xml:space="preserve">CR   </v>
          </cell>
          <cell r="L5699">
            <v>38624</v>
          </cell>
          <cell r="M5699">
            <v>2.915</v>
          </cell>
          <cell r="P5699">
            <v>1.21</v>
          </cell>
        </row>
        <row r="5700">
          <cell r="A5700" t="str">
            <v>KG--040-1207</v>
          </cell>
          <cell r="G5700" t="str">
            <v xml:space="preserve">INAC </v>
          </cell>
          <cell r="L5700">
            <v>42835</v>
          </cell>
          <cell r="M5700">
            <v>15.69</v>
          </cell>
          <cell r="P5700">
            <v>2.6673040152963674</v>
          </cell>
        </row>
        <row r="5701">
          <cell r="A5701" t="str">
            <v>KG--040-1209</v>
          </cell>
          <cell r="G5701" t="str">
            <v>IDESP</v>
          </cell>
          <cell r="L5701">
            <v>41779</v>
          </cell>
          <cell r="M5701">
            <v>8.11</v>
          </cell>
          <cell r="P5701">
            <v>2.0630000000000002</v>
          </cell>
        </row>
        <row r="5702">
          <cell r="A5702" t="str">
            <v>KG--040-1305</v>
          </cell>
          <cell r="G5702" t="str">
            <v>IDESP</v>
          </cell>
          <cell r="L5702">
            <v>41779</v>
          </cell>
          <cell r="M5702">
            <v>8.11</v>
          </cell>
          <cell r="P5702">
            <v>1.5</v>
          </cell>
        </row>
        <row r="5703">
          <cell r="A5703" t="str">
            <v>KG--040-2206</v>
          </cell>
          <cell r="G5703" t="str">
            <v>IDESP</v>
          </cell>
          <cell r="L5703">
            <v>41834</v>
          </cell>
          <cell r="M5703">
            <v>8.16</v>
          </cell>
          <cell r="P5703">
            <v>1.613</v>
          </cell>
        </row>
        <row r="5704">
          <cell r="A5704" t="str">
            <v>KG--040-2208</v>
          </cell>
          <cell r="G5704" t="str">
            <v>IDESP</v>
          </cell>
          <cell r="L5704">
            <v>39009</v>
          </cell>
          <cell r="M5704">
            <v>3.0910000000000002</v>
          </cell>
          <cell r="P5704">
            <v>1.8</v>
          </cell>
        </row>
        <row r="5705">
          <cell r="A5705" t="str">
            <v>KG--040-2209</v>
          </cell>
          <cell r="G5705" t="str">
            <v>IDESP</v>
          </cell>
          <cell r="L5705">
            <v>41779</v>
          </cell>
          <cell r="M5705">
            <v>8.11</v>
          </cell>
          <cell r="P5705">
            <v>2.8130000000000002</v>
          </cell>
        </row>
        <row r="5706">
          <cell r="A5706" t="str">
            <v>KG--040-22209-CCK</v>
          </cell>
          <cell r="G5706" t="str">
            <v xml:space="preserve">CR   </v>
          </cell>
          <cell r="L5706">
            <v>37981</v>
          </cell>
          <cell r="M5706">
            <v>2.96</v>
          </cell>
          <cell r="P5706">
            <v>6.36</v>
          </cell>
        </row>
        <row r="5707">
          <cell r="A5707" t="str">
            <v>KG--040-32211</v>
          </cell>
          <cell r="G5707" t="str">
            <v xml:space="preserve">CR   </v>
          </cell>
          <cell r="L5707">
            <v>38624</v>
          </cell>
          <cell r="M5707">
            <v>2.915</v>
          </cell>
          <cell r="P5707">
            <v>1.0999999999999999E-2</v>
          </cell>
        </row>
        <row r="5708">
          <cell r="A5708" t="str">
            <v>KG--040-32216</v>
          </cell>
          <cell r="G5708" t="str">
            <v xml:space="preserve">CR   </v>
          </cell>
          <cell r="L5708">
            <v>38811</v>
          </cell>
          <cell r="M5708">
            <v>3.085</v>
          </cell>
          <cell r="P5708">
            <v>5.2614000000000001</v>
          </cell>
        </row>
        <row r="5709">
          <cell r="A5709" t="str">
            <v>KG--040-3490-3420</v>
          </cell>
          <cell r="G5709" t="str">
            <v>INDEV</v>
          </cell>
          <cell r="L5709">
            <v>41288</v>
          </cell>
          <cell r="M5709">
            <v>4.95</v>
          </cell>
          <cell r="P5709">
            <v>2.0674141414141416</v>
          </cell>
        </row>
        <row r="5710">
          <cell r="A5710" t="str">
            <v>KG--040-6202-2Z</v>
          </cell>
          <cell r="G5710" t="str">
            <v xml:space="preserve">CR   </v>
          </cell>
          <cell r="L5710">
            <v>38811</v>
          </cell>
          <cell r="M5710">
            <v>3.085</v>
          </cell>
          <cell r="P5710">
            <v>0.38500000000000001</v>
          </cell>
        </row>
        <row r="5711">
          <cell r="A5711" t="str">
            <v>KG--040-6207</v>
          </cell>
          <cell r="G5711" t="str">
            <v xml:space="preserve">CR   </v>
          </cell>
          <cell r="L5711">
            <v>38624</v>
          </cell>
          <cell r="M5711">
            <v>2.915</v>
          </cell>
          <cell r="P5711">
            <v>1.0999999999999999E-2</v>
          </cell>
        </row>
        <row r="5712">
          <cell r="A5712" t="str">
            <v>KG--040-6217</v>
          </cell>
          <cell r="G5712" t="str">
            <v xml:space="preserve">CR   </v>
          </cell>
          <cell r="L5712">
            <v>38811</v>
          </cell>
          <cell r="M5712">
            <v>3.085</v>
          </cell>
          <cell r="P5712">
            <v>9.3018999999999998</v>
          </cell>
        </row>
        <row r="5713">
          <cell r="A5713" t="str">
            <v>KG--040-UCF-205</v>
          </cell>
          <cell r="G5713" t="str">
            <v xml:space="preserve">CR   </v>
          </cell>
          <cell r="L5713">
            <v>38624</v>
          </cell>
          <cell r="M5713">
            <v>2.915</v>
          </cell>
          <cell r="P5713">
            <v>1.87</v>
          </cell>
        </row>
        <row r="5714">
          <cell r="A5714" t="str">
            <v>KG--040-UCF-206</v>
          </cell>
          <cell r="G5714" t="str">
            <v xml:space="preserve">CR   </v>
          </cell>
          <cell r="L5714">
            <v>38811</v>
          </cell>
          <cell r="M5714">
            <v>3.085</v>
          </cell>
          <cell r="P5714">
            <v>2.3856999999999999</v>
          </cell>
        </row>
        <row r="5715">
          <cell r="A5715" t="str">
            <v>KG--040-UCP-205</v>
          </cell>
          <cell r="G5715" t="str">
            <v xml:space="preserve">INAC </v>
          </cell>
          <cell r="L5715">
            <v>40477</v>
          </cell>
          <cell r="M5715">
            <v>3.98</v>
          </cell>
          <cell r="P5715">
            <v>3.0753768844221105</v>
          </cell>
        </row>
        <row r="5716">
          <cell r="A5716" t="str">
            <v>KG--040-UCP-206</v>
          </cell>
          <cell r="G5716" t="str">
            <v xml:space="preserve">CR   </v>
          </cell>
          <cell r="L5716">
            <v>38624</v>
          </cell>
          <cell r="M5716">
            <v>2.915</v>
          </cell>
          <cell r="P5716">
            <v>2.431</v>
          </cell>
        </row>
        <row r="5717">
          <cell r="A5717" t="str">
            <v>KG--041-6215-2RS</v>
          </cell>
          <cell r="G5717" t="str">
            <v xml:space="preserve">INAC </v>
          </cell>
          <cell r="L5717">
            <v>42892</v>
          </cell>
          <cell r="M5717">
            <v>16.25</v>
          </cell>
          <cell r="P5717">
            <v>260.64</v>
          </cell>
        </row>
        <row r="5718">
          <cell r="A5718" t="str">
            <v>KG--041-63002-2RS</v>
          </cell>
          <cell r="G5718" t="str">
            <v xml:space="preserve">INAC </v>
          </cell>
          <cell r="L5718">
            <v>42745</v>
          </cell>
          <cell r="M5718">
            <v>16.32</v>
          </cell>
          <cell r="P5718">
            <v>1.025735294117647</v>
          </cell>
        </row>
        <row r="5719">
          <cell r="A5719" t="str">
            <v>KG--041-6917-2RS</v>
          </cell>
          <cell r="G5719" t="str">
            <v xml:space="preserve">INAC </v>
          </cell>
          <cell r="L5719">
            <v>43683</v>
          </cell>
          <cell r="M5719">
            <v>46.4</v>
          </cell>
          <cell r="P5719">
            <v>12.931034482758621</v>
          </cell>
        </row>
        <row r="5720">
          <cell r="A5720" t="str">
            <v>KG--042-22214-CW33C3</v>
          </cell>
          <cell r="G5720" t="str">
            <v>IPFAB</v>
          </cell>
          <cell r="L5720">
            <v>42143</v>
          </cell>
          <cell r="M5720">
            <v>8.99</v>
          </cell>
          <cell r="P5720">
            <v>8.8798999999999992</v>
          </cell>
        </row>
        <row r="5721">
          <cell r="A5721" t="str">
            <v>KG--042-22218-CKW33C</v>
          </cell>
          <cell r="G5721" t="str">
            <v>IDESP</v>
          </cell>
          <cell r="L5721">
            <v>41942</v>
          </cell>
          <cell r="M5721">
            <v>8.5</v>
          </cell>
          <cell r="P5721">
            <v>16.875</v>
          </cell>
        </row>
        <row r="5722">
          <cell r="A5722" t="str">
            <v>KG--042-22218CW33C3</v>
          </cell>
          <cell r="G5722" t="str">
            <v>IDESP</v>
          </cell>
          <cell r="L5722">
            <v>41942</v>
          </cell>
          <cell r="M5722">
            <v>8.5</v>
          </cell>
          <cell r="P5722">
            <v>16.875</v>
          </cell>
        </row>
        <row r="5723">
          <cell r="A5723" t="str">
            <v>KG--042-22332-KMBW33</v>
          </cell>
          <cell r="G5723" t="str">
            <v xml:space="preserve">INAC </v>
          </cell>
          <cell r="L5723">
            <v>42927</v>
          </cell>
          <cell r="M5723">
            <v>17.27</v>
          </cell>
          <cell r="P5723">
            <v>458.59872611464971</v>
          </cell>
        </row>
        <row r="5724">
          <cell r="A5724" t="str">
            <v>KG--047-P-205</v>
          </cell>
          <cell r="G5724" t="str">
            <v>IPFAB</v>
          </cell>
          <cell r="L5724">
            <v>39574</v>
          </cell>
          <cell r="M5724">
            <v>3.1739999999999999</v>
          </cell>
          <cell r="P5724">
            <v>0.75829999999999997</v>
          </cell>
        </row>
        <row r="5725">
          <cell r="A5725" t="str">
            <v>KG--047-UC-207</v>
          </cell>
          <cell r="G5725" t="str">
            <v xml:space="preserve">CR   </v>
          </cell>
          <cell r="L5725">
            <v>38624</v>
          </cell>
          <cell r="M5725">
            <v>2.915</v>
          </cell>
          <cell r="P5725">
            <v>2.431</v>
          </cell>
        </row>
        <row r="5726">
          <cell r="A5726" t="str">
            <v>KG--047-UCP-207</v>
          </cell>
          <cell r="G5726" t="str">
            <v xml:space="preserve">CR   </v>
          </cell>
          <cell r="L5726">
            <v>38624</v>
          </cell>
          <cell r="M5726">
            <v>2.915</v>
          </cell>
          <cell r="P5726">
            <v>3.4870000000000001</v>
          </cell>
        </row>
        <row r="5727">
          <cell r="A5727" t="str">
            <v>KG--050-30204-MX</v>
          </cell>
          <cell r="G5727" t="str">
            <v>IPFAP</v>
          </cell>
          <cell r="L5727">
            <v>42102</v>
          </cell>
          <cell r="M5727">
            <v>8.86</v>
          </cell>
          <cell r="P5727">
            <v>3.5654627539503387</v>
          </cell>
        </row>
        <row r="5728">
          <cell r="A5728" t="str">
            <v>KG--050-30205</v>
          </cell>
          <cell r="G5728" t="str">
            <v xml:space="preserve">CR   </v>
          </cell>
          <cell r="L5728">
            <v>38811</v>
          </cell>
          <cell r="M5728">
            <v>3.085</v>
          </cell>
          <cell r="P5728">
            <v>1.5125</v>
          </cell>
        </row>
        <row r="5729">
          <cell r="A5729" t="str">
            <v>KG--050-3984-3920</v>
          </cell>
          <cell r="G5729" t="str">
            <v xml:space="preserve">CR   </v>
          </cell>
          <cell r="L5729">
            <v>38811</v>
          </cell>
          <cell r="M5729">
            <v>3.085</v>
          </cell>
          <cell r="P5729">
            <v>3.7273000000000001</v>
          </cell>
        </row>
        <row r="5730">
          <cell r="A5730" t="str">
            <v>KG--050-LM-67048-010</v>
          </cell>
          <cell r="G5730" t="str">
            <v xml:space="preserve">INAC </v>
          </cell>
          <cell r="L5730">
            <v>41219</v>
          </cell>
          <cell r="M5730">
            <v>4.78</v>
          </cell>
          <cell r="P5730">
            <v>5.523012552301255</v>
          </cell>
        </row>
        <row r="5731">
          <cell r="A5731" t="str">
            <v>KG--051-H-206</v>
          </cell>
          <cell r="G5731" t="str">
            <v xml:space="preserve">CR   </v>
          </cell>
          <cell r="L5731">
            <v>38811</v>
          </cell>
          <cell r="M5731">
            <v>3.085</v>
          </cell>
          <cell r="P5731">
            <v>0.70630000000000004</v>
          </cell>
        </row>
        <row r="5732">
          <cell r="A5732" t="str">
            <v>KG--051-H-207</v>
          </cell>
          <cell r="G5732" t="str">
            <v>IDESP</v>
          </cell>
          <cell r="L5732">
            <v>41779</v>
          </cell>
          <cell r="M5732">
            <v>8.11</v>
          </cell>
          <cell r="P5732">
            <v>0.97499999999999998</v>
          </cell>
        </row>
        <row r="5733">
          <cell r="A5733" t="str">
            <v>KG--051-H-208</v>
          </cell>
          <cell r="G5733" t="str">
            <v xml:space="preserve">INAC </v>
          </cell>
          <cell r="L5733">
            <v>38833</v>
          </cell>
          <cell r="M5733">
            <v>3.0409999999999999</v>
          </cell>
          <cell r="P5733">
            <v>1.940151266030911</v>
          </cell>
        </row>
        <row r="5734">
          <cell r="A5734" t="str">
            <v>KG--051-H-209</v>
          </cell>
          <cell r="G5734" t="str">
            <v xml:space="preserve">INAC </v>
          </cell>
          <cell r="L5734">
            <v>38411</v>
          </cell>
          <cell r="M5734">
            <v>2.9380000000000002</v>
          </cell>
          <cell r="P5734">
            <v>1.3958475153165417</v>
          </cell>
        </row>
        <row r="5735">
          <cell r="A5735" t="str">
            <v>KG--051-H-211</v>
          </cell>
          <cell r="G5735" t="str">
            <v xml:space="preserve">CR   </v>
          </cell>
          <cell r="L5735">
            <v>38811</v>
          </cell>
          <cell r="M5735">
            <v>3.085</v>
          </cell>
          <cell r="P5735">
            <v>1.1938</v>
          </cell>
        </row>
        <row r="5736">
          <cell r="A5736" t="str">
            <v>KG--051-H-215</v>
          </cell>
          <cell r="G5736" t="str">
            <v xml:space="preserve">CR   </v>
          </cell>
          <cell r="L5736">
            <v>38811</v>
          </cell>
          <cell r="M5736">
            <v>3.085</v>
          </cell>
          <cell r="P5736">
            <v>2.7010000000000001</v>
          </cell>
        </row>
        <row r="5737">
          <cell r="A5737" t="str">
            <v>KG--051-H-2309</v>
          </cell>
          <cell r="G5737" t="str">
            <v>IDESP</v>
          </cell>
          <cell r="L5737">
            <v>41834</v>
          </cell>
          <cell r="M5737">
            <v>8.16</v>
          </cell>
          <cell r="P5737">
            <v>1.65</v>
          </cell>
        </row>
        <row r="5738">
          <cell r="A5738" t="str">
            <v>KG--051-H-308</v>
          </cell>
          <cell r="G5738" t="str">
            <v xml:space="preserve">INAC </v>
          </cell>
          <cell r="L5738">
            <v>38839</v>
          </cell>
          <cell r="M5738">
            <v>3.048</v>
          </cell>
          <cell r="P5738">
            <v>2.3359580052493438</v>
          </cell>
        </row>
        <row r="5739">
          <cell r="A5739" t="str">
            <v>KGI-042-22205CW33C3</v>
          </cell>
          <cell r="G5739" t="str">
            <v>IDESP</v>
          </cell>
          <cell r="L5739">
            <v>38532</v>
          </cell>
          <cell r="M5739">
            <v>2.8940000000000001</v>
          </cell>
          <cell r="P5739">
            <v>2.66</v>
          </cell>
        </row>
        <row r="5740">
          <cell r="A5740" t="str">
            <v>KGI-042-22206-CC3</v>
          </cell>
          <cell r="G5740" t="str">
            <v>IDESP</v>
          </cell>
          <cell r="L5740">
            <v>39009</v>
          </cell>
          <cell r="M5740">
            <v>3.0910000000000002</v>
          </cell>
          <cell r="P5740">
            <v>2.8</v>
          </cell>
        </row>
        <row r="5741">
          <cell r="A5741" t="str">
            <v>KGI-042-22207-CW33</v>
          </cell>
          <cell r="G5741" t="str">
            <v>IDESP</v>
          </cell>
          <cell r="L5741">
            <v>39009</v>
          </cell>
          <cell r="M5741">
            <v>3.0910000000000002</v>
          </cell>
          <cell r="P5741">
            <v>3.4</v>
          </cell>
        </row>
        <row r="5742">
          <cell r="A5742" t="str">
            <v>KGI-042-22207CW33C3</v>
          </cell>
          <cell r="G5742" t="str">
            <v>IDESP</v>
          </cell>
          <cell r="L5742">
            <v>38657</v>
          </cell>
          <cell r="M5742">
            <v>3.0019999999999998</v>
          </cell>
          <cell r="P5742">
            <v>3.2</v>
          </cell>
        </row>
        <row r="5743">
          <cell r="A5743" t="str">
            <v>KGI-042-22208-CW33</v>
          </cell>
          <cell r="G5743" t="str">
            <v>IDESP</v>
          </cell>
          <cell r="L5743">
            <v>39009</v>
          </cell>
          <cell r="M5743">
            <v>3.0910000000000002</v>
          </cell>
          <cell r="P5743">
            <v>3.7</v>
          </cell>
        </row>
        <row r="5744">
          <cell r="A5744" t="str">
            <v>KGI-042-22208CKW33C3</v>
          </cell>
          <cell r="G5744" t="str">
            <v>IDESP</v>
          </cell>
          <cell r="L5744">
            <v>38532</v>
          </cell>
          <cell r="M5744">
            <v>2.8940000000000001</v>
          </cell>
          <cell r="P5744">
            <v>3.48</v>
          </cell>
        </row>
        <row r="5745">
          <cell r="A5745" t="str">
            <v>KGI-042-22209-CW33C3</v>
          </cell>
          <cell r="G5745" t="str">
            <v>IDESP</v>
          </cell>
          <cell r="L5745">
            <v>39009</v>
          </cell>
          <cell r="M5745">
            <v>3.0910000000000002</v>
          </cell>
          <cell r="P5745">
            <v>3.9</v>
          </cell>
        </row>
        <row r="5746">
          <cell r="A5746" t="str">
            <v>KGI-042-22210-CKW33C</v>
          </cell>
          <cell r="G5746" t="str">
            <v>IDESP</v>
          </cell>
          <cell r="L5746">
            <v>39009</v>
          </cell>
          <cell r="M5746">
            <v>3.0910000000000002</v>
          </cell>
          <cell r="P5746">
            <v>4</v>
          </cell>
        </row>
        <row r="5747">
          <cell r="A5747" t="str">
            <v>KGI-042-22210CW33C3</v>
          </cell>
          <cell r="G5747" t="str">
            <v>IDESP</v>
          </cell>
          <cell r="L5747">
            <v>39009</v>
          </cell>
          <cell r="M5747">
            <v>3.0910000000000002</v>
          </cell>
          <cell r="P5747">
            <v>4</v>
          </cell>
        </row>
        <row r="5748">
          <cell r="A5748" t="str">
            <v>KGI-042-22211CKW33C3</v>
          </cell>
          <cell r="G5748" t="str">
            <v>IDESP</v>
          </cell>
          <cell r="L5748">
            <v>39009</v>
          </cell>
          <cell r="M5748">
            <v>3.0910000000000002</v>
          </cell>
          <cell r="P5748">
            <v>4.5</v>
          </cell>
        </row>
        <row r="5749">
          <cell r="A5749" t="str">
            <v>KGI-042-22211CW33C3</v>
          </cell>
          <cell r="G5749" t="str">
            <v>IDESP</v>
          </cell>
          <cell r="L5749">
            <v>38657</v>
          </cell>
          <cell r="M5749">
            <v>3.0019999999999998</v>
          </cell>
          <cell r="P5749">
            <v>4.08</v>
          </cell>
        </row>
        <row r="5750">
          <cell r="A5750" t="str">
            <v>KGI-042-22212CKW33C3</v>
          </cell>
          <cell r="G5750" t="str">
            <v>IDESP</v>
          </cell>
          <cell r="L5750">
            <v>38657</v>
          </cell>
          <cell r="M5750">
            <v>3.0019999999999998</v>
          </cell>
          <cell r="P5750">
            <v>5.28</v>
          </cell>
        </row>
        <row r="5751">
          <cell r="A5751" t="str">
            <v>KGI-042-22212CW33C3</v>
          </cell>
          <cell r="G5751" t="str">
            <v>IDESP</v>
          </cell>
          <cell r="L5751">
            <v>38657</v>
          </cell>
          <cell r="M5751">
            <v>3.0019999999999998</v>
          </cell>
          <cell r="P5751">
            <v>5.28</v>
          </cell>
        </row>
        <row r="5752">
          <cell r="A5752" t="str">
            <v>KGI-042-22213CKW33C3</v>
          </cell>
          <cell r="G5752" t="str">
            <v>IDESP</v>
          </cell>
          <cell r="L5752">
            <v>38657</v>
          </cell>
          <cell r="M5752">
            <v>3.0019999999999998</v>
          </cell>
          <cell r="P5752">
            <v>6.4</v>
          </cell>
        </row>
        <row r="5753">
          <cell r="A5753" t="str">
            <v>KGI-042-22213CW33C3</v>
          </cell>
          <cell r="G5753" t="str">
            <v xml:space="preserve">INAC </v>
          </cell>
          <cell r="L5753">
            <v>45176</v>
          </cell>
          <cell r="M5753">
            <v>365.5</v>
          </cell>
          <cell r="P5753">
            <v>55.075239398084818</v>
          </cell>
        </row>
        <row r="5754">
          <cell r="A5754" t="str">
            <v>KGI-042-22214-CW33</v>
          </cell>
          <cell r="G5754" t="str">
            <v>IDESP</v>
          </cell>
          <cell r="L5754">
            <v>40025</v>
          </cell>
          <cell r="M5754">
            <v>3.84</v>
          </cell>
          <cell r="P5754">
            <v>8.0500000000000007</v>
          </cell>
        </row>
        <row r="5755">
          <cell r="A5755" t="str">
            <v>KGI-042-22215-CW33C3</v>
          </cell>
          <cell r="G5755" t="str">
            <v>IDESP</v>
          </cell>
          <cell r="L5755">
            <v>43038</v>
          </cell>
          <cell r="M5755">
            <v>17.78</v>
          </cell>
          <cell r="P5755">
            <v>9.0957000000000008</v>
          </cell>
        </row>
        <row r="5756">
          <cell r="A5756" t="str">
            <v>KGI-042-22216-CW33C3</v>
          </cell>
          <cell r="G5756" t="str">
            <v>IDESP</v>
          </cell>
          <cell r="L5756">
            <v>39009</v>
          </cell>
          <cell r="M5756">
            <v>3.0910000000000002</v>
          </cell>
          <cell r="P5756">
            <v>8.8000000000000007</v>
          </cell>
        </row>
        <row r="5757">
          <cell r="A5757" t="str">
            <v>KGI-042-22217CKW33C3</v>
          </cell>
          <cell r="G5757" t="str">
            <v>IDESP</v>
          </cell>
          <cell r="L5757">
            <v>38532</v>
          </cell>
          <cell r="M5757">
            <v>2.8940000000000001</v>
          </cell>
          <cell r="P5757">
            <v>9.6300000000000008</v>
          </cell>
        </row>
        <row r="5758">
          <cell r="A5758" t="str">
            <v>KGI-042-22218CKW33C3</v>
          </cell>
          <cell r="G5758" t="str">
            <v>IDESP</v>
          </cell>
          <cell r="L5758">
            <v>41477</v>
          </cell>
          <cell r="M5758">
            <v>5.46</v>
          </cell>
          <cell r="P5758">
            <v>16</v>
          </cell>
        </row>
        <row r="5759">
          <cell r="A5759" t="str">
            <v>KGI-042-22218CW33C3</v>
          </cell>
          <cell r="G5759" t="str">
            <v>IDESP</v>
          </cell>
          <cell r="L5759">
            <v>43038</v>
          </cell>
          <cell r="M5759">
            <v>17.78</v>
          </cell>
          <cell r="P5759">
            <v>15.1595</v>
          </cell>
        </row>
        <row r="5760">
          <cell r="A5760" t="str">
            <v>KGI-042-22224CW33C3</v>
          </cell>
          <cell r="G5760" t="str">
            <v>IDESP</v>
          </cell>
          <cell r="L5760">
            <v>38657</v>
          </cell>
          <cell r="M5760">
            <v>3.0019999999999998</v>
          </cell>
          <cell r="P5760">
            <v>24</v>
          </cell>
        </row>
        <row r="5761">
          <cell r="A5761" t="str">
            <v>KGI-042-22309-CW33C3</v>
          </cell>
          <cell r="G5761" t="str">
            <v>IDESP</v>
          </cell>
          <cell r="L5761">
            <v>40025</v>
          </cell>
          <cell r="M5761">
            <v>3.84</v>
          </cell>
          <cell r="P5761">
            <v>7</v>
          </cell>
        </row>
        <row r="5762">
          <cell r="A5762" t="str">
            <v>KGI-042-22309CKW33C3</v>
          </cell>
          <cell r="G5762" t="str">
            <v>IDESP</v>
          </cell>
          <cell r="L5762">
            <v>38657</v>
          </cell>
          <cell r="M5762">
            <v>3.0019999999999998</v>
          </cell>
          <cell r="P5762">
            <v>6.08</v>
          </cell>
        </row>
        <row r="5763">
          <cell r="A5763" t="str">
            <v>KGI-042-22310CW33C3</v>
          </cell>
          <cell r="G5763" t="str">
            <v>IDESP</v>
          </cell>
          <cell r="L5763">
            <v>38657</v>
          </cell>
          <cell r="M5763">
            <v>3.0019999999999998</v>
          </cell>
          <cell r="P5763">
            <v>6.8</v>
          </cell>
        </row>
        <row r="5764">
          <cell r="A5764" t="str">
            <v>KGI-042-22311-CW33C3</v>
          </cell>
          <cell r="G5764" t="str">
            <v>IDESP</v>
          </cell>
          <cell r="L5764">
            <v>40025</v>
          </cell>
          <cell r="M5764">
            <v>3.84</v>
          </cell>
          <cell r="P5764">
            <v>9.8000000000000007</v>
          </cell>
        </row>
        <row r="5765">
          <cell r="A5765" t="str">
            <v>KGI-042-22312CW33C3</v>
          </cell>
          <cell r="G5765" t="str">
            <v>IDESP</v>
          </cell>
          <cell r="L5765">
            <v>38657</v>
          </cell>
          <cell r="M5765">
            <v>3.0019999999999998</v>
          </cell>
          <cell r="P5765">
            <v>8.8000000000000007</v>
          </cell>
        </row>
        <row r="5766">
          <cell r="A5766" t="str">
            <v>KGI-042-22315CKW33C3</v>
          </cell>
          <cell r="G5766" t="str">
            <v>IDESP</v>
          </cell>
          <cell r="L5766">
            <v>38657</v>
          </cell>
          <cell r="M5766">
            <v>3.0019999999999998</v>
          </cell>
          <cell r="P5766">
            <v>16.399999999999999</v>
          </cell>
        </row>
        <row r="5767">
          <cell r="A5767" t="str">
            <v>KGI-042-22315CW33C3</v>
          </cell>
          <cell r="G5767" t="str">
            <v>IDESP</v>
          </cell>
          <cell r="L5767">
            <v>38657</v>
          </cell>
          <cell r="M5767">
            <v>3.0019999999999998</v>
          </cell>
          <cell r="P5767">
            <v>16.399999999999999</v>
          </cell>
        </row>
        <row r="5768">
          <cell r="A5768" t="str">
            <v>KGI-042-22316CKW33C3</v>
          </cell>
          <cell r="G5768" t="str">
            <v>IDESP</v>
          </cell>
          <cell r="L5768">
            <v>38657</v>
          </cell>
          <cell r="M5768">
            <v>3.0019999999999998</v>
          </cell>
          <cell r="P5768">
            <v>19.2</v>
          </cell>
        </row>
        <row r="5769">
          <cell r="A5769" t="str">
            <v>KGI-042-22316CW33C3</v>
          </cell>
          <cell r="G5769" t="str">
            <v>IDESP</v>
          </cell>
          <cell r="L5769">
            <v>38657</v>
          </cell>
          <cell r="M5769">
            <v>3.0019999999999998</v>
          </cell>
          <cell r="P5769">
            <v>19.2</v>
          </cell>
        </row>
        <row r="5770">
          <cell r="A5770" t="str">
            <v>KGI-042-22317CW33C3</v>
          </cell>
          <cell r="G5770" t="str">
            <v>IDESP</v>
          </cell>
          <cell r="L5770">
            <v>38657</v>
          </cell>
          <cell r="M5770">
            <v>3.0019999999999998</v>
          </cell>
          <cell r="P5770">
            <v>20</v>
          </cell>
        </row>
        <row r="5771">
          <cell r="A5771" t="str">
            <v>KGI-042-22318CW33C3</v>
          </cell>
          <cell r="G5771" t="str">
            <v>IDESP</v>
          </cell>
          <cell r="L5771">
            <v>38657</v>
          </cell>
          <cell r="M5771">
            <v>3.0019999999999998</v>
          </cell>
          <cell r="P5771">
            <v>25.6</v>
          </cell>
        </row>
        <row r="5772">
          <cell r="A5772" t="str">
            <v>KGI-042-2307</v>
          </cell>
          <cell r="G5772" t="str">
            <v>IDESP</v>
          </cell>
          <cell r="L5772">
            <v>40025</v>
          </cell>
          <cell r="M5772">
            <v>3.84</v>
          </cell>
          <cell r="P5772">
            <v>2.8</v>
          </cell>
        </row>
        <row r="5773">
          <cell r="A5773" t="str">
            <v>KGI-042-7206-B</v>
          </cell>
          <cell r="G5773" t="str">
            <v>IDESP</v>
          </cell>
          <cell r="L5773">
            <v>40025</v>
          </cell>
          <cell r="M5773">
            <v>3.84</v>
          </cell>
          <cell r="P5773">
            <v>1.33</v>
          </cell>
        </row>
        <row r="5774">
          <cell r="A5774" t="str">
            <v>KGI-042-7207-B</v>
          </cell>
          <cell r="G5774" t="str">
            <v>IDESP</v>
          </cell>
          <cell r="L5774">
            <v>43038</v>
          </cell>
          <cell r="M5774">
            <v>17.78</v>
          </cell>
          <cell r="P5774">
            <v>1.8528</v>
          </cell>
        </row>
        <row r="5775">
          <cell r="A5775" t="str">
            <v>KGI-042-7209-B</v>
          </cell>
          <cell r="G5775" t="str">
            <v>IDESP</v>
          </cell>
          <cell r="L5775">
            <v>43038</v>
          </cell>
          <cell r="M5775">
            <v>17.78</v>
          </cell>
          <cell r="P5775">
            <v>2.6276000000000002</v>
          </cell>
        </row>
        <row r="5776">
          <cell r="A5776" t="str">
            <v>KGI-050-32017</v>
          </cell>
          <cell r="G5776" t="str">
            <v xml:space="preserve">INAC </v>
          </cell>
          <cell r="L5776">
            <v>39414</v>
          </cell>
          <cell r="M5776">
            <v>3.15</v>
          </cell>
          <cell r="P5776">
            <v>9.5079365079365079</v>
          </cell>
        </row>
        <row r="5777">
          <cell r="A5777" t="str">
            <v>KGI-050-32307</v>
          </cell>
          <cell r="G5777" t="str">
            <v xml:space="preserve">CR   </v>
          </cell>
          <cell r="L5777">
            <v>38811</v>
          </cell>
          <cell r="M5777">
            <v>3.085</v>
          </cell>
          <cell r="P5777">
            <v>2.3012000000000001</v>
          </cell>
        </row>
        <row r="5778">
          <cell r="A5778" t="str">
            <v>KGI-050-32315</v>
          </cell>
          <cell r="G5778" t="str">
            <v xml:space="preserve">CR   </v>
          </cell>
          <cell r="L5778">
            <v>38811</v>
          </cell>
          <cell r="M5778">
            <v>3.085</v>
          </cell>
          <cell r="P5778">
            <v>12.402699999999999</v>
          </cell>
        </row>
        <row r="5779">
          <cell r="A5779" t="str">
            <v>KGI-050-33019</v>
          </cell>
          <cell r="G5779" t="str">
            <v xml:space="preserve">INAC </v>
          </cell>
          <cell r="L5779">
            <v>42433</v>
          </cell>
          <cell r="M5779">
            <v>15.73</v>
          </cell>
          <cell r="P5779">
            <v>24.157660521296883</v>
          </cell>
        </row>
        <row r="5780">
          <cell r="A5780" t="str">
            <v>KGI-050-33208</v>
          </cell>
          <cell r="G5780" t="str">
            <v>IDESP</v>
          </cell>
          <cell r="L5780">
            <v>38657</v>
          </cell>
          <cell r="M5780">
            <v>3.0019999999999998</v>
          </cell>
          <cell r="P5780">
            <v>2.8</v>
          </cell>
        </row>
        <row r="5781">
          <cell r="A5781" t="str">
            <v>KGI-050-33213</v>
          </cell>
          <cell r="G5781" t="str">
            <v>IDESP</v>
          </cell>
          <cell r="L5781">
            <v>38657</v>
          </cell>
          <cell r="M5781">
            <v>3.0019999999999998</v>
          </cell>
          <cell r="P5781">
            <v>5.2</v>
          </cell>
        </row>
        <row r="5782">
          <cell r="A5782" t="str">
            <v>KGI-050-33215</v>
          </cell>
          <cell r="G5782" t="str">
            <v>IDESP</v>
          </cell>
          <cell r="L5782">
            <v>38657</v>
          </cell>
          <cell r="M5782">
            <v>3.0019999999999998</v>
          </cell>
          <cell r="P5782">
            <v>6.8</v>
          </cell>
        </row>
        <row r="5783">
          <cell r="A5783" t="str">
            <v>KML-041-6906-2RS</v>
          </cell>
          <cell r="G5783" t="str">
            <v xml:space="preserve">INAC </v>
          </cell>
          <cell r="L5783">
            <v>40673</v>
          </cell>
          <cell r="M5783">
            <v>4.1100000000000003</v>
          </cell>
          <cell r="P5783">
            <v>1.5328467153284671</v>
          </cell>
        </row>
        <row r="5784">
          <cell r="A5784" t="str">
            <v>KOY-031-32005-JR</v>
          </cell>
          <cell r="G5784" t="str">
            <v xml:space="preserve">CR   </v>
          </cell>
          <cell r="L5784">
            <v>38624</v>
          </cell>
          <cell r="M5784">
            <v>2.915</v>
          </cell>
          <cell r="P5784">
            <v>5.258</v>
          </cell>
        </row>
        <row r="5785">
          <cell r="A5785" t="str">
            <v>KOY-031-60-22</v>
          </cell>
          <cell r="G5785" t="str">
            <v xml:space="preserve">CR   </v>
          </cell>
          <cell r="L5785">
            <v>38624</v>
          </cell>
          <cell r="M5785">
            <v>2.915</v>
          </cell>
          <cell r="P5785">
            <v>1.87</v>
          </cell>
        </row>
        <row r="5786">
          <cell r="A5786" t="str">
            <v>KOY-031-62-28C3</v>
          </cell>
          <cell r="G5786" t="str">
            <v xml:space="preserve">CR   </v>
          </cell>
          <cell r="L5786">
            <v>37981</v>
          </cell>
          <cell r="M5786">
            <v>2.96</v>
          </cell>
          <cell r="P5786">
            <v>2.64</v>
          </cell>
        </row>
        <row r="5787">
          <cell r="A5787" t="str">
            <v>KOY-031-62-32</v>
          </cell>
          <cell r="G5787" t="str">
            <v xml:space="preserve">CR   </v>
          </cell>
          <cell r="L5787">
            <v>38811</v>
          </cell>
          <cell r="M5787">
            <v>3.085</v>
          </cell>
          <cell r="P5787">
            <v>3.1547000000000001</v>
          </cell>
        </row>
        <row r="5788">
          <cell r="A5788" t="str">
            <v>KOY-031-62-32RS</v>
          </cell>
          <cell r="G5788" t="str">
            <v xml:space="preserve">CR   </v>
          </cell>
          <cell r="L5788">
            <v>38624</v>
          </cell>
          <cell r="M5788">
            <v>2.915</v>
          </cell>
          <cell r="P5788">
            <v>6.16</v>
          </cell>
        </row>
        <row r="5789">
          <cell r="A5789" t="str">
            <v>KOY-031-63-22</v>
          </cell>
          <cell r="G5789" t="str">
            <v xml:space="preserve">CR   </v>
          </cell>
          <cell r="L5789">
            <v>38624</v>
          </cell>
          <cell r="M5789">
            <v>2.915</v>
          </cell>
          <cell r="P5789">
            <v>2.992</v>
          </cell>
        </row>
        <row r="5790">
          <cell r="A5790" t="str">
            <v>KOY-031-63-23</v>
          </cell>
          <cell r="G5790" t="str">
            <v xml:space="preserve">CR   </v>
          </cell>
          <cell r="L5790">
            <v>38624</v>
          </cell>
          <cell r="M5790">
            <v>2.915</v>
          </cell>
          <cell r="P5790">
            <v>3.7069999999999999</v>
          </cell>
        </row>
        <row r="5791">
          <cell r="A5791" t="str">
            <v>KOY-031-63-32</v>
          </cell>
          <cell r="G5791" t="str">
            <v xml:space="preserve">CR   </v>
          </cell>
          <cell r="L5791">
            <v>38811</v>
          </cell>
          <cell r="M5791">
            <v>3.085</v>
          </cell>
          <cell r="P5791">
            <v>4.3136999999999999</v>
          </cell>
        </row>
        <row r="5792">
          <cell r="A5792" t="str">
            <v>KOY-031-6909-2RS</v>
          </cell>
          <cell r="G5792" t="str">
            <v xml:space="preserve">CR   </v>
          </cell>
          <cell r="L5792">
            <v>38811</v>
          </cell>
          <cell r="M5792">
            <v>3.085</v>
          </cell>
          <cell r="P5792">
            <v>6.0674000000000001</v>
          </cell>
        </row>
        <row r="5793">
          <cell r="A5793" t="str">
            <v>KOY-031-CT-52-A1</v>
          </cell>
          <cell r="G5793" t="str">
            <v xml:space="preserve">INAC </v>
          </cell>
          <cell r="L5793">
            <v>39413</v>
          </cell>
          <cell r="M5793">
            <v>3.1429999999999998</v>
          </cell>
          <cell r="P5793">
            <v>16.398345529748649</v>
          </cell>
        </row>
        <row r="5794">
          <cell r="A5794" t="str">
            <v>KOY-031-DAC-2858-RKC</v>
          </cell>
          <cell r="G5794" t="str">
            <v xml:space="preserve">CR   </v>
          </cell>
          <cell r="L5794">
            <v>38624</v>
          </cell>
          <cell r="M5794">
            <v>2.915</v>
          </cell>
          <cell r="P5794">
            <v>12.991</v>
          </cell>
        </row>
        <row r="5795">
          <cell r="A5795" t="str">
            <v>KOY-031-DAC-3572-34A</v>
          </cell>
          <cell r="G5795" t="str">
            <v xml:space="preserve">CR   </v>
          </cell>
          <cell r="L5795">
            <v>38624</v>
          </cell>
          <cell r="M5795">
            <v>2.915</v>
          </cell>
          <cell r="P5795">
            <v>10.34</v>
          </cell>
        </row>
        <row r="5796">
          <cell r="A5796" t="str">
            <v>KOY-031-RLS-10</v>
          </cell>
          <cell r="G5796" t="str">
            <v xml:space="preserve">CR   </v>
          </cell>
          <cell r="L5796">
            <v>38624</v>
          </cell>
          <cell r="M5796">
            <v>2.915</v>
          </cell>
          <cell r="P5796">
            <v>6.952</v>
          </cell>
        </row>
        <row r="5797">
          <cell r="A5797" t="str">
            <v>KOY-035-NJ-208</v>
          </cell>
          <cell r="G5797" t="str">
            <v xml:space="preserve">CR   </v>
          </cell>
          <cell r="L5797">
            <v>38624</v>
          </cell>
          <cell r="M5797">
            <v>2.915</v>
          </cell>
          <cell r="P5797">
            <v>10.351000000000001</v>
          </cell>
        </row>
        <row r="5798">
          <cell r="A5798" t="str">
            <v>KOY-035-NUP-2210</v>
          </cell>
          <cell r="G5798" t="str">
            <v xml:space="preserve">CR   </v>
          </cell>
          <cell r="L5798">
            <v>38624</v>
          </cell>
          <cell r="M5798">
            <v>2.915</v>
          </cell>
          <cell r="P5798">
            <v>22.33</v>
          </cell>
        </row>
        <row r="5799">
          <cell r="A5799" t="str">
            <v>KOY-040-2200</v>
          </cell>
          <cell r="G5799" t="str">
            <v xml:space="preserve">CR   </v>
          </cell>
          <cell r="L5799">
            <v>38624</v>
          </cell>
          <cell r="M5799">
            <v>2.915</v>
          </cell>
          <cell r="P5799">
            <v>2.794</v>
          </cell>
        </row>
        <row r="5800">
          <cell r="A5800" t="str">
            <v>KOY-040-2201</v>
          </cell>
          <cell r="G5800" t="str">
            <v xml:space="preserve">CR   </v>
          </cell>
          <cell r="L5800">
            <v>38624</v>
          </cell>
          <cell r="M5800">
            <v>2.915</v>
          </cell>
          <cell r="P5800">
            <v>2.9590000000000001</v>
          </cell>
        </row>
        <row r="5801">
          <cell r="A5801" t="str">
            <v>KOY-040-22213-CKW3</v>
          </cell>
          <cell r="G5801" t="str">
            <v xml:space="preserve">CR   </v>
          </cell>
          <cell r="L5801">
            <v>38811</v>
          </cell>
          <cell r="M5801">
            <v>3.085</v>
          </cell>
          <cell r="P5801">
            <v>19.1097</v>
          </cell>
        </row>
        <row r="5802">
          <cell r="A5802" t="str">
            <v>KOY-040-2302</v>
          </cell>
          <cell r="G5802" t="str">
            <v xml:space="preserve">CR   </v>
          </cell>
          <cell r="L5802">
            <v>38624</v>
          </cell>
          <cell r="M5802">
            <v>2.915</v>
          </cell>
          <cell r="P5802">
            <v>6.4349999999999996</v>
          </cell>
        </row>
        <row r="5803">
          <cell r="A5803" t="str">
            <v>KOY-040-30218</v>
          </cell>
          <cell r="G5803" t="str">
            <v xml:space="preserve">CR   </v>
          </cell>
          <cell r="L5803">
            <v>38624</v>
          </cell>
          <cell r="M5803">
            <v>2.915</v>
          </cell>
          <cell r="P5803">
            <v>22.363</v>
          </cell>
        </row>
        <row r="5804">
          <cell r="A5804" t="str">
            <v>KOY-040-30307-JR</v>
          </cell>
          <cell r="G5804" t="str">
            <v xml:space="preserve">CR   </v>
          </cell>
          <cell r="L5804">
            <v>38811</v>
          </cell>
          <cell r="M5804">
            <v>3.085</v>
          </cell>
          <cell r="P5804">
            <v>4.7103999999999999</v>
          </cell>
        </row>
        <row r="5805">
          <cell r="A5805" t="str">
            <v>KOY-040-32007</v>
          </cell>
          <cell r="G5805" t="str">
            <v xml:space="preserve">CR   </v>
          </cell>
          <cell r="L5805">
            <v>38624</v>
          </cell>
          <cell r="M5805">
            <v>2.915</v>
          </cell>
          <cell r="P5805">
            <v>6.71</v>
          </cell>
        </row>
        <row r="5806">
          <cell r="A5806" t="str">
            <v>KOY-040-32011-JR</v>
          </cell>
          <cell r="G5806" t="str">
            <v xml:space="preserve">CR   </v>
          </cell>
          <cell r="L5806">
            <v>38624</v>
          </cell>
          <cell r="M5806">
            <v>2.915</v>
          </cell>
          <cell r="P5806">
            <v>10.362</v>
          </cell>
        </row>
        <row r="5807">
          <cell r="A5807" t="str">
            <v>KOY-040-32013-JR</v>
          </cell>
          <cell r="G5807" t="str">
            <v xml:space="preserve">CR   </v>
          </cell>
          <cell r="L5807">
            <v>38624</v>
          </cell>
          <cell r="M5807">
            <v>2.915</v>
          </cell>
          <cell r="P5807">
            <v>14.904999999999999</v>
          </cell>
        </row>
        <row r="5808">
          <cell r="A5808" t="str">
            <v>KOY-040-3212</v>
          </cell>
          <cell r="G5808" t="str">
            <v xml:space="preserve">CR   </v>
          </cell>
          <cell r="L5808">
            <v>38624</v>
          </cell>
          <cell r="M5808">
            <v>2.915</v>
          </cell>
          <cell r="P5808">
            <v>16.268999999999998</v>
          </cell>
        </row>
        <row r="5809">
          <cell r="A5809" t="str">
            <v>KOY-040-32209</v>
          </cell>
          <cell r="G5809" t="str">
            <v xml:space="preserve">CR   </v>
          </cell>
          <cell r="L5809">
            <v>38624</v>
          </cell>
          <cell r="M5809">
            <v>2.915</v>
          </cell>
          <cell r="P5809">
            <v>4.95</v>
          </cell>
        </row>
        <row r="5810">
          <cell r="A5810" t="str">
            <v>KOY-040-32304</v>
          </cell>
          <cell r="G5810" t="str">
            <v xml:space="preserve">CR   </v>
          </cell>
          <cell r="L5810">
            <v>38624</v>
          </cell>
          <cell r="M5810">
            <v>2.915</v>
          </cell>
          <cell r="P5810">
            <v>3.5859999999999999</v>
          </cell>
        </row>
        <row r="5811">
          <cell r="A5811" t="str">
            <v>KOY-040-33022-JR</v>
          </cell>
          <cell r="G5811" t="str">
            <v xml:space="preserve">CR   </v>
          </cell>
          <cell r="L5811">
            <v>38624</v>
          </cell>
          <cell r="M5811">
            <v>2.915</v>
          </cell>
          <cell r="P5811">
            <v>57.024000000000001</v>
          </cell>
        </row>
        <row r="5812">
          <cell r="A5812" t="str">
            <v>KOY-040-33116-JR</v>
          </cell>
          <cell r="G5812" t="str">
            <v xml:space="preserve">CR   </v>
          </cell>
          <cell r="L5812">
            <v>38624</v>
          </cell>
          <cell r="M5812">
            <v>2.915</v>
          </cell>
          <cell r="P5812">
            <v>33.131999999999998</v>
          </cell>
        </row>
        <row r="5813">
          <cell r="A5813" t="str">
            <v>KOY-040-33207-JR</v>
          </cell>
          <cell r="G5813" t="str">
            <v xml:space="preserve">CR   </v>
          </cell>
          <cell r="L5813">
            <v>38624</v>
          </cell>
          <cell r="M5813">
            <v>2.915</v>
          </cell>
          <cell r="P5813">
            <v>8.8219999999999992</v>
          </cell>
        </row>
        <row r="5814">
          <cell r="A5814" t="str">
            <v>KOY-040-33209-JR</v>
          </cell>
          <cell r="G5814" t="str">
            <v xml:space="preserve">CR   </v>
          </cell>
          <cell r="L5814">
            <v>38624</v>
          </cell>
          <cell r="M5814">
            <v>2.915</v>
          </cell>
          <cell r="P5814">
            <v>13.233000000000001</v>
          </cell>
        </row>
        <row r="5815">
          <cell r="A5815" t="str">
            <v>KOY-040-33210-JR</v>
          </cell>
          <cell r="G5815" t="str">
            <v xml:space="preserve">CR   </v>
          </cell>
          <cell r="L5815">
            <v>38624</v>
          </cell>
          <cell r="M5815">
            <v>2.915</v>
          </cell>
          <cell r="P5815">
            <v>15.224</v>
          </cell>
        </row>
        <row r="5816">
          <cell r="A5816" t="str">
            <v>KOY-040-33213</v>
          </cell>
          <cell r="G5816" t="str">
            <v xml:space="preserve">CR   </v>
          </cell>
          <cell r="L5816">
            <v>38624</v>
          </cell>
          <cell r="M5816">
            <v>2.915</v>
          </cell>
          <cell r="P5816">
            <v>23.584</v>
          </cell>
        </row>
        <row r="5817">
          <cell r="A5817" t="str">
            <v>KOY-040-51111</v>
          </cell>
          <cell r="G5817" t="str">
            <v xml:space="preserve">CR   </v>
          </cell>
          <cell r="L5817">
            <v>38811</v>
          </cell>
          <cell r="M5817">
            <v>3.085</v>
          </cell>
          <cell r="P5817">
            <v>4.0621999999999998</v>
          </cell>
        </row>
        <row r="5818">
          <cell r="A5818" t="str">
            <v>KOY-040-6013</v>
          </cell>
          <cell r="G5818" t="str">
            <v xml:space="preserve">CR   </v>
          </cell>
          <cell r="L5818">
            <v>38811</v>
          </cell>
          <cell r="M5818">
            <v>3.085</v>
          </cell>
          <cell r="P5818">
            <v>7.4070999999999998</v>
          </cell>
        </row>
        <row r="5819">
          <cell r="A5819" t="str">
            <v>KOY-040-62-22</v>
          </cell>
          <cell r="G5819" t="str">
            <v xml:space="preserve">CR   </v>
          </cell>
          <cell r="L5819">
            <v>38624</v>
          </cell>
          <cell r="M5819">
            <v>2.915</v>
          </cell>
          <cell r="P5819">
            <v>2.0569999999999999</v>
          </cell>
        </row>
        <row r="5820">
          <cell r="A5820" t="str">
            <v>KOY-040-62205-2RS</v>
          </cell>
          <cell r="G5820" t="str">
            <v xml:space="preserve">CR   </v>
          </cell>
          <cell r="L5820">
            <v>38811</v>
          </cell>
          <cell r="M5820">
            <v>3.085</v>
          </cell>
          <cell r="P5820">
            <v>1.3742000000000001</v>
          </cell>
        </row>
        <row r="5821">
          <cell r="A5821" t="str">
            <v>KOY-040-63-28</v>
          </cell>
          <cell r="G5821" t="str">
            <v xml:space="preserve">CR   </v>
          </cell>
          <cell r="L5821">
            <v>38624</v>
          </cell>
          <cell r="M5821">
            <v>2.915</v>
          </cell>
          <cell r="P5821">
            <v>3.52</v>
          </cell>
        </row>
        <row r="5822">
          <cell r="A5822" t="str">
            <v>KOY-040-6403</v>
          </cell>
          <cell r="G5822" t="str">
            <v xml:space="preserve">CR   </v>
          </cell>
          <cell r="L5822">
            <v>37981</v>
          </cell>
          <cell r="M5822">
            <v>2.96</v>
          </cell>
          <cell r="P5822">
            <v>4.54</v>
          </cell>
        </row>
        <row r="5823">
          <cell r="A5823" t="str">
            <v>KOY-040-6405</v>
          </cell>
          <cell r="G5823" t="str">
            <v xml:space="preserve">CR   </v>
          </cell>
          <cell r="L5823">
            <v>38811</v>
          </cell>
          <cell r="M5823">
            <v>3.085</v>
          </cell>
          <cell r="P5823">
            <v>6.6982999999999997</v>
          </cell>
        </row>
        <row r="5824">
          <cell r="A5824" t="str">
            <v>KOY-040-6407</v>
          </cell>
          <cell r="G5824" t="str">
            <v xml:space="preserve">CR   </v>
          </cell>
          <cell r="L5824">
            <v>38811</v>
          </cell>
          <cell r="M5824">
            <v>3.085</v>
          </cell>
          <cell r="P5824">
            <v>6.8452999999999999</v>
          </cell>
        </row>
        <row r="5825">
          <cell r="A5825" t="str">
            <v>KOY-040-6804-2Z</v>
          </cell>
          <cell r="G5825" t="str">
            <v xml:space="preserve">CR   </v>
          </cell>
          <cell r="L5825">
            <v>38624</v>
          </cell>
          <cell r="M5825">
            <v>2.915</v>
          </cell>
          <cell r="P5825">
            <v>2.585</v>
          </cell>
        </row>
        <row r="5826">
          <cell r="A5826" t="str">
            <v>KOY-040-EE-6</v>
          </cell>
          <cell r="G5826" t="str">
            <v xml:space="preserve">CR   </v>
          </cell>
          <cell r="L5826">
            <v>38811</v>
          </cell>
          <cell r="M5826">
            <v>3.085</v>
          </cell>
          <cell r="P5826">
            <v>1.5039</v>
          </cell>
        </row>
        <row r="5827">
          <cell r="A5827" t="str">
            <v>KOY-040-EE-8</v>
          </cell>
          <cell r="G5827" t="str">
            <v xml:space="preserve">CR   </v>
          </cell>
          <cell r="L5827">
            <v>38624</v>
          </cell>
          <cell r="M5827">
            <v>2.915</v>
          </cell>
          <cell r="P5827">
            <v>2.552</v>
          </cell>
        </row>
        <row r="5828">
          <cell r="A5828" t="str">
            <v>KOY-041-EE-7-ZZ</v>
          </cell>
          <cell r="G5828" t="str">
            <v xml:space="preserve">INAC </v>
          </cell>
          <cell r="L5828">
            <v>38698</v>
          </cell>
          <cell r="M5828">
            <v>3.0089999999999999</v>
          </cell>
          <cell r="P5828">
            <v>4.9850448654037889</v>
          </cell>
        </row>
        <row r="5829">
          <cell r="A5829" t="str">
            <v>KOY-047-UC-202</v>
          </cell>
          <cell r="G5829" t="str">
            <v xml:space="preserve">CR   </v>
          </cell>
          <cell r="L5829">
            <v>37981</v>
          </cell>
          <cell r="M5829">
            <v>2.96</v>
          </cell>
          <cell r="P5829">
            <v>4.21</v>
          </cell>
        </row>
        <row r="5830">
          <cell r="A5830" t="str">
            <v>KOY-047-UC-203</v>
          </cell>
          <cell r="G5830" t="str">
            <v xml:space="preserve">CR   </v>
          </cell>
          <cell r="L5830">
            <v>38624</v>
          </cell>
          <cell r="M5830">
            <v>2.915</v>
          </cell>
          <cell r="P5830">
            <v>5.7309999999999999</v>
          </cell>
        </row>
        <row r="5831">
          <cell r="A5831" t="str">
            <v>KOY-047-UC-213</v>
          </cell>
          <cell r="G5831" t="str">
            <v xml:space="preserve">CR   </v>
          </cell>
          <cell r="L5831">
            <v>37981</v>
          </cell>
          <cell r="M5831">
            <v>2.96</v>
          </cell>
          <cell r="P5831">
            <v>22.77</v>
          </cell>
        </row>
        <row r="5832">
          <cell r="A5832" t="str">
            <v>KOY-047-UC-215-D1</v>
          </cell>
          <cell r="G5832" t="str">
            <v xml:space="preserve">CR   </v>
          </cell>
          <cell r="L5832">
            <v>37981</v>
          </cell>
          <cell r="M5832">
            <v>2.96</v>
          </cell>
          <cell r="P5832">
            <v>30.68</v>
          </cell>
        </row>
        <row r="5833">
          <cell r="A5833" t="str">
            <v>KOY-050-14116-274</v>
          </cell>
          <cell r="G5833" t="str">
            <v xml:space="preserve">CR   </v>
          </cell>
          <cell r="L5833">
            <v>37981</v>
          </cell>
          <cell r="M5833">
            <v>2.96</v>
          </cell>
          <cell r="P5833">
            <v>6.05</v>
          </cell>
        </row>
        <row r="5834">
          <cell r="A5834" t="str">
            <v>KOY-050-17887-831</v>
          </cell>
          <cell r="G5834" t="str">
            <v xml:space="preserve">CR   </v>
          </cell>
          <cell r="L5834">
            <v>38624</v>
          </cell>
          <cell r="M5834">
            <v>2.915</v>
          </cell>
          <cell r="P5834">
            <v>8.6129999999999995</v>
          </cell>
        </row>
        <row r="5835">
          <cell r="A5835" t="str">
            <v>KOY-050-212047-010</v>
          </cell>
          <cell r="G5835" t="str">
            <v xml:space="preserve">CR   </v>
          </cell>
          <cell r="L5835">
            <v>38811</v>
          </cell>
          <cell r="M5835">
            <v>3.085</v>
          </cell>
          <cell r="P5835">
            <v>10.976599999999999</v>
          </cell>
        </row>
        <row r="5836">
          <cell r="A5836" t="str">
            <v>KOY-050-24780-720</v>
          </cell>
          <cell r="G5836" t="str">
            <v xml:space="preserve">CR   </v>
          </cell>
          <cell r="L5836">
            <v>38624</v>
          </cell>
          <cell r="M5836">
            <v>2.915</v>
          </cell>
          <cell r="P5836">
            <v>9.1519999999999992</v>
          </cell>
        </row>
        <row r="5837">
          <cell r="A5837" t="str">
            <v>KOY-050-25580-520</v>
          </cell>
          <cell r="G5837" t="str">
            <v xml:space="preserve">CR   </v>
          </cell>
          <cell r="L5837">
            <v>37981</v>
          </cell>
          <cell r="M5837">
            <v>2.96</v>
          </cell>
          <cell r="P5837">
            <v>6.43</v>
          </cell>
        </row>
        <row r="5838">
          <cell r="A5838" t="str">
            <v>KOY-050-27687-620</v>
          </cell>
          <cell r="G5838" t="str">
            <v xml:space="preserve">CR   </v>
          </cell>
          <cell r="L5838">
            <v>38624</v>
          </cell>
          <cell r="M5838">
            <v>2.915</v>
          </cell>
          <cell r="P5838">
            <v>22.780999999999999</v>
          </cell>
        </row>
        <row r="5839">
          <cell r="A5839" t="str">
            <v>KOY-050-2780-20</v>
          </cell>
          <cell r="G5839" t="str">
            <v xml:space="preserve">CR   </v>
          </cell>
          <cell r="L5839">
            <v>37981</v>
          </cell>
          <cell r="M5839">
            <v>2.96</v>
          </cell>
          <cell r="P5839">
            <v>6.64</v>
          </cell>
        </row>
        <row r="5840">
          <cell r="A5840" t="str">
            <v>KOY-050-28985-20</v>
          </cell>
          <cell r="G5840" t="str">
            <v xml:space="preserve">CR   </v>
          </cell>
          <cell r="L5840">
            <v>38811</v>
          </cell>
          <cell r="M5840">
            <v>3.085</v>
          </cell>
          <cell r="P5840">
            <v>11.1409</v>
          </cell>
        </row>
        <row r="5841">
          <cell r="A5841" t="str">
            <v>KOY-050-33889-22</v>
          </cell>
          <cell r="G5841" t="str">
            <v xml:space="preserve">CR   </v>
          </cell>
          <cell r="L5841">
            <v>38624</v>
          </cell>
          <cell r="M5841">
            <v>2.915</v>
          </cell>
          <cell r="P5841">
            <v>13.035</v>
          </cell>
        </row>
        <row r="5842">
          <cell r="A5842" t="str">
            <v>KOY-050-33895-822</v>
          </cell>
          <cell r="G5842" t="str">
            <v xml:space="preserve">CR   </v>
          </cell>
          <cell r="L5842">
            <v>38624</v>
          </cell>
          <cell r="M5842">
            <v>2.915</v>
          </cell>
          <cell r="P5842">
            <v>14.377000000000001</v>
          </cell>
        </row>
        <row r="5843">
          <cell r="A5843" t="str">
            <v>KOY-050-3585-3525</v>
          </cell>
          <cell r="G5843" t="str">
            <v xml:space="preserve">CR   </v>
          </cell>
          <cell r="L5843">
            <v>38624</v>
          </cell>
          <cell r="M5843">
            <v>2.915</v>
          </cell>
          <cell r="P5843">
            <v>10.879</v>
          </cell>
        </row>
        <row r="5844">
          <cell r="A5844" t="str">
            <v>KOY-050-3877-20</v>
          </cell>
          <cell r="G5844" t="str">
            <v xml:space="preserve">CR   </v>
          </cell>
          <cell r="L5844">
            <v>38624</v>
          </cell>
          <cell r="M5844">
            <v>2.915</v>
          </cell>
          <cell r="P5844">
            <v>9.7460000000000004</v>
          </cell>
        </row>
        <row r="5845">
          <cell r="A5845" t="str">
            <v>KOY-050-39581-520</v>
          </cell>
          <cell r="G5845" t="str">
            <v xml:space="preserve">CR   </v>
          </cell>
          <cell r="L5845">
            <v>37981</v>
          </cell>
          <cell r="M5845">
            <v>2.96</v>
          </cell>
          <cell r="P5845">
            <v>16.829999999999998</v>
          </cell>
        </row>
        <row r="5846">
          <cell r="A5846" t="str">
            <v>KOY-050-39590-20</v>
          </cell>
          <cell r="G5846" t="str">
            <v xml:space="preserve">CR   </v>
          </cell>
          <cell r="L5846">
            <v>38624</v>
          </cell>
          <cell r="M5846">
            <v>2.915</v>
          </cell>
          <cell r="P5846">
            <v>15.795999999999999</v>
          </cell>
        </row>
        <row r="5847">
          <cell r="A5847" t="str">
            <v>KOY-050-493-495A</v>
          </cell>
          <cell r="G5847" t="str">
            <v xml:space="preserve">CR   </v>
          </cell>
          <cell r="L5847">
            <v>37981</v>
          </cell>
          <cell r="M5847">
            <v>2.96</v>
          </cell>
          <cell r="P5847">
            <v>14.33</v>
          </cell>
        </row>
        <row r="5848">
          <cell r="A5848" t="str">
            <v>KOY-050-49585/20</v>
          </cell>
          <cell r="G5848" t="str">
            <v xml:space="preserve">INAC </v>
          </cell>
          <cell r="L5848">
            <v>37734</v>
          </cell>
          <cell r="M5848">
            <v>2.84</v>
          </cell>
          <cell r="P5848">
            <v>25.582007042253522</v>
          </cell>
        </row>
        <row r="5849">
          <cell r="A5849" t="str">
            <v>KOY-050-497-493</v>
          </cell>
          <cell r="G5849" t="str">
            <v xml:space="preserve">CR   </v>
          </cell>
          <cell r="L5849">
            <v>37981</v>
          </cell>
          <cell r="M5849">
            <v>2.96</v>
          </cell>
          <cell r="P5849">
            <v>14.34</v>
          </cell>
        </row>
        <row r="5850">
          <cell r="A5850" t="str">
            <v>KOY-050-53176-375</v>
          </cell>
          <cell r="G5850" t="str">
            <v xml:space="preserve">CR   </v>
          </cell>
          <cell r="L5850">
            <v>38624</v>
          </cell>
          <cell r="M5850">
            <v>2.915</v>
          </cell>
          <cell r="P5850">
            <v>15.323</v>
          </cell>
        </row>
        <row r="5851">
          <cell r="A5851" t="str">
            <v>KOY-050-594-592A</v>
          </cell>
          <cell r="G5851" t="str">
            <v xml:space="preserve">CR   </v>
          </cell>
          <cell r="L5851">
            <v>38624</v>
          </cell>
          <cell r="M5851">
            <v>2.915</v>
          </cell>
          <cell r="P5851">
            <v>25.212</v>
          </cell>
        </row>
        <row r="5852">
          <cell r="A5852" t="str">
            <v>KOY-050-64450-700</v>
          </cell>
          <cell r="G5852" t="str">
            <v xml:space="preserve">CR   </v>
          </cell>
          <cell r="L5852">
            <v>38624</v>
          </cell>
          <cell r="M5852">
            <v>2.915</v>
          </cell>
          <cell r="P5852">
            <v>36.256</v>
          </cell>
        </row>
        <row r="5853">
          <cell r="A5853" t="str">
            <v>KOY-050-69349-10</v>
          </cell>
          <cell r="G5853" t="str">
            <v xml:space="preserve">CR   </v>
          </cell>
          <cell r="L5853">
            <v>38624</v>
          </cell>
          <cell r="M5853">
            <v>2.915</v>
          </cell>
          <cell r="P5853">
            <v>3.1789999999999998</v>
          </cell>
        </row>
        <row r="5854">
          <cell r="A5854" t="str">
            <v>KOY-050-759-752</v>
          </cell>
          <cell r="G5854" t="str">
            <v xml:space="preserve">CR   </v>
          </cell>
          <cell r="L5854">
            <v>38624</v>
          </cell>
          <cell r="M5854">
            <v>2.915</v>
          </cell>
          <cell r="P5854">
            <v>37.103000000000002</v>
          </cell>
        </row>
        <row r="5855">
          <cell r="A5855" t="str">
            <v>KOY-050-804848-10</v>
          </cell>
          <cell r="G5855" t="str">
            <v xml:space="preserve">CR   </v>
          </cell>
          <cell r="L5855">
            <v>38624</v>
          </cell>
          <cell r="M5855">
            <v>2.915</v>
          </cell>
          <cell r="P5855">
            <v>12.484999999999999</v>
          </cell>
        </row>
        <row r="5856">
          <cell r="A5856" t="str">
            <v>KOY-050-86647-610</v>
          </cell>
          <cell r="G5856" t="str">
            <v xml:space="preserve">CR   </v>
          </cell>
          <cell r="L5856">
            <v>38624</v>
          </cell>
          <cell r="M5856">
            <v>2.915</v>
          </cell>
          <cell r="P5856">
            <v>6.5119999999999996</v>
          </cell>
        </row>
        <row r="5857">
          <cell r="A5857" t="str">
            <v>KOY-050-86649-610</v>
          </cell>
          <cell r="G5857" t="str">
            <v xml:space="preserve">CR   </v>
          </cell>
          <cell r="L5857">
            <v>38624</v>
          </cell>
          <cell r="M5857">
            <v>2.915</v>
          </cell>
          <cell r="P5857">
            <v>5.0380000000000003</v>
          </cell>
        </row>
        <row r="5858">
          <cell r="A5858" t="str">
            <v>KOY-050-A-368-362A</v>
          </cell>
          <cell r="G5858" t="str">
            <v xml:space="preserve">CR   </v>
          </cell>
          <cell r="L5858">
            <v>38624</v>
          </cell>
          <cell r="M5858">
            <v>2.915</v>
          </cell>
          <cell r="P5858">
            <v>10.164</v>
          </cell>
        </row>
        <row r="5859">
          <cell r="A5859" t="str">
            <v>KOY-050-JM205149/110</v>
          </cell>
          <cell r="G5859" t="str">
            <v xml:space="preserve">INAC </v>
          </cell>
          <cell r="L5859">
            <v>39927</v>
          </cell>
          <cell r="M5859">
            <v>3.71</v>
          </cell>
          <cell r="P5859">
            <v>18.299191374663074</v>
          </cell>
        </row>
        <row r="5860">
          <cell r="A5860" t="str">
            <v>KOY-050-LM-11749</v>
          </cell>
          <cell r="G5860" t="str">
            <v xml:space="preserve">CR   </v>
          </cell>
          <cell r="L5860">
            <v>38811</v>
          </cell>
          <cell r="M5860">
            <v>3.085</v>
          </cell>
          <cell r="P5860">
            <v>0.86429999999999996</v>
          </cell>
        </row>
        <row r="5861">
          <cell r="A5861" t="str">
            <v>KOY-050-S-359-352A</v>
          </cell>
          <cell r="G5861" t="str">
            <v xml:space="preserve">CR   </v>
          </cell>
          <cell r="L5861">
            <v>38624</v>
          </cell>
          <cell r="M5861">
            <v>2.915</v>
          </cell>
          <cell r="P5861">
            <v>24.045999999999999</v>
          </cell>
        </row>
        <row r="5862">
          <cell r="A5862" t="str">
            <v>L&amp;C-040-22210-CW</v>
          </cell>
          <cell r="G5862" t="str">
            <v xml:space="preserve">INSI </v>
          </cell>
          <cell r="L5862">
            <v>37626</v>
          </cell>
          <cell r="M5862">
            <v>3.34</v>
          </cell>
          <cell r="P5862">
            <v>1</v>
          </cell>
        </row>
        <row r="5863">
          <cell r="A5863" t="str">
            <v>L&amp;C-040-22228-CKW3</v>
          </cell>
          <cell r="G5863" t="str">
            <v xml:space="preserve">CR   </v>
          </cell>
          <cell r="L5863">
            <v>38624</v>
          </cell>
          <cell r="M5863">
            <v>2.915</v>
          </cell>
          <cell r="P5863">
            <v>57.816000000000003</v>
          </cell>
        </row>
        <row r="5864">
          <cell r="A5864" t="str">
            <v>L&amp;C-040-51104</v>
          </cell>
          <cell r="G5864" t="str">
            <v xml:space="preserve">CR   </v>
          </cell>
          <cell r="L5864">
            <v>38624</v>
          </cell>
          <cell r="M5864">
            <v>2.915</v>
          </cell>
          <cell r="P5864">
            <v>0.60499999999999998</v>
          </cell>
        </row>
        <row r="5865">
          <cell r="A5865" t="str">
            <v>L&amp;C-043-30212</v>
          </cell>
          <cell r="G5865" t="str">
            <v xml:space="preserve">CR   </v>
          </cell>
          <cell r="L5865">
            <v>38624</v>
          </cell>
          <cell r="M5865">
            <v>2.915</v>
          </cell>
          <cell r="P5865">
            <v>2.9811320754716979</v>
          </cell>
        </row>
        <row r="5866">
          <cell r="A5866" t="str">
            <v>LAB-027-RUE-59-MM</v>
          </cell>
          <cell r="G5866" t="str">
            <v xml:space="preserve">CR   </v>
          </cell>
          <cell r="L5866">
            <v>38811</v>
          </cell>
          <cell r="M5866">
            <v>3.085</v>
          </cell>
          <cell r="P5866">
            <v>1.0506</v>
          </cell>
        </row>
        <row r="5867">
          <cell r="A5867" t="str">
            <v>LAB-027-RUE-72-MM</v>
          </cell>
          <cell r="G5867" t="str">
            <v xml:space="preserve">CR   </v>
          </cell>
          <cell r="L5867">
            <v>38811</v>
          </cell>
          <cell r="M5867">
            <v>3.085</v>
          </cell>
          <cell r="P5867">
            <v>1.0506</v>
          </cell>
        </row>
        <row r="5868">
          <cell r="A5868" t="str">
            <v>LDK-047-UC-205-16</v>
          </cell>
          <cell r="G5868" t="str">
            <v xml:space="preserve">CR   </v>
          </cell>
          <cell r="L5868">
            <v>38811</v>
          </cell>
          <cell r="M5868">
            <v>3.085</v>
          </cell>
          <cell r="P5868">
            <v>2.7000000000000001E-3</v>
          </cell>
        </row>
        <row r="5869">
          <cell r="A5869" t="str">
            <v>LUT-047-ENG-205-7/8"</v>
          </cell>
          <cell r="G5869" t="str">
            <v xml:space="preserve">CR   </v>
          </cell>
          <cell r="L5869">
            <v>37981</v>
          </cell>
          <cell r="M5869">
            <v>2.96</v>
          </cell>
          <cell r="P5869">
            <v>9.35</v>
          </cell>
        </row>
        <row r="5870">
          <cell r="A5870" t="str">
            <v>MAG-MAN-MANI-BL-5060</v>
          </cell>
          <cell r="G5870" t="str">
            <v xml:space="preserve">INSI </v>
          </cell>
          <cell r="L5870">
            <v>41491</v>
          </cell>
          <cell r="M5870">
            <v>5.52</v>
          </cell>
          <cell r="P5870">
            <v>1250</v>
          </cell>
        </row>
        <row r="5871">
          <cell r="A5871" t="str">
            <v>MAI-031-CAB-13-525MM</v>
          </cell>
          <cell r="G5871" t="str">
            <v xml:space="preserve">INAC </v>
          </cell>
          <cell r="L5871">
            <v>41059</v>
          </cell>
          <cell r="M5871">
            <v>4.49</v>
          </cell>
          <cell r="P5871">
            <v>40912.63697104677</v>
          </cell>
        </row>
        <row r="5872">
          <cell r="A5872" t="str">
            <v>MAI-031-CAB-870-MAIZ</v>
          </cell>
          <cell r="G5872" t="str">
            <v xml:space="preserve">CR   </v>
          </cell>
          <cell r="L5872">
            <v>38624</v>
          </cell>
          <cell r="M5872">
            <v>2.915</v>
          </cell>
          <cell r="P5872">
            <v>16962.616000000002</v>
          </cell>
        </row>
        <row r="5873">
          <cell r="A5873" t="str">
            <v>MBS-031-610148</v>
          </cell>
          <cell r="G5873" t="str">
            <v xml:space="preserve">CR   </v>
          </cell>
          <cell r="L5873">
            <v>38624</v>
          </cell>
          <cell r="M5873">
            <v>2.915</v>
          </cell>
          <cell r="P5873">
            <v>7.931</v>
          </cell>
        </row>
        <row r="5874">
          <cell r="A5874" t="str">
            <v>MGM-040-6026</v>
          </cell>
          <cell r="G5874" t="str">
            <v xml:space="preserve">CR   </v>
          </cell>
          <cell r="L5874">
            <v>37981</v>
          </cell>
          <cell r="M5874">
            <v>2.96</v>
          </cell>
          <cell r="P5874">
            <v>25.68</v>
          </cell>
        </row>
        <row r="5875">
          <cell r="A5875" t="str">
            <v>MID-001-208-KRR</v>
          </cell>
          <cell r="G5875" t="str">
            <v>IDESP</v>
          </cell>
          <cell r="L5875">
            <v>39457</v>
          </cell>
          <cell r="M5875">
            <v>3.129</v>
          </cell>
          <cell r="P5875">
            <v>0.72</v>
          </cell>
        </row>
        <row r="5876">
          <cell r="A5876" t="str">
            <v>MID-001-6005-D</v>
          </cell>
          <cell r="G5876" t="str">
            <v>InMuU</v>
          </cell>
          <cell r="L5876">
            <v>41116</v>
          </cell>
          <cell r="M5876">
            <v>4.59</v>
          </cell>
          <cell r="P5876">
            <v>0.17</v>
          </cell>
        </row>
        <row r="5877">
          <cell r="A5877" t="str">
            <v>MID-002-208-KRR</v>
          </cell>
          <cell r="G5877" t="str">
            <v>IDESP</v>
          </cell>
          <cell r="L5877">
            <v>39457</v>
          </cell>
          <cell r="M5877">
            <v>3.129</v>
          </cell>
          <cell r="P5877">
            <v>0.72</v>
          </cell>
        </row>
        <row r="5878">
          <cell r="A5878" t="str">
            <v>MID-002-6005-D</v>
          </cell>
          <cell r="G5878" t="str">
            <v>InMuU</v>
          </cell>
          <cell r="L5878">
            <v>41116</v>
          </cell>
          <cell r="M5878">
            <v>4.59</v>
          </cell>
          <cell r="P5878">
            <v>0.15</v>
          </cell>
        </row>
        <row r="5879">
          <cell r="A5879" t="str">
            <v>MID-002-6006-D</v>
          </cell>
          <cell r="G5879" t="str">
            <v xml:space="preserve">CR   </v>
          </cell>
          <cell r="L5879">
            <v>38328</v>
          </cell>
          <cell r="M5879">
            <v>2.9849999999999999</v>
          </cell>
          <cell r="P5879">
            <v>0.13769999999999999</v>
          </cell>
        </row>
        <row r="5880">
          <cell r="A5880" t="str">
            <v>MID-002-6203-D</v>
          </cell>
          <cell r="G5880" t="str">
            <v xml:space="preserve">CR   </v>
          </cell>
          <cell r="L5880">
            <v>38328</v>
          </cell>
          <cell r="M5880">
            <v>2.9849999999999999</v>
          </cell>
          <cell r="P5880">
            <v>8.5699999999999998E-2</v>
          </cell>
        </row>
        <row r="5881">
          <cell r="A5881" t="str">
            <v>MID-002-6204-D</v>
          </cell>
          <cell r="G5881" t="str">
            <v xml:space="preserve">CR   </v>
          </cell>
          <cell r="L5881">
            <v>38328</v>
          </cell>
          <cell r="M5881">
            <v>2.9849999999999999</v>
          </cell>
          <cell r="P5881">
            <v>0.1258</v>
          </cell>
        </row>
        <row r="5882">
          <cell r="A5882" t="str">
            <v>MID-002-6205-D</v>
          </cell>
          <cell r="G5882" t="str">
            <v xml:space="preserve">CR   </v>
          </cell>
          <cell r="L5882">
            <v>38328</v>
          </cell>
          <cell r="M5882">
            <v>2.9849999999999999</v>
          </cell>
          <cell r="P5882">
            <v>0.14530000000000001</v>
          </cell>
        </row>
        <row r="5883">
          <cell r="A5883" t="str">
            <v>MID-002-6206-D</v>
          </cell>
          <cell r="G5883" t="str">
            <v xml:space="preserve">CR   </v>
          </cell>
          <cell r="L5883">
            <v>38328</v>
          </cell>
          <cell r="M5883">
            <v>2.9849999999999999</v>
          </cell>
          <cell r="P5883">
            <v>0.21909999999999999</v>
          </cell>
        </row>
        <row r="5884">
          <cell r="A5884" t="str">
            <v>MID-003-15/64</v>
          </cell>
          <cell r="G5884" t="str">
            <v>IDESP</v>
          </cell>
          <cell r="L5884">
            <v>40395</v>
          </cell>
          <cell r="M5884">
            <v>3.96</v>
          </cell>
          <cell r="P5884">
            <v>4.1999999999999997E-3</v>
          </cell>
        </row>
        <row r="5885">
          <cell r="A5885" t="str">
            <v>MID-003-17/64</v>
          </cell>
          <cell r="G5885" t="str">
            <v>IDESP</v>
          </cell>
          <cell r="L5885">
            <v>40833</v>
          </cell>
          <cell r="M5885">
            <v>4.24</v>
          </cell>
          <cell r="P5885">
            <v>6.3E-3</v>
          </cell>
        </row>
        <row r="5886">
          <cell r="A5886" t="str">
            <v>MID-003-3/8</v>
          </cell>
          <cell r="G5886" t="str">
            <v xml:space="preserve">INAC </v>
          </cell>
          <cell r="L5886">
            <v>41782</v>
          </cell>
          <cell r="M5886">
            <v>8.11</v>
          </cell>
          <cell r="P5886">
            <v>1.6892725030826145E-2</v>
          </cell>
        </row>
        <row r="5887">
          <cell r="A5887" t="str">
            <v>MID-003-5/16</v>
          </cell>
          <cell r="G5887" t="str">
            <v>IPFAP</v>
          </cell>
          <cell r="L5887">
            <v>42590</v>
          </cell>
          <cell r="M5887">
            <v>15.16</v>
          </cell>
          <cell r="P5887">
            <v>1.0501319261213721E-2</v>
          </cell>
        </row>
        <row r="5888">
          <cell r="A5888" t="str">
            <v>MID-004-6005-Z</v>
          </cell>
          <cell r="G5888" t="str">
            <v>IDESP</v>
          </cell>
          <cell r="L5888">
            <v>39108</v>
          </cell>
          <cell r="M5888">
            <v>3.0979999999999999</v>
          </cell>
          <cell r="P5888">
            <v>1.7999999999999999E-2</v>
          </cell>
        </row>
        <row r="5889">
          <cell r="A5889" t="str">
            <v>MID-004-RLD-6201-RED</v>
          </cell>
          <cell r="G5889" t="str">
            <v>INPE$</v>
          </cell>
          <cell r="L5889">
            <v>39787</v>
          </cell>
          <cell r="M5889">
            <v>3.4430000000000001</v>
          </cell>
          <cell r="P5889">
            <v>3.1948881789137379E-2</v>
          </cell>
        </row>
        <row r="5890">
          <cell r="A5890" t="str">
            <v>MID-004-RLD-6202-RED</v>
          </cell>
          <cell r="G5890" t="str">
            <v>INPEE</v>
          </cell>
          <cell r="L5890">
            <v>39129</v>
          </cell>
          <cell r="M5890">
            <v>3.1</v>
          </cell>
          <cell r="P5890">
            <v>0.02</v>
          </cell>
        </row>
        <row r="5891">
          <cell r="A5891" t="str">
            <v>MID-004-RLD-6203-RED</v>
          </cell>
          <cell r="G5891" t="str">
            <v xml:space="preserve">INAC </v>
          </cell>
          <cell r="L5891">
            <v>45664</v>
          </cell>
          <cell r="M5891">
            <v>1055</v>
          </cell>
          <cell r="P5891">
            <v>0.01</v>
          </cell>
        </row>
        <row r="5892">
          <cell r="A5892" t="str">
            <v>MID-004-RLD-6204-RED</v>
          </cell>
          <cell r="G5892" t="str">
            <v>INPEE</v>
          </cell>
          <cell r="L5892">
            <v>39155</v>
          </cell>
          <cell r="M5892">
            <v>3.101</v>
          </cell>
          <cell r="P5892">
            <v>0.02</v>
          </cell>
        </row>
        <row r="5893">
          <cell r="A5893" t="str">
            <v>MID-004-RLD-6205-RED</v>
          </cell>
          <cell r="G5893" t="str">
            <v>INPE$</v>
          </cell>
          <cell r="L5893">
            <v>40491</v>
          </cell>
          <cell r="M5893">
            <v>3.98</v>
          </cell>
          <cell r="P5893">
            <v>0.14070351758793972</v>
          </cell>
        </row>
        <row r="5894">
          <cell r="A5894" t="str">
            <v>MID-004-RLD-6206-RED</v>
          </cell>
          <cell r="G5894" t="str">
            <v>INPE$</v>
          </cell>
          <cell r="L5894">
            <v>40058</v>
          </cell>
          <cell r="M5894">
            <v>3.86</v>
          </cell>
          <cell r="P5894">
            <v>5.1813471502590677E-2</v>
          </cell>
        </row>
        <row r="5895">
          <cell r="A5895" t="str">
            <v>MID-004-RST-5209</v>
          </cell>
          <cell r="G5895" t="str">
            <v>IDESP</v>
          </cell>
          <cell r="L5895">
            <v>39248</v>
          </cell>
          <cell r="M5895">
            <v>3.0720000000000001</v>
          </cell>
          <cell r="P5895">
            <v>0.159</v>
          </cell>
        </row>
        <row r="5896">
          <cell r="A5896" t="str">
            <v>MID-004-RST-6208-UG</v>
          </cell>
          <cell r="G5896" t="str">
            <v>IDESP</v>
          </cell>
          <cell r="L5896">
            <v>39498</v>
          </cell>
          <cell r="M5896">
            <v>3.1539999999999999</v>
          </cell>
          <cell r="P5896">
            <v>0.155</v>
          </cell>
        </row>
        <row r="5897">
          <cell r="A5897" t="str">
            <v>MID-004-RST-6209-UG</v>
          </cell>
          <cell r="G5897" t="str">
            <v>IDESP</v>
          </cell>
          <cell r="L5897">
            <v>39498</v>
          </cell>
          <cell r="M5897">
            <v>3.1539999999999999</v>
          </cell>
          <cell r="P5897">
            <v>0.16700000000000001</v>
          </cell>
        </row>
        <row r="5898">
          <cell r="A5898" t="str">
            <v>MID-005-6005-RET/SET</v>
          </cell>
          <cell r="G5898" t="str">
            <v>InMuU</v>
          </cell>
          <cell r="L5898">
            <v>41116</v>
          </cell>
          <cell r="M5898">
            <v>4.59</v>
          </cell>
          <cell r="P5898">
            <v>0.03</v>
          </cell>
        </row>
        <row r="5899">
          <cell r="A5899" t="str">
            <v>MID-005-6006-RET/SET</v>
          </cell>
          <cell r="G5899" t="str">
            <v xml:space="preserve">CR   </v>
          </cell>
          <cell r="L5899">
            <v>38328</v>
          </cell>
          <cell r="M5899">
            <v>2.9849999999999999</v>
          </cell>
          <cell r="P5899">
            <v>1.7299999999999999E-2</v>
          </cell>
        </row>
        <row r="5900">
          <cell r="A5900" t="str">
            <v>MID-005-6203-RET/SET</v>
          </cell>
          <cell r="G5900" t="str">
            <v xml:space="preserve">CR   </v>
          </cell>
          <cell r="L5900">
            <v>38328</v>
          </cell>
          <cell r="M5900">
            <v>2.9849999999999999</v>
          </cell>
          <cell r="P5900">
            <v>1.0800000000000001E-2</v>
          </cell>
        </row>
        <row r="5901">
          <cell r="A5901" t="str">
            <v>MID-005-6204-RET/SET</v>
          </cell>
          <cell r="G5901" t="str">
            <v xml:space="preserve">CR   </v>
          </cell>
          <cell r="L5901">
            <v>38328</v>
          </cell>
          <cell r="M5901">
            <v>2.9849999999999999</v>
          </cell>
          <cell r="P5901">
            <v>1.7299999999999999E-2</v>
          </cell>
        </row>
        <row r="5902">
          <cell r="A5902" t="str">
            <v>MID-005-6205-RET/SET</v>
          </cell>
          <cell r="G5902" t="str">
            <v>IDESP</v>
          </cell>
          <cell r="L5902">
            <v>40693</v>
          </cell>
          <cell r="M5902">
            <v>4.12</v>
          </cell>
          <cell r="P5902">
            <v>3.9E-2</v>
          </cell>
        </row>
        <row r="5903">
          <cell r="A5903" t="str">
            <v>MID-005-6206-RET/SET</v>
          </cell>
          <cell r="G5903" t="str">
            <v>IDESP</v>
          </cell>
          <cell r="L5903">
            <v>38327</v>
          </cell>
          <cell r="M5903">
            <v>2.9769999999999999</v>
          </cell>
          <cell r="P5903">
            <v>0.02</v>
          </cell>
        </row>
        <row r="5904">
          <cell r="A5904" t="str">
            <v>MID-031-DAC-25520037</v>
          </cell>
          <cell r="G5904" t="str">
            <v>IPFAB</v>
          </cell>
          <cell r="L5904">
            <v>39465</v>
          </cell>
          <cell r="M5904">
            <v>3.15</v>
          </cell>
          <cell r="P5904">
            <v>2.78</v>
          </cell>
        </row>
        <row r="5905">
          <cell r="A5905" t="str">
            <v>MID-031-DAC-30600337</v>
          </cell>
          <cell r="G5905" t="str">
            <v>IPFAB</v>
          </cell>
          <cell r="L5905">
            <v>39465</v>
          </cell>
          <cell r="M5905">
            <v>3.15</v>
          </cell>
          <cell r="P5905">
            <v>2.7170000000000001</v>
          </cell>
        </row>
        <row r="5906">
          <cell r="A5906" t="str">
            <v>MID-031-DAC-34620037</v>
          </cell>
          <cell r="G5906" t="str">
            <v>IPFAB</v>
          </cell>
          <cell r="L5906">
            <v>39465</v>
          </cell>
          <cell r="M5906">
            <v>3.15</v>
          </cell>
          <cell r="P5906">
            <v>3.5</v>
          </cell>
        </row>
        <row r="5907">
          <cell r="A5907" t="str">
            <v>MID-031-DAC-34660037</v>
          </cell>
          <cell r="G5907" t="str">
            <v>IPFAB</v>
          </cell>
          <cell r="L5907">
            <v>39465</v>
          </cell>
          <cell r="M5907">
            <v>3.15</v>
          </cell>
          <cell r="P5907">
            <v>3.24</v>
          </cell>
        </row>
        <row r="5908">
          <cell r="A5908" t="str">
            <v>MID-031-DAC-35650035</v>
          </cell>
          <cell r="G5908" t="str">
            <v>IPFAB</v>
          </cell>
          <cell r="L5908">
            <v>39465</v>
          </cell>
          <cell r="M5908">
            <v>3.15</v>
          </cell>
          <cell r="P5908">
            <v>3.1554000000000002</v>
          </cell>
        </row>
        <row r="5909">
          <cell r="A5909" t="str">
            <v>MID-031-DAC-35660037</v>
          </cell>
          <cell r="G5909" t="str">
            <v>IPFAB</v>
          </cell>
          <cell r="L5909">
            <v>39465</v>
          </cell>
          <cell r="M5909">
            <v>3.15</v>
          </cell>
          <cell r="P5909">
            <v>3.5</v>
          </cell>
        </row>
        <row r="5910">
          <cell r="A5910" t="str">
            <v>MID-031-DAC-35680037</v>
          </cell>
          <cell r="G5910" t="str">
            <v>IDESP</v>
          </cell>
          <cell r="L5910">
            <v>39157</v>
          </cell>
          <cell r="M5910">
            <v>3.0979999999999999</v>
          </cell>
          <cell r="P5910">
            <v>3.37</v>
          </cell>
        </row>
        <row r="5911">
          <cell r="A5911" t="str">
            <v>MID-031-DAC-35720033</v>
          </cell>
          <cell r="G5911" t="str">
            <v>IPFAB</v>
          </cell>
          <cell r="L5911">
            <v>39465</v>
          </cell>
          <cell r="M5911">
            <v>3.15</v>
          </cell>
          <cell r="P5911">
            <v>3.1537000000000002</v>
          </cell>
        </row>
        <row r="5912">
          <cell r="A5912" t="str">
            <v>MID-031-DAC-37720037</v>
          </cell>
          <cell r="G5912" t="str">
            <v>IPFAB</v>
          </cell>
          <cell r="L5912">
            <v>39465</v>
          </cell>
          <cell r="M5912">
            <v>3.15</v>
          </cell>
          <cell r="P5912">
            <v>3.64</v>
          </cell>
        </row>
        <row r="5913">
          <cell r="A5913" t="str">
            <v>MID-031-DAC-39680037</v>
          </cell>
          <cell r="G5913" t="str">
            <v>IPFAB</v>
          </cell>
          <cell r="L5913">
            <v>39465</v>
          </cell>
          <cell r="M5913">
            <v>3.15</v>
          </cell>
          <cell r="P5913">
            <v>3.2753999999999999</v>
          </cell>
        </row>
        <row r="5914">
          <cell r="A5914" t="str">
            <v>MID-031-DAC-39720037</v>
          </cell>
          <cell r="G5914" t="str">
            <v>IPFAB</v>
          </cell>
          <cell r="L5914">
            <v>39465</v>
          </cell>
          <cell r="M5914">
            <v>3.15</v>
          </cell>
          <cell r="P5914">
            <v>3.0853000000000002</v>
          </cell>
        </row>
        <row r="5915">
          <cell r="A5915" t="str">
            <v>MID-031-DAC-39750037</v>
          </cell>
          <cell r="G5915" t="str">
            <v xml:space="preserve">INAC </v>
          </cell>
          <cell r="L5915">
            <v>41613</v>
          </cell>
          <cell r="M5915">
            <v>6.2</v>
          </cell>
          <cell r="P5915">
            <v>83.256451612903234</v>
          </cell>
        </row>
        <row r="5916">
          <cell r="A5916" t="str">
            <v>MID-031-DAC-4010800</v>
          </cell>
          <cell r="G5916" t="str">
            <v>IPFAB</v>
          </cell>
          <cell r="L5916">
            <v>39000</v>
          </cell>
          <cell r="M5916">
            <v>3.1059999999999999</v>
          </cell>
          <cell r="P5916">
            <v>6.25</v>
          </cell>
        </row>
        <row r="5917">
          <cell r="A5917" t="str">
            <v>MID-031-DAC-40720037</v>
          </cell>
          <cell r="G5917" t="str">
            <v>IPFAB</v>
          </cell>
          <cell r="L5917">
            <v>39465</v>
          </cell>
          <cell r="M5917">
            <v>3.15</v>
          </cell>
          <cell r="P5917">
            <v>4.3490000000000002</v>
          </cell>
        </row>
        <row r="5918">
          <cell r="A5918" t="str">
            <v>MID-031-DAC-42820036</v>
          </cell>
          <cell r="G5918" t="str">
            <v>IPFAB</v>
          </cell>
          <cell r="L5918">
            <v>39465</v>
          </cell>
          <cell r="M5918">
            <v>3.15</v>
          </cell>
          <cell r="P5918">
            <v>5.0738000000000003</v>
          </cell>
        </row>
        <row r="5919">
          <cell r="A5919" t="str">
            <v>MID-031-DAC-42820037</v>
          </cell>
          <cell r="G5919" t="str">
            <v>IPFAB</v>
          </cell>
          <cell r="L5919">
            <v>39465</v>
          </cell>
          <cell r="M5919">
            <v>3.15</v>
          </cell>
          <cell r="P5919">
            <v>4.9400000000000004</v>
          </cell>
        </row>
        <row r="5920">
          <cell r="A5920" t="str">
            <v>MID-031-DAC-42840039</v>
          </cell>
          <cell r="G5920" t="str">
            <v>IPFAB</v>
          </cell>
          <cell r="L5920">
            <v>39465</v>
          </cell>
          <cell r="M5920">
            <v>3.15</v>
          </cell>
          <cell r="P5920">
            <v>5</v>
          </cell>
        </row>
        <row r="5921">
          <cell r="A5921" t="str">
            <v>MID-031-DAC-45800045</v>
          </cell>
          <cell r="G5921" t="str">
            <v>IPFAB</v>
          </cell>
          <cell r="L5921">
            <v>39465</v>
          </cell>
          <cell r="M5921">
            <v>3.15</v>
          </cell>
          <cell r="P5921">
            <v>6.35</v>
          </cell>
        </row>
        <row r="5922">
          <cell r="A5922" t="str">
            <v>MID-031-NU-208</v>
          </cell>
          <cell r="G5922" t="str">
            <v>IDESP</v>
          </cell>
          <cell r="L5922">
            <v>38701</v>
          </cell>
          <cell r="M5922">
            <v>2.9980000000000002</v>
          </cell>
          <cell r="P5922">
            <v>2.6920000000000002</v>
          </cell>
        </row>
        <row r="5923">
          <cell r="A5923" t="str">
            <v>MID-035-BA-3616-ZOH</v>
          </cell>
          <cell r="G5923" t="str">
            <v>IDESP</v>
          </cell>
          <cell r="L5923">
            <v>38659</v>
          </cell>
          <cell r="M5923">
            <v>2.9860000000000002</v>
          </cell>
          <cell r="P5923">
            <v>0.75600000000000001</v>
          </cell>
        </row>
        <row r="5924">
          <cell r="A5924" t="str">
            <v>MID-035-HK-3016</v>
          </cell>
          <cell r="G5924" t="str">
            <v>IDESP</v>
          </cell>
          <cell r="L5924">
            <v>38894</v>
          </cell>
          <cell r="M5924">
            <v>3.081</v>
          </cell>
          <cell r="P5924">
            <v>0.33600000000000002</v>
          </cell>
        </row>
        <row r="5925">
          <cell r="A5925" t="str">
            <v>MID-035-IR-35-40-30M</v>
          </cell>
          <cell r="G5925" t="str">
            <v>IDESP</v>
          </cell>
          <cell r="L5925">
            <v>38835</v>
          </cell>
          <cell r="M5925">
            <v>3.044</v>
          </cell>
          <cell r="P5925">
            <v>0.78500000000000003</v>
          </cell>
        </row>
        <row r="5926">
          <cell r="A5926" t="str">
            <v>MID-035-NK-2520</v>
          </cell>
          <cell r="G5926" t="str">
            <v>IDESP</v>
          </cell>
          <cell r="L5926">
            <v>38894</v>
          </cell>
          <cell r="M5926">
            <v>3.081</v>
          </cell>
          <cell r="P5926">
            <v>0.999</v>
          </cell>
        </row>
        <row r="5927">
          <cell r="A5927" t="str">
            <v>MID-035-NK-5025</v>
          </cell>
          <cell r="G5927" t="str">
            <v>IDESP</v>
          </cell>
          <cell r="L5927">
            <v>38894</v>
          </cell>
          <cell r="M5927">
            <v>3.081</v>
          </cell>
          <cell r="P5927">
            <v>1.9990000000000001</v>
          </cell>
        </row>
        <row r="5928">
          <cell r="A5928" t="str">
            <v>MID-040-1205</v>
          </cell>
          <cell r="G5928" t="str">
            <v>IDESP</v>
          </cell>
          <cell r="L5928">
            <v>38917</v>
          </cell>
          <cell r="M5928">
            <v>3.0819999999999999</v>
          </cell>
          <cell r="P5928">
            <v>0.93899999999999995</v>
          </cell>
        </row>
        <row r="5929">
          <cell r="A5929" t="str">
            <v>MID-040-1206</v>
          </cell>
          <cell r="G5929" t="str">
            <v>IDESP</v>
          </cell>
          <cell r="L5929">
            <v>38917</v>
          </cell>
          <cell r="M5929">
            <v>3.0819999999999999</v>
          </cell>
          <cell r="P5929">
            <v>1.2030000000000001</v>
          </cell>
        </row>
        <row r="5930">
          <cell r="A5930" t="str">
            <v>MID-040-1206-K</v>
          </cell>
          <cell r="G5930" t="str">
            <v>IDESP</v>
          </cell>
          <cell r="L5930">
            <v>38917</v>
          </cell>
          <cell r="M5930">
            <v>3.0819999999999999</v>
          </cell>
          <cell r="P5930">
            <v>1.2210000000000001</v>
          </cell>
        </row>
        <row r="5931">
          <cell r="A5931" t="str">
            <v>MID-040-1207</v>
          </cell>
          <cell r="G5931" t="str">
            <v>IDESP</v>
          </cell>
          <cell r="L5931">
            <v>38917</v>
          </cell>
          <cell r="M5931">
            <v>3.0819999999999999</v>
          </cell>
          <cell r="P5931">
            <v>1.37</v>
          </cell>
        </row>
        <row r="5932">
          <cell r="A5932" t="str">
            <v>MID-040-1208</v>
          </cell>
          <cell r="G5932" t="str">
            <v>IDESP</v>
          </cell>
          <cell r="L5932">
            <v>38917</v>
          </cell>
          <cell r="M5932">
            <v>3.0819999999999999</v>
          </cell>
          <cell r="P5932">
            <v>1.6379999999999999</v>
          </cell>
        </row>
        <row r="5933">
          <cell r="A5933" t="str">
            <v>MID-040-1208-K</v>
          </cell>
          <cell r="G5933" t="str">
            <v>IDESP</v>
          </cell>
          <cell r="L5933">
            <v>38917</v>
          </cell>
          <cell r="M5933">
            <v>3.0819999999999999</v>
          </cell>
          <cell r="P5933">
            <v>1.7070000000000001</v>
          </cell>
        </row>
        <row r="5934">
          <cell r="A5934" t="str">
            <v>MID-040-1209-K</v>
          </cell>
          <cell r="G5934" t="str">
            <v>IDESP</v>
          </cell>
          <cell r="L5934">
            <v>38917</v>
          </cell>
          <cell r="M5934">
            <v>3.0819999999999999</v>
          </cell>
          <cell r="P5934">
            <v>1.9930000000000001</v>
          </cell>
        </row>
        <row r="5935">
          <cell r="A5935" t="str">
            <v>MID-040-1210-K</v>
          </cell>
          <cell r="G5935" t="str">
            <v>IDESP</v>
          </cell>
          <cell r="L5935">
            <v>38917</v>
          </cell>
          <cell r="M5935">
            <v>3.0819999999999999</v>
          </cell>
          <cell r="P5935">
            <v>2.2570000000000001</v>
          </cell>
        </row>
        <row r="5936">
          <cell r="A5936" t="str">
            <v>MID-040-1211</v>
          </cell>
          <cell r="G5936" t="str">
            <v>IDESP</v>
          </cell>
          <cell r="L5936">
            <v>38917</v>
          </cell>
          <cell r="M5936">
            <v>3.0819999999999999</v>
          </cell>
          <cell r="P5936">
            <v>2.7490000000000001</v>
          </cell>
        </row>
        <row r="5937">
          <cell r="A5937" t="str">
            <v>MID-040-1211-K</v>
          </cell>
          <cell r="G5937" t="str">
            <v>IDESP</v>
          </cell>
          <cell r="L5937">
            <v>38917</v>
          </cell>
          <cell r="M5937">
            <v>3.0819999999999999</v>
          </cell>
          <cell r="P5937">
            <v>2.8639999999999999</v>
          </cell>
        </row>
        <row r="5938">
          <cell r="A5938" t="str">
            <v>MID-040-1212</v>
          </cell>
          <cell r="G5938" t="str">
            <v>IDESP</v>
          </cell>
          <cell r="L5938">
            <v>38917</v>
          </cell>
          <cell r="M5938">
            <v>3.0819999999999999</v>
          </cell>
          <cell r="P5938">
            <v>3.3220000000000001</v>
          </cell>
        </row>
        <row r="5939">
          <cell r="A5939" t="str">
            <v>MID-040-1212-K</v>
          </cell>
          <cell r="G5939" t="str">
            <v>IDESP</v>
          </cell>
          <cell r="L5939">
            <v>38917</v>
          </cell>
          <cell r="M5939">
            <v>3.0819999999999999</v>
          </cell>
          <cell r="P5939">
            <v>3.379</v>
          </cell>
        </row>
        <row r="5940">
          <cell r="A5940" t="str">
            <v>MID-040-1213-K</v>
          </cell>
          <cell r="G5940" t="str">
            <v>IDESP</v>
          </cell>
          <cell r="L5940">
            <v>38917</v>
          </cell>
          <cell r="M5940">
            <v>3.0819999999999999</v>
          </cell>
          <cell r="P5940">
            <v>4.0659999999999998</v>
          </cell>
        </row>
        <row r="5941">
          <cell r="A5941" t="str">
            <v>MID-040-1307</v>
          </cell>
          <cell r="G5941" t="str">
            <v>IDESP</v>
          </cell>
          <cell r="L5941">
            <v>38630</v>
          </cell>
          <cell r="M5941">
            <v>2.9140000000000001</v>
          </cell>
          <cell r="P5941">
            <v>2.12</v>
          </cell>
        </row>
        <row r="5942">
          <cell r="A5942" t="str">
            <v>MID-040-1308</v>
          </cell>
          <cell r="G5942" t="str">
            <v>IDESP</v>
          </cell>
          <cell r="L5942">
            <v>38630</v>
          </cell>
          <cell r="M5942">
            <v>2.9140000000000001</v>
          </cell>
          <cell r="P5942">
            <v>2.64</v>
          </cell>
        </row>
        <row r="5943">
          <cell r="A5943" t="str">
            <v>MID-040-1310</v>
          </cell>
          <cell r="G5943" t="str">
            <v>IDESP</v>
          </cell>
          <cell r="L5943">
            <v>39036</v>
          </cell>
          <cell r="M5943">
            <v>3.0720000000000001</v>
          </cell>
          <cell r="P5943">
            <v>4.1239999999999997</v>
          </cell>
        </row>
        <row r="5944">
          <cell r="A5944" t="str">
            <v>MID-040-2200</v>
          </cell>
          <cell r="G5944" t="str">
            <v>IDESP</v>
          </cell>
          <cell r="L5944">
            <v>39072</v>
          </cell>
          <cell r="M5944">
            <v>3.052</v>
          </cell>
          <cell r="P5944">
            <v>0.89</v>
          </cell>
        </row>
        <row r="5945">
          <cell r="A5945" t="str">
            <v>MID-040-2202</v>
          </cell>
          <cell r="G5945" t="str">
            <v>IDESP</v>
          </cell>
          <cell r="L5945">
            <v>39332</v>
          </cell>
          <cell r="M5945">
            <v>3.1640000000000001</v>
          </cell>
          <cell r="P5945">
            <v>1.0900000000000001</v>
          </cell>
        </row>
        <row r="5946">
          <cell r="A5946" t="str">
            <v>MID-040-30309-RX</v>
          </cell>
          <cell r="G5946" t="str">
            <v>IDESP</v>
          </cell>
          <cell r="L5946">
            <v>38659</v>
          </cell>
          <cell r="M5946">
            <v>2.9860000000000002</v>
          </cell>
          <cell r="P5946">
            <v>2.577</v>
          </cell>
        </row>
        <row r="5947">
          <cell r="A5947" t="str">
            <v>MID-040-51105</v>
          </cell>
          <cell r="G5947" t="str">
            <v>IDESP</v>
          </cell>
          <cell r="L5947">
            <v>38730</v>
          </cell>
          <cell r="M5947">
            <v>3.0390000000000001</v>
          </cell>
          <cell r="P5947">
            <v>0.32600000000000001</v>
          </cell>
        </row>
        <row r="5948">
          <cell r="A5948" t="str">
            <v>MID-040-51109</v>
          </cell>
          <cell r="G5948" t="str">
            <v>IDESP</v>
          </cell>
          <cell r="L5948">
            <v>38730</v>
          </cell>
          <cell r="M5948">
            <v>3.0390000000000001</v>
          </cell>
          <cell r="P5948">
            <v>1.397</v>
          </cell>
        </row>
        <row r="5949">
          <cell r="A5949" t="str">
            <v>MID-040-51115</v>
          </cell>
          <cell r="G5949" t="str">
            <v>IDESP</v>
          </cell>
          <cell r="L5949">
            <v>39192</v>
          </cell>
          <cell r="M5949">
            <v>3.0880000000000001</v>
          </cell>
          <cell r="P5949">
            <v>2.383</v>
          </cell>
        </row>
        <row r="5950">
          <cell r="A5950" t="str">
            <v>MID-040-6200-ZZ</v>
          </cell>
          <cell r="G5950" t="str">
            <v>InRet</v>
          </cell>
          <cell r="L5950">
            <v>40028</v>
          </cell>
          <cell r="M5950">
            <v>3.84</v>
          </cell>
          <cell r="P5950">
            <v>0.170078125</v>
          </cell>
        </row>
        <row r="5951">
          <cell r="A5951" t="str">
            <v>MID-040-6211</v>
          </cell>
          <cell r="G5951" t="str">
            <v xml:space="preserve">CR   </v>
          </cell>
          <cell r="L5951">
            <v>38811</v>
          </cell>
          <cell r="M5951">
            <v>3.085</v>
          </cell>
          <cell r="P5951">
            <v>1.7464</v>
          </cell>
        </row>
        <row r="5952">
          <cell r="A5952" t="str">
            <v>MID-040-6211-2RS</v>
          </cell>
          <cell r="G5952" t="str">
            <v>IDESP</v>
          </cell>
          <cell r="L5952">
            <v>38576</v>
          </cell>
          <cell r="M5952">
            <v>2.8769999999999998</v>
          </cell>
          <cell r="P5952">
            <v>2.0299999999999998</v>
          </cell>
        </row>
        <row r="5953">
          <cell r="A5953" t="str">
            <v>MID-041-5208</v>
          </cell>
          <cell r="G5953" t="str">
            <v>IDESP</v>
          </cell>
          <cell r="L5953">
            <v>38715</v>
          </cell>
          <cell r="M5953">
            <v>3.04</v>
          </cell>
          <cell r="P5953">
            <v>2.8639999999999999</v>
          </cell>
        </row>
        <row r="5954">
          <cell r="A5954" t="str">
            <v>MID-041-6005-2RST</v>
          </cell>
          <cell r="G5954" t="str">
            <v>INPEE</v>
          </cell>
          <cell r="L5954">
            <v>38337</v>
          </cell>
          <cell r="M5954">
            <v>2.976</v>
          </cell>
          <cell r="P5954">
            <v>0.45</v>
          </cell>
        </row>
        <row r="5955">
          <cell r="A5955" t="str">
            <v>MID-041-6006-2RST</v>
          </cell>
          <cell r="G5955" t="str">
            <v>INPEE</v>
          </cell>
          <cell r="L5955">
            <v>38337</v>
          </cell>
          <cell r="M5955">
            <v>2.976</v>
          </cell>
          <cell r="P5955">
            <v>0.54</v>
          </cell>
        </row>
        <row r="5956">
          <cell r="A5956" t="str">
            <v>MID-041-6010</v>
          </cell>
          <cell r="G5956" t="str">
            <v>IDESP</v>
          </cell>
          <cell r="L5956">
            <v>38715</v>
          </cell>
          <cell r="M5956">
            <v>3.04</v>
          </cell>
          <cell r="P5956">
            <v>0.85899999999999999</v>
          </cell>
        </row>
        <row r="5957">
          <cell r="A5957" t="str">
            <v>MID-041-6011</v>
          </cell>
          <cell r="G5957" t="str">
            <v>IDESP</v>
          </cell>
          <cell r="L5957">
            <v>38715</v>
          </cell>
          <cell r="M5957">
            <v>3.04</v>
          </cell>
          <cell r="P5957">
            <v>1.18</v>
          </cell>
        </row>
        <row r="5958">
          <cell r="A5958" t="str">
            <v>MID-041-6301-2RS</v>
          </cell>
          <cell r="G5958" t="str">
            <v>IDESP</v>
          </cell>
          <cell r="L5958">
            <v>38965</v>
          </cell>
          <cell r="M5958">
            <v>3.0939999999999999</v>
          </cell>
          <cell r="P5958">
            <v>0.24199999999999999</v>
          </cell>
        </row>
        <row r="5959">
          <cell r="A5959" t="str">
            <v>MID-041-6302-2RS</v>
          </cell>
          <cell r="G5959" t="str">
            <v>IDESP</v>
          </cell>
          <cell r="L5959">
            <v>38965</v>
          </cell>
          <cell r="M5959">
            <v>3.0939999999999999</v>
          </cell>
          <cell r="P5959">
            <v>0.28299999999999997</v>
          </cell>
        </row>
        <row r="5960">
          <cell r="A5960" t="str">
            <v>MID-041-6309</v>
          </cell>
          <cell r="G5960" t="str">
            <v xml:space="preserve">CR   </v>
          </cell>
          <cell r="L5960">
            <v>38811</v>
          </cell>
          <cell r="M5960">
            <v>3.085</v>
          </cell>
          <cell r="P5960">
            <v>2.1753</v>
          </cell>
        </row>
        <row r="5961">
          <cell r="A5961" t="str">
            <v>MID-041-6805-2RLD-C3</v>
          </cell>
          <cell r="G5961" t="str">
            <v xml:space="preserve">CR   </v>
          </cell>
          <cell r="L5961">
            <v>39162</v>
          </cell>
          <cell r="M5961">
            <v>3.0990000000000002</v>
          </cell>
          <cell r="P5961">
            <v>0.27</v>
          </cell>
        </row>
        <row r="5962">
          <cell r="A5962" t="str">
            <v>MID-041-6905</v>
          </cell>
          <cell r="G5962" t="str">
            <v>IDESP</v>
          </cell>
          <cell r="L5962">
            <v>38978</v>
          </cell>
          <cell r="M5962">
            <v>3.0979999999999999</v>
          </cell>
          <cell r="P5962">
            <v>0.41299999999999998</v>
          </cell>
        </row>
        <row r="5963">
          <cell r="A5963" t="str">
            <v>MID-041-6905-2RLD-C3</v>
          </cell>
          <cell r="G5963" t="str">
            <v>INPEE</v>
          </cell>
          <cell r="L5963">
            <v>39129</v>
          </cell>
          <cell r="M5963">
            <v>3.1</v>
          </cell>
          <cell r="P5963">
            <v>0.52</v>
          </cell>
        </row>
        <row r="5964">
          <cell r="A5964" t="str">
            <v>MID-041-SS-6203-2RS</v>
          </cell>
          <cell r="G5964" t="str">
            <v>IDESP</v>
          </cell>
          <cell r="L5964">
            <v>38894</v>
          </cell>
          <cell r="M5964">
            <v>3.081</v>
          </cell>
          <cell r="P5964">
            <v>1.4890000000000001</v>
          </cell>
        </row>
        <row r="5965">
          <cell r="A5965" t="str">
            <v>MID-041-SS-6204-2RS</v>
          </cell>
          <cell r="G5965" t="str">
            <v>IDESP</v>
          </cell>
          <cell r="L5965">
            <v>38685</v>
          </cell>
          <cell r="M5965">
            <v>2.99</v>
          </cell>
          <cell r="P5965">
            <v>1.97</v>
          </cell>
        </row>
        <row r="5966">
          <cell r="A5966" t="str">
            <v>MID-041-SS-6204-HO</v>
          </cell>
          <cell r="G5966" t="str">
            <v>IDESP</v>
          </cell>
          <cell r="L5966">
            <v>38894</v>
          </cell>
          <cell r="M5966">
            <v>3.081</v>
          </cell>
          <cell r="P5966">
            <v>2.38</v>
          </cell>
        </row>
        <row r="5967">
          <cell r="A5967" t="str">
            <v>MID-041-SS-6205-2RS</v>
          </cell>
          <cell r="G5967" t="str">
            <v>IDESP</v>
          </cell>
          <cell r="L5967">
            <v>38685</v>
          </cell>
          <cell r="M5967">
            <v>2.99</v>
          </cell>
          <cell r="P5967">
            <v>2.6349999999999998</v>
          </cell>
        </row>
        <row r="5968">
          <cell r="A5968" t="str">
            <v>MID-041-SS-6206-2RS</v>
          </cell>
          <cell r="G5968" t="str">
            <v>IDESP</v>
          </cell>
          <cell r="L5968">
            <v>38685</v>
          </cell>
          <cell r="M5968">
            <v>2.99</v>
          </cell>
          <cell r="P5968">
            <v>4.181</v>
          </cell>
        </row>
        <row r="5969">
          <cell r="A5969" t="str">
            <v>MID-041-SS-6301-HO</v>
          </cell>
          <cell r="G5969" t="str">
            <v>INIMP</v>
          </cell>
          <cell r="L5969">
            <v>38771</v>
          </cell>
          <cell r="M5969">
            <v>3.073</v>
          </cell>
          <cell r="P5969">
            <v>2.52</v>
          </cell>
        </row>
        <row r="5970">
          <cell r="A5970" t="str">
            <v>MID-041-SS-6303-SB</v>
          </cell>
          <cell r="G5970" t="str">
            <v>IPFAB</v>
          </cell>
          <cell r="L5970">
            <v>39590</v>
          </cell>
          <cell r="M5970">
            <v>3.133</v>
          </cell>
          <cell r="P5970">
            <v>3.95</v>
          </cell>
        </row>
        <row r="5971">
          <cell r="A5971" t="str">
            <v>MID-045-PF-7-ZM</v>
          </cell>
          <cell r="G5971" t="str">
            <v>IPFAB</v>
          </cell>
          <cell r="L5971">
            <v>40981</v>
          </cell>
          <cell r="M5971">
            <v>4.3600000000000003</v>
          </cell>
          <cell r="P5971">
            <v>0.71899999999999997</v>
          </cell>
        </row>
        <row r="5972">
          <cell r="A5972" t="str">
            <v>MID-045-PFT-5Z</v>
          </cell>
          <cell r="G5972" t="str">
            <v>IDESP</v>
          </cell>
          <cell r="L5972">
            <v>38492</v>
          </cell>
          <cell r="M5972">
            <v>2.8849999999999998</v>
          </cell>
          <cell r="P5972">
            <v>0.71</v>
          </cell>
        </row>
        <row r="5973">
          <cell r="A5973" t="str">
            <v>MID-045-PFT-7-ZM</v>
          </cell>
          <cell r="G5973" t="str">
            <v>IDESP</v>
          </cell>
          <cell r="L5973">
            <v>38882</v>
          </cell>
          <cell r="M5973">
            <v>3.0830000000000002</v>
          </cell>
          <cell r="P5973">
            <v>0.91</v>
          </cell>
        </row>
        <row r="5974">
          <cell r="A5974" t="str">
            <v>MID-047-FT-205</v>
          </cell>
          <cell r="G5974" t="str">
            <v>IDESP</v>
          </cell>
          <cell r="L5974">
            <v>38849</v>
          </cell>
          <cell r="M5974">
            <v>3.0339999999999998</v>
          </cell>
          <cell r="P5974">
            <v>0.69899999999999995</v>
          </cell>
        </row>
        <row r="5975">
          <cell r="A5975" t="str">
            <v>MID-047-HA-209</v>
          </cell>
          <cell r="G5975" t="str">
            <v>IDESP</v>
          </cell>
          <cell r="L5975">
            <v>38965</v>
          </cell>
          <cell r="M5975">
            <v>3.0939999999999999</v>
          </cell>
          <cell r="P5975">
            <v>3.06</v>
          </cell>
        </row>
        <row r="5976">
          <cell r="A5976" t="str">
            <v>MID-047-T-213</v>
          </cell>
          <cell r="G5976" t="str">
            <v xml:space="preserve">CR   </v>
          </cell>
          <cell r="L5976">
            <v>38811</v>
          </cell>
          <cell r="M5976">
            <v>3.085</v>
          </cell>
          <cell r="P5976">
            <v>5.7249999999999996</v>
          </cell>
        </row>
        <row r="5977">
          <cell r="A5977" t="str">
            <v>MID-047-UCF-207-35MM</v>
          </cell>
          <cell r="G5977" t="str">
            <v>IDESP</v>
          </cell>
          <cell r="L5977">
            <v>39156</v>
          </cell>
          <cell r="M5977">
            <v>3.0979999999999999</v>
          </cell>
          <cell r="P5977">
            <v>2.9780000000000002</v>
          </cell>
        </row>
        <row r="5978">
          <cell r="A5978" t="str">
            <v>MID-047-UCFT207-35MM</v>
          </cell>
          <cell r="G5978" t="str">
            <v xml:space="preserve">CR   </v>
          </cell>
          <cell r="L5978">
            <v>38811</v>
          </cell>
          <cell r="M5978">
            <v>3.085</v>
          </cell>
          <cell r="P5978">
            <v>2.9687000000000001</v>
          </cell>
        </row>
        <row r="5979">
          <cell r="A5979" t="str">
            <v>MID-047-UCFT209-45MM</v>
          </cell>
          <cell r="G5979" t="str">
            <v xml:space="preserve">CR   </v>
          </cell>
          <cell r="L5979">
            <v>38811</v>
          </cell>
          <cell r="M5979">
            <v>3.085</v>
          </cell>
          <cell r="P5979">
            <v>3.9849000000000001</v>
          </cell>
        </row>
        <row r="5980">
          <cell r="A5980" t="str">
            <v>MID-047-UCP-208-40mm</v>
          </cell>
          <cell r="G5980" t="str">
            <v>IDESP</v>
          </cell>
          <cell r="L5980">
            <v>38715</v>
          </cell>
          <cell r="M5980">
            <v>3.04</v>
          </cell>
          <cell r="P5980">
            <v>3.55</v>
          </cell>
        </row>
        <row r="5981">
          <cell r="A5981" t="str">
            <v>MID-047-UCP-210-50mm</v>
          </cell>
          <cell r="G5981" t="str">
            <v>IDESP</v>
          </cell>
          <cell r="L5981">
            <v>38715</v>
          </cell>
          <cell r="M5981">
            <v>3.04</v>
          </cell>
          <cell r="P5981">
            <v>5.3259999999999996</v>
          </cell>
        </row>
        <row r="5982">
          <cell r="A5982" t="str">
            <v>MID-047-UCP-214-70mm</v>
          </cell>
          <cell r="G5982" t="str">
            <v>IDESP</v>
          </cell>
          <cell r="L5982">
            <v>38576</v>
          </cell>
          <cell r="M5982">
            <v>2.8769999999999998</v>
          </cell>
          <cell r="P5982">
            <v>11.683999999999999</v>
          </cell>
        </row>
        <row r="5983">
          <cell r="A5983" t="str">
            <v>MID-047-UCP207-35MM</v>
          </cell>
          <cell r="G5983" t="str">
            <v>IDESP</v>
          </cell>
          <cell r="L5983">
            <v>38685</v>
          </cell>
          <cell r="M5983">
            <v>2.99</v>
          </cell>
          <cell r="P5983">
            <v>2.98</v>
          </cell>
        </row>
        <row r="5984">
          <cell r="A5984" t="str">
            <v>MID-047-UK-205</v>
          </cell>
          <cell r="G5984" t="str">
            <v>IDESP</v>
          </cell>
          <cell r="L5984">
            <v>38924</v>
          </cell>
          <cell r="M5984">
            <v>3.0779999999999998</v>
          </cell>
          <cell r="P5984">
            <v>1.26</v>
          </cell>
        </row>
        <row r="5985">
          <cell r="A5985" t="str">
            <v>MID-047-UK-206</v>
          </cell>
          <cell r="G5985" t="str">
            <v>IDESP</v>
          </cell>
          <cell r="L5985">
            <v>38924</v>
          </cell>
          <cell r="M5985">
            <v>3.0779999999999998</v>
          </cell>
          <cell r="P5985">
            <v>1.49</v>
          </cell>
        </row>
        <row r="5986">
          <cell r="A5986" t="str">
            <v>MID-047-UK-207</v>
          </cell>
          <cell r="G5986" t="str">
            <v>IDESP</v>
          </cell>
          <cell r="L5986">
            <v>38924</v>
          </cell>
          <cell r="M5986">
            <v>3.0779999999999998</v>
          </cell>
          <cell r="P5986">
            <v>1.97</v>
          </cell>
        </row>
        <row r="5987">
          <cell r="A5987" t="str">
            <v>MID-047-UK-208</v>
          </cell>
          <cell r="G5987" t="str">
            <v>IDESP</v>
          </cell>
          <cell r="L5987">
            <v>38685</v>
          </cell>
          <cell r="M5987">
            <v>2.99</v>
          </cell>
          <cell r="P5987">
            <v>2.3250000000000002</v>
          </cell>
        </row>
        <row r="5988">
          <cell r="A5988" t="str">
            <v>MID-047-UK-209</v>
          </cell>
          <cell r="G5988" t="str">
            <v>IDESP</v>
          </cell>
          <cell r="L5988">
            <v>38685</v>
          </cell>
          <cell r="M5988">
            <v>2.99</v>
          </cell>
          <cell r="P5988">
            <v>2.806</v>
          </cell>
        </row>
        <row r="5989">
          <cell r="A5989" t="str">
            <v>MID-047-UK-210</v>
          </cell>
          <cell r="G5989" t="str">
            <v>IDESP</v>
          </cell>
          <cell r="L5989">
            <v>38685</v>
          </cell>
          <cell r="M5989">
            <v>2.99</v>
          </cell>
          <cell r="P5989">
            <v>3.4359999999999999</v>
          </cell>
        </row>
        <row r="5990">
          <cell r="A5990" t="str">
            <v>MID-047-UK-211</v>
          </cell>
          <cell r="G5990" t="str">
            <v>IDESP</v>
          </cell>
          <cell r="L5990">
            <v>38924</v>
          </cell>
          <cell r="M5990">
            <v>3.0779999999999998</v>
          </cell>
          <cell r="P5990">
            <v>4.32</v>
          </cell>
        </row>
        <row r="5991">
          <cell r="A5991" t="str">
            <v>MID-047-UK-212</v>
          </cell>
          <cell r="G5991" t="str">
            <v>IDESP</v>
          </cell>
          <cell r="L5991">
            <v>38924</v>
          </cell>
          <cell r="M5991">
            <v>3.0779999999999998</v>
          </cell>
          <cell r="P5991">
            <v>5.34</v>
          </cell>
        </row>
        <row r="5992">
          <cell r="A5992" t="str">
            <v>MID-047-UK-213</v>
          </cell>
          <cell r="G5992" t="str">
            <v>IDESP</v>
          </cell>
          <cell r="L5992">
            <v>38924</v>
          </cell>
          <cell r="M5992">
            <v>3.0779999999999998</v>
          </cell>
          <cell r="P5992">
            <v>7.07</v>
          </cell>
        </row>
        <row r="5993">
          <cell r="A5993" t="str">
            <v>MID-047-UK-216</v>
          </cell>
          <cell r="G5993" t="str">
            <v>IDESP</v>
          </cell>
          <cell r="L5993">
            <v>38924</v>
          </cell>
          <cell r="M5993">
            <v>3.0779999999999998</v>
          </cell>
          <cell r="P5993">
            <v>14.55</v>
          </cell>
        </row>
        <row r="5994">
          <cell r="A5994" t="str">
            <v>MID-047-UK-217</v>
          </cell>
          <cell r="G5994" t="str">
            <v>IDESP</v>
          </cell>
          <cell r="L5994">
            <v>38924</v>
          </cell>
          <cell r="M5994">
            <v>3.0779999999999998</v>
          </cell>
          <cell r="P5994">
            <v>17.02</v>
          </cell>
        </row>
        <row r="5995">
          <cell r="A5995" t="str">
            <v>MID-047-UK-218</v>
          </cell>
          <cell r="G5995" t="str">
            <v>IDESP</v>
          </cell>
          <cell r="L5995">
            <v>38924</v>
          </cell>
          <cell r="M5995">
            <v>3.0779999999999998</v>
          </cell>
          <cell r="P5995">
            <v>23.3</v>
          </cell>
        </row>
        <row r="5996">
          <cell r="A5996" t="str">
            <v>MID-048-205-KRR2</v>
          </cell>
          <cell r="G5996" t="str">
            <v>IDESP</v>
          </cell>
          <cell r="L5996">
            <v>39576</v>
          </cell>
          <cell r="M5996">
            <v>3.1840000000000002</v>
          </cell>
          <cell r="P5996">
            <v>1.226</v>
          </cell>
        </row>
        <row r="5997">
          <cell r="A5997" t="str">
            <v>MID-048-205-KRRB2</v>
          </cell>
          <cell r="G5997" t="str">
            <v>IDESP</v>
          </cell>
          <cell r="L5997">
            <v>39281</v>
          </cell>
          <cell r="M5997">
            <v>3.101</v>
          </cell>
          <cell r="P5997">
            <v>2.14</v>
          </cell>
        </row>
        <row r="5998">
          <cell r="A5998" t="str">
            <v>MID-048-CSK-25PP</v>
          </cell>
          <cell r="G5998" t="str">
            <v>IDESP</v>
          </cell>
          <cell r="L5998">
            <v>38965</v>
          </cell>
          <cell r="M5998">
            <v>3.0939999999999999</v>
          </cell>
          <cell r="P5998">
            <v>3.7229999999999999</v>
          </cell>
        </row>
        <row r="5999">
          <cell r="A5999" t="str">
            <v>MID-051-H-205</v>
          </cell>
          <cell r="G5999" t="str">
            <v xml:space="preserve">INSI </v>
          </cell>
          <cell r="L5999">
            <v>39513</v>
          </cell>
          <cell r="M5999">
            <v>3.1520000000000001</v>
          </cell>
          <cell r="P5999">
            <v>0.49</v>
          </cell>
        </row>
        <row r="6000">
          <cell r="A6000" t="str">
            <v>MID-051-H-207</v>
          </cell>
          <cell r="G6000" t="str">
            <v>IDESP</v>
          </cell>
          <cell r="L6000">
            <v>38882</v>
          </cell>
          <cell r="M6000">
            <v>3.0830000000000002</v>
          </cell>
          <cell r="P6000">
            <v>0.62</v>
          </cell>
        </row>
        <row r="6001">
          <cell r="A6001" t="str">
            <v>MID-051-H-208</v>
          </cell>
          <cell r="G6001" t="str">
            <v>IDESP</v>
          </cell>
          <cell r="L6001">
            <v>38882</v>
          </cell>
          <cell r="M6001">
            <v>3.0830000000000002</v>
          </cell>
          <cell r="P6001">
            <v>0.71</v>
          </cell>
        </row>
        <row r="6002">
          <cell r="A6002" t="str">
            <v>MID-051-H-209</v>
          </cell>
          <cell r="G6002" t="str">
            <v>IDESP</v>
          </cell>
          <cell r="L6002">
            <v>38882</v>
          </cell>
          <cell r="M6002">
            <v>3.0830000000000002</v>
          </cell>
          <cell r="P6002">
            <v>0.8</v>
          </cell>
        </row>
        <row r="6003">
          <cell r="A6003" t="str">
            <v>MID-051-H-210</v>
          </cell>
          <cell r="G6003" t="str">
            <v>IDESP</v>
          </cell>
          <cell r="L6003">
            <v>38882</v>
          </cell>
          <cell r="M6003">
            <v>3.0830000000000002</v>
          </cell>
          <cell r="P6003">
            <v>0.96</v>
          </cell>
        </row>
        <row r="6004">
          <cell r="A6004" t="str">
            <v>MID-051-H-212</v>
          </cell>
          <cell r="G6004" t="str">
            <v>IDESP</v>
          </cell>
          <cell r="L6004">
            <v>38882</v>
          </cell>
          <cell r="M6004">
            <v>3.0830000000000002</v>
          </cell>
          <cell r="P6004">
            <v>1.1499999999999999</v>
          </cell>
        </row>
        <row r="6005">
          <cell r="A6005" t="str">
            <v>MID-051-H-213</v>
          </cell>
          <cell r="G6005" t="str">
            <v>IDESP</v>
          </cell>
          <cell r="L6005">
            <v>38882</v>
          </cell>
          <cell r="M6005">
            <v>3.0830000000000002</v>
          </cell>
          <cell r="P6005">
            <v>1.43</v>
          </cell>
        </row>
        <row r="6006">
          <cell r="A6006" t="str">
            <v>MID-051-H-214</v>
          </cell>
          <cell r="G6006" t="str">
            <v>IDESP</v>
          </cell>
          <cell r="L6006">
            <v>38882</v>
          </cell>
          <cell r="M6006">
            <v>3.0830000000000002</v>
          </cell>
          <cell r="P6006">
            <v>1.76</v>
          </cell>
        </row>
        <row r="6007">
          <cell r="A6007" t="str">
            <v>MID-051-H-216</v>
          </cell>
          <cell r="G6007" t="str">
            <v>IDESP</v>
          </cell>
          <cell r="L6007">
            <v>38882</v>
          </cell>
          <cell r="M6007">
            <v>3.0830000000000002</v>
          </cell>
          <cell r="P6007">
            <v>2.4500000000000002</v>
          </cell>
        </row>
        <row r="6008">
          <cell r="A6008" t="str">
            <v>MID-051-H-217</v>
          </cell>
          <cell r="G6008" t="str">
            <v>IDESP</v>
          </cell>
          <cell r="L6008">
            <v>38882</v>
          </cell>
          <cell r="M6008">
            <v>3.0830000000000002</v>
          </cell>
          <cell r="P6008">
            <v>3.04</v>
          </cell>
        </row>
        <row r="6009">
          <cell r="A6009" t="str">
            <v>MID-051-H-218</v>
          </cell>
          <cell r="G6009" t="str">
            <v>IDESP</v>
          </cell>
          <cell r="L6009">
            <v>38882</v>
          </cell>
          <cell r="M6009">
            <v>3.0830000000000002</v>
          </cell>
          <cell r="P6009">
            <v>3.67</v>
          </cell>
        </row>
        <row r="6010">
          <cell r="A6010" t="str">
            <v>MID-053-104949</v>
          </cell>
          <cell r="G6010" t="str">
            <v>IDESP</v>
          </cell>
          <cell r="L6010">
            <v>38693</v>
          </cell>
          <cell r="M6010">
            <v>2.9969999999999999</v>
          </cell>
          <cell r="P6010">
            <v>1.1559999999999999</v>
          </cell>
        </row>
        <row r="6011">
          <cell r="A6011" t="str">
            <v>MID-053-68149</v>
          </cell>
          <cell r="G6011" t="str">
            <v>INPEE</v>
          </cell>
          <cell r="L6011">
            <v>38565</v>
          </cell>
          <cell r="M6011">
            <v>2.8610000000000002</v>
          </cell>
          <cell r="P6011">
            <v>0.68</v>
          </cell>
        </row>
        <row r="6012">
          <cell r="A6012" t="str">
            <v>MID-053-740</v>
          </cell>
          <cell r="G6012" t="str">
            <v>IDESP</v>
          </cell>
          <cell r="L6012">
            <v>39288</v>
          </cell>
          <cell r="M6012">
            <v>3.16</v>
          </cell>
          <cell r="P6012">
            <v>7.18</v>
          </cell>
        </row>
        <row r="6013">
          <cell r="A6013" t="str">
            <v>MID-053-759</v>
          </cell>
          <cell r="G6013" t="str">
            <v>IDESP</v>
          </cell>
          <cell r="L6013">
            <v>39288</v>
          </cell>
          <cell r="M6013">
            <v>3.16</v>
          </cell>
          <cell r="P6013">
            <v>7.4829999999999997</v>
          </cell>
        </row>
        <row r="6014">
          <cell r="A6014" t="str">
            <v>MID-053-JRME-2047CON</v>
          </cell>
          <cell r="G6014" t="str">
            <v>IDESP</v>
          </cell>
          <cell r="L6014">
            <v>39279</v>
          </cell>
          <cell r="M6014">
            <v>3.1</v>
          </cell>
          <cell r="P6014">
            <v>3.2871999999999999</v>
          </cell>
        </row>
        <row r="6015">
          <cell r="A6015" t="str">
            <v>MID-053-JRME-2549CON</v>
          </cell>
          <cell r="G6015" t="str">
            <v>IDESP</v>
          </cell>
          <cell r="L6015">
            <v>40553</v>
          </cell>
          <cell r="M6015">
            <v>4</v>
          </cell>
          <cell r="P6015">
            <v>1.9731000000000001</v>
          </cell>
        </row>
        <row r="6016">
          <cell r="A6016" t="str">
            <v>MID-053-JRME3062-CON</v>
          </cell>
          <cell r="G6016" t="str">
            <v>IDESP</v>
          </cell>
          <cell r="L6016">
            <v>45020</v>
          </cell>
          <cell r="M6016">
            <v>216.5</v>
          </cell>
          <cell r="P6016">
            <v>2.35</v>
          </cell>
        </row>
        <row r="6017">
          <cell r="A6017" t="str">
            <v>MID-053-X-30216-MX</v>
          </cell>
          <cell r="G6017" t="str">
            <v>IDESP</v>
          </cell>
          <cell r="L6017">
            <v>38505</v>
          </cell>
          <cell r="M6017">
            <v>2.8860000000000001</v>
          </cell>
          <cell r="P6017">
            <v>4.0830000000000002</v>
          </cell>
        </row>
        <row r="6018">
          <cell r="A6018" t="str">
            <v>MID-053-X-30310-MX</v>
          </cell>
          <cell r="G6018" t="str">
            <v>IDESP</v>
          </cell>
          <cell r="L6018">
            <v>38505</v>
          </cell>
          <cell r="M6018">
            <v>2.8860000000000001</v>
          </cell>
          <cell r="P6018">
            <v>2.38</v>
          </cell>
        </row>
        <row r="6019">
          <cell r="A6019" t="str">
            <v>MID-053-X-32006-MX</v>
          </cell>
          <cell r="G6019" t="str">
            <v xml:space="preserve">CR   </v>
          </cell>
          <cell r="L6019">
            <v>38624</v>
          </cell>
          <cell r="M6019">
            <v>2.915</v>
          </cell>
          <cell r="P6019">
            <v>0.95369999999999999</v>
          </cell>
        </row>
        <row r="6020">
          <cell r="A6020" t="str">
            <v>MID-053-X-32011</v>
          </cell>
          <cell r="G6020" t="str">
            <v>IDESP</v>
          </cell>
          <cell r="L6020">
            <v>38693</v>
          </cell>
          <cell r="M6020">
            <v>2.9969999999999999</v>
          </cell>
          <cell r="P6020">
            <v>2.2440000000000002</v>
          </cell>
        </row>
        <row r="6021">
          <cell r="A6021" t="str">
            <v>MID-053-X-32205-MX</v>
          </cell>
          <cell r="G6021" t="str">
            <v>IDESP</v>
          </cell>
          <cell r="L6021">
            <v>38629</v>
          </cell>
          <cell r="M6021">
            <v>2.9089999999999998</v>
          </cell>
          <cell r="P6021">
            <v>0.74399999999999999</v>
          </cell>
        </row>
        <row r="6022">
          <cell r="A6022" t="str">
            <v>MID-053-X-32206-MX</v>
          </cell>
          <cell r="G6022" t="str">
            <v>IDESP</v>
          </cell>
          <cell r="L6022">
            <v>38327</v>
          </cell>
          <cell r="M6022">
            <v>2.9769999999999999</v>
          </cell>
          <cell r="P6022">
            <v>0.83299999999999996</v>
          </cell>
        </row>
        <row r="6023">
          <cell r="A6023" t="str">
            <v>MID-053-X-32207</v>
          </cell>
          <cell r="G6023" t="str">
            <v>IDESP</v>
          </cell>
          <cell r="L6023">
            <v>38576</v>
          </cell>
          <cell r="M6023">
            <v>2.8769999999999998</v>
          </cell>
          <cell r="P6023">
            <v>1.1305000000000001</v>
          </cell>
        </row>
        <row r="6024">
          <cell r="A6024" t="str">
            <v>MID-053-X-32215-MX</v>
          </cell>
          <cell r="G6024" t="str">
            <v xml:space="preserve">CR   </v>
          </cell>
          <cell r="L6024">
            <v>38624</v>
          </cell>
          <cell r="M6024">
            <v>2.915</v>
          </cell>
          <cell r="P6024">
            <v>3.8744000000000001</v>
          </cell>
        </row>
        <row r="6025">
          <cell r="A6025" t="str">
            <v>MID-053-X-32217-MX</v>
          </cell>
          <cell r="G6025" t="str">
            <v>IDESP</v>
          </cell>
          <cell r="L6025">
            <v>38629</v>
          </cell>
          <cell r="M6025">
            <v>2.9089999999999998</v>
          </cell>
          <cell r="P6025">
            <v>5.45</v>
          </cell>
        </row>
        <row r="6026">
          <cell r="A6026" t="str">
            <v>MID-053-X-32218-MX</v>
          </cell>
          <cell r="G6026" t="str">
            <v>IDESP</v>
          </cell>
          <cell r="L6026">
            <v>38693</v>
          </cell>
          <cell r="M6026">
            <v>2.9969999999999999</v>
          </cell>
          <cell r="P6026">
            <v>6.6559999999999997</v>
          </cell>
        </row>
        <row r="6027">
          <cell r="A6027" t="str">
            <v>MID-053-X-32308-MX</v>
          </cell>
          <cell r="G6027" t="str">
            <v>IDESP</v>
          </cell>
          <cell r="L6027">
            <v>38505</v>
          </cell>
          <cell r="M6027">
            <v>2.8860000000000001</v>
          </cell>
          <cell r="P6027">
            <v>2.1669999999999998</v>
          </cell>
        </row>
        <row r="6028">
          <cell r="A6028" t="str">
            <v>MID-053-X-32309</v>
          </cell>
          <cell r="G6028" t="str">
            <v>IDESP</v>
          </cell>
          <cell r="L6028">
            <v>38649</v>
          </cell>
          <cell r="M6028">
            <v>2.9820000000000002</v>
          </cell>
          <cell r="P6028">
            <v>2.8460000000000001</v>
          </cell>
        </row>
        <row r="6029">
          <cell r="A6029" t="str">
            <v>MID-053-X-33110-MX</v>
          </cell>
          <cell r="G6029" t="str">
            <v>IDESP</v>
          </cell>
          <cell r="L6029">
            <v>38505</v>
          </cell>
          <cell r="M6029">
            <v>2.8860000000000001</v>
          </cell>
          <cell r="P6029">
            <v>3.0449999999999999</v>
          </cell>
        </row>
        <row r="6030">
          <cell r="A6030" t="str">
            <v>MID-053-X-51118-MX</v>
          </cell>
          <cell r="G6030" t="str">
            <v>IDESP</v>
          </cell>
          <cell r="L6030">
            <v>38505</v>
          </cell>
          <cell r="M6030">
            <v>2.8860000000000001</v>
          </cell>
          <cell r="P6030">
            <v>1.9670000000000001</v>
          </cell>
        </row>
        <row r="6031">
          <cell r="A6031" t="str">
            <v>MID-053-X-51305-MX</v>
          </cell>
          <cell r="G6031" t="str">
            <v>IDESP</v>
          </cell>
          <cell r="L6031">
            <v>38505</v>
          </cell>
          <cell r="M6031">
            <v>2.8860000000000001</v>
          </cell>
          <cell r="P6031">
            <v>0.60199999999999998</v>
          </cell>
        </row>
        <row r="6032">
          <cell r="A6032" t="str">
            <v>MID-053-X-86649</v>
          </cell>
          <cell r="G6032" t="str">
            <v>IDESP</v>
          </cell>
          <cell r="L6032">
            <v>38685</v>
          </cell>
          <cell r="M6032">
            <v>2.99</v>
          </cell>
          <cell r="P6032">
            <v>1.3468</v>
          </cell>
        </row>
        <row r="6033">
          <cell r="A6033" t="str">
            <v>MID-054-104911</v>
          </cell>
          <cell r="G6033" t="str">
            <v>IDESP</v>
          </cell>
          <cell r="L6033">
            <v>38894</v>
          </cell>
          <cell r="M6033">
            <v>3.081</v>
          </cell>
          <cell r="P6033">
            <v>0.48899999999999999</v>
          </cell>
        </row>
        <row r="6034">
          <cell r="A6034" t="str">
            <v>MID-054-68110</v>
          </cell>
          <cell r="G6034" t="str">
            <v>INPEE</v>
          </cell>
          <cell r="L6034">
            <v>38565</v>
          </cell>
          <cell r="M6034">
            <v>2.8610000000000002</v>
          </cell>
          <cell r="P6034">
            <v>0.3</v>
          </cell>
        </row>
        <row r="6035">
          <cell r="A6035" t="str">
            <v>MID-054-742</v>
          </cell>
          <cell r="G6035" t="str">
            <v>IDESP</v>
          </cell>
          <cell r="L6035">
            <v>39255</v>
          </cell>
          <cell r="M6035">
            <v>3.0819999999999999</v>
          </cell>
          <cell r="P6035">
            <v>3.3820000000000001</v>
          </cell>
        </row>
        <row r="6036">
          <cell r="A6036" t="str">
            <v>MID-054-752</v>
          </cell>
          <cell r="G6036" t="str">
            <v>IDESP</v>
          </cell>
          <cell r="L6036">
            <v>39255</v>
          </cell>
          <cell r="M6036">
            <v>3.0819999999999999</v>
          </cell>
          <cell r="P6036">
            <v>3.528</v>
          </cell>
        </row>
        <row r="6037">
          <cell r="A6037" t="str">
            <v>MID-054-JRME-2047CUP</v>
          </cell>
          <cell r="G6037" t="str">
            <v>IDESP</v>
          </cell>
          <cell r="L6037">
            <v>39218</v>
          </cell>
          <cell r="M6037">
            <v>3.0760000000000001</v>
          </cell>
          <cell r="P6037">
            <v>1.4088000000000001</v>
          </cell>
        </row>
        <row r="6038">
          <cell r="A6038" t="str">
            <v>MID-054-JRME-2549CUP</v>
          </cell>
          <cell r="G6038" t="str">
            <v>IDESP</v>
          </cell>
          <cell r="L6038">
            <v>39647</v>
          </cell>
          <cell r="M6038">
            <v>3.0230000000000001</v>
          </cell>
          <cell r="P6038">
            <v>1.5438000000000001</v>
          </cell>
        </row>
        <row r="6039">
          <cell r="A6039" t="str">
            <v>MID-054-JRME3062-CUP</v>
          </cell>
          <cell r="G6039" t="str">
            <v>IDESP</v>
          </cell>
          <cell r="L6039">
            <v>45020</v>
          </cell>
          <cell r="M6039">
            <v>216.5</v>
          </cell>
          <cell r="P6039">
            <v>2.02</v>
          </cell>
        </row>
        <row r="6040">
          <cell r="A6040" t="str">
            <v>MID-054-Y-30216-MX</v>
          </cell>
          <cell r="G6040" t="str">
            <v>IDESP</v>
          </cell>
          <cell r="L6040">
            <v>38492</v>
          </cell>
          <cell r="M6040">
            <v>2.8849999999999998</v>
          </cell>
          <cell r="P6040">
            <v>1.575</v>
          </cell>
        </row>
        <row r="6041">
          <cell r="A6041" t="str">
            <v>MID-054-Y-30310-MX</v>
          </cell>
          <cell r="G6041" t="str">
            <v>IDESP</v>
          </cell>
          <cell r="L6041">
            <v>38492</v>
          </cell>
          <cell r="M6041">
            <v>2.8849999999999998</v>
          </cell>
          <cell r="P6041">
            <v>0.91800000000000004</v>
          </cell>
        </row>
        <row r="6042">
          <cell r="A6042" t="str">
            <v>MID-054-Y-32006-MX</v>
          </cell>
          <cell r="G6042" t="str">
            <v xml:space="preserve">CR   </v>
          </cell>
          <cell r="L6042">
            <v>38624</v>
          </cell>
          <cell r="M6042">
            <v>2.915</v>
          </cell>
          <cell r="P6042">
            <v>0.38579999999999998</v>
          </cell>
        </row>
        <row r="6043">
          <cell r="A6043" t="str">
            <v>MID-054-Y-32011</v>
          </cell>
          <cell r="G6043" t="str">
            <v>IDESP</v>
          </cell>
          <cell r="L6043">
            <v>38894</v>
          </cell>
          <cell r="M6043">
            <v>3.081</v>
          </cell>
          <cell r="P6043">
            <v>0.96199999999999997</v>
          </cell>
        </row>
        <row r="6044">
          <cell r="A6044" t="str">
            <v>MID-054-Y-32205-MX</v>
          </cell>
          <cell r="G6044" t="str">
            <v xml:space="preserve">CR   </v>
          </cell>
          <cell r="L6044">
            <v>38811</v>
          </cell>
          <cell r="M6044">
            <v>3.085</v>
          </cell>
          <cell r="P6044">
            <v>0.33600000000000002</v>
          </cell>
        </row>
        <row r="6045">
          <cell r="A6045" t="str">
            <v>MID-054-Y-32206-MX</v>
          </cell>
          <cell r="G6045" t="str">
            <v>INPEE</v>
          </cell>
          <cell r="L6045">
            <v>38328</v>
          </cell>
          <cell r="M6045">
            <v>2.9849999999999999</v>
          </cell>
          <cell r="P6045">
            <v>0.34</v>
          </cell>
        </row>
        <row r="6046">
          <cell r="A6046" t="str">
            <v>MID-054-Y-32207</v>
          </cell>
          <cell r="G6046" t="str">
            <v xml:space="preserve">CR   </v>
          </cell>
          <cell r="L6046">
            <v>38624</v>
          </cell>
          <cell r="M6046">
            <v>2.915</v>
          </cell>
          <cell r="P6046">
            <v>0.53300000000000003</v>
          </cell>
        </row>
        <row r="6047">
          <cell r="A6047" t="str">
            <v>MID-054-Y-32215-MX</v>
          </cell>
          <cell r="G6047" t="str">
            <v>IDESP</v>
          </cell>
          <cell r="L6047">
            <v>38492</v>
          </cell>
          <cell r="M6047">
            <v>2.8849999999999998</v>
          </cell>
          <cell r="P6047">
            <v>1.5111000000000001</v>
          </cell>
        </row>
        <row r="6048">
          <cell r="A6048" t="str">
            <v>MID-054-Y-32217-MX</v>
          </cell>
          <cell r="G6048" t="str">
            <v xml:space="preserve">CR   </v>
          </cell>
          <cell r="L6048">
            <v>38624</v>
          </cell>
          <cell r="M6048">
            <v>2.915</v>
          </cell>
          <cell r="P6048">
            <v>2.4935999999999998</v>
          </cell>
        </row>
        <row r="6049">
          <cell r="A6049" t="str">
            <v>MID-054-Y-32218-MX</v>
          </cell>
          <cell r="G6049" t="str">
            <v>IDESP</v>
          </cell>
          <cell r="L6049">
            <v>38701</v>
          </cell>
          <cell r="M6049">
            <v>2.9980000000000002</v>
          </cell>
          <cell r="P6049">
            <v>2.8559999999999999</v>
          </cell>
        </row>
        <row r="6050">
          <cell r="A6050" t="str">
            <v>MID-054-Y-32308-MX</v>
          </cell>
          <cell r="G6050" t="str">
            <v>IDESP</v>
          </cell>
          <cell r="L6050">
            <v>38492</v>
          </cell>
          <cell r="M6050">
            <v>2.8849999999999998</v>
          </cell>
          <cell r="P6050">
            <v>0.92220000000000002</v>
          </cell>
        </row>
        <row r="6051">
          <cell r="A6051" t="str">
            <v>MID-054-Y-32309</v>
          </cell>
          <cell r="G6051" t="str">
            <v>IDESP</v>
          </cell>
          <cell r="L6051">
            <v>38630</v>
          </cell>
          <cell r="M6051">
            <v>2.9140000000000001</v>
          </cell>
          <cell r="P6051">
            <v>1.22</v>
          </cell>
        </row>
        <row r="6052">
          <cell r="A6052" t="str">
            <v>MID-054-Y-33110-MX</v>
          </cell>
          <cell r="G6052" t="str">
            <v>IDESP</v>
          </cell>
          <cell r="L6052">
            <v>38492</v>
          </cell>
          <cell r="M6052">
            <v>2.8849999999999998</v>
          </cell>
          <cell r="P6052">
            <v>1.3049999999999999</v>
          </cell>
        </row>
        <row r="6053">
          <cell r="A6053" t="str">
            <v>MID-054-Y-51118-MX</v>
          </cell>
          <cell r="G6053" t="str">
            <v>IDESP</v>
          </cell>
          <cell r="L6053">
            <v>38546</v>
          </cell>
          <cell r="M6053">
            <v>2.8730000000000002</v>
          </cell>
          <cell r="P6053">
            <v>1.9670000000000001</v>
          </cell>
        </row>
        <row r="6054">
          <cell r="A6054" t="str">
            <v>MID-054-Y-51305-MX</v>
          </cell>
          <cell r="G6054" t="str">
            <v>IDESP</v>
          </cell>
          <cell r="L6054">
            <v>38546</v>
          </cell>
          <cell r="M6054">
            <v>2.8730000000000002</v>
          </cell>
          <cell r="P6054">
            <v>0.60199999999999998</v>
          </cell>
        </row>
        <row r="6055">
          <cell r="A6055" t="str">
            <v>MID-054-Y-86610</v>
          </cell>
          <cell r="G6055" t="str">
            <v>IDESP</v>
          </cell>
          <cell r="L6055">
            <v>38701</v>
          </cell>
          <cell r="M6055">
            <v>2.9980000000000002</v>
          </cell>
          <cell r="P6055">
            <v>0.57720000000000005</v>
          </cell>
        </row>
        <row r="6056">
          <cell r="A6056" t="str">
            <v>MID-058-JRME-3062</v>
          </cell>
          <cell r="G6056" t="str">
            <v>IDESP</v>
          </cell>
          <cell r="L6056">
            <v>39142</v>
          </cell>
          <cell r="M6056">
            <v>3.1</v>
          </cell>
          <cell r="P6056">
            <v>5.556</v>
          </cell>
        </row>
        <row r="6057">
          <cell r="A6057" t="str">
            <v>MID-058-JRME2047</v>
          </cell>
          <cell r="G6057" t="str">
            <v>IDESP</v>
          </cell>
          <cell r="L6057">
            <v>39633</v>
          </cell>
          <cell r="M6057">
            <v>3.028</v>
          </cell>
          <cell r="P6057">
            <v>4.6959999999999997</v>
          </cell>
        </row>
        <row r="6058">
          <cell r="A6058" t="str">
            <v>MNA-MAN-MANI-BL-38/4</v>
          </cell>
          <cell r="G6058" t="str">
            <v xml:space="preserve">INSI </v>
          </cell>
          <cell r="L6058">
            <v>41635</v>
          </cell>
          <cell r="M6058">
            <v>6.47</v>
          </cell>
          <cell r="P6058">
            <v>1460</v>
          </cell>
        </row>
        <row r="6059">
          <cell r="A6059" t="str">
            <v>MNS-MAN-MANI-BL-3842</v>
          </cell>
          <cell r="G6059" t="str">
            <v xml:space="preserve">INSI </v>
          </cell>
          <cell r="L6059">
            <v>41562</v>
          </cell>
          <cell r="M6059">
            <v>5.83</v>
          </cell>
          <cell r="P6059">
            <v>1370</v>
          </cell>
        </row>
        <row r="6060">
          <cell r="A6060" t="str">
            <v>MNS-MAN-MANI-BL-5060</v>
          </cell>
          <cell r="G6060" t="str">
            <v xml:space="preserve">INSI </v>
          </cell>
          <cell r="L6060">
            <v>41635</v>
          </cell>
          <cell r="M6060">
            <v>6.47</v>
          </cell>
          <cell r="P6060">
            <v>1370</v>
          </cell>
        </row>
        <row r="6061">
          <cell r="A6061" t="str">
            <v>MON-037-ACO-14-TN</v>
          </cell>
          <cell r="G6061" t="str">
            <v xml:space="preserve">INAC </v>
          </cell>
          <cell r="L6061">
            <v>37707</v>
          </cell>
          <cell r="M6061">
            <v>3.1</v>
          </cell>
          <cell r="P6061">
            <v>3629.0322580645161</v>
          </cell>
        </row>
        <row r="6062">
          <cell r="A6062" t="str">
            <v>MPZ-040-22312-CCW3</v>
          </cell>
          <cell r="G6062" t="str">
            <v xml:space="preserve">CR   </v>
          </cell>
          <cell r="L6062">
            <v>37981</v>
          </cell>
          <cell r="M6062">
            <v>2.96</v>
          </cell>
          <cell r="P6062">
            <v>20.36</v>
          </cell>
        </row>
        <row r="6063">
          <cell r="A6063" t="str">
            <v>MPZ-040-6310</v>
          </cell>
          <cell r="G6063" t="str">
            <v xml:space="preserve">INSI </v>
          </cell>
          <cell r="L6063">
            <v>39513</v>
          </cell>
          <cell r="M6063">
            <v>3.1520000000000001</v>
          </cell>
          <cell r="P6063">
            <v>1.7718</v>
          </cell>
        </row>
        <row r="6064">
          <cell r="A6064" t="str">
            <v>MPZ-041-6310.2RS</v>
          </cell>
          <cell r="G6064" t="str">
            <v xml:space="preserve">INAC </v>
          </cell>
          <cell r="L6064">
            <v>45176</v>
          </cell>
          <cell r="M6064">
            <v>365.5</v>
          </cell>
          <cell r="P6064">
            <v>27.666593707250339</v>
          </cell>
        </row>
        <row r="6065">
          <cell r="A6065" t="str">
            <v>NAC-031-88128-SEG</v>
          </cell>
          <cell r="G6065" t="str">
            <v xml:space="preserve">CR   </v>
          </cell>
          <cell r="L6065">
            <v>38811</v>
          </cell>
          <cell r="M6065">
            <v>3.085</v>
          </cell>
          <cell r="P6065">
            <v>0.34570000000000001</v>
          </cell>
        </row>
        <row r="6066">
          <cell r="A6066" t="str">
            <v>NAC-031-SET-10-SEG</v>
          </cell>
          <cell r="G6066" t="str">
            <v xml:space="preserve">INAC </v>
          </cell>
          <cell r="L6066">
            <v>37707</v>
          </cell>
          <cell r="M6066">
            <v>3.1</v>
          </cell>
          <cell r="P6066">
            <v>0.77419354838709675</v>
          </cell>
        </row>
        <row r="6067">
          <cell r="A6067" t="str">
            <v>NAC-040-2909</v>
          </cell>
          <cell r="G6067" t="str">
            <v xml:space="preserve">INAC </v>
          </cell>
          <cell r="L6067">
            <v>40352</v>
          </cell>
          <cell r="M6067">
            <v>3.94</v>
          </cell>
          <cell r="P6067">
            <v>9.3908629441624374</v>
          </cell>
        </row>
        <row r="6068">
          <cell r="A6068" t="str">
            <v>NAC-047-T-216</v>
          </cell>
          <cell r="G6068" t="str">
            <v xml:space="preserve">INAC </v>
          </cell>
          <cell r="L6068">
            <v>38722</v>
          </cell>
          <cell r="M6068">
            <v>3.0390000000000001</v>
          </cell>
          <cell r="P6068">
            <v>61.622244159262912</v>
          </cell>
        </row>
        <row r="6069">
          <cell r="A6069" t="str">
            <v>NAC-050-33275-462</v>
          </cell>
          <cell r="G6069" t="str">
            <v>INDEV</v>
          </cell>
          <cell r="L6069">
            <v>41288</v>
          </cell>
          <cell r="M6069">
            <v>4.95</v>
          </cell>
          <cell r="P6069">
            <v>7.9838383838383846</v>
          </cell>
        </row>
        <row r="6070">
          <cell r="A6070" t="str">
            <v>NAC-050-O-2872-2820</v>
          </cell>
          <cell r="G6070" t="str">
            <v xml:space="preserve">CR   </v>
          </cell>
          <cell r="L6070">
            <v>38624</v>
          </cell>
          <cell r="M6070">
            <v>2.915</v>
          </cell>
          <cell r="P6070">
            <v>5.9509999999999996</v>
          </cell>
        </row>
        <row r="6071">
          <cell r="A6071" t="str">
            <v>NBN-035-HK-2520</v>
          </cell>
          <cell r="G6071" t="str">
            <v>IDESP</v>
          </cell>
          <cell r="L6071">
            <v>38364</v>
          </cell>
          <cell r="M6071">
            <v>2.9609999999999999</v>
          </cell>
          <cell r="P6071">
            <v>0.33</v>
          </cell>
        </row>
        <row r="6072">
          <cell r="A6072" t="str">
            <v>NBN-035-HK-2830</v>
          </cell>
          <cell r="G6072" t="str">
            <v>IDESP</v>
          </cell>
          <cell r="L6072">
            <v>38364</v>
          </cell>
          <cell r="M6072">
            <v>2.9609999999999999</v>
          </cell>
          <cell r="P6072">
            <v>0.54</v>
          </cell>
        </row>
        <row r="6073">
          <cell r="A6073" t="str">
            <v>NBN-035-HK-4030</v>
          </cell>
          <cell r="G6073" t="str">
            <v>IDESP</v>
          </cell>
          <cell r="L6073">
            <v>38364</v>
          </cell>
          <cell r="M6073">
            <v>2.9609999999999999</v>
          </cell>
          <cell r="P6073">
            <v>0.71</v>
          </cell>
        </row>
        <row r="6074">
          <cell r="A6074" t="str">
            <v>NBN-035-HK-5025</v>
          </cell>
          <cell r="G6074" t="str">
            <v>IDESP</v>
          </cell>
          <cell r="L6074">
            <v>38364</v>
          </cell>
          <cell r="M6074">
            <v>2.9609999999999999</v>
          </cell>
          <cell r="P6074">
            <v>0.87</v>
          </cell>
        </row>
        <row r="6075">
          <cell r="A6075" t="str">
            <v>NBN-035-NA-4904</v>
          </cell>
          <cell r="G6075" t="str">
            <v xml:space="preserve">CR   </v>
          </cell>
          <cell r="L6075">
            <v>38624</v>
          </cell>
          <cell r="M6075">
            <v>2.915</v>
          </cell>
          <cell r="P6075">
            <v>2.7829999999999999</v>
          </cell>
        </row>
        <row r="6076">
          <cell r="A6076" t="str">
            <v>NBN-035-TAF-324230</v>
          </cell>
          <cell r="G6076" t="str">
            <v>IDESP</v>
          </cell>
          <cell r="L6076">
            <v>38364</v>
          </cell>
          <cell r="M6076">
            <v>2.9609999999999999</v>
          </cell>
          <cell r="P6076">
            <v>1.9</v>
          </cell>
        </row>
        <row r="6077">
          <cell r="A6077" t="str">
            <v>NBN-040-6201-2Z</v>
          </cell>
          <cell r="G6077" t="str">
            <v xml:space="preserve">CR   </v>
          </cell>
          <cell r="L6077">
            <v>38624</v>
          </cell>
          <cell r="M6077">
            <v>2.915</v>
          </cell>
          <cell r="P6077">
            <v>0.27500000000000002</v>
          </cell>
        </row>
        <row r="6078">
          <cell r="A6078" t="str">
            <v>NBN-040-6212-2RS</v>
          </cell>
          <cell r="G6078" t="str">
            <v xml:space="preserve">CR   </v>
          </cell>
          <cell r="L6078">
            <v>38811</v>
          </cell>
          <cell r="M6078">
            <v>3.085</v>
          </cell>
          <cell r="P6078">
            <v>2.4028</v>
          </cell>
        </row>
        <row r="6079">
          <cell r="A6079" t="str">
            <v>NBN-040-6214-2RS</v>
          </cell>
          <cell r="G6079" t="str">
            <v>INDEV</v>
          </cell>
          <cell r="L6079">
            <v>41288</v>
          </cell>
          <cell r="M6079">
            <v>4.95</v>
          </cell>
          <cell r="P6079">
            <v>2.0410303030303028</v>
          </cell>
        </row>
        <row r="6080">
          <cell r="A6080" t="str">
            <v>NBN-040-6218</v>
          </cell>
          <cell r="G6080" t="str">
            <v>INDEV</v>
          </cell>
          <cell r="L6080">
            <v>41288</v>
          </cell>
          <cell r="M6080">
            <v>4.95</v>
          </cell>
          <cell r="P6080">
            <v>8.0646464646464651</v>
          </cell>
        </row>
        <row r="6081">
          <cell r="A6081" t="str">
            <v>NBN-040-6312-2RS</v>
          </cell>
          <cell r="G6081" t="str">
            <v xml:space="preserve">INAC </v>
          </cell>
          <cell r="L6081">
            <v>38883</v>
          </cell>
          <cell r="M6081">
            <v>3.0790000000000002</v>
          </cell>
          <cell r="P6081">
            <v>9.5647937642091581</v>
          </cell>
        </row>
        <row r="6082">
          <cell r="A6082" t="str">
            <v>NBN-041-6201</v>
          </cell>
          <cell r="G6082" t="str">
            <v>INDEV</v>
          </cell>
          <cell r="L6082">
            <v>41288</v>
          </cell>
          <cell r="M6082">
            <v>4.95</v>
          </cell>
          <cell r="P6082">
            <v>0.38181818181818178</v>
          </cell>
        </row>
        <row r="6083">
          <cell r="A6083" t="str">
            <v>NBR-047-SER-208-40</v>
          </cell>
          <cell r="G6083" t="str">
            <v xml:space="preserve">CR   </v>
          </cell>
          <cell r="L6083">
            <v>38624</v>
          </cell>
          <cell r="M6083">
            <v>2.915</v>
          </cell>
          <cell r="P6083">
            <v>5.6539999999999999</v>
          </cell>
        </row>
        <row r="6084">
          <cell r="A6084" t="str">
            <v>NSK-031-30TM11N</v>
          </cell>
          <cell r="G6084" t="str">
            <v xml:space="preserve">INAC </v>
          </cell>
          <cell r="L6084">
            <v>37827</v>
          </cell>
          <cell r="M6084">
            <v>2.81</v>
          </cell>
          <cell r="P6084">
            <v>26.690391459074732</v>
          </cell>
        </row>
        <row r="6085">
          <cell r="A6085" t="str">
            <v>NSK-031-32TM03NX</v>
          </cell>
          <cell r="G6085" t="str">
            <v xml:space="preserve">INAC </v>
          </cell>
          <cell r="L6085">
            <v>37827</v>
          </cell>
          <cell r="M6085">
            <v>2.81</v>
          </cell>
          <cell r="P6085">
            <v>23.131672597864767</v>
          </cell>
        </row>
        <row r="6086">
          <cell r="A6086" t="str">
            <v>NSK-032-T-71013</v>
          </cell>
          <cell r="G6086" t="str">
            <v xml:space="preserve">CR   </v>
          </cell>
          <cell r="L6086">
            <v>38624</v>
          </cell>
          <cell r="M6086">
            <v>2.915</v>
          </cell>
          <cell r="P6086">
            <v>11.627000000000001</v>
          </cell>
        </row>
        <row r="6087">
          <cell r="A6087" t="str">
            <v>NSK-040-65TNK20</v>
          </cell>
          <cell r="G6087" t="str">
            <v xml:space="preserve">CR   </v>
          </cell>
          <cell r="L6087">
            <v>38811</v>
          </cell>
          <cell r="M6087">
            <v>3.085</v>
          </cell>
          <cell r="P6087">
            <v>13.3504</v>
          </cell>
        </row>
        <row r="6088">
          <cell r="A6088" t="str">
            <v>NSK-040-CE-28X52X16</v>
          </cell>
          <cell r="G6088" t="str">
            <v xml:space="preserve">INAC </v>
          </cell>
          <cell r="L6088">
            <v>40708</v>
          </cell>
          <cell r="M6088">
            <v>4.13</v>
          </cell>
          <cell r="P6088">
            <v>9.3365617433414059</v>
          </cell>
        </row>
        <row r="6089">
          <cell r="A6089" t="str">
            <v>NSK-041-6010-DDUC3</v>
          </cell>
          <cell r="G6089" t="str">
            <v xml:space="preserve">INAC </v>
          </cell>
          <cell r="L6089">
            <v>39484</v>
          </cell>
          <cell r="M6089">
            <v>3.1640000000000001</v>
          </cell>
          <cell r="P6089">
            <v>11.103034134007586</v>
          </cell>
        </row>
        <row r="6090">
          <cell r="A6090" t="str">
            <v>NSK-041-6810-2RS</v>
          </cell>
          <cell r="G6090" t="str">
            <v xml:space="preserve">INAC </v>
          </cell>
          <cell r="L6090">
            <v>40392</v>
          </cell>
          <cell r="M6090">
            <v>3.96</v>
          </cell>
          <cell r="P6090">
            <v>17.185858585858586</v>
          </cell>
        </row>
        <row r="6091">
          <cell r="A6091" t="str">
            <v>NTB-031-36889</v>
          </cell>
          <cell r="G6091" t="str">
            <v xml:space="preserve">CR   </v>
          </cell>
          <cell r="L6091">
            <v>38624</v>
          </cell>
          <cell r="M6091">
            <v>2.915</v>
          </cell>
          <cell r="P6091">
            <v>1.1000000000000001</v>
          </cell>
        </row>
        <row r="6092">
          <cell r="A6092" t="str">
            <v>NTB-031-615885</v>
          </cell>
          <cell r="G6092" t="str">
            <v xml:space="preserve">CR   </v>
          </cell>
          <cell r="L6092">
            <v>38624</v>
          </cell>
          <cell r="M6092">
            <v>2.915</v>
          </cell>
          <cell r="P6092">
            <v>1.089</v>
          </cell>
        </row>
        <row r="6093">
          <cell r="A6093" t="str">
            <v>NTB-031-616054</v>
          </cell>
          <cell r="G6093" t="str">
            <v xml:space="preserve">CR   </v>
          </cell>
          <cell r="L6093">
            <v>38624</v>
          </cell>
          <cell r="M6093">
            <v>2.915</v>
          </cell>
          <cell r="P6093">
            <v>1.0449999999999999</v>
          </cell>
        </row>
        <row r="6094">
          <cell r="A6094" t="str">
            <v>NTN-027-CR-0627</v>
          </cell>
          <cell r="G6094" t="str">
            <v>INDEV</v>
          </cell>
          <cell r="L6094">
            <v>39111</v>
          </cell>
          <cell r="M6094">
            <v>3.1059999999999999</v>
          </cell>
          <cell r="P6094">
            <v>7.2416934964584678</v>
          </cell>
        </row>
        <row r="6095">
          <cell r="A6095" t="str">
            <v>NTN-031-IR-28-32-30</v>
          </cell>
          <cell r="G6095" t="str">
            <v xml:space="preserve">INAC </v>
          </cell>
          <cell r="L6095">
            <v>43299</v>
          </cell>
          <cell r="M6095">
            <v>28</v>
          </cell>
          <cell r="P6095">
            <v>6.7857142857142856</v>
          </cell>
        </row>
        <row r="6096">
          <cell r="A6096" t="str">
            <v>NTN-035-HK-2526</v>
          </cell>
          <cell r="G6096" t="str">
            <v xml:space="preserve">CR   </v>
          </cell>
          <cell r="L6096">
            <v>38811</v>
          </cell>
          <cell r="M6096">
            <v>3.085</v>
          </cell>
          <cell r="P6096">
            <v>4</v>
          </cell>
        </row>
        <row r="6097">
          <cell r="A6097" t="str">
            <v>NTN-035-K-20X24X17</v>
          </cell>
          <cell r="G6097" t="str">
            <v xml:space="preserve">INAC </v>
          </cell>
          <cell r="L6097">
            <v>39827</v>
          </cell>
          <cell r="M6097">
            <v>3.4510000000000001</v>
          </cell>
          <cell r="P6097">
            <v>2.932483338162851</v>
          </cell>
        </row>
        <row r="6098">
          <cell r="A6098" t="str">
            <v>NTN-035-NF-311</v>
          </cell>
          <cell r="G6098" t="str">
            <v xml:space="preserve">CR   </v>
          </cell>
          <cell r="L6098">
            <v>38624</v>
          </cell>
          <cell r="M6098">
            <v>2.915</v>
          </cell>
          <cell r="P6098">
            <v>18.722000000000001</v>
          </cell>
        </row>
        <row r="6099">
          <cell r="A6099" t="str">
            <v>NTN-035-NK-4030R</v>
          </cell>
          <cell r="G6099" t="str">
            <v xml:space="preserve">INAC </v>
          </cell>
          <cell r="L6099">
            <v>37728</v>
          </cell>
          <cell r="M6099">
            <v>2.93</v>
          </cell>
          <cell r="P6099">
            <v>2.2423208191126278</v>
          </cell>
        </row>
        <row r="6100">
          <cell r="A6100" t="str">
            <v>NTN-040-1206</v>
          </cell>
          <cell r="G6100" t="str">
            <v xml:space="preserve">CR   </v>
          </cell>
          <cell r="L6100">
            <v>38624</v>
          </cell>
          <cell r="M6100">
            <v>2.915</v>
          </cell>
          <cell r="P6100">
            <v>2.4750000000000001</v>
          </cell>
        </row>
        <row r="6101">
          <cell r="A6101" t="str">
            <v>NTN-040-1208</v>
          </cell>
          <cell r="G6101" t="str">
            <v xml:space="preserve">CR   </v>
          </cell>
          <cell r="L6101">
            <v>38624</v>
          </cell>
          <cell r="M6101">
            <v>2.915</v>
          </cell>
          <cell r="P6101">
            <v>2.827</v>
          </cell>
        </row>
        <row r="6102">
          <cell r="A6102" t="str">
            <v>NTN-040-1208-K</v>
          </cell>
          <cell r="G6102" t="str">
            <v xml:space="preserve">CR   </v>
          </cell>
          <cell r="L6102">
            <v>38624</v>
          </cell>
          <cell r="M6102">
            <v>2.915</v>
          </cell>
          <cell r="P6102">
            <v>2.827</v>
          </cell>
        </row>
        <row r="6103">
          <cell r="A6103" t="str">
            <v>NTN-040-21310</v>
          </cell>
          <cell r="G6103" t="str">
            <v xml:space="preserve">CR   </v>
          </cell>
          <cell r="L6103">
            <v>37981</v>
          </cell>
          <cell r="M6103">
            <v>2.96</v>
          </cell>
          <cell r="P6103">
            <v>11.47</v>
          </cell>
        </row>
        <row r="6104">
          <cell r="A6104" t="str">
            <v>NTN-040-30310</v>
          </cell>
          <cell r="G6104" t="str">
            <v xml:space="preserve">CR   </v>
          </cell>
          <cell r="L6104">
            <v>38624</v>
          </cell>
          <cell r="M6104">
            <v>2.915</v>
          </cell>
          <cell r="P6104">
            <v>5.984</v>
          </cell>
        </row>
        <row r="6105">
          <cell r="A6105" t="str">
            <v>NTN-040-32006-X</v>
          </cell>
          <cell r="G6105" t="str">
            <v xml:space="preserve">CR   </v>
          </cell>
          <cell r="L6105">
            <v>38624</v>
          </cell>
          <cell r="M6105">
            <v>2.915</v>
          </cell>
          <cell r="P6105">
            <v>2.0569999999999999</v>
          </cell>
        </row>
        <row r="6106">
          <cell r="A6106" t="str">
            <v>NTN-040-32007</v>
          </cell>
          <cell r="G6106" t="str">
            <v xml:space="preserve">CR   </v>
          </cell>
          <cell r="L6106">
            <v>38811</v>
          </cell>
          <cell r="M6106">
            <v>3.085</v>
          </cell>
          <cell r="P6106">
            <v>2.3479000000000001</v>
          </cell>
        </row>
        <row r="6107">
          <cell r="A6107" t="str">
            <v>NTN-040-3208</v>
          </cell>
          <cell r="G6107" t="str">
            <v xml:space="preserve">CR   </v>
          </cell>
          <cell r="L6107">
            <v>38811</v>
          </cell>
          <cell r="M6107">
            <v>3.085</v>
          </cell>
          <cell r="P6107">
            <v>4.7404000000000002</v>
          </cell>
        </row>
        <row r="6108">
          <cell r="A6108" t="str">
            <v>NTN-040-32309</v>
          </cell>
          <cell r="G6108" t="str">
            <v xml:space="preserve">CR   </v>
          </cell>
          <cell r="L6108">
            <v>37981</v>
          </cell>
          <cell r="M6108">
            <v>2.96</v>
          </cell>
          <cell r="P6108">
            <v>5.81</v>
          </cell>
        </row>
        <row r="6109">
          <cell r="A6109" t="str">
            <v>NTN-040-4T-320-22</v>
          </cell>
          <cell r="G6109" t="str">
            <v xml:space="preserve">CR   </v>
          </cell>
          <cell r="L6109">
            <v>38624</v>
          </cell>
          <cell r="M6109">
            <v>2.915</v>
          </cell>
          <cell r="P6109">
            <v>3.6080000000000001</v>
          </cell>
        </row>
        <row r="6110">
          <cell r="A6110" t="str">
            <v>NTN-040-51107</v>
          </cell>
          <cell r="G6110" t="str">
            <v xml:space="preserve">CR   </v>
          </cell>
          <cell r="L6110">
            <v>38624</v>
          </cell>
          <cell r="M6110">
            <v>2.915</v>
          </cell>
          <cell r="P6110">
            <v>3.7839999999999998</v>
          </cell>
        </row>
        <row r="6111">
          <cell r="A6111" t="str">
            <v>NTN-040-5211-SCLLD</v>
          </cell>
          <cell r="G6111" t="str">
            <v xml:space="preserve">INAC </v>
          </cell>
          <cell r="L6111">
            <v>40638</v>
          </cell>
          <cell r="M6111">
            <v>4.08</v>
          </cell>
          <cell r="P6111">
            <v>51.180392156862744</v>
          </cell>
        </row>
        <row r="6112">
          <cell r="A6112" t="str">
            <v>NTN-040-6210-2RS</v>
          </cell>
          <cell r="G6112" t="str">
            <v>INDEV</v>
          </cell>
          <cell r="L6112">
            <v>38812</v>
          </cell>
          <cell r="M6112">
            <v>3.0830000000000002</v>
          </cell>
          <cell r="P6112">
            <v>2.860265974699967</v>
          </cell>
        </row>
        <row r="6113">
          <cell r="A6113" t="str">
            <v>NTN-040-6211</v>
          </cell>
          <cell r="G6113" t="str">
            <v xml:space="preserve">CR   </v>
          </cell>
          <cell r="L6113">
            <v>38811</v>
          </cell>
          <cell r="M6113">
            <v>3.085</v>
          </cell>
          <cell r="P6113">
            <v>2.8868</v>
          </cell>
        </row>
        <row r="6114">
          <cell r="A6114" t="str">
            <v>NTN-040-6211-2RS</v>
          </cell>
          <cell r="G6114" t="str">
            <v xml:space="preserve">CR   </v>
          </cell>
          <cell r="L6114">
            <v>37981</v>
          </cell>
          <cell r="M6114">
            <v>2.96</v>
          </cell>
          <cell r="P6114">
            <v>3.74</v>
          </cell>
        </row>
        <row r="6115">
          <cell r="A6115" t="str">
            <v>NTN-040-6308-2RS</v>
          </cell>
          <cell r="G6115" t="str">
            <v xml:space="preserve">CR   </v>
          </cell>
          <cell r="L6115">
            <v>37981</v>
          </cell>
          <cell r="M6115">
            <v>2.96</v>
          </cell>
          <cell r="P6115">
            <v>4.1900000000000004</v>
          </cell>
        </row>
        <row r="6116">
          <cell r="A6116" t="str">
            <v>NTN-040-6802-2Z</v>
          </cell>
          <cell r="G6116" t="str">
            <v xml:space="preserve">CR   </v>
          </cell>
          <cell r="L6116">
            <v>38811</v>
          </cell>
          <cell r="M6116">
            <v>3.085</v>
          </cell>
          <cell r="P6116">
            <v>1.478</v>
          </cell>
        </row>
        <row r="6117">
          <cell r="A6117" t="str">
            <v>NTN-040-6805-2Z</v>
          </cell>
          <cell r="G6117" t="str">
            <v xml:space="preserve">CR   </v>
          </cell>
          <cell r="L6117">
            <v>37981</v>
          </cell>
          <cell r="M6117">
            <v>2.96</v>
          </cell>
          <cell r="P6117">
            <v>2.5499999999999998</v>
          </cell>
        </row>
        <row r="6118">
          <cell r="A6118" t="str">
            <v>NTN-040-6808-2Z</v>
          </cell>
          <cell r="G6118" t="str">
            <v xml:space="preserve">CR   </v>
          </cell>
          <cell r="L6118">
            <v>37981</v>
          </cell>
          <cell r="M6118">
            <v>2.96</v>
          </cell>
          <cell r="P6118">
            <v>4.26</v>
          </cell>
        </row>
        <row r="6119">
          <cell r="A6119" t="str">
            <v>NTN-040-6904-2Z</v>
          </cell>
          <cell r="G6119" t="str">
            <v xml:space="preserve">CR   </v>
          </cell>
          <cell r="L6119">
            <v>37981</v>
          </cell>
          <cell r="M6119">
            <v>2.96</v>
          </cell>
          <cell r="P6119">
            <v>2.13</v>
          </cell>
        </row>
        <row r="6120">
          <cell r="A6120" t="str">
            <v>NTN-040-7206</v>
          </cell>
          <cell r="G6120" t="str">
            <v xml:space="preserve">INAC </v>
          </cell>
          <cell r="L6120">
            <v>37636</v>
          </cell>
          <cell r="M6120">
            <v>3.23</v>
          </cell>
          <cell r="P6120">
            <v>2.6934984520123839</v>
          </cell>
        </row>
        <row r="6121">
          <cell r="A6121" t="str">
            <v>NTN-040-7207</v>
          </cell>
          <cell r="G6121" t="str">
            <v xml:space="preserve">CR   </v>
          </cell>
          <cell r="L6121">
            <v>37981</v>
          </cell>
          <cell r="M6121">
            <v>2.96</v>
          </cell>
          <cell r="P6121">
            <v>3.45</v>
          </cell>
        </row>
        <row r="6122">
          <cell r="A6122" t="str">
            <v>NTN-040-AEL-206-30MM</v>
          </cell>
          <cell r="G6122" t="str">
            <v xml:space="preserve">CR   </v>
          </cell>
          <cell r="L6122">
            <v>38624</v>
          </cell>
          <cell r="M6122">
            <v>2.915</v>
          </cell>
          <cell r="P6122">
            <v>4.7190000000000003</v>
          </cell>
        </row>
        <row r="6123">
          <cell r="A6123" t="str">
            <v>NTN-041-6204-LLUC3</v>
          </cell>
          <cell r="G6123" t="str">
            <v xml:space="preserve">INAC </v>
          </cell>
          <cell r="L6123">
            <v>40142</v>
          </cell>
          <cell r="M6123">
            <v>3.81</v>
          </cell>
          <cell r="P6123">
            <v>2.204724409448819</v>
          </cell>
        </row>
        <row r="6124">
          <cell r="A6124" t="str">
            <v>NTN-041-6216-2RS</v>
          </cell>
          <cell r="G6124" t="str">
            <v xml:space="preserve">INAC </v>
          </cell>
          <cell r="L6124">
            <v>39167</v>
          </cell>
          <cell r="M6124">
            <v>3.1019999999999999</v>
          </cell>
          <cell r="P6124">
            <v>40.460992907801419</v>
          </cell>
        </row>
        <row r="6125">
          <cell r="A6125" t="str">
            <v>NTN-043-7013CTYSULP4</v>
          </cell>
          <cell r="G6125" t="str">
            <v xml:space="preserve">INAC </v>
          </cell>
          <cell r="L6125">
            <v>39469</v>
          </cell>
          <cell r="M6125">
            <v>3.1579999999999999</v>
          </cell>
          <cell r="P6125">
            <v>143.44521849271692</v>
          </cell>
        </row>
        <row r="6126">
          <cell r="A6126" t="str">
            <v>NTN-047-UC-208-D1W</v>
          </cell>
          <cell r="G6126" t="str">
            <v xml:space="preserve">CR   </v>
          </cell>
          <cell r="L6126">
            <v>38624</v>
          </cell>
          <cell r="M6126">
            <v>2.915</v>
          </cell>
          <cell r="P6126">
            <v>6.82</v>
          </cell>
        </row>
        <row r="6127">
          <cell r="A6127" t="str">
            <v>NTN-047-UC-214</v>
          </cell>
          <cell r="G6127" t="str">
            <v xml:space="preserve">CR   </v>
          </cell>
          <cell r="L6127">
            <v>38624</v>
          </cell>
          <cell r="M6127">
            <v>2.915</v>
          </cell>
          <cell r="P6127">
            <v>45.694000000000003</v>
          </cell>
        </row>
        <row r="6128">
          <cell r="A6128" t="str">
            <v>NTN-047-UEL-205-16D1</v>
          </cell>
          <cell r="G6128" t="str">
            <v xml:space="preserve">CR   </v>
          </cell>
          <cell r="L6128">
            <v>38624</v>
          </cell>
          <cell r="M6128">
            <v>2.915</v>
          </cell>
          <cell r="P6128">
            <v>6.4459999999999997</v>
          </cell>
        </row>
        <row r="6129">
          <cell r="A6129" t="str">
            <v>NTN-047-UK-210</v>
          </cell>
          <cell r="G6129" t="str">
            <v xml:space="preserve">CR   </v>
          </cell>
          <cell r="L6129">
            <v>38624</v>
          </cell>
          <cell r="M6129">
            <v>2.915</v>
          </cell>
          <cell r="P6129">
            <v>18.59</v>
          </cell>
        </row>
        <row r="6130">
          <cell r="A6130" t="str">
            <v>NTN-050-14138-274</v>
          </cell>
          <cell r="G6130" t="str">
            <v xml:space="preserve">CR   </v>
          </cell>
          <cell r="L6130">
            <v>37981</v>
          </cell>
          <cell r="M6130">
            <v>2.96</v>
          </cell>
          <cell r="P6130">
            <v>3.93</v>
          </cell>
        </row>
        <row r="6131">
          <cell r="A6131" t="str">
            <v>NTN-050-18690-620</v>
          </cell>
          <cell r="G6131" t="str">
            <v xml:space="preserve">CR   </v>
          </cell>
          <cell r="L6131">
            <v>38811</v>
          </cell>
          <cell r="M6131">
            <v>3.085</v>
          </cell>
          <cell r="P6131">
            <v>6.1624999999999996</v>
          </cell>
        </row>
        <row r="6132">
          <cell r="A6132" t="str">
            <v>NTN-050-25590-520</v>
          </cell>
          <cell r="G6132" t="str">
            <v xml:space="preserve">CR   </v>
          </cell>
          <cell r="L6132">
            <v>38624</v>
          </cell>
          <cell r="M6132">
            <v>2.915</v>
          </cell>
          <cell r="P6132">
            <v>5.0599999999999996</v>
          </cell>
        </row>
        <row r="6133">
          <cell r="A6133" t="str">
            <v>NTN-050-29590-521</v>
          </cell>
          <cell r="G6133" t="str">
            <v>INDEV</v>
          </cell>
          <cell r="L6133">
            <v>41288</v>
          </cell>
          <cell r="M6133">
            <v>4.95</v>
          </cell>
          <cell r="P6133">
            <v>16.804040404040403</v>
          </cell>
        </row>
        <row r="6134">
          <cell r="A6134" t="str">
            <v>NTN-050-33822</v>
          </cell>
          <cell r="G6134" t="str">
            <v xml:space="preserve">CR   </v>
          </cell>
          <cell r="L6134">
            <v>38624</v>
          </cell>
          <cell r="M6134">
            <v>2.915</v>
          </cell>
          <cell r="P6134">
            <v>5.6429999999999998</v>
          </cell>
        </row>
        <row r="6135">
          <cell r="A6135" t="str">
            <v>NTN-050-395S/394A</v>
          </cell>
          <cell r="G6135" t="str">
            <v xml:space="preserve">INAC </v>
          </cell>
          <cell r="L6135">
            <v>39846</v>
          </cell>
          <cell r="M6135">
            <v>3.488</v>
          </cell>
          <cell r="P6135">
            <v>15.508428899082569</v>
          </cell>
        </row>
        <row r="6136">
          <cell r="A6136" t="str">
            <v>NTN-050-4T-14116-274</v>
          </cell>
          <cell r="G6136" t="str">
            <v xml:space="preserve">CR   </v>
          </cell>
          <cell r="L6136">
            <v>38624</v>
          </cell>
          <cell r="M6136">
            <v>2.915</v>
          </cell>
          <cell r="P6136">
            <v>6.6550000000000002</v>
          </cell>
        </row>
        <row r="6137">
          <cell r="A6137" t="str">
            <v>NTN-050-4T-14138-276</v>
          </cell>
          <cell r="G6137" t="str">
            <v xml:space="preserve">CR   </v>
          </cell>
          <cell r="L6137">
            <v>38811</v>
          </cell>
          <cell r="M6137">
            <v>3.085</v>
          </cell>
          <cell r="P6137">
            <v>3.3967000000000001</v>
          </cell>
        </row>
        <row r="6138">
          <cell r="A6138" t="str">
            <v>NTN-050-4T-2585-2523</v>
          </cell>
          <cell r="G6138" t="str">
            <v xml:space="preserve">CR   </v>
          </cell>
          <cell r="L6138">
            <v>38624</v>
          </cell>
          <cell r="M6138">
            <v>2.915</v>
          </cell>
          <cell r="P6138">
            <v>7.282</v>
          </cell>
        </row>
        <row r="6139">
          <cell r="A6139" t="str">
            <v>NTN-050-4T-2780-2720</v>
          </cell>
          <cell r="G6139" t="str">
            <v xml:space="preserve">CR   </v>
          </cell>
          <cell r="L6139">
            <v>38624</v>
          </cell>
          <cell r="M6139">
            <v>2.915</v>
          </cell>
          <cell r="P6139">
            <v>7.3040000000000003</v>
          </cell>
        </row>
        <row r="6140">
          <cell r="A6140" t="str">
            <v>NTN-050-4T-33885-822</v>
          </cell>
          <cell r="G6140" t="str">
            <v xml:space="preserve">CR   </v>
          </cell>
          <cell r="L6140">
            <v>38624</v>
          </cell>
          <cell r="M6140">
            <v>2.915</v>
          </cell>
          <cell r="P6140">
            <v>10.295999999999999</v>
          </cell>
        </row>
        <row r="6141">
          <cell r="A6141" t="str">
            <v>NTN-050-4T-39590-520</v>
          </cell>
          <cell r="G6141" t="str">
            <v xml:space="preserve">CR   </v>
          </cell>
          <cell r="L6141">
            <v>38624</v>
          </cell>
          <cell r="M6141">
            <v>2.915</v>
          </cell>
          <cell r="P6141">
            <v>15.795999999999999</v>
          </cell>
        </row>
        <row r="6142">
          <cell r="A6142" t="str">
            <v>NTN-050-4T-42381-584</v>
          </cell>
          <cell r="G6142" t="str">
            <v xml:space="preserve">CR   </v>
          </cell>
          <cell r="L6142">
            <v>38624</v>
          </cell>
          <cell r="M6142">
            <v>2.915</v>
          </cell>
          <cell r="P6142">
            <v>24.937000000000001</v>
          </cell>
        </row>
        <row r="6143">
          <cell r="A6143" t="str">
            <v>NTN-050-4T-462-453X</v>
          </cell>
          <cell r="G6143" t="str">
            <v xml:space="preserve">CR   </v>
          </cell>
          <cell r="L6143">
            <v>38624</v>
          </cell>
          <cell r="M6143">
            <v>2.915</v>
          </cell>
          <cell r="P6143">
            <v>13.298999999999999</v>
          </cell>
        </row>
        <row r="6144">
          <cell r="A6144" t="str">
            <v>NTN-050-4T-803149-11</v>
          </cell>
          <cell r="G6144" t="str">
            <v xml:space="preserve">CR   </v>
          </cell>
          <cell r="L6144">
            <v>38624</v>
          </cell>
          <cell r="M6144">
            <v>2.915</v>
          </cell>
          <cell r="P6144">
            <v>12.375</v>
          </cell>
        </row>
        <row r="6145">
          <cell r="A6145" t="str">
            <v>NTN-050-HM-807040-01</v>
          </cell>
          <cell r="G6145" t="str">
            <v xml:space="preserve">CR   </v>
          </cell>
          <cell r="L6145">
            <v>38624</v>
          </cell>
          <cell r="M6145">
            <v>2.915</v>
          </cell>
          <cell r="P6145">
            <v>17.512</v>
          </cell>
        </row>
        <row r="6146">
          <cell r="A6146" t="str">
            <v>NTN-050-HM-807044-01</v>
          </cell>
          <cell r="G6146" t="str">
            <v xml:space="preserve">INSI </v>
          </cell>
          <cell r="L6146">
            <v>39513</v>
          </cell>
          <cell r="M6146">
            <v>3.1520000000000001</v>
          </cell>
          <cell r="P6146">
            <v>13.7683</v>
          </cell>
        </row>
        <row r="6147">
          <cell r="A6147" t="str">
            <v>NTN-050-HM-88542-510</v>
          </cell>
          <cell r="G6147" t="str">
            <v xml:space="preserve">CR   </v>
          </cell>
          <cell r="L6147">
            <v>38624</v>
          </cell>
          <cell r="M6147">
            <v>2.915</v>
          </cell>
          <cell r="P6147">
            <v>7.59</v>
          </cell>
        </row>
        <row r="6148">
          <cell r="A6148" t="str">
            <v>NTN-050-HM-89443-410</v>
          </cell>
          <cell r="G6148" t="str">
            <v xml:space="preserve">CR   </v>
          </cell>
          <cell r="L6148">
            <v>38624</v>
          </cell>
          <cell r="M6148">
            <v>2.915</v>
          </cell>
          <cell r="P6148">
            <v>4.8730000000000002</v>
          </cell>
        </row>
        <row r="6149">
          <cell r="A6149" t="str">
            <v>NTN-050-JM205149110</v>
          </cell>
          <cell r="G6149" t="str">
            <v xml:space="preserve">INAC </v>
          </cell>
          <cell r="L6149">
            <v>39925</v>
          </cell>
          <cell r="M6149">
            <v>3.6920000000000002</v>
          </cell>
          <cell r="P6149">
            <v>25.165222101841817</v>
          </cell>
        </row>
        <row r="6150">
          <cell r="A6150" t="str">
            <v>NTN-050-LM-44649-610</v>
          </cell>
          <cell r="G6150" t="str">
            <v xml:space="preserve">CR   </v>
          </cell>
          <cell r="L6150">
            <v>38624</v>
          </cell>
          <cell r="M6150">
            <v>2.915</v>
          </cell>
          <cell r="P6150">
            <v>2.8490000000000002</v>
          </cell>
        </row>
        <row r="6151">
          <cell r="A6151" t="str">
            <v>NTN-050-LM-501349-31</v>
          </cell>
          <cell r="G6151" t="str">
            <v xml:space="preserve">CR   </v>
          </cell>
          <cell r="L6151">
            <v>38624</v>
          </cell>
          <cell r="M6151">
            <v>2.915</v>
          </cell>
          <cell r="P6151">
            <v>5.181</v>
          </cell>
        </row>
        <row r="6152">
          <cell r="A6152" t="str">
            <v>NTN-050-M-86649-610</v>
          </cell>
          <cell r="G6152" t="str">
            <v xml:space="preserve">CR   </v>
          </cell>
          <cell r="L6152">
            <v>38624</v>
          </cell>
          <cell r="M6152">
            <v>2.915</v>
          </cell>
          <cell r="P6152">
            <v>5.0380000000000003</v>
          </cell>
        </row>
        <row r="6153">
          <cell r="A6153" t="str">
            <v>NTN-051-32205</v>
          </cell>
          <cell r="G6153" t="str">
            <v xml:space="preserve">CR   </v>
          </cell>
          <cell r="L6153">
            <v>38624</v>
          </cell>
          <cell r="M6153">
            <v>2.915</v>
          </cell>
          <cell r="P6153">
            <v>2.8050000000000002</v>
          </cell>
        </row>
        <row r="6154">
          <cell r="A6154" t="str">
            <v>NTN-051-EE-5</v>
          </cell>
          <cell r="G6154" t="str">
            <v>INDEV</v>
          </cell>
          <cell r="L6154">
            <v>41288</v>
          </cell>
          <cell r="M6154">
            <v>4.95</v>
          </cell>
          <cell r="P6154">
            <v>0.59989898989898993</v>
          </cell>
        </row>
        <row r="6155">
          <cell r="A6155" t="str">
            <v>PDM-MAN-MANI-BL</v>
          </cell>
          <cell r="G6155" t="str">
            <v xml:space="preserve">INSI </v>
          </cell>
          <cell r="L6155">
            <v>41635</v>
          </cell>
          <cell r="M6155">
            <v>6.47</v>
          </cell>
          <cell r="P6155">
            <v>1560</v>
          </cell>
        </row>
        <row r="6156">
          <cell r="A6156" t="str">
            <v>PDM-MAN-MANI-BL-5060</v>
          </cell>
          <cell r="G6156" t="str">
            <v xml:space="preserve">INSI </v>
          </cell>
          <cell r="L6156">
            <v>41451</v>
          </cell>
          <cell r="M6156">
            <v>5.36</v>
          </cell>
          <cell r="P6156">
            <v>1430</v>
          </cell>
        </row>
        <row r="6157">
          <cell r="A6157" t="str">
            <v>PEE-000-Balde18KRod</v>
          </cell>
          <cell r="G6157" t="str">
            <v xml:space="preserve">INAC </v>
          </cell>
          <cell r="L6157">
            <v>40696</v>
          </cell>
          <cell r="M6157">
            <v>4.12</v>
          </cell>
          <cell r="P6157">
            <v>67.062305825242717</v>
          </cell>
        </row>
        <row r="6158">
          <cell r="A6158" t="str">
            <v>PEE-000-CARTUCHO-280</v>
          </cell>
          <cell r="G6158" t="str">
            <v>IPFAB</v>
          </cell>
          <cell r="L6158">
            <v>39604</v>
          </cell>
          <cell r="M6158">
            <v>3.0739999999999998</v>
          </cell>
          <cell r="P6158">
            <v>0.64954500000000004</v>
          </cell>
        </row>
        <row r="6159">
          <cell r="A6159" t="str">
            <v>PEE-000-EG-LITIO-4KG</v>
          </cell>
          <cell r="G6159" t="str">
            <v xml:space="preserve">INAC </v>
          </cell>
          <cell r="L6159">
            <v>39310</v>
          </cell>
          <cell r="M6159">
            <v>3.1520000000000001</v>
          </cell>
          <cell r="P6159">
            <v>9.6161167512690344</v>
          </cell>
        </row>
        <row r="6160">
          <cell r="A6160" t="str">
            <v>PEE-000-ENVASE-280</v>
          </cell>
          <cell r="G6160" t="str">
            <v xml:space="preserve">INSI </v>
          </cell>
          <cell r="L6160">
            <v>39591</v>
          </cell>
          <cell r="M6160">
            <v>3.1339999999999999</v>
          </cell>
          <cell r="P6160">
            <v>0.28749999999999998</v>
          </cell>
        </row>
        <row r="6161">
          <cell r="A6161" t="str">
            <v>PEE-000-GRASA</v>
          </cell>
          <cell r="G6161" t="str">
            <v xml:space="preserve">INAC </v>
          </cell>
          <cell r="L6161">
            <v>39916</v>
          </cell>
          <cell r="M6161">
            <v>3.677</v>
          </cell>
          <cell r="P6161">
            <v>1.3278215936905086E-2</v>
          </cell>
        </row>
        <row r="6162">
          <cell r="A6162" t="str">
            <v>PEE-000-GRASA-AMPAC</v>
          </cell>
          <cell r="G6162" t="str">
            <v xml:space="preserve">CR   </v>
          </cell>
          <cell r="L6162">
            <v>38811</v>
          </cell>
          <cell r="M6162">
            <v>3.085</v>
          </cell>
          <cell r="P6162">
            <v>1.5174000000000001</v>
          </cell>
        </row>
        <row r="6163">
          <cell r="A6163" t="str">
            <v>PEE-000-MG-MULT-4KG</v>
          </cell>
          <cell r="G6163" t="str">
            <v>IPFAB</v>
          </cell>
          <cell r="L6163">
            <v>39631</v>
          </cell>
          <cell r="M6163">
            <v>3.0219999999999998</v>
          </cell>
          <cell r="P6163">
            <v>6.2773000000000003</v>
          </cell>
        </row>
        <row r="6164">
          <cell r="A6164" t="str">
            <v>PEE-000-POTE-900</v>
          </cell>
          <cell r="G6164" t="str">
            <v xml:space="preserve">CR   </v>
          </cell>
          <cell r="L6164">
            <v>38624</v>
          </cell>
          <cell r="M6164">
            <v>2.915</v>
          </cell>
          <cell r="P6164">
            <v>1.7151000000000001</v>
          </cell>
        </row>
        <row r="6165">
          <cell r="A6165" t="str">
            <v>PEE-000-Pote900Mul</v>
          </cell>
          <cell r="G6165" t="str">
            <v>INDEV</v>
          </cell>
          <cell r="L6165">
            <v>39141</v>
          </cell>
          <cell r="M6165">
            <v>3.101</v>
          </cell>
          <cell r="P6165">
            <v>1.8768139309900034</v>
          </cell>
        </row>
        <row r="6166">
          <cell r="A6166" t="str">
            <v>PEE-000-Pote900Rod</v>
          </cell>
          <cell r="G6166" t="str">
            <v xml:space="preserve">INAC </v>
          </cell>
          <cell r="L6166">
            <v>39191</v>
          </cell>
          <cell r="M6166">
            <v>3.085</v>
          </cell>
          <cell r="P6166">
            <v>2.5575364667747165</v>
          </cell>
        </row>
        <row r="6167">
          <cell r="A6167" t="str">
            <v>PEE-004-RLD-6206-RED</v>
          </cell>
          <cell r="G6167" t="str">
            <v>INPE$</v>
          </cell>
          <cell r="L6167">
            <v>39688</v>
          </cell>
          <cell r="M6167">
            <v>3.0270000000000001</v>
          </cell>
          <cell r="P6167">
            <v>9.9108027750247768E-2</v>
          </cell>
        </row>
        <row r="6168">
          <cell r="A6168" t="str">
            <v>PEE-004-RLD-6304-RED</v>
          </cell>
          <cell r="G6168" t="str">
            <v>INPE$</v>
          </cell>
          <cell r="L6168">
            <v>39717</v>
          </cell>
          <cell r="M6168">
            <v>3.113</v>
          </cell>
          <cell r="P6168">
            <v>0.14134275618374559</v>
          </cell>
        </row>
        <row r="6169">
          <cell r="A6169" t="str">
            <v>PEE-027-205GPRET/SET</v>
          </cell>
          <cell r="G6169" t="str">
            <v>IDESP</v>
          </cell>
          <cell r="L6169">
            <v>39146</v>
          </cell>
          <cell r="M6169">
            <v>3.1</v>
          </cell>
          <cell r="P6169">
            <v>4.2000000000000003E-2</v>
          </cell>
        </row>
        <row r="6170">
          <cell r="A6170" t="str">
            <v>PEE-027-3201</v>
          </cell>
          <cell r="G6170" t="str">
            <v xml:space="preserve">CR   </v>
          </cell>
          <cell r="L6170">
            <v>38811</v>
          </cell>
          <cell r="M6170">
            <v>3.085</v>
          </cell>
          <cell r="P6170">
            <v>5.4854000000000003</v>
          </cell>
        </row>
        <row r="6171">
          <cell r="A6171" t="str">
            <v>PEE-027-6005-Z</v>
          </cell>
          <cell r="G6171" t="str">
            <v>IDESP</v>
          </cell>
          <cell r="L6171">
            <v>38925</v>
          </cell>
          <cell r="M6171">
            <v>3.0739999999999998</v>
          </cell>
          <cell r="P6171">
            <v>0.03</v>
          </cell>
        </row>
        <row r="6172">
          <cell r="A6172" t="str">
            <v>PEE-027-BALL-1/2</v>
          </cell>
          <cell r="G6172" t="str">
            <v>INPE$</v>
          </cell>
          <cell r="L6172">
            <v>40527</v>
          </cell>
          <cell r="M6172">
            <v>4</v>
          </cell>
          <cell r="P6172">
            <v>0.05</v>
          </cell>
        </row>
        <row r="6173">
          <cell r="A6173" t="str">
            <v>PEE-027-BALL-3/4</v>
          </cell>
          <cell r="G6173" t="str">
            <v xml:space="preserve">INAC </v>
          </cell>
          <cell r="L6173">
            <v>38344</v>
          </cell>
          <cell r="M6173">
            <v>2.964</v>
          </cell>
          <cell r="P6173">
            <v>0.33738191632928477</v>
          </cell>
        </row>
        <row r="6174">
          <cell r="A6174" t="str">
            <v>PEE-027-BALL-8MM</v>
          </cell>
          <cell r="G6174" t="str">
            <v xml:space="preserve">INAC </v>
          </cell>
          <cell r="L6174">
            <v>42474</v>
          </cell>
          <cell r="M6174">
            <v>14.74</v>
          </cell>
          <cell r="P6174">
            <v>6.1058344640434192E-2</v>
          </cell>
        </row>
        <row r="6175">
          <cell r="A6175" t="str">
            <v>PEE-027-CUP-JRM-3062</v>
          </cell>
          <cell r="G6175" t="str">
            <v xml:space="preserve">CR   </v>
          </cell>
          <cell r="L6175">
            <v>38811</v>
          </cell>
          <cell r="M6175">
            <v>3.085</v>
          </cell>
          <cell r="P6175">
            <v>3.9361999999999999</v>
          </cell>
        </row>
        <row r="6176">
          <cell r="A6176" t="str">
            <v>PEE-027-DBL-3062-JRM</v>
          </cell>
          <cell r="G6176" t="str">
            <v xml:space="preserve">CR   </v>
          </cell>
          <cell r="L6176">
            <v>38811</v>
          </cell>
          <cell r="M6176">
            <v>3.085</v>
          </cell>
          <cell r="P6176">
            <v>0.19339999999999999</v>
          </cell>
        </row>
        <row r="6177">
          <cell r="A6177" t="str">
            <v>PEE-027-E-399</v>
          </cell>
          <cell r="G6177" t="str">
            <v xml:space="preserve">INAC </v>
          </cell>
          <cell r="L6177">
            <v>39118</v>
          </cell>
          <cell r="M6177">
            <v>3.0990000000000002</v>
          </cell>
          <cell r="P6177">
            <v>1.0293643110680863</v>
          </cell>
        </row>
        <row r="6178">
          <cell r="A6178" t="str">
            <v>PEE-027-ET04070</v>
          </cell>
          <cell r="G6178" t="str">
            <v xml:space="preserve">INAC </v>
          </cell>
          <cell r="L6178">
            <v>37747</v>
          </cell>
          <cell r="M6178">
            <v>2.8</v>
          </cell>
          <cell r="P6178">
            <v>750</v>
          </cell>
        </row>
        <row r="6179">
          <cell r="A6179" t="str">
            <v>PEE-027-ET04074</v>
          </cell>
          <cell r="G6179" t="str">
            <v xml:space="preserve">INAC </v>
          </cell>
          <cell r="L6179">
            <v>37771</v>
          </cell>
          <cell r="M6179">
            <v>2.85</v>
          </cell>
          <cell r="P6179">
            <v>736.84210526315792</v>
          </cell>
        </row>
        <row r="6180">
          <cell r="A6180" t="str">
            <v>PEE-027-J91-F.SEAL</v>
          </cell>
          <cell r="G6180" t="str">
            <v>IPFAB</v>
          </cell>
          <cell r="L6180">
            <v>40662</v>
          </cell>
          <cell r="M6180">
            <v>4.1100000000000003</v>
          </cell>
          <cell r="P6180">
            <v>0.05</v>
          </cell>
        </row>
        <row r="6181">
          <cell r="A6181" t="str">
            <v>PEE-027-J91-SHIELD</v>
          </cell>
          <cell r="G6181" t="str">
            <v xml:space="preserve">INSI </v>
          </cell>
          <cell r="L6181">
            <v>40827</v>
          </cell>
          <cell r="M6181">
            <v>4.24</v>
          </cell>
          <cell r="P6181">
            <v>4.7800000000000002E-2</v>
          </cell>
        </row>
        <row r="6182">
          <cell r="A6182" t="str">
            <v>PEE-027-JRME-3062SEA</v>
          </cell>
          <cell r="G6182" t="str">
            <v xml:space="preserve">INAC </v>
          </cell>
          <cell r="L6182">
            <v>39294</v>
          </cell>
          <cell r="M6182">
            <v>3.1240000000000001</v>
          </cell>
          <cell r="P6182">
            <v>0.2176696542893726</v>
          </cell>
        </row>
        <row r="6183">
          <cell r="A6183" t="str">
            <v>PEE-027-MAZA-EJE-R12</v>
          </cell>
          <cell r="G6183" t="str">
            <v xml:space="preserve">CR   </v>
          </cell>
          <cell r="L6183">
            <v>38811</v>
          </cell>
          <cell r="M6183">
            <v>3.085</v>
          </cell>
          <cell r="P6183">
            <v>0.7</v>
          </cell>
        </row>
        <row r="6184">
          <cell r="A6184" t="str">
            <v>PEE-027-OIL-376590-A</v>
          </cell>
          <cell r="G6184" t="str">
            <v xml:space="preserve">CR   </v>
          </cell>
          <cell r="L6184">
            <v>38624</v>
          </cell>
          <cell r="M6184">
            <v>2.915</v>
          </cell>
          <cell r="P6184">
            <v>2.3045626072041165</v>
          </cell>
        </row>
        <row r="6185">
          <cell r="A6185" t="str">
            <v>PEE-027-RING-IR-6307</v>
          </cell>
          <cell r="G6185" t="str">
            <v>INPE$</v>
          </cell>
          <cell r="L6185">
            <v>39625</v>
          </cell>
          <cell r="M6185">
            <v>3.0179999999999998</v>
          </cell>
          <cell r="P6185">
            <v>0.56991385023194174</v>
          </cell>
        </row>
        <row r="6186">
          <cell r="A6186" t="str">
            <v>PEE-027-RING-OR-6307</v>
          </cell>
          <cell r="G6186" t="str">
            <v>INPE$</v>
          </cell>
          <cell r="L6186">
            <v>39625</v>
          </cell>
          <cell r="M6186">
            <v>3.0179999999999998</v>
          </cell>
          <cell r="P6186">
            <v>0.85487077534791256</v>
          </cell>
        </row>
        <row r="6187">
          <cell r="A6187" t="str">
            <v>PEE-027-RLD-6004-RED</v>
          </cell>
          <cell r="G6187" t="str">
            <v>INPEE</v>
          </cell>
          <cell r="L6187">
            <v>38274</v>
          </cell>
          <cell r="M6187">
            <v>2.972</v>
          </cell>
          <cell r="P6187">
            <v>0.05</v>
          </cell>
        </row>
        <row r="6188">
          <cell r="A6188" t="str">
            <v>PEE-027-RLD-6005-BLK</v>
          </cell>
          <cell r="G6188" t="str">
            <v>IDESP</v>
          </cell>
          <cell r="L6188">
            <v>39464</v>
          </cell>
          <cell r="M6188">
            <v>3.1459999999999999</v>
          </cell>
          <cell r="P6188">
            <v>0.02</v>
          </cell>
        </row>
        <row r="6189">
          <cell r="A6189" t="str">
            <v>PEE-027-RLD-6005-RED</v>
          </cell>
          <cell r="G6189" t="str">
            <v xml:space="preserve">INAC </v>
          </cell>
          <cell r="L6189">
            <v>42258</v>
          </cell>
          <cell r="M6189">
            <v>9.39</v>
          </cell>
          <cell r="P6189">
            <v>3.0883919062832797E-2</v>
          </cell>
        </row>
        <row r="6190">
          <cell r="A6190" t="str">
            <v>PEE-027-RLD-6202-RED</v>
          </cell>
          <cell r="G6190" t="str">
            <v>INPEE</v>
          </cell>
          <cell r="L6190">
            <v>37992</v>
          </cell>
          <cell r="M6190">
            <v>2.88</v>
          </cell>
          <cell r="P6190">
            <v>0.06</v>
          </cell>
        </row>
        <row r="6191">
          <cell r="A6191" t="str">
            <v>PEE-027-RLD-6203-BLK</v>
          </cell>
          <cell r="G6191" t="str">
            <v>IDESP</v>
          </cell>
          <cell r="L6191">
            <v>39148</v>
          </cell>
          <cell r="M6191">
            <v>3.1030000000000002</v>
          </cell>
          <cell r="P6191">
            <v>4.4999999999999998E-2</v>
          </cell>
        </row>
        <row r="6192">
          <cell r="A6192" t="str">
            <v>PEE-027-RLD-6203-RED</v>
          </cell>
          <cell r="G6192" t="str">
            <v>INPE$</v>
          </cell>
          <cell r="L6192">
            <v>40434</v>
          </cell>
          <cell r="M6192">
            <v>3.96</v>
          </cell>
          <cell r="P6192">
            <v>6.0606060606060608E-2</v>
          </cell>
        </row>
        <row r="6193">
          <cell r="A6193" t="str">
            <v>PEE-027-RLD-6205-RED</v>
          </cell>
          <cell r="G6193" t="str">
            <v>IPFAP</v>
          </cell>
          <cell r="L6193">
            <v>42300</v>
          </cell>
          <cell r="M6193">
            <v>9.57</v>
          </cell>
          <cell r="P6193">
            <v>5.8516196447230932E-2</v>
          </cell>
        </row>
        <row r="6194">
          <cell r="A6194" t="str">
            <v>PEE-027-RLD-6207-RED</v>
          </cell>
          <cell r="G6194" t="str">
            <v>INPEE</v>
          </cell>
          <cell r="L6194">
            <v>37992</v>
          </cell>
          <cell r="M6194">
            <v>2.88</v>
          </cell>
          <cell r="P6194">
            <v>0.1</v>
          </cell>
        </row>
        <row r="6195">
          <cell r="A6195" t="str">
            <v>PEE-027-RLD-6208-RED</v>
          </cell>
          <cell r="G6195" t="str">
            <v>INPEE</v>
          </cell>
          <cell r="L6195">
            <v>37992</v>
          </cell>
          <cell r="M6195">
            <v>2.88</v>
          </cell>
          <cell r="P6195">
            <v>0.13</v>
          </cell>
        </row>
        <row r="6196">
          <cell r="A6196" t="str">
            <v>PEE-027-RLD-6305-RED</v>
          </cell>
          <cell r="G6196" t="str">
            <v>INPE$</v>
          </cell>
          <cell r="L6196">
            <v>39867</v>
          </cell>
          <cell r="M6196">
            <v>3.5379999999999998</v>
          </cell>
          <cell r="P6196">
            <v>0.14132278123233466</v>
          </cell>
        </row>
        <row r="6197">
          <cell r="A6197" t="str">
            <v>PEE-027-RLD-6306-RED</v>
          </cell>
          <cell r="G6197" t="str">
            <v>INPE$</v>
          </cell>
          <cell r="L6197">
            <v>39650</v>
          </cell>
          <cell r="M6197">
            <v>3.0230000000000001</v>
          </cell>
          <cell r="P6197">
            <v>9.5931194177968901E-2</v>
          </cell>
        </row>
        <row r="6198">
          <cell r="A6198" t="str">
            <v>PEE-027-RST-6203-RED</v>
          </cell>
          <cell r="G6198" t="str">
            <v>IDESP</v>
          </cell>
          <cell r="L6198">
            <v>39294</v>
          </cell>
          <cell r="M6198">
            <v>3.1240000000000001</v>
          </cell>
          <cell r="P6198">
            <v>0.03</v>
          </cell>
        </row>
        <row r="6199">
          <cell r="A6199" t="str">
            <v>PEE-027-RST-6205-RED</v>
          </cell>
          <cell r="G6199" t="str">
            <v>INPE$</v>
          </cell>
          <cell r="L6199">
            <v>40491</v>
          </cell>
          <cell r="M6199">
            <v>3.98</v>
          </cell>
          <cell r="P6199">
            <v>0.11055276381909548</v>
          </cell>
        </row>
        <row r="6200">
          <cell r="A6200" t="str">
            <v>PEE-027-RST-6206-RED</v>
          </cell>
          <cell r="G6200" t="str">
            <v xml:space="preserve">INSI </v>
          </cell>
          <cell r="L6200">
            <v>38294</v>
          </cell>
          <cell r="M6200">
            <v>2.9569999999999999</v>
          </cell>
          <cell r="P6200">
            <v>1</v>
          </cell>
        </row>
        <row r="6201">
          <cell r="A6201" t="str">
            <v>PEE-027-SEAL-204DBL</v>
          </cell>
          <cell r="G6201" t="str">
            <v xml:space="preserve">INSI </v>
          </cell>
          <cell r="L6201">
            <v>42706</v>
          </cell>
          <cell r="M6201">
            <v>16.100000000000001</v>
          </cell>
          <cell r="P6201">
            <v>6.2100000000000002E-2</v>
          </cell>
        </row>
        <row r="6202">
          <cell r="A6202" t="str">
            <v>PEE-027-SEAL-205DBL</v>
          </cell>
          <cell r="G6202" t="str">
            <v xml:space="preserve">INSI </v>
          </cell>
          <cell r="L6202">
            <v>42706</v>
          </cell>
          <cell r="M6202">
            <v>16.100000000000001</v>
          </cell>
          <cell r="P6202">
            <v>6.2100000000000002E-2</v>
          </cell>
        </row>
        <row r="6203">
          <cell r="A6203" t="str">
            <v>PEE-027-SEAL-205GP</v>
          </cell>
          <cell r="G6203" t="str">
            <v>INPE$</v>
          </cell>
          <cell r="L6203">
            <v>39673</v>
          </cell>
          <cell r="M6203">
            <v>3.036</v>
          </cell>
          <cell r="P6203">
            <v>0.30138339920948615</v>
          </cell>
        </row>
        <row r="6204">
          <cell r="A6204" t="str">
            <v>PEE-027-SEGURO-U-399</v>
          </cell>
          <cell r="G6204" t="str">
            <v>INPE$</v>
          </cell>
          <cell r="L6204">
            <v>41491</v>
          </cell>
          <cell r="M6204">
            <v>5.52</v>
          </cell>
          <cell r="P6204">
            <v>1.0869565217391306</v>
          </cell>
        </row>
        <row r="6205">
          <cell r="A6205" t="str">
            <v>PEE-027-SELLO-BB-203</v>
          </cell>
          <cell r="G6205" t="str">
            <v>INPEE</v>
          </cell>
          <cell r="L6205">
            <v>38988</v>
          </cell>
          <cell r="M6205">
            <v>3.1019999999999999</v>
          </cell>
          <cell r="P6205">
            <v>7.0000000000000007E-2</v>
          </cell>
        </row>
        <row r="6206">
          <cell r="A6206" t="str">
            <v>PEE-027-ZD-6005</v>
          </cell>
          <cell r="G6206" t="str">
            <v>INIMP</v>
          </cell>
          <cell r="L6206">
            <v>38971</v>
          </cell>
          <cell r="M6206">
            <v>3.101</v>
          </cell>
          <cell r="P6206">
            <v>0.03</v>
          </cell>
        </row>
        <row r="6207">
          <cell r="A6207" t="str">
            <v>PEE-027-ZER-608-x16</v>
          </cell>
          <cell r="G6207" t="str">
            <v xml:space="preserve">CR   </v>
          </cell>
          <cell r="L6207">
            <v>38811</v>
          </cell>
          <cell r="M6207">
            <v>3.085</v>
          </cell>
          <cell r="P6207">
            <v>8.5259</v>
          </cell>
        </row>
        <row r="6208">
          <cell r="A6208" t="str">
            <v>PEE-027-ZER-608-x20</v>
          </cell>
          <cell r="G6208" t="str">
            <v xml:space="preserve">CR   </v>
          </cell>
          <cell r="L6208">
            <v>38624</v>
          </cell>
          <cell r="M6208">
            <v>2.915</v>
          </cell>
          <cell r="P6208">
            <v>9.7477</v>
          </cell>
        </row>
        <row r="6209">
          <cell r="A6209" t="str">
            <v>PEE-030-MG-206-FFA</v>
          </cell>
          <cell r="G6209" t="str">
            <v xml:space="preserve">CR   </v>
          </cell>
          <cell r="L6209">
            <v>38624</v>
          </cell>
          <cell r="M6209">
            <v>2.915</v>
          </cell>
          <cell r="P6209">
            <v>5.3608000000000002</v>
          </cell>
        </row>
        <row r="6210">
          <cell r="A6210" t="str">
            <v>PEE-030-MG-208-FFA</v>
          </cell>
          <cell r="G6210" t="str">
            <v xml:space="preserve">CR   </v>
          </cell>
          <cell r="L6210">
            <v>38624</v>
          </cell>
          <cell r="M6210">
            <v>2.915</v>
          </cell>
          <cell r="P6210">
            <v>5.8117000000000001</v>
          </cell>
        </row>
        <row r="6211">
          <cell r="A6211" t="str">
            <v>PEE-030-MG-208-SZ15</v>
          </cell>
          <cell r="G6211" t="str">
            <v xml:space="preserve">CR   </v>
          </cell>
          <cell r="L6211">
            <v>38624</v>
          </cell>
          <cell r="M6211">
            <v>2.915</v>
          </cell>
          <cell r="P6211">
            <v>7.9539999999999997</v>
          </cell>
        </row>
        <row r="6212">
          <cell r="A6212" t="str">
            <v>PEE-030-MG-305-SZZ3</v>
          </cell>
          <cell r="G6212" t="str">
            <v xml:space="preserve">CR   </v>
          </cell>
          <cell r="L6212">
            <v>38624</v>
          </cell>
          <cell r="M6212">
            <v>2.915</v>
          </cell>
          <cell r="P6212">
            <v>4.0999999999999996</v>
          </cell>
        </row>
        <row r="6213">
          <cell r="A6213" t="str">
            <v>PEE-030-MG-306-SZZ5</v>
          </cell>
          <cell r="G6213" t="str">
            <v xml:space="preserve">CR   </v>
          </cell>
          <cell r="L6213">
            <v>38624</v>
          </cell>
          <cell r="M6213">
            <v>2.915</v>
          </cell>
          <cell r="P6213">
            <v>4.4279999999999999</v>
          </cell>
        </row>
        <row r="6214">
          <cell r="A6214" t="str">
            <v>PEE-030-MG-307-SZZ4</v>
          </cell>
          <cell r="G6214" t="str">
            <v xml:space="preserve">CR   </v>
          </cell>
          <cell r="L6214">
            <v>38624</v>
          </cell>
          <cell r="M6214">
            <v>2.915</v>
          </cell>
          <cell r="P6214">
            <v>6.4882</v>
          </cell>
        </row>
        <row r="6215">
          <cell r="A6215" t="str">
            <v>PEE-030-MG-307-SZZ9</v>
          </cell>
          <cell r="G6215" t="str">
            <v xml:space="preserve">CR   </v>
          </cell>
          <cell r="L6215">
            <v>38624</v>
          </cell>
          <cell r="M6215">
            <v>2.915</v>
          </cell>
          <cell r="P6215">
            <v>5.1455000000000002</v>
          </cell>
        </row>
        <row r="6216">
          <cell r="A6216" t="str">
            <v>PEE-030-MG-308-SZZ5</v>
          </cell>
          <cell r="G6216" t="str">
            <v xml:space="preserve">CR   </v>
          </cell>
          <cell r="L6216">
            <v>38624</v>
          </cell>
          <cell r="M6216">
            <v>2.915</v>
          </cell>
          <cell r="P6216">
            <v>6.3446999999999996</v>
          </cell>
        </row>
        <row r="6217">
          <cell r="A6217" t="str">
            <v>PEE-030-MG-308-SZZ6</v>
          </cell>
          <cell r="G6217" t="str">
            <v xml:space="preserve">CR   </v>
          </cell>
          <cell r="L6217">
            <v>38624</v>
          </cell>
          <cell r="M6217">
            <v>2.915</v>
          </cell>
          <cell r="P6217">
            <v>5.6580000000000004</v>
          </cell>
        </row>
        <row r="6218">
          <cell r="A6218" t="str">
            <v>PEE-030-MG-309-SZZ1</v>
          </cell>
          <cell r="G6218" t="str">
            <v xml:space="preserve">CR   </v>
          </cell>
          <cell r="L6218">
            <v>38624</v>
          </cell>
          <cell r="M6218">
            <v>2.915</v>
          </cell>
          <cell r="P6218">
            <v>7.6772</v>
          </cell>
        </row>
        <row r="6219">
          <cell r="A6219" t="str">
            <v>PEE-030-MG-309-SZZ4</v>
          </cell>
          <cell r="G6219" t="str">
            <v xml:space="preserve">CR   </v>
          </cell>
          <cell r="L6219">
            <v>38624</v>
          </cell>
          <cell r="M6219">
            <v>2.915</v>
          </cell>
          <cell r="P6219">
            <v>7.4927000000000001</v>
          </cell>
        </row>
        <row r="6220">
          <cell r="A6220" t="str">
            <v>PEE-030-PUN-2-5/7</v>
          </cell>
          <cell r="G6220" t="str">
            <v xml:space="preserve">CR   </v>
          </cell>
          <cell r="L6220">
            <v>38624</v>
          </cell>
          <cell r="M6220">
            <v>2.915</v>
          </cell>
          <cell r="P6220">
            <v>21.248200000000001</v>
          </cell>
        </row>
        <row r="6221">
          <cell r="A6221" t="str">
            <v>PEE-030-PUN-2-6/8</v>
          </cell>
          <cell r="G6221" t="str">
            <v xml:space="preserve">CR   </v>
          </cell>
          <cell r="L6221">
            <v>38624</v>
          </cell>
          <cell r="M6221">
            <v>2.915</v>
          </cell>
          <cell r="P6221">
            <v>22.160499999999999</v>
          </cell>
        </row>
        <row r="6222">
          <cell r="A6222" t="str">
            <v>PEE-031-10X-30205-A</v>
          </cell>
          <cell r="G6222" t="str">
            <v xml:space="preserve">CR   </v>
          </cell>
          <cell r="L6222">
            <v>38811</v>
          </cell>
          <cell r="M6222">
            <v>3.085</v>
          </cell>
          <cell r="P6222">
            <v>14.0235</v>
          </cell>
        </row>
        <row r="6223">
          <cell r="A6223" t="str">
            <v>PEE-031-11x-30206-A.</v>
          </cell>
          <cell r="G6223" t="str">
            <v xml:space="preserve">CR   </v>
          </cell>
          <cell r="L6223">
            <v>38624</v>
          </cell>
          <cell r="M6223">
            <v>2.915</v>
          </cell>
          <cell r="P6223">
            <v>13.827199999999999</v>
          </cell>
        </row>
        <row r="6224">
          <cell r="A6224" t="str">
            <v>PEE-031-11X-30206C/M</v>
          </cell>
          <cell r="G6224" t="str">
            <v>INDEV</v>
          </cell>
          <cell r="L6224">
            <v>39752</v>
          </cell>
          <cell r="M6224">
            <v>3.3849999999999998</v>
          </cell>
          <cell r="P6224">
            <v>5.2743870014771055</v>
          </cell>
        </row>
        <row r="6225">
          <cell r="A6225" t="str">
            <v>PEE-031-30207-37</v>
          </cell>
          <cell r="G6225" t="str">
            <v xml:space="preserve">CR   </v>
          </cell>
          <cell r="L6225">
            <v>40428.376423611109</v>
          </cell>
          <cell r="M6225">
            <v>3.97</v>
          </cell>
          <cell r="P6225">
            <v>1.361</v>
          </cell>
        </row>
        <row r="6226">
          <cell r="A6226" t="str">
            <v>PEE-031-30208-R</v>
          </cell>
          <cell r="G6226" t="str">
            <v xml:space="preserve">CR   </v>
          </cell>
          <cell r="L6226">
            <v>38624</v>
          </cell>
          <cell r="M6226">
            <v>2.915</v>
          </cell>
          <cell r="P6226">
            <v>7.9436999999999998</v>
          </cell>
        </row>
        <row r="6227">
          <cell r="A6227" t="str">
            <v>PEE-031-30210-R</v>
          </cell>
          <cell r="G6227" t="str">
            <v xml:space="preserve">CR   </v>
          </cell>
          <cell r="L6227">
            <v>38624</v>
          </cell>
          <cell r="M6227">
            <v>2.915</v>
          </cell>
          <cell r="P6227">
            <v>9.43</v>
          </cell>
        </row>
        <row r="6228">
          <cell r="A6228" t="str">
            <v>PEE-031-36899</v>
          </cell>
          <cell r="G6228" t="str">
            <v xml:space="preserve">CR   </v>
          </cell>
          <cell r="L6228">
            <v>40428.376423611109</v>
          </cell>
          <cell r="M6228">
            <v>3.97</v>
          </cell>
          <cell r="P6228">
            <v>1.1000000000000001</v>
          </cell>
        </row>
        <row r="6229">
          <cell r="A6229" t="str">
            <v>PEE-031-401-371919</v>
          </cell>
          <cell r="G6229" t="str">
            <v xml:space="preserve">CR   </v>
          </cell>
          <cell r="L6229">
            <v>38624</v>
          </cell>
          <cell r="M6229">
            <v>2.915</v>
          </cell>
          <cell r="P6229">
            <v>32.615499999999997</v>
          </cell>
        </row>
        <row r="6230">
          <cell r="A6230" t="str">
            <v>PEE-031-509043-A</v>
          </cell>
          <cell r="G6230" t="str">
            <v>IPFAB</v>
          </cell>
          <cell r="L6230">
            <v>39009</v>
          </cell>
          <cell r="M6230">
            <v>3.0910000000000002</v>
          </cell>
          <cell r="P6230">
            <v>2.952572</v>
          </cell>
        </row>
        <row r="6231">
          <cell r="A6231" t="str">
            <v>PEE-031-6207-NVP</v>
          </cell>
          <cell r="G6231" t="str">
            <v xml:space="preserve">CR   </v>
          </cell>
          <cell r="L6231">
            <v>40428.376423611109</v>
          </cell>
          <cell r="M6231">
            <v>3.97</v>
          </cell>
          <cell r="P6231">
            <v>1.722</v>
          </cell>
        </row>
        <row r="6232">
          <cell r="A6232" t="str">
            <v>PEE-031-6207-R12</v>
          </cell>
          <cell r="G6232" t="str">
            <v>INIMP</v>
          </cell>
          <cell r="L6232">
            <v>39057</v>
          </cell>
          <cell r="M6232">
            <v>3.0550000000000002</v>
          </cell>
          <cell r="P6232">
            <v>2.3742000000000001</v>
          </cell>
        </row>
        <row r="6233">
          <cell r="A6233" t="str">
            <v>PEE-031-62304-17mm</v>
          </cell>
          <cell r="G6233" t="str">
            <v xml:space="preserve">CR   </v>
          </cell>
          <cell r="L6233">
            <v>38811</v>
          </cell>
          <cell r="M6233">
            <v>3.085</v>
          </cell>
          <cell r="P6233">
            <v>1.0771999999999999</v>
          </cell>
        </row>
        <row r="6234">
          <cell r="A6234" t="str">
            <v>PEE-031-88107-DBL</v>
          </cell>
          <cell r="G6234" t="str">
            <v>IPFAB</v>
          </cell>
          <cell r="L6234">
            <v>39316</v>
          </cell>
          <cell r="M6234">
            <v>3.16</v>
          </cell>
          <cell r="P6234">
            <v>3.5034000000000001</v>
          </cell>
        </row>
        <row r="6235">
          <cell r="A6235" t="str">
            <v>PEE-031-88128-R</v>
          </cell>
          <cell r="G6235" t="str">
            <v>IDESP</v>
          </cell>
          <cell r="L6235">
            <v>39959</v>
          </cell>
          <cell r="M6235">
            <v>3.75</v>
          </cell>
          <cell r="P6235">
            <v>2.39</v>
          </cell>
        </row>
        <row r="6236">
          <cell r="A6236" t="str">
            <v>PEE-031-88508-2RS</v>
          </cell>
          <cell r="G6236" t="str">
            <v xml:space="preserve">CR   </v>
          </cell>
          <cell r="L6236">
            <v>38624</v>
          </cell>
          <cell r="M6236">
            <v>2.915</v>
          </cell>
          <cell r="P6236">
            <v>2.6034999999999999</v>
          </cell>
        </row>
        <row r="6237">
          <cell r="A6237" t="str">
            <v>PEE-031-99502-HRST</v>
          </cell>
          <cell r="G6237" t="str">
            <v>INDEV</v>
          </cell>
          <cell r="L6237">
            <v>41355</v>
          </cell>
          <cell r="M6237">
            <v>5.0999999999999996</v>
          </cell>
          <cell r="P6237">
            <v>6.5294117647058822</v>
          </cell>
        </row>
        <row r="6238">
          <cell r="A6238" t="str">
            <v>PEE-031-B-17-107D</v>
          </cell>
          <cell r="G6238" t="str">
            <v>IDESP</v>
          </cell>
          <cell r="L6238">
            <v>39177</v>
          </cell>
          <cell r="M6238">
            <v>3.1</v>
          </cell>
          <cell r="P6238">
            <v>1.5</v>
          </cell>
        </row>
        <row r="6239">
          <cell r="A6239" t="str">
            <v>PEE-031-B-17-126D</v>
          </cell>
          <cell r="G6239" t="str">
            <v xml:space="preserve">CR   </v>
          </cell>
          <cell r="L6239">
            <v>38624</v>
          </cell>
          <cell r="M6239">
            <v>2.915</v>
          </cell>
          <cell r="P6239">
            <v>1.8859999999999999</v>
          </cell>
        </row>
        <row r="6240">
          <cell r="A6240" t="str">
            <v>PEE-031-B-17-99DD</v>
          </cell>
          <cell r="G6240" t="str">
            <v xml:space="preserve">INSI </v>
          </cell>
          <cell r="L6240">
            <v>40735</v>
          </cell>
          <cell r="M6240">
            <v>4.1500000000000004</v>
          </cell>
          <cell r="P6240">
            <v>1.5</v>
          </cell>
        </row>
        <row r="6241">
          <cell r="A6241" t="str">
            <v>PEE-031-B10-50D</v>
          </cell>
          <cell r="G6241" t="str">
            <v xml:space="preserve">CR   </v>
          </cell>
          <cell r="L6241">
            <v>38811</v>
          </cell>
          <cell r="M6241">
            <v>3.085</v>
          </cell>
          <cell r="P6241">
            <v>1.1717</v>
          </cell>
        </row>
        <row r="6242">
          <cell r="A6242" t="str">
            <v>PEE-031-BBT-329013</v>
          </cell>
          <cell r="G6242" t="str">
            <v>INDEV</v>
          </cell>
          <cell r="L6242">
            <v>39309</v>
          </cell>
          <cell r="M6242">
            <v>3.1469999999999998</v>
          </cell>
          <cell r="P6242">
            <v>1.5658722592945664</v>
          </cell>
        </row>
        <row r="6243">
          <cell r="A6243" t="str">
            <v>PEE-031-CHO-20</v>
          </cell>
          <cell r="G6243" t="str">
            <v xml:space="preserve">CR   </v>
          </cell>
          <cell r="L6243">
            <v>38624</v>
          </cell>
          <cell r="M6243">
            <v>2.915</v>
          </cell>
          <cell r="P6243">
            <v>2.2652999999999999</v>
          </cell>
        </row>
        <row r="6244">
          <cell r="A6244" t="str">
            <v>PEE-031-CR-301440-P</v>
          </cell>
          <cell r="G6244" t="str">
            <v xml:space="preserve">CR   </v>
          </cell>
          <cell r="L6244">
            <v>38624</v>
          </cell>
          <cell r="M6244">
            <v>2.915</v>
          </cell>
          <cell r="P6244">
            <v>7.3082000000000003</v>
          </cell>
        </row>
        <row r="6245">
          <cell r="A6245" t="str">
            <v>PEE-031-CR-301444</v>
          </cell>
          <cell r="G6245" t="str">
            <v xml:space="preserve">CR   </v>
          </cell>
          <cell r="L6245">
            <v>38624</v>
          </cell>
          <cell r="M6245">
            <v>2.915</v>
          </cell>
          <cell r="P6245">
            <v>9.5530000000000008</v>
          </cell>
        </row>
        <row r="6246">
          <cell r="A6246" t="str">
            <v>PEE-031-CR-301444-P</v>
          </cell>
          <cell r="G6246" t="str">
            <v xml:space="preserve">CR   </v>
          </cell>
          <cell r="L6246">
            <v>38811</v>
          </cell>
          <cell r="M6246">
            <v>3.085</v>
          </cell>
          <cell r="P6246">
            <v>5.4161000000000001</v>
          </cell>
        </row>
        <row r="6247">
          <cell r="A6247" t="str">
            <v>PEE-031-CR-301473</v>
          </cell>
          <cell r="G6247" t="str">
            <v xml:space="preserve">CR   </v>
          </cell>
          <cell r="L6247">
            <v>38811</v>
          </cell>
          <cell r="M6247">
            <v>3.085</v>
          </cell>
          <cell r="P6247">
            <v>14.3658</v>
          </cell>
        </row>
        <row r="6248">
          <cell r="A6248" t="str">
            <v>PEE-031-CR-301661</v>
          </cell>
          <cell r="G6248" t="str">
            <v xml:space="preserve">CR   </v>
          </cell>
          <cell r="L6248">
            <v>37981</v>
          </cell>
          <cell r="M6248">
            <v>2.96</v>
          </cell>
          <cell r="P6248">
            <v>6.53</v>
          </cell>
        </row>
        <row r="6249">
          <cell r="A6249" t="str">
            <v>PEE-031-CR-301665</v>
          </cell>
          <cell r="G6249" t="str">
            <v xml:space="preserve">CR   </v>
          </cell>
          <cell r="L6249">
            <v>38624</v>
          </cell>
          <cell r="M6249">
            <v>2.915</v>
          </cell>
          <cell r="P6249">
            <v>8.4358000000000004</v>
          </cell>
        </row>
        <row r="6250">
          <cell r="A6250" t="str">
            <v>PEE-031-CR-301666</v>
          </cell>
          <cell r="G6250" t="str">
            <v xml:space="preserve">CR   </v>
          </cell>
          <cell r="L6250">
            <v>38811</v>
          </cell>
          <cell r="M6250">
            <v>3.085</v>
          </cell>
          <cell r="P6250">
            <v>8.2852999999999994</v>
          </cell>
        </row>
        <row r="6251">
          <cell r="A6251" t="str">
            <v>PEE-031-CR-301672</v>
          </cell>
          <cell r="G6251" t="str">
            <v xml:space="preserve">CR   </v>
          </cell>
          <cell r="L6251">
            <v>38811</v>
          </cell>
          <cell r="M6251">
            <v>3.085</v>
          </cell>
          <cell r="P6251">
            <v>10.49</v>
          </cell>
        </row>
        <row r="6252">
          <cell r="A6252" t="str">
            <v>PEE-031-CR-301673</v>
          </cell>
          <cell r="G6252" t="str">
            <v xml:space="preserve">CR   </v>
          </cell>
          <cell r="L6252">
            <v>38811</v>
          </cell>
          <cell r="M6252">
            <v>3.085</v>
          </cell>
          <cell r="P6252">
            <v>11.144399999999999</v>
          </cell>
        </row>
        <row r="6253">
          <cell r="A6253" t="str">
            <v>PEE-031-CR-301680</v>
          </cell>
          <cell r="G6253" t="str">
            <v xml:space="preserve">CR   </v>
          </cell>
          <cell r="L6253">
            <v>38624</v>
          </cell>
          <cell r="M6253">
            <v>2.915</v>
          </cell>
          <cell r="P6253">
            <v>4.7866999999999997</v>
          </cell>
        </row>
        <row r="6254">
          <cell r="A6254" t="str">
            <v>PEE-031-CR-301682</v>
          </cell>
          <cell r="G6254" t="str">
            <v xml:space="preserve">CR   </v>
          </cell>
          <cell r="L6254">
            <v>38811</v>
          </cell>
          <cell r="M6254">
            <v>3.085</v>
          </cell>
          <cell r="P6254">
            <v>6.0804999999999998</v>
          </cell>
        </row>
        <row r="6255">
          <cell r="A6255" t="str">
            <v>PEE-031-CR-301686</v>
          </cell>
          <cell r="G6255" t="str">
            <v xml:space="preserve">CR   </v>
          </cell>
          <cell r="L6255">
            <v>37981</v>
          </cell>
          <cell r="M6255">
            <v>2.96</v>
          </cell>
          <cell r="P6255">
            <v>9.8800000000000008</v>
          </cell>
        </row>
        <row r="6256">
          <cell r="A6256" t="str">
            <v>PEE-031-CR-301687</v>
          </cell>
          <cell r="G6256" t="str">
            <v xml:space="preserve">CR   </v>
          </cell>
          <cell r="L6256">
            <v>37981</v>
          </cell>
          <cell r="M6256">
            <v>2.96</v>
          </cell>
          <cell r="P6256">
            <v>9.33</v>
          </cell>
        </row>
        <row r="6257">
          <cell r="A6257" t="str">
            <v>PEE-031-CR-301696</v>
          </cell>
          <cell r="G6257" t="str">
            <v xml:space="preserve">CR   </v>
          </cell>
          <cell r="L6257">
            <v>38811</v>
          </cell>
          <cell r="M6257">
            <v>3.085</v>
          </cell>
          <cell r="P6257">
            <v>11.5974</v>
          </cell>
        </row>
        <row r="6258">
          <cell r="A6258" t="str">
            <v>PEE-031-CR-301803</v>
          </cell>
          <cell r="G6258" t="str">
            <v xml:space="preserve">CR   </v>
          </cell>
          <cell r="L6258">
            <v>38811</v>
          </cell>
          <cell r="M6258">
            <v>3.085</v>
          </cell>
          <cell r="P6258">
            <v>9.9463000000000008</v>
          </cell>
        </row>
        <row r="6259">
          <cell r="A6259" t="str">
            <v>PEE-031-CR-301817</v>
          </cell>
          <cell r="G6259" t="str">
            <v xml:space="preserve">CR   </v>
          </cell>
          <cell r="L6259">
            <v>38811</v>
          </cell>
          <cell r="M6259">
            <v>3.085</v>
          </cell>
          <cell r="P6259">
            <v>4.9732000000000003</v>
          </cell>
        </row>
        <row r="6260">
          <cell r="A6260" t="str">
            <v>PEE-031-CR-301830</v>
          </cell>
          <cell r="G6260" t="str">
            <v xml:space="preserve">CR   </v>
          </cell>
          <cell r="L6260">
            <v>38624</v>
          </cell>
          <cell r="M6260">
            <v>2.915</v>
          </cell>
          <cell r="P6260">
            <v>10.127000000000001</v>
          </cell>
        </row>
        <row r="6261">
          <cell r="A6261" t="str">
            <v>PEE-031-CR-301834</v>
          </cell>
          <cell r="G6261" t="str">
            <v xml:space="preserve">CR   </v>
          </cell>
          <cell r="L6261">
            <v>38811</v>
          </cell>
          <cell r="M6261">
            <v>3.085</v>
          </cell>
          <cell r="P6261">
            <v>9.2719000000000005</v>
          </cell>
        </row>
        <row r="6262">
          <cell r="A6262" t="str">
            <v>PEE-031-CR-301838</v>
          </cell>
          <cell r="G6262" t="str">
            <v xml:space="preserve">CR   </v>
          </cell>
          <cell r="L6262">
            <v>37981</v>
          </cell>
          <cell r="M6262">
            <v>2.96</v>
          </cell>
          <cell r="P6262">
            <v>7.96</v>
          </cell>
        </row>
        <row r="6263">
          <cell r="A6263" t="str">
            <v>PEE-031-CR-301872</v>
          </cell>
          <cell r="G6263" t="str">
            <v xml:space="preserve">CR   </v>
          </cell>
          <cell r="L6263">
            <v>38811</v>
          </cell>
          <cell r="M6263">
            <v>3.085</v>
          </cell>
          <cell r="P6263">
            <v>5.6375999999999999</v>
          </cell>
        </row>
        <row r="6264">
          <cell r="A6264" t="str">
            <v>PEE-031-CR-301876-LI</v>
          </cell>
          <cell r="G6264" t="str">
            <v xml:space="preserve">INSI </v>
          </cell>
          <cell r="L6264">
            <v>37626</v>
          </cell>
          <cell r="M6264">
            <v>3.34</v>
          </cell>
          <cell r="P6264">
            <v>8</v>
          </cell>
        </row>
        <row r="6265">
          <cell r="A6265" t="str">
            <v>PEE-031-CR-301877</v>
          </cell>
          <cell r="G6265" t="str">
            <v>IPFAB</v>
          </cell>
          <cell r="L6265">
            <v>39325</v>
          </cell>
          <cell r="M6265">
            <v>3.1579999999999999</v>
          </cell>
          <cell r="P6265">
            <v>7.7316000000000003</v>
          </cell>
        </row>
        <row r="6266">
          <cell r="A6266" t="str">
            <v>PEE-031-CR-301878</v>
          </cell>
          <cell r="G6266" t="str">
            <v xml:space="preserve">CR   </v>
          </cell>
          <cell r="L6266">
            <v>38811</v>
          </cell>
          <cell r="M6266">
            <v>3.085</v>
          </cell>
          <cell r="P6266">
            <v>7.7316000000000003</v>
          </cell>
        </row>
        <row r="6267">
          <cell r="A6267" t="str">
            <v>PEE-031-CR-401132</v>
          </cell>
          <cell r="G6267" t="str">
            <v xml:space="preserve">CR   </v>
          </cell>
          <cell r="L6267">
            <v>38624</v>
          </cell>
          <cell r="M6267">
            <v>2.915</v>
          </cell>
          <cell r="P6267">
            <v>2.8085</v>
          </cell>
        </row>
        <row r="6268">
          <cell r="A6268" t="str">
            <v>PEE-031-CR-401137</v>
          </cell>
          <cell r="G6268" t="str">
            <v xml:space="preserve">CR   </v>
          </cell>
          <cell r="L6268">
            <v>38624</v>
          </cell>
          <cell r="M6268">
            <v>2.915</v>
          </cell>
          <cell r="P6268">
            <v>3.2595000000000001</v>
          </cell>
        </row>
        <row r="6269">
          <cell r="A6269" t="str">
            <v>PEE-031-CR-401148</v>
          </cell>
          <cell r="G6269" t="str">
            <v xml:space="preserve">CR   </v>
          </cell>
          <cell r="L6269">
            <v>38624</v>
          </cell>
          <cell r="M6269">
            <v>2.915</v>
          </cell>
          <cell r="P6269">
            <v>3.3210000000000002</v>
          </cell>
        </row>
        <row r="6270">
          <cell r="A6270" t="str">
            <v>PEE-031-CR-401225</v>
          </cell>
          <cell r="G6270" t="str">
            <v xml:space="preserve">CR   </v>
          </cell>
          <cell r="L6270">
            <v>38811</v>
          </cell>
          <cell r="M6270">
            <v>3.085</v>
          </cell>
          <cell r="P6270">
            <v>3.1305999999999998</v>
          </cell>
        </row>
        <row r="6271">
          <cell r="A6271" t="str">
            <v>PEE-031-CR-401244</v>
          </cell>
          <cell r="G6271" t="str">
            <v xml:space="preserve">CR   </v>
          </cell>
          <cell r="L6271">
            <v>38624</v>
          </cell>
          <cell r="M6271">
            <v>2.915</v>
          </cell>
          <cell r="P6271">
            <v>1.2402</v>
          </cell>
        </row>
        <row r="6272">
          <cell r="A6272" t="str">
            <v>PEE-031-CR-401245</v>
          </cell>
          <cell r="G6272" t="str">
            <v xml:space="preserve">INSI </v>
          </cell>
          <cell r="L6272">
            <v>37626</v>
          </cell>
          <cell r="M6272">
            <v>3.34</v>
          </cell>
          <cell r="P6272">
            <v>5.92</v>
          </cell>
        </row>
        <row r="6273">
          <cell r="A6273" t="str">
            <v>PEE-031-CR-401251</v>
          </cell>
          <cell r="G6273" t="str">
            <v xml:space="preserve">CR   </v>
          </cell>
          <cell r="L6273">
            <v>38624</v>
          </cell>
          <cell r="M6273">
            <v>2.915</v>
          </cell>
          <cell r="P6273">
            <v>3.649</v>
          </cell>
        </row>
        <row r="6274">
          <cell r="A6274" t="str">
            <v>PEE-031-CR-401252</v>
          </cell>
          <cell r="G6274" t="str">
            <v xml:space="preserve">CR   </v>
          </cell>
          <cell r="L6274">
            <v>38624</v>
          </cell>
          <cell r="M6274">
            <v>2.915</v>
          </cell>
          <cell r="P6274">
            <v>9.7271999999999998</v>
          </cell>
        </row>
        <row r="6275">
          <cell r="A6275" t="str">
            <v>PEE-031-CR-401305</v>
          </cell>
          <cell r="G6275" t="str">
            <v xml:space="preserve">CR   </v>
          </cell>
          <cell r="L6275">
            <v>38811</v>
          </cell>
          <cell r="M6275">
            <v>3.085</v>
          </cell>
          <cell r="P6275">
            <v>9.6645000000000003</v>
          </cell>
        </row>
        <row r="6276">
          <cell r="A6276" t="str">
            <v>PEE-031-CR-401312</v>
          </cell>
          <cell r="G6276" t="str">
            <v xml:space="preserve">CR   </v>
          </cell>
          <cell r="L6276">
            <v>38624</v>
          </cell>
          <cell r="M6276">
            <v>2.915</v>
          </cell>
          <cell r="P6276">
            <v>10.127000000000001</v>
          </cell>
        </row>
        <row r="6277">
          <cell r="A6277" t="str">
            <v>PEE-031-CR-401342</v>
          </cell>
          <cell r="G6277" t="str">
            <v xml:space="preserve">CR   </v>
          </cell>
          <cell r="L6277">
            <v>38624</v>
          </cell>
          <cell r="M6277">
            <v>2.915</v>
          </cell>
          <cell r="P6277">
            <v>22.488499999999998</v>
          </cell>
        </row>
        <row r="6278">
          <cell r="A6278" t="str">
            <v>PEE-031-CR-401371</v>
          </cell>
          <cell r="G6278" t="str">
            <v xml:space="preserve">CR   </v>
          </cell>
          <cell r="L6278">
            <v>37981</v>
          </cell>
          <cell r="M6278">
            <v>2.96</v>
          </cell>
          <cell r="P6278">
            <v>21.94</v>
          </cell>
        </row>
        <row r="6279">
          <cell r="A6279" t="str">
            <v>PEE-031-CR-401371-AL</v>
          </cell>
          <cell r="G6279" t="str">
            <v xml:space="preserve">CR   </v>
          </cell>
          <cell r="L6279">
            <v>37981</v>
          </cell>
          <cell r="M6279">
            <v>2.96</v>
          </cell>
          <cell r="P6279">
            <v>31.82</v>
          </cell>
        </row>
        <row r="6280">
          <cell r="A6280" t="str">
            <v>PEE-031-CR-401373</v>
          </cell>
          <cell r="G6280" t="str">
            <v xml:space="preserve">CR   </v>
          </cell>
          <cell r="L6280">
            <v>37981</v>
          </cell>
          <cell r="M6280">
            <v>2.96</v>
          </cell>
          <cell r="P6280">
            <v>6.04</v>
          </cell>
        </row>
        <row r="6281">
          <cell r="A6281" t="str">
            <v>PEE-031-CR-574</v>
          </cell>
          <cell r="G6281" t="str">
            <v xml:space="preserve">CR   </v>
          </cell>
          <cell r="L6281">
            <v>38624</v>
          </cell>
          <cell r="M6281">
            <v>2.915</v>
          </cell>
          <cell r="P6281">
            <v>2.7776999999999998</v>
          </cell>
        </row>
        <row r="6282">
          <cell r="A6282" t="str">
            <v>PEE-031-FC-40118</v>
          </cell>
          <cell r="G6282" t="str">
            <v xml:space="preserve">CR   </v>
          </cell>
          <cell r="L6282">
            <v>38624</v>
          </cell>
          <cell r="M6282">
            <v>2.915</v>
          </cell>
          <cell r="P6282">
            <v>5.6477000000000004</v>
          </cell>
        </row>
        <row r="6283">
          <cell r="A6283" t="str">
            <v>PEE-031-FWD-255539-K</v>
          </cell>
          <cell r="G6283" t="str">
            <v>IPFAB</v>
          </cell>
          <cell r="L6283">
            <v>39160</v>
          </cell>
          <cell r="M6283">
            <v>3.101</v>
          </cell>
          <cell r="P6283">
            <v>2.78</v>
          </cell>
        </row>
        <row r="6284">
          <cell r="A6284" t="str">
            <v>PEE-031-FWD-303313-K</v>
          </cell>
          <cell r="G6284" t="str">
            <v xml:space="preserve">INSI </v>
          </cell>
          <cell r="L6284">
            <v>43535</v>
          </cell>
          <cell r="M6284">
            <v>42.2</v>
          </cell>
          <cell r="P6284">
            <v>0.245</v>
          </cell>
        </row>
        <row r="6285">
          <cell r="A6285" t="str">
            <v>PEE-031-FWD-341316-K</v>
          </cell>
          <cell r="G6285" t="str">
            <v>INDEV</v>
          </cell>
          <cell r="L6285">
            <v>41613</v>
          </cell>
          <cell r="M6285">
            <v>6.2</v>
          </cell>
          <cell r="P6285">
            <v>3.5</v>
          </cell>
        </row>
        <row r="6286">
          <cell r="A6286" t="str">
            <v>PEE-031-FWD-346114-K</v>
          </cell>
          <cell r="G6286" t="str">
            <v>IPFAB</v>
          </cell>
          <cell r="L6286">
            <v>39379</v>
          </cell>
          <cell r="M6286">
            <v>3.173</v>
          </cell>
          <cell r="P6286">
            <v>3.24</v>
          </cell>
        </row>
        <row r="6287">
          <cell r="A6287" t="str">
            <v>PEE-031-FWD-351309-K</v>
          </cell>
          <cell r="G6287" t="str">
            <v>INDEV</v>
          </cell>
          <cell r="L6287">
            <v>40736</v>
          </cell>
          <cell r="M6287">
            <v>4.1500000000000004</v>
          </cell>
          <cell r="P6287">
            <v>2.8548192771084335</v>
          </cell>
        </row>
        <row r="6288">
          <cell r="A6288" t="str">
            <v>PEE-031-FWD-353295-K</v>
          </cell>
          <cell r="G6288" t="str">
            <v>INDEV</v>
          </cell>
          <cell r="L6288">
            <v>39309</v>
          </cell>
          <cell r="M6288">
            <v>3.1469999999999998</v>
          </cell>
          <cell r="P6288">
            <v>3.3207499205592632</v>
          </cell>
        </row>
        <row r="6289">
          <cell r="A6289" t="str">
            <v>PEE-031-FWD-355535-K</v>
          </cell>
          <cell r="G6289" t="str">
            <v xml:space="preserve">CR   </v>
          </cell>
          <cell r="L6289">
            <v>38811</v>
          </cell>
          <cell r="M6289">
            <v>3.085</v>
          </cell>
          <cell r="P6289">
            <v>3.1537000000000002</v>
          </cell>
        </row>
        <row r="6290">
          <cell r="A6290" t="str">
            <v>PEE-031-FWD-355620-K</v>
          </cell>
          <cell r="G6290" t="str">
            <v xml:space="preserve">CR   </v>
          </cell>
          <cell r="L6290">
            <v>38811</v>
          </cell>
          <cell r="M6290">
            <v>3.085</v>
          </cell>
          <cell r="P6290">
            <v>3.1554000000000002</v>
          </cell>
        </row>
        <row r="6291">
          <cell r="A6291" t="str">
            <v>PEE-031-FWD-372807-K</v>
          </cell>
          <cell r="G6291" t="str">
            <v>IPFAB</v>
          </cell>
          <cell r="L6291">
            <v>39379</v>
          </cell>
          <cell r="M6291">
            <v>3.173</v>
          </cell>
          <cell r="P6291">
            <v>3.64</v>
          </cell>
        </row>
        <row r="6292">
          <cell r="A6292" t="str">
            <v>PEE-031-FWD-372807-N</v>
          </cell>
          <cell r="G6292" t="str">
            <v xml:space="preserve">CR   </v>
          </cell>
          <cell r="L6292">
            <v>38811</v>
          </cell>
          <cell r="M6292">
            <v>3.085</v>
          </cell>
          <cell r="P6292">
            <v>3.5579999999999998</v>
          </cell>
        </row>
        <row r="6293">
          <cell r="A6293" t="str">
            <v>PEE-031-FWD-391315-K</v>
          </cell>
          <cell r="G6293" t="str">
            <v xml:space="preserve">CR   </v>
          </cell>
          <cell r="L6293">
            <v>38811</v>
          </cell>
          <cell r="M6293">
            <v>3.085</v>
          </cell>
          <cell r="P6293">
            <v>3.2753999999999999</v>
          </cell>
        </row>
        <row r="6294">
          <cell r="A6294" t="str">
            <v>PEE-031-FWD-391396-K</v>
          </cell>
          <cell r="G6294" t="str">
            <v xml:space="preserve">CR   </v>
          </cell>
          <cell r="L6294">
            <v>38811</v>
          </cell>
          <cell r="M6294">
            <v>3.085</v>
          </cell>
          <cell r="P6294">
            <v>3.0853000000000002</v>
          </cell>
        </row>
        <row r="6295">
          <cell r="A6295" t="str">
            <v>PEE-031-FWD-393815-K</v>
          </cell>
          <cell r="G6295" t="str">
            <v>INDEV</v>
          </cell>
          <cell r="L6295">
            <v>40723</v>
          </cell>
          <cell r="M6295">
            <v>4.13</v>
          </cell>
          <cell r="P6295">
            <v>4.67</v>
          </cell>
        </row>
        <row r="6296">
          <cell r="A6296" t="str">
            <v>PEE-031-FWD-401443-K</v>
          </cell>
          <cell r="G6296" t="str">
            <v xml:space="preserve">CR   </v>
          </cell>
          <cell r="L6296">
            <v>38811</v>
          </cell>
          <cell r="M6296">
            <v>3.085</v>
          </cell>
          <cell r="P6296">
            <v>4.3490000000000002</v>
          </cell>
        </row>
        <row r="6297">
          <cell r="A6297" t="str">
            <v>PEE-031-FWD-405533-K</v>
          </cell>
          <cell r="G6297" t="str">
            <v>IPFAB</v>
          </cell>
          <cell r="L6297">
            <v>39895</v>
          </cell>
          <cell r="M6297">
            <v>3.657</v>
          </cell>
          <cell r="P6297">
            <v>6.1132</v>
          </cell>
        </row>
        <row r="6298">
          <cell r="A6298" t="str">
            <v>PEE-031-FWD-420090-K</v>
          </cell>
          <cell r="G6298" t="str">
            <v>IPFAB</v>
          </cell>
          <cell r="L6298">
            <v>39379</v>
          </cell>
          <cell r="M6298">
            <v>3.173</v>
          </cell>
          <cell r="P6298">
            <v>5</v>
          </cell>
        </row>
        <row r="6299">
          <cell r="A6299" t="str">
            <v>PEE-031-FWD-421413-K</v>
          </cell>
          <cell r="G6299" t="str">
            <v>INDEV</v>
          </cell>
          <cell r="L6299">
            <v>40736</v>
          </cell>
          <cell r="M6299">
            <v>4.1500000000000004</v>
          </cell>
          <cell r="P6299">
            <v>4.9161927710843374</v>
          </cell>
        </row>
        <row r="6300">
          <cell r="A6300" t="str">
            <v>PEE-031-FWD-426047-K</v>
          </cell>
          <cell r="G6300" t="str">
            <v>INDEV</v>
          </cell>
          <cell r="L6300">
            <v>39932</v>
          </cell>
          <cell r="M6300">
            <v>3.73</v>
          </cell>
          <cell r="P6300">
            <v>5.0738069705093833</v>
          </cell>
        </row>
        <row r="6301">
          <cell r="A6301" t="str">
            <v>PEE-031-FWD-458045-K</v>
          </cell>
          <cell r="G6301" t="str">
            <v>IPFAB</v>
          </cell>
          <cell r="L6301">
            <v>38701</v>
          </cell>
          <cell r="M6301">
            <v>2.9980000000000002</v>
          </cell>
          <cell r="P6301">
            <v>6.35</v>
          </cell>
        </row>
        <row r="6302">
          <cell r="A6302" t="str">
            <v>PEE-031-JRM-3530-CUP</v>
          </cell>
          <cell r="G6302" t="str">
            <v xml:space="preserve">CR   </v>
          </cell>
          <cell r="L6302">
            <v>38624</v>
          </cell>
          <cell r="M6302">
            <v>2.915</v>
          </cell>
          <cell r="P6302">
            <v>1.0200000000000001E-2</v>
          </cell>
        </row>
        <row r="6303">
          <cell r="A6303" t="str">
            <v>PEE-031-L-17</v>
          </cell>
          <cell r="G6303" t="str">
            <v xml:space="preserve">CR   </v>
          </cell>
          <cell r="L6303">
            <v>38624</v>
          </cell>
          <cell r="M6303">
            <v>2.915</v>
          </cell>
          <cell r="P6303">
            <v>1.0762</v>
          </cell>
        </row>
        <row r="6304">
          <cell r="A6304" t="str">
            <v>PEE-031-L-68145-111</v>
          </cell>
          <cell r="G6304" t="str">
            <v>INDEV</v>
          </cell>
          <cell r="L6304">
            <v>39225</v>
          </cell>
          <cell r="M6304">
            <v>3.0779999999999998</v>
          </cell>
          <cell r="P6304">
            <v>1.4414879792072774</v>
          </cell>
        </row>
        <row r="6305">
          <cell r="A6305" t="str">
            <v>PEE-031-NU-208-M</v>
          </cell>
          <cell r="G6305" t="str">
            <v>IPFAB</v>
          </cell>
          <cell r="L6305">
            <v>38702</v>
          </cell>
          <cell r="M6305">
            <v>3.0150000000000001</v>
          </cell>
          <cell r="P6305">
            <v>2.6920000000000002</v>
          </cell>
        </row>
        <row r="6306">
          <cell r="A6306" t="str">
            <v>PEE-031-RW-1559</v>
          </cell>
          <cell r="G6306" t="str">
            <v xml:space="preserve">CR   </v>
          </cell>
          <cell r="L6306">
            <v>38811</v>
          </cell>
          <cell r="M6306">
            <v>3.085</v>
          </cell>
          <cell r="P6306">
            <v>5.6980000000000004</v>
          </cell>
        </row>
        <row r="6307">
          <cell r="A6307" t="str">
            <v>PEE-031-RW-207-SPA</v>
          </cell>
          <cell r="G6307" t="str">
            <v>INDEV</v>
          </cell>
          <cell r="L6307">
            <v>41233</v>
          </cell>
          <cell r="M6307">
            <v>4.8099999999999996</v>
          </cell>
          <cell r="P6307">
            <v>1.4395426195426198</v>
          </cell>
        </row>
        <row r="6308">
          <cell r="A6308" t="str">
            <v>PEE-031-SCO-4-A34</v>
          </cell>
          <cell r="G6308" t="str">
            <v xml:space="preserve">CR   </v>
          </cell>
          <cell r="L6308">
            <v>38624</v>
          </cell>
          <cell r="M6308">
            <v>2.915</v>
          </cell>
          <cell r="P6308">
            <v>2.87</v>
          </cell>
        </row>
        <row r="6309">
          <cell r="A6309" t="str">
            <v>PEE-031-SET-10</v>
          </cell>
          <cell r="G6309" t="str">
            <v>IPFAB</v>
          </cell>
          <cell r="L6309">
            <v>39895</v>
          </cell>
          <cell r="M6309">
            <v>3.657</v>
          </cell>
          <cell r="P6309">
            <v>5.1428000000000003</v>
          </cell>
        </row>
        <row r="6310">
          <cell r="A6310" t="str">
            <v>PEE-031-U-399-360L</v>
          </cell>
          <cell r="G6310" t="str">
            <v xml:space="preserve">CR   </v>
          </cell>
          <cell r="L6310">
            <v>38811</v>
          </cell>
          <cell r="M6310">
            <v>3.085</v>
          </cell>
          <cell r="P6310">
            <v>3.3228</v>
          </cell>
        </row>
        <row r="6311">
          <cell r="A6311" t="str">
            <v>PEE-031-W18-6303-2RL</v>
          </cell>
          <cell r="G6311" t="str">
            <v xml:space="preserve">CR   </v>
          </cell>
          <cell r="L6311">
            <v>38624</v>
          </cell>
          <cell r="M6311">
            <v>2.915</v>
          </cell>
          <cell r="P6311">
            <v>1.4145000000000001</v>
          </cell>
        </row>
        <row r="6312">
          <cell r="A6312" t="str">
            <v>PEE-031-W24-5303-2RL</v>
          </cell>
          <cell r="G6312" t="str">
            <v xml:space="preserve">CR   </v>
          </cell>
          <cell r="L6312">
            <v>38811</v>
          </cell>
          <cell r="M6312">
            <v>3.085</v>
          </cell>
          <cell r="P6312">
            <v>3.1610999999999998</v>
          </cell>
        </row>
        <row r="6313">
          <cell r="A6313" t="str">
            <v>PEE-031-ZER-627-x16</v>
          </cell>
          <cell r="G6313" t="str">
            <v xml:space="preserve">CR   </v>
          </cell>
          <cell r="L6313">
            <v>38624</v>
          </cell>
          <cell r="M6313">
            <v>2.915</v>
          </cell>
          <cell r="P6313">
            <v>10.721500000000001</v>
          </cell>
        </row>
        <row r="6314">
          <cell r="A6314" t="str">
            <v>PEE-032-T-70002-PL</v>
          </cell>
          <cell r="G6314" t="str">
            <v xml:space="preserve">CR   </v>
          </cell>
          <cell r="L6314">
            <v>38624</v>
          </cell>
          <cell r="M6314">
            <v>2.915</v>
          </cell>
          <cell r="P6314">
            <v>9.4403000000000006</v>
          </cell>
        </row>
        <row r="6315">
          <cell r="A6315" t="str">
            <v>PEE-032-T-71004</v>
          </cell>
          <cell r="G6315" t="str">
            <v xml:space="preserve">CR   </v>
          </cell>
          <cell r="L6315">
            <v>38624</v>
          </cell>
          <cell r="M6315">
            <v>2.915</v>
          </cell>
          <cell r="P6315">
            <v>8.4153000000000002</v>
          </cell>
        </row>
        <row r="6316">
          <cell r="A6316" t="str">
            <v>PEE-032-T-71005</v>
          </cell>
          <cell r="G6316" t="str">
            <v xml:space="preserve">CR   </v>
          </cell>
          <cell r="L6316">
            <v>38624</v>
          </cell>
          <cell r="M6316">
            <v>2.915</v>
          </cell>
          <cell r="P6316">
            <v>3.5977000000000001</v>
          </cell>
        </row>
        <row r="6317">
          <cell r="A6317" t="str">
            <v>PEE-032-T-71005-PL</v>
          </cell>
          <cell r="G6317" t="str">
            <v xml:space="preserve">CR   </v>
          </cell>
          <cell r="L6317">
            <v>38624</v>
          </cell>
          <cell r="M6317">
            <v>2.915</v>
          </cell>
          <cell r="P6317">
            <v>3.5977000000000001</v>
          </cell>
        </row>
        <row r="6318">
          <cell r="A6318" t="str">
            <v>PEE-032-T-71006-PL</v>
          </cell>
          <cell r="G6318" t="str">
            <v xml:space="preserve">CR   </v>
          </cell>
          <cell r="L6318">
            <v>38624</v>
          </cell>
          <cell r="M6318">
            <v>2.915</v>
          </cell>
          <cell r="P6318">
            <v>4.1101999999999999</v>
          </cell>
        </row>
        <row r="6319">
          <cell r="A6319" t="str">
            <v>PEE-032-T-71009-N</v>
          </cell>
          <cell r="G6319" t="str">
            <v xml:space="preserve">CR   </v>
          </cell>
          <cell r="L6319">
            <v>38624</v>
          </cell>
          <cell r="M6319">
            <v>2.915</v>
          </cell>
          <cell r="P6319">
            <v>3.5977000000000001</v>
          </cell>
        </row>
        <row r="6320">
          <cell r="A6320" t="str">
            <v>PEE-032-T-71009-W</v>
          </cell>
          <cell r="G6320" t="str">
            <v xml:space="preserve">CR   </v>
          </cell>
          <cell r="L6320">
            <v>38624</v>
          </cell>
          <cell r="M6320">
            <v>2.915</v>
          </cell>
          <cell r="P6320">
            <v>3.5977000000000001</v>
          </cell>
        </row>
        <row r="6321">
          <cell r="A6321" t="str">
            <v>PEE-032-T-71010</v>
          </cell>
          <cell r="G6321" t="str">
            <v xml:space="preserve">CR   </v>
          </cell>
          <cell r="L6321">
            <v>38624</v>
          </cell>
          <cell r="M6321">
            <v>2.915</v>
          </cell>
          <cell r="P6321">
            <v>3.5977000000000001</v>
          </cell>
        </row>
        <row r="6322">
          <cell r="A6322" t="str">
            <v>PEE-032-T-71011</v>
          </cell>
          <cell r="G6322" t="str">
            <v xml:space="preserve">CR   </v>
          </cell>
          <cell r="L6322">
            <v>38624</v>
          </cell>
          <cell r="M6322">
            <v>2.915</v>
          </cell>
          <cell r="P6322">
            <v>3.5977000000000001</v>
          </cell>
        </row>
        <row r="6323">
          <cell r="A6323" t="str">
            <v>PEE-032-T-72003</v>
          </cell>
          <cell r="G6323" t="str">
            <v xml:space="preserve">CR   </v>
          </cell>
          <cell r="L6323">
            <v>38624</v>
          </cell>
          <cell r="M6323">
            <v>2.915</v>
          </cell>
          <cell r="P6323">
            <v>3.5977000000000001</v>
          </cell>
        </row>
        <row r="6324">
          <cell r="A6324" t="str">
            <v>PEE-032-T-72004</v>
          </cell>
          <cell r="G6324" t="str">
            <v xml:space="preserve">CR   </v>
          </cell>
          <cell r="L6324">
            <v>38624</v>
          </cell>
          <cell r="M6324">
            <v>2.915</v>
          </cell>
          <cell r="P6324">
            <v>4.5715000000000003</v>
          </cell>
        </row>
        <row r="6325">
          <cell r="A6325" t="str">
            <v>PEE-032-T-72005</v>
          </cell>
          <cell r="G6325" t="str">
            <v xml:space="preserve">CR   </v>
          </cell>
          <cell r="L6325">
            <v>38624</v>
          </cell>
          <cell r="M6325">
            <v>2.915</v>
          </cell>
          <cell r="P6325">
            <v>5.5861999999999998</v>
          </cell>
        </row>
        <row r="6326">
          <cell r="A6326" t="str">
            <v>PEE-032-T-73001</v>
          </cell>
          <cell r="G6326" t="str">
            <v xml:space="preserve">CR   </v>
          </cell>
          <cell r="L6326">
            <v>38624</v>
          </cell>
          <cell r="M6326">
            <v>2.915</v>
          </cell>
          <cell r="P6326">
            <v>6.4574999999999996</v>
          </cell>
        </row>
        <row r="6327">
          <cell r="A6327" t="str">
            <v>PEE-032-T-73002</v>
          </cell>
          <cell r="G6327" t="str">
            <v xml:space="preserve">CR   </v>
          </cell>
          <cell r="L6327">
            <v>38624</v>
          </cell>
          <cell r="M6327">
            <v>2.915</v>
          </cell>
          <cell r="P6327">
            <v>5.5861999999999998</v>
          </cell>
        </row>
        <row r="6328">
          <cell r="A6328" t="str">
            <v>PEE-032-T-73003</v>
          </cell>
          <cell r="G6328" t="str">
            <v xml:space="preserve">CR   </v>
          </cell>
          <cell r="L6328">
            <v>38624</v>
          </cell>
          <cell r="M6328">
            <v>2.915</v>
          </cell>
          <cell r="P6328">
            <v>4.6124999999999998</v>
          </cell>
        </row>
        <row r="6329">
          <cell r="A6329" t="str">
            <v>PEE-032-T-74001-N</v>
          </cell>
          <cell r="G6329" t="str">
            <v xml:space="preserve">CR   </v>
          </cell>
          <cell r="L6329">
            <v>38624</v>
          </cell>
          <cell r="M6329">
            <v>2.915</v>
          </cell>
          <cell r="P6329">
            <v>3.5977000000000001</v>
          </cell>
        </row>
        <row r="6330">
          <cell r="A6330" t="str">
            <v>PEE-032-T-74001-W</v>
          </cell>
          <cell r="G6330" t="str">
            <v xml:space="preserve">CR   </v>
          </cell>
          <cell r="L6330">
            <v>38624</v>
          </cell>
          <cell r="M6330">
            <v>2.915</v>
          </cell>
          <cell r="P6330">
            <v>3.5977000000000001</v>
          </cell>
        </row>
        <row r="6331">
          <cell r="A6331" t="str">
            <v>PEE-033-A-2040</v>
          </cell>
          <cell r="G6331" t="str">
            <v xml:space="preserve">CR   </v>
          </cell>
          <cell r="L6331">
            <v>38811</v>
          </cell>
          <cell r="M6331">
            <v>3.085</v>
          </cell>
          <cell r="P6331">
            <v>0.43290000000000001</v>
          </cell>
        </row>
        <row r="6332">
          <cell r="A6332" t="str">
            <v>PEE-033-A-2050</v>
          </cell>
          <cell r="G6332" t="str">
            <v xml:space="preserve">CR   </v>
          </cell>
          <cell r="L6332">
            <v>38811</v>
          </cell>
          <cell r="M6332">
            <v>3.085</v>
          </cell>
          <cell r="P6332">
            <v>0.73499999999999999</v>
          </cell>
        </row>
        <row r="6333">
          <cell r="A6333" t="str">
            <v>PEE-033-A-410</v>
          </cell>
          <cell r="G6333" t="str">
            <v xml:space="preserve">CR   </v>
          </cell>
          <cell r="L6333">
            <v>38624</v>
          </cell>
          <cell r="M6333">
            <v>2.915</v>
          </cell>
          <cell r="P6333">
            <v>0.23580000000000001</v>
          </cell>
        </row>
        <row r="6334">
          <cell r="A6334" t="str">
            <v>PEE-033-AL-644</v>
          </cell>
          <cell r="G6334" t="str">
            <v xml:space="preserve">CR   </v>
          </cell>
          <cell r="L6334">
            <v>38811</v>
          </cell>
          <cell r="M6334">
            <v>3.085</v>
          </cell>
          <cell r="P6334">
            <v>3.9262000000000001</v>
          </cell>
        </row>
        <row r="6335">
          <cell r="A6335" t="str">
            <v>PEE-033-ASA-100-1</v>
          </cell>
          <cell r="G6335" t="str">
            <v xml:space="preserve">CR   </v>
          </cell>
          <cell r="L6335">
            <v>38811</v>
          </cell>
          <cell r="M6335">
            <v>3.085</v>
          </cell>
          <cell r="P6335">
            <v>4.2282000000000002</v>
          </cell>
        </row>
        <row r="6336">
          <cell r="A6336" t="str">
            <v>PEE-033-ASA-100-1SB</v>
          </cell>
          <cell r="G6336" t="str">
            <v>INDEV</v>
          </cell>
          <cell r="L6336">
            <v>41443</v>
          </cell>
          <cell r="M6336">
            <v>5.34</v>
          </cell>
          <cell r="P6336">
            <v>4.8120973782771541</v>
          </cell>
        </row>
        <row r="6337">
          <cell r="A6337" t="str">
            <v>PEE-033-ASA-100-2</v>
          </cell>
          <cell r="G6337" t="str">
            <v>INDEV</v>
          </cell>
          <cell r="L6337">
            <v>41443</v>
          </cell>
          <cell r="M6337">
            <v>5.34</v>
          </cell>
          <cell r="P6337">
            <v>9.99</v>
          </cell>
        </row>
        <row r="6338">
          <cell r="A6338" t="str">
            <v>PEE-033-ASA-100-2HCO</v>
          </cell>
          <cell r="G6338" t="str">
            <v xml:space="preserve">CR   </v>
          </cell>
          <cell r="L6338">
            <v>38624</v>
          </cell>
          <cell r="M6338">
            <v>2.915</v>
          </cell>
          <cell r="P6338">
            <v>18.3475</v>
          </cell>
        </row>
        <row r="6339">
          <cell r="A6339" t="str">
            <v>PEE-033-ASA-100-3HCO</v>
          </cell>
          <cell r="G6339" t="str">
            <v xml:space="preserve">CR   </v>
          </cell>
          <cell r="L6339">
            <v>38624</v>
          </cell>
          <cell r="M6339">
            <v>2.915</v>
          </cell>
          <cell r="P6339">
            <v>35.3215</v>
          </cell>
        </row>
        <row r="6340">
          <cell r="A6340" t="str">
            <v>PEE-033-ASA-100-HR-1</v>
          </cell>
          <cell r="G6340" t="str">
            <v>INDEV</v>
          </cell>
          <cell r="L6340">
            <v>40746</v>
          </cell>
          <cell r="M6340">
            <v>4.16</v>
          </cell>
          <cell r="P6340">
            <v>4.6318509615384613</v>
          </cell>
        </row>
        <row r="6341">
          <cell r="A6341" t="str">
            <v>PEE-033-ASA-120-1</v>
          </cell>
          <cell r="G6341" t="str">
            <v>INDEV</v>
          </cell>
          <cell r="L6341">
            <v>41443</v>
          </cell>
          <cell r="M6341">
            <v>5.34</v>
          </cell>
          <cell r="P6341">
            <v>4.32</v>
          </cell>
        </row>
        <row r="6342">
          <cell r="A6342" t="str">
            <v>PEE-033-ASA-35-1</v>
          </cell>
          <cell r="G6342" t="str">
            <v>INDEV</v>
          </cell>
          <cell r="L6342">
            <v>41443</v>
          </cell>
          <cell r="M6342">
            <v>5.34</v>
          </cell>
          <cell r="P6342">
            <v>0.54359550561797754</v>
          </cell>
        </row>
        <row r="6343">
          <cell r="A6343" t="str">
            <v>PEE-033-ASA-40-1</v>
          </cell>
          <cell r="G6343" t="str">
            <v xml:space="preserve">INAC </v>
          </cell>
          <cell r="L6343">
            <v>42975</v>
          </cell>
          <cell r="M6343">
            <v>17.579999999999998</v>
          </cell>
          <cell r="P6343">
            <v>0.93113765642775881</v>
          </cell>
        </row>
        <row r="6344">
          <cell r="A6344" t="str">
            <v>PEE-033-ASA-40-1-CO</v>
          </cell>
          <cell r="G6344" t="str">
            <v xml:space="preserve">CR   </v>
          </cell>
          <cell r="L6344">
            <v>38811</v>
          </cell>
          <cell r="M6344">
            <v>3.085</v>
          </cell>
          <cell r="P6344">
            <v>1.5101</v>
          </cell>
        </row>
        <row r="6345">
          <cell r="A6345" t="str">
            <v>PEE-033-ASA-40-1-SS</v>
          </cell>
          <cell r="G6345" t="str">
            <v>INDEV</v>
          </cell>
          <cell r="L6345">
            <v>41164</v>
          </cell>
          <cell r="M6345">
            <v>4.67</v>
          </cell>
          <cell r="P6345">
            <v>2.6779014989293364</v>
          </cell>
        </row>
        <row r="6346">
          <cell r="A6346" t="str">
            <v>PEE-033-ASA-40-2</v>
          </cell>
          <cell r="G6346" t="str">
            <v>INDEV</v>
          </cell>
          <cell r="L6346">
            <v>41106</v>
          </cell>
          <cell r="M6346">
            <v>4.5599999999999996</v>
          </cell>
          <cell r="P6346">
            <v>1.03</v>
          </cell>
        </row>
        <row r="6347">
          <cell r="A6347" t="str">
            <v>PEE-033-ASA-40-2SS</v>
          </cell>
          <cell r="G6347" t="str">
            <v xml:space="preserve">CR   </v>
          </cell>
          <cell r="L6347">
            <v>38624</v>
          </cell>
          <cell r="M6347">
            <v>2.915</v>
          </cell>
          <cell r="P6347">
            <v>10.4857</v>
          </cell>
        </row>
        <row r="6348">
          <cell r="A6348" t="str">
            <v>PEE-033-ASA-41-1</v>
          </cell>
          <cell r="G6348" t="str">
            <v>INDEV</v>
          </cell>
          <cell r="L6348">
            <v>41443</v>
          </cell>
          <cell r="M6348">
            <v>5.34</v>
          </cell>
          <cell r="P6348">
            <v>0.44299625468164799</v>
          </cell>
        </row>
        <row r="6349">
          <cell r="A6349" t="str">
            <v>PEE-033-ASA-415-H</v>
          </cell>
          <cell r="G6349" t="str">
            <v>INDEV</v>
          </cell>
          <cell r="L6349">
            <v>41443</v>
          </cell>
          <cell r="M6349">
            <v>5.34</v>
          </cell>
          <cell r="P6349">
            <v>0.82000000000000006</v>
          </cell>
        </row>
        <row r="6350">
          <cell r="A6350" t="str">
            <v>PEE-033-ASA-50-1</v>
          </cell>
          <cell r="G6350" t="str">
            <v>IDESP</v>
          </cell>
          <cell r="L6350">
            <v>40518</v>
          </cell>
          <cell r="M6350">
            <v>4</v>
          </cell>
          <cell r="P6350">
            <v>0.61</v>
          </cell>
        </row>
        <row r="6351">
          <cell r="A6351" t="str">
            <v>PEE-033-ASA-50-1-CO</v>
          </cell>
          <cell r="G6351" t="str">
            <v xml:space="preserve">CR   </v>
          </cell>
          <cell r="L6351">
            <v>38811</v>
          </cell>
          <cell r="M6351">
            <v>3.085</v>
          </cell>
          <cell r="P6351">
            <v>2.1543999999999999</v>
          </cell>
        </row>
        <row r="6352">
          <cell r="A6352" t="str">
            <v>PEE-033-ASA-50-1-HSB</v>
          </cell>
          <cell r="G6352" t="str">
            <v xml:space="preserve">INSI </v>
          </cell>
          <cell r="L6352">
            <v>37626</v>
          </cell>
          <cell r="M6352">
            <v>3.34</v>
          </cell>
          <cell r="P6352">
            <v>1.1399999999999999</v>
          </cell>
        </row>
        <row r="6353">
          <cell r="A6353" t="str">
            <v>PEE-033-ASA-50-1-SS</v>
          </cell>
          <cell r="G6353" t="str">
            <v>INDEV</v>
          </cell>
          <cell r="L6353">
            <v>41164</v>
          </cell>
          <cell r="M6353">
            <v>4.67</v>
          </cell>
          <cell r="P6353">
            <v>5.6980085653104924</v>
          </cell>
        </row>
        <row r="6354">
          <cell r="A6354" t="str">
            <v>PEE-033-ASA-50-1SB</v>
          </cell>
          <cell r="G6354" t="str">
            <v>INDEV</v>
          </cell>
          <cell r="L6354">
            <v>41443</v>
          </cell>
          <cell r="M6354">
            <v>5.34</v>
          </cell>
          <cell r="P6354">
            <v>1.12749063670412</v>
          </cell>
        </row>
        <row r="6355">
          <cell r="A6355" t="str">
            <v>PEE-033-ASA-50-2</v>
          </cell>
          <cell r="G6355" t="str">
            <v>INDEV</v>
          </cell>
          <cell r="L6355">
            <v>41443</v>
          </cell>
          <cell r="M6355">
            <v>5.34</v>
          </cell>
          <cell r="P6355">
            <v>1.4858426966292135</v>
          </cell>
        </row>
        <row r="6356">
          <cell r="A6356" t="str">
            <v>PEE-033-ASA-50-HR-1</v>
          </cell>
          <cell r="G6356" t="str">
            <v>IDESP</v>
          </cell>
          <cell r="L6356">
            <v>40518</v>
          </cell>
          <cell r="M6356">
            <v>4</v>
          </cell>
          <cell r="P6356">
            <v>0.84</v>
          </cell>
        </row>
        <row r="6357">
          <cell r="A6357" t="str">
            <v>PEE-033-ASA-50-REEL</v>
          </cell>
          <cell r="G6357" t="str">
            <v xml:space="preserve">CR   </v>
          </cell>
          <cell r="L6357">
            <v>38811</v>
          </cell>
          <cell r="M6357">
            <v>3.085</v>
          </cell>
          <cell r="P6357">
            <v>0.58250000000000002</v>
          </cell>
        </row>
        <row r="6358">
          <cell r="A6358" t="str">
            <v>PEE-033-ASA-60-1</v>
          </cell>
          <cell r="G6358" t="str">
            <v>IPFAB</v>
          </cell>
          <cell r="L6358">
            <v>41428</v>
          </cell>
          <cell r="M6358">
            <v>5.28</v>
          </cell>
          <cell r="P6358">
            <v>0.79</v>
          </cell>
        </row>
        <row r="6359">
          <cell r="A6359" t="str">
            <v>PEE-033-ASA-60-1-CO</v>
          </cell>
          <cell r="G6359" t="str">
            <v>INDEV</v>
          </cell>
          <cell r="L6359">
            <v>41164</v>
          </cell>
          <cell r="M6359">
            <v>4.67</v>
          </cell>
          <cell r="P6359">
            <v>3.5350963597430409</v>
          </cell>
        </row>
        <row r="6360">
          <cell r="A6360" t="str">
            <v>PEE-033-ASA-60-1-O´R</v>
          </cell>
          <cell r="G6360" t="str">
            <v xml:space="preserve">CR   </v>
          </cell>
          <cell r="L6360">
            <v>38811</v>
          </cell>
          <cell r="M6360">
            <v>3.085</v>
          </cell>
          <cell r="P6360">
            <v>6.0906000000000002</v>
          </cell>
        </row>
        <row r="6361">
          <cell r="A6361" t="str">
            <v>PEE-033-ASA-60-1HSB</v>
          </cell>
          <cell r="G6361" t="str">
            <v xml:space="preserve">CR   </v>
          </cell>
          <cell r="L6361">
            <v>37981</v>
          </cell>
          <cell r="M6361">
            <v>2.96</v>
          </cell>
          <cell r="P6361">
            <v>2.25</v>
          </cell>
        </row>
        <row r="6362">
          <cell r="A6362" t="str">
            <v>PEE-033-ASA-60-1SB</v>
          </cell>
          <cell r="G6362" t="str">
            <v>INDEV</v>
          </cell>
          <cell r="L6362">
            <v>41772</v>
          </cell>
          <cell r="M6362">
            <v>8.06</v>
          </cell>
          <cell r="P6362">
            <v>1.0004838709677419</v>
          </cell>
        </row>
        <row r="6363">
          <cell r="A6363" t="str">
            <v>PEE-033-ASA-60-2</v>
          </cell>
          <cell r="G6363" t="str">
            <v>INDEV</v>
          </cell>
          <cell r="L6363">
            <v>41443</v>
          </cell>
          <cell r="M6363">
            <v>5.34</v>
          </cell>
          <cell r="P6363">
            <v>1.89</v>
          </cell>
        </row>
        <row r="6364">
          <cell r="A6364" t="str">
            <v>PEE-033-ASA-60-3</v>
          </cell>
          <cell r="G6364" t="str">
            <v xml:space="preserve">CR   </v>
          </cell>
          <cell r="L6364">
            <v>38811</v>
          </cell>
          <cell r="M6364">
            <v>3.085</v>
          </cell>
          <cell r="P6364">
            <v>4.2081999999999997</v>
          </cell>
        </row>
        <row r="6365">
          <cell r="A6365" t="str">
            <v>PEE-033-ASA-60-HR-1</v>
          </cell>
          <cell r="G6365" t="str">
            <v>IDESP</v>
          </cell>
          <cell r="L6365">
            <v>40518</v>
          </cell>
          <cell r="M6365">
            <v>4</v>
          </cell>
          <cell r="P6365">
            <v>1.2</v>
          </cell>
        </row>
        <row r="6366">
          <cell r="A6366" t="str">
            <v>PEE-033-ASA-60-REEL</v>
          </cell>
          <cell r="G6366" t="str">
            <v>INDEV</v>
          </cell>
          <cell r="L6366">
            <v>39353</v>
          </cell>
          <cell r="M6366">
            <v>3.15</v>
          </cell>
          <cell r="P6366">
            <v>0.66193650793650805</v>
          </cell>
        </row>
        <row r="6367">
          <cell r="A6367" t="str">
            <v>PEE-033-ASA-80-1</v>
          </cell>
          <cell r="G6367" t="str">
            <v>IPFAP</v>
          </cell>
          <cell r="L6367">
            <v>42522</v>
          </cell>
          <cell r="M6367">
            <v>14.35</v>
          </cell>
          <cell r="P6367">
            <v>1.7907038327526132</v>
          </cell>
        </row>
        <row r="6368">
          <cell r="A6368" t="str">
            <v>PEE-033-ASA-80-1-O´R</v>
          </cell>
          <cell r="G6368" t="str">
            <v xml:space="preserve">CR   </v>
          </cell>
          <cell r="L6368">
            <v>38811</v>
          </cell>
          <cell r="M6368">
            <v>3.085</v>
          </cell>
          <cell r="P6368">
            <v>7.3692000000000002</v>
          </cell>
        </row>
        <row r="6369">
          <cell r="A6369" t="str">
            <v>PEE-033-ASA-80-1SB</v>
          </cell>
          <cell r="G6369" t="str">
            <v>INDEV</v>
          </cell>
          <cell r="L6369">
            <v>41772</v>
          </cell>
          <cell r="M6369">
            <v>8.06</v>
          </cell>
          <cell r="P6369">
            <v>1.8676799007444167</v>
          </cell>
        </row>
        <row r="6370">
          <cell r="A6370" t="str">
            <v>PEE-033-ASA-80-2</v>
          </cell>
          <cell r="G6370" t="str">
            <v>IPFAP</v>
          </cell>
          <cell r="L6370">
            <v>42440</v>
          </cell>
          <cell r="M6370">
            <v>15.6</v>
          </cell>
          <cell r="P6370">
            <v>1.7126666666666668</v>
          </cell>
        </row>
        <row r="6371">
          <cell r="A6371" t="str">
            <v>PEE-033-ASA-80-2-SB</v>
          </cell>
          <cell r="G6371" t="str">
            <v xml:space="preserve">CR   </v>
          </cell>
          <cell r="L6371">
            <v>38811</v>
          </cell>
          <cell r="M6371">
            <v>3.085</v>
          </cell>
          <cell r="P6371">
            <v>6.8456999999999999</v>
          </cell>
        </row>
        <row r="6372">
          <cell r="A6372" t="str">
            <v>PEE-033-ASA-80-2HCO</v>
          </cell>
          <cell r="G6372" t="str">
            <v xml:space="preserve">CR   </v>
          </cell>
          <cell r="L6372">
            <v>38624</v>
          </cell>
          <cell r="M6372">
            <v>2.915</v>
          </cell>
          <cell r="P6372">
            <v>9.8092000000000006</v>
          </cell>
        </row>
        <row r="6373">
          <cell r="A6373" t="str">
            <v>PEE-033-ASA-80-3HCO</v>
          </cell>
          <cell r="G6373" t="str">
            <v xml:space="preserve">CR   </v>
          </cell>
          <cell r="L6373">
            <v>38624</v>
          </cell>
          <cell r="M6373">
            <v>2.915</v>
          </cell>
          <cell r="P6373">
            <v>18.173200000000001</v>
          </cell>
        </row>
        <row r="6374">
          <cell r="A6374" t="str">
            <v>PEE-033-ASA-80-HR-1</v>
          </cell>
          <cell r="G6374" t="str">
            <v>IDESP</v>
          </cell>
          <cell r="L6374">
            <v>38693</v>
          </cell>
          <cell r="M6374">
            <v>2.9969999999999999</v>
          </cell>
          <cell r="P6374">
            <v>3.55</v>
          </cell>
        </row>
        <row r="6375">
          <cell r="A6375" t="str">
            <v>PEE-033-ASA-80-REEL</v>
          </cell>
          <cell r="G6375" t="str">
            <v>INDEV</v>
          </cell>
          <cell r="L6375">
            <v>39353</v>
          </cell>
          <cell r="M6375">
            <v>3.15</v>
          </cell>
          <cell r="P6375">
            <v>1.9697142857142858</v>
          </cell>
        </row>
        <row r="6376">
          <cell r="A6376" t="str">
            <v>PEE-033-BL-623</v>
          </cell>
          <cell r="G6376" t="str">
            <v xml:space="preserve">CR   </v>
          </cell>
          <cell r="L6376">
            <v>38811</v>
          </cell>
          <cell r="M6376">
            <v>3.085</v>
          </cell>
          <cell r="P6376">
            <v>1.8121</v>
          </cell>
        </row>
        <row r="6377">
          <cell r="A6377" t="str">
            <v>PEE-033-BL-634</v>
          </cell>
          <cell r="G6377" t="str">
            <v xml:space="preserve">CR   </v>
          </cell>
          <cell r="L6377">
            <v>38811</v>
          </cell>
          <cell r="M6377">
            <v>3.085</v>
          </cell>
          <cell r="P6377">
            <v>2.2953000000000001</v>
          </cell>
        </row>
        <row r="6378">
          <cell r="A6378" t="str">
            <v>PEE-033-BL-646</v>
          </cell>
          <cell r="G6378" t="str">
            <v xml:space="preserve">CR   </v>
          </cell>
          <cell r="L6378">
            <v>38811</v>
          </cell>
          <cell r="M6378">
            <v>3.085</v>
          </cell>
          <cell r="P6378">
            <v>3.5838999999999999</v>
          </cell>
        </row>
        <row r="6379">
          <cell r="A6379" t="str">
            <v>PEE-033-BL-866</v>
          </cell>
          <cell r="G6379" t="str">
            <v xml:space="preserve">CR   </v>
          </cell>
          <cell r="L6379">
            <v>38811</v>
          </cell>
          <cell r="M6379">
            <v>3.085</v>
          </cell>
          <cell r="P6379">
            <v>10.963200000000001</v>
          </cell>
        </row>
        <row r="6380">
          <cell r="A6380" t="str">
            <v>PEE-033-C-2050-SS</v>
          </cell>
          <cell r="G6380" t="str">
            <v xml:space="preserve">CR   </v>
          </cell>
          <cell r="L6380">
            <v>38624</v>
          </cell>
          <cell r="M6380">
            <v>2.915</v>
          </cell>
          <cell r="P6380">
            <v>5.1352000000000002</v>
          </cell>
        </row>
        <row r="6381">
          <cell r="A6381" t="str">
            <v>PEE-033-CA-111-48</v>
          </cell>
          <cell r="G6381" t="str">
            <v xml:space="preserve">CR   </v>
          </cell>
          <cell r="L6381">
            <v>38624</v>
          </cell>
          <cell r="M6381">
            <v>2.915</v>
          </cell>
          <cell r="P6381">
            <v>21.555700000000002</v>
          </cell>
        </row>
        <row r="6382">
          <cell r="A6382" t="str">
            <v>PEE-033-CA-550-A4H</v>
          </cell>
          <cell r="G6382" t="str">
            <v xml:space="preserve">CR   </v>
          </cell>
          <cell r="L6382">
            <v>38811</v>
          </cell>
          <cell r="M6382">
            <v>3.085</v>
          </cell>
          <cell r="P6382">
            <v>1.41E-2</v>
          </cell>
        </row>
        <row r="6383">
          <cell r="A6383" t="str">
            <v>PEE-033-CA-555-C6E</v>
          </cell>
          <cell r="G6383" t="str">
            <v>IDESP</v>
          </cell>
          <cell r="L6383">
            <v>39192</v>
          </cell>
          <cell r="M6383">
            <v>3.0880000000000001</v>
          </cell>
          <cell r="P6383">
            <v>10</v>
          </cell>
        </row>
        <row r="6384">
          <cell r="A6384" t="str">
            <v>PEE-033-CA-555-C6E-5</v>
          </cell>
          <cell r="G6384" t="str">
            <v>INIMP</v>
          </cell>
          <cell r="L6384">
            <v>38062</v>
          </cell>
          <cell r="M6384">
            <v>2.915</v>
          </cell>
          <cell r="P6384">
            <v>0.1</v>
          </cell>
        </row>
        <row r="6385">
          <cell r="A6385" t="str">
            <v>PEE-033-CA-555-QX48P</v>
          </cell>
          <cell r="G6385" t="str">
            <v>IPFAB</v>
          </cell>
          <cell r="L6385">
            <v>39192</v>
          </cell>
          <cell r="M6385">
            <v>3.0880000000000001</v>
          </cell>
          <cell r="P6385">
            <v>10</v>
          </cell>
        </row>
        <row r="6386">
          <cell r="A6386" t="str">
            <v>PEE-033-CA555R-QX48P</v>
          </cell>
          <cell r="G6386" t="str">
            <v>IDESP</v>
          </cell>
          <cell r="L6386">
            <v>42181</v>
          </cell>
          <cell r="M6386">
            <v>9.11</v>
          </cell>
          <cell r="P6386">
            <v>17.8</v>
          </cell>
        </row>
        <row r="6387">
          <cell r="A6387" t="str">
            <v>PEE-033-CL-100-1</v>
          </cell>
          <cell r="G6387" t="str">
            <v xml:space="preserve">CR   </v>
          </cell>
          <cell r="L6387">
            <v>38811</v>
          </cell>
          <cell r="M6387">
            <v>3.085</v>
          </cell>
          <cell r="P6387">
            <v>0.84560000000000002</v>
          </cell>
        </row>
        <row r="6388">
          <cell r="A6388" t="str">
            <v>PEE-033-CL-100-1-SB</v>
          </cell>
          <cell r="G6388" t="str">
            <v xml:space="preserve">CR   </v>
          </cell>
          <cell r="L6388">
            <v>38811</v>
          </cell>
          <cell r="M6388">
            <v>3.085</v>
          </cell>
          <cell r="P6388">
            <v>0.92620000000000002</v>
          </cell>
        </row>
        <row r="6389">
          <cell r="A6389" t="str">
            <v>PEE-033-CL-100-1HR</v>
          </cell>
          <cell r="G6389" t="str">
            <v>INIMP</v>
          </cell>
          <cell r="L6389">
            <v>38769</v>
          </cell>
          <cell r="M6389">
            <v>3.07</v>
          </cell>
          <cell r="P6389">
            <v>1.03</v>
          </cell>
        </row>
        <row r="6390">
          <cell r="A6390" t="str">
            <v>PEE-033-CL-100-2</v>
          </cell>
          <cell r="G6390" t="str">
            <v>INIMP</v>
          </cell>
          <cell r="L6390">
            <v>38769</v>
          </cell>
          <cell r="M6390">
            <v>3.07</v>
          </cell>
          <cell r="P6390">
            <v>1.72</v>
          </cell>
        </row>
        <row r="6391">
          <cell r="A6391" t="str">
            <v>PEE-033-CL-100-2-SB</v>
          </cell>
          <cell r="G6391" t="str">
            <v xml:space="preserve">CR   </v>
          </cell>
          <cell r="L6391">
            <v>38811</v>
          </cell>
          <cell r="M6391">
            <v>3.085</v>
          </cell>
          <cell r="P6391">
            <v>1.8523000000000001</v>
          </cell>
        </row>
        <row r="6392">
          <cell r="A6392" t="str">
            <v>PEE-033-CL-100-D1</v>
          </cell>
          <cell r="G6392" t="str">
            <v xml:space="preserve">CR   </v>
          </cell>
          <cell r="L6392">
            <v>38624</v>
          </cell>
          <cell r="M6392">
            <v>2.915</v>
          </cell>
          <cell r="P6392">
            <v>2.4702999999999999</v>
          </cell>
        </row>
        <row r="6393">
          <cell r="A6393" t="str">
            <v>PEE-033-CL-100-D3</v>
          </cell>
          <cell r="G6393" t="str">
            <v xml:space="preserve">CR   </v>
          </cell>
          <cell r="L6393">
            <v>38624</v>
          </cell>
          <cell r="M6393">
            <v>2.915</v>
          </cell>
          <cell r="P6393">
            <v>2.6034999999999999</v>
          </cell>
        </row>
        <row r="6394">
          <cell r="A6394" t="str">
            <v>PEE-033-CL-120</v>
          </cell>
          <cell r="G6394" t="str">
            <v>IDESP</v>
          </cell>
          <cell r="L6394">
            <v>39758</v>
          </cell>
          <cell r="M6394">
            <v>3.31</v>
          </cell>
          <cell r="P6394">
            <v>1.29</v>
          </cell>
        </row>
        <row r="6395">
          <cell r="A6395" t="str">
            <v>PEE-033-CL-2040</v>
          </cell>
          <cell r="G6395" t="str">
            <v xml:space="preserve">INSI </v>
          </cell>
          <cell r="L6395">
            <v>40715</v>
          </cell>
          <cell r="M6395">
            <v>4.13</v>
          </cell>
          <cell r="P6395">
            <v>0.28189999999999998</v>
          </cell>
        </row>
        <row r="6396">
          <cell r="A6396" t="str">
            <v>PEE-033-CL-35-1</v>
          </cell>
          <cell r="G6396" t="str">
            <v xml:space="preserve">CR   </v>
          </cell>
          <cell r="L6396">
            <v>38811</v>
          </cell>
          <cell r="M6396">
            <v>3.085</v>
          </cell>
          <cell r="P6396">
            <v>0.1409</v>
          </cell>
        </row>
        <row r="6397">
          <cell r="A6397" t="str">
            <v>PEE-033-CL-40-1</v>
          </cell>
          <cell r="G6397" t="str">
            <v xml:space="preserve">INSI </v>
          </cell>
          <cell r="L6397">
            <v>43031</v>
          </cell>
          <cell r="M6397">
            <v>17.809999999999999</v>
          </cell>
          <cell r="P6397">
            <v>0.1308</v>
          </cell>
        </row>
        <row r="6398">
          <cell r="A6398" t="str">
            <v>PEE-033-CL-40-1-CO</v>
          </cell>
          <cell r="G6398" t="str">
            <v xml:space="preserve">CR   </v>
          </cell>
          <cell r="L6398">
            <v>38811</v>
          </cell>
          <cell r="M6398">
            <v>3.085</v>
          </cell>
          <cell r="P6398">
            <v>0.32219999999999999</v>
          </cell>
        </row>
        <row r="6399">
          <cell r="A6399" t="str">
            <v>PEE-033-CL-40-2</v>
          </cell>
          <cell r="G6399" t="str">
            <v>IDESP</v>
          </cell>
          <cell r="L6399">
            <v>39472</v>
          </cell>
          <cell r="M6399">
            <v>3.153</v>
          </cell>
          <cell r="P6399">
            <v>0.33</v>
          </cell>
        </row>
        <row r="6400">
          <cell r="A6400" t="str">
            <v>PEE-033-CL-40-2SS</v>
          </cell>
          <cell r="G6400" t="str">
            <v xml:space="preserve">CR   </v>
          </cell>
          <cell r="L6400">
            <v>38624</v>
          </cell>
          <cell r="M6400">
            <v>2.915</v>
          </cell>
          <cell r="P6400">
            <v>2.3062</v>
          </cell>
        </row>
        <row r="6401">
          <cell r="A6401" t="str">
            <v>PEE-033-CL-415-H</v>
          </cell>
          <cell r="G6401" t="str">
            <v>IDESP</v>
          </cell>
          <cell r="L6401">
            <v>39279</v>
          </cell>
          <cell r="M6401">
            <v>3.1</v>
          </cell>
          <cell r="P6401">
            <v>0.18</v>
          </cell>
        </row>
        <row r="6402">
          <cell r="A6402" t="str">
            <v>PEE-033-CL-50-1</v>
          </cell>
          <cell r="G6402" t="str">
            <v xml:space="preserve">INSI </v>
          </cell>
          <cell r="L6402">
            <v>39626</v>
          </cell>
          <cell r="M6402">
            <v>3.0270000000000001</v>
          </cell>
          <cell r="P6402">
            <v>0.22917100000000001</v>
          </cell>
        </row>
        <row r="6403">
          <cell r="A6403" t="str">
            <v>PEE-033-CL-50-1-CO</v>
          </cell>
          <cell r="G6403" t="str">
            <v xml:space="preserve">CR   </v>
          </cell>
          <cell r="L6403">
            <v>38811</v>
          </cell>
          <cell r="M6403">
            <v>3.085</v>
          </cell>
          <cell r="P6403">
            <v>0.5353</v>
          </cell>
        </row>
        <row r="6404">
          <cell r="A6404" t="str">
            <v>PEE-033-CL-50-1HR</v>
          </cell>
          <cell r="G6404" t="str">
            <v>IDESP</v>
          </cell>
          <cell r="L6404">
            <v>38769</v>
          </cell>
          <cell r="M6404">
            <v>3.07</v>
          </cell>
          <cell r="P6404">
            <v>0.32</v>
          </cell>
        </row>
        <row r="6405">
          <cell r="A6405" t="str">
            <v>PEE-033-CL-50-1R</v>
          </cell>
          <cell r="G6405" t="str">
            <v xml:space="preserve">CR   </v>
          </cell>
          <cell r="L6405">
            <v>38811</v>
          </cell>
          <cell r="M6405">
            <v>3.085</v>
          </cell>
          <cell r="P6405">
            <v>0.20130000000000001</v>
          </cell>
        </row>
        <row r="6406">
          <cell r="A6406" t="str">
            <v>PEE-033-CL-50-2</v>
          </cell>
          <cell r="G6406" t="str">
            <v xml:space="preserve">CR   </v>
          </cell>
          <cell r="L6406">
            <v>38811</v>
          </cell>
          <cell r="M6406">
            <v>3.085</v>
          </cell>
          <cell r="P6406">
            <v>0.4027</v>
          </cell>
        </row>
        <row r="6407">
          <cell r="A6407" t="str">
            <v>PEE-033-CL-60-1</v>
          </cell>
          <cell r="G6407" t="str">
            <v>IPFAB</v>
          </cell>
          <cell r="L6407">
            <v>39661</v>
          </cell>
          <cell r="M6407">
            <v>3.044</v>
          </cell>
          <cell r="P6407">
            <v>0.25</v>
          </cell>
        </row>
        <row r="6408">
          <cell r="A6408" t="str">
            <v>PEE-033-CL-60-1-CO</v>
          </cell>
          <cell r="G6408" t="str">
            <v xml:space="preserve">CR   </v>
          </cell>
          <cell r="L6408">
            <v>38811</v>
          </cell>
          <cell r="M6408">
            <v>3.085</v>
          </cell>
          <cell r="P6408">
            <v>0.67220000000000002</v>
          </cell>
        </row>
        <row r="6409">
          <cell r="A6409" t="str">
            <v>PEE-033-CL-60-1HR</v>
          </cell>
          <cell r="G6409" t="str">
            <v>IDESP</v>
          </cell>
          <cell r="L6409">
            <v>38769</v>
          </cell>
          <cell r="M6409">
            <v>3.07</v>
          </cell>
          <cell r="P6409">
            <v>0.36</v>
          </cell>
        </row>
        <row r="6410">
          <cell r="A6410" t="str">
            <v>PEE-033-CL-60-1SB</v>
          </cell>
          <cell r="G6410" t="str">
            <v xml:space="preserve">CR   </v>
          </cell>
          <cell r="L6410">
            <v>38624</v>
          </cell>
          <cell r="M6410">
            <v>2.915</v>
          </cell>
          <cell r="P6410">
            <v>0.39979999999999999</v>
          </cell>
        </row>
        <row r="6411">
          <cell r="A6411" t="str">
            <v>PEE-033-CL-60-2</v>
          </cell>
          <cell r="G6411" t="str">
            <v xml:space="preserve">INSI </v>
          </cell>
          <cell r="L6411">
            <v>39626</v>
          </cell>
          <cell r="M6411">
            <v>3.0270000000000001</v>
          </cell>
          <cell r="P6411">
            <v>0.52695700000000001</v>
          </cell>
        </row>
        <row r="6412">
          <cell r="A6412" t="str">
            <v>PEE-033-CL-60-3</v>
          </cell>
          <cell r="G6412" t="str">
            <v xml:space="preserve">CR   </v>
          </cell>
          <cell r="L6412">
            <v>38811</v>
          </cell>
          <cell r="M6412">
            <v>3.085</v>
          </cell>
          <cell r="P6412">
            <v>0.89539999999999997</v>
          </cell>
        </row>
        <row r="6413">
          <cell r="A6413" t="str">
            <v>PEE-033-CL-80-1</v>
          </cell>
          <cell r="G6413" t="str">
            <v>IDESP</v>
          </cell>
          <cell r="L6413">
            <v>39472</v>
          </cell>
          <cell r="M6413">
            <v>3.153</v>
          </cell>
          <cell r="P6413">
            <v>0.56000000000000005</v>
          </cell>
        </row>
        <row r="6414">
          <cell r="A6414" t="str">
            <v>PEE-033-CL-80-1HR</v>
          </cell>
          <cell r="G6414" t="str">
            <v>IDESP</v>
          </cell>
          <cell r="L6414">
            <v>38769</v>
          </cell>
          <cell r="M6414">
            <v>3.07</v>
          </cell>
          <cell r="P6414">
            <v>0.67</v>
          </cell>
        </row>
        <row r="6415">
          <cell r="A6415" t="str">
            <v>PEE-033-CL-80-2</v>
          </cell>
          <cell r="G6415" t="str">
            <v xml:space="preserve">CR   </v>
          </cell>
          <cell r="L6415">
            <v>38811</v>
          </cell>
          <cell r="M6415">
            <v>3.085</v>
          </cell>
          <cell r="P6415">
            <v>1.1677999999999999</v>
          </cell>
        </row>
        <row r="6416">
          <cell r="A6416" t="str">
            <v>PEE-033-CL-80-2-SB</v>
          </cell>
          <cell r="G6416" t="str">
            <v xml:space="preserve">CR   </v>
          </cell>
          <cell r="L6416">
            <v>38811</v>
          </cell>
          <cell r="M6416">
            <v>3.085</v>
          </cell>
          <cell r="P6416">
            <v>1.1979</v>
          </cell>
        </row>
        <row r="6417">
          <cell r="A6417" t="str">
            <v>PEE-033-H-415</v>
          </cell>
          <cell r="G6417" t="str">
            <v xml:space="preserve">CR   </v>
          </cell>
          <cell r="L6417">
            <v>38624</v>
          </cell>
          <cell r="M6417">
            <v>2.915</v>
          </cell>
          <cell r="P6417">
            <v>0.65600000000000003</v>
          </cell>
        </row>
        <row r="6418">
          <cell r="A6418" t="str">
            <v>PEE-033-NK-3230</v>
          </cell>
          <cell r="G6418" t="str">
            <v>IDESP</v>
          </cell>
          <cell r="L6418">
            <v>38758</v>
          </cell>
          <cell r="M6418">
            <v>3.0659999999999998</v>
          </cell>
          <cell r="P6418">
            <v>1.9</v>
          </cell>
        </row>
        <row r="6419">
          <cell r="A6419" t="str">
            <v>PEE-033-OL-100-1</v>
          </cell>
          <cell r="G6419" t="str">
            <v>INDEV</v>
          </cell>
          <cell r="L6419">
            <v>40476</v>
          </cell>
          <cell r="M6419">
            <v>3.98</v>
          </cell>
          <cell r="P6419">
            <v>1.3590954773869348</v>
          </cell>
        </row>
        <row r="6420">
          <cell r="A6420" t="str">
            <v>PEE-033-OL-100-2</v>
          </cell>
          <cell r="G6420" t="str">
            <v>IDESP</v>
          </cell>
          <cell r="L6420">
            <v>39413</v>
          </cell>
          <cell r="M6420">
            <v>3.1429999999999998</v>
          </cell>
          <cell r="P6420">
            <v>2.62</v>
          </cell>
        </row>
        <row r="6421">
          <cell r="A6421" t="str">
            <v>PEE-033-OL-100-2-SB</v>
          </cell>
          <cell r="G6421" t="str">
            <v xml:space="preserve">CR   </v>
          </cell>
          <cell r="L6421">
            <v>38811</v>
          </cell>
          <cell r="M6421">
            <v>3.085</v>
          </cell>
          <cell r="P6421">
            <v>4.3388999999999998</v>
          </cell>
        </row>
        <row r="6422">
          <cell r="A6422" t="str">
            <v>PEE-033-OL-120</v>
          </cell>
          <cell r="G6422" t="str">
            <v>IDESP</v>
          </cell>
          <cell r="L6422">
            <v>39758</v>
          </cell>
          <cell r="M6422">
            <v>3.31</v>
          </cell>
          <cell r="P6422">
            <v>2.0499999999999998</v>
          </cell>
        </row>
        <row r="6423">
          <cell r="A6423" t="str">
            <v>PEE-033-OL-2040</v>
          </cell>
          <cell r="G6423" t="str">
            <v>IDESP</v>
          </cell>
          <cell r="L6423">
            <v>38769</v>
          </cell>
          <cell r="M6423">
            <v>3.07</v>
          </cell>
          <cell r="P6423">
            <v>0.39</v>
          </cell>
        </row>
        <row r="6424">
          <cell r="A6424" t="str">
            <v>PEE-033-OL-2050</v>
          </cell>
          <cell r="G6424" t="str">
            <v xml:space="preserve">CR   </v>
          </cell>
          <cell r="L6424">
            <v>38811</v>
          </cell>
          <cell r="M6424">
            <v>3.085</v>
          </cell>
          <cell r="P6424">
            <v>0.56379999999999997</v>
          </cell>
        </row>
        <row r="6425">
          <cell r="A6425" t="str">
            <v>PEE-033-OL-40-1</v>
          </cell>
          <cell r="G6425" t="str">
            <v xml:space="preserve">INAC </v>
          </cell>
          <cell r="L6425">
            <v>42978</v>
          </cell>
          <cell r="M6425">
            <v>17.739999999999998</v>
          </cell>
          <cell r="P6425">
            <v>0.13077790304396844</v>
          </cell>
        </row>
        <row r="6426">
          <cell r="A6426" t="str">
            <v>PEE-033-OL-40-2</v>
          </cell>
          <cell r="G6426" t="str">
            <v>IDESP</v>
          </cell>
          <cell r="L6426">
            <v>39472</v>
          </cell>
          <cell r="M6426">
            <v>3.153</v>
          </cell>
          <cell r="P6426">
            <v>0.6</v>
          </cell>
        </row>
        <row r="6427">
          <cell r="A6427" t="str">
            <v>PEE-033-OL-40-2SS</v>
          </cell>
          <cell r="G6427" t="str">
            <v xml:space="preserve">CR   </v>
          </cell>
          <cell r="L6427">
            <v>38624</v>
          </cell>
          <cell r="M6427">
            <v>2.915</v>
          </cell>
          <cell r="P6427">
            <v>3.2492000000000001</v>
          </cell>
        </row>
        <row r="6428">
          <cell r="A6428" t="str">
            <v>PEE-033-OL-415-H</v>
          </cell>
          <cell r="G6428" t="str">
            <v>IDESP</v>
          </cell>
          <cell r="L6428">
            <v>39279</v>
          </cell>
          <cell r="M6428">
            <v>3.1</v>
          </cell>
          <cell r="P6428">
            <v>0.34</v>
          </cell>
        </row>
        <row r="6429">
          <cell r="A6429" t="str">
            <v>PEE-033-OL-50-1</v>
          </cell>
          <cell r="G6429" t="str">
            <v>IDESP</v>
          </cell>
          <cell r="L6429">
            <v>39472</v>
          </cell>
          <cell r="M6429">
            <v>3.153</v>
          </cell>
          <cell r="P6429">
            <v>0.35</v>
          </cell>
        </row>
        <row r="6430">
          <cell r="A6430" t="str">
            <v>PEE-033-OL-50-2</v>
          </cell>
          <cell r="G6430" t="str">
            <v xml:space="preserve">CR   </v>
          </cell>
          <cell r="L6430">
            <v>38811</v>
          </cell>
          <cell r="M6430">
            <v>3.085</v>
          </cell>
          <cell r="P6430">
            <v>0.755</v>
          </cell>
        </row>
        <row r="6431">
          <cell r="A6431" t="str">
            <v>PEE-033-OL-60-1</v>
          </cell>
          <cell r="G6431" t="str">
            <v xml:space="preserve">INSI </v>
          </cell>
          <cell r="L6431">
            <v>39626</v>
          </cell>
          <cell r="M6431">
            <v>3.0270000000000001</v>
          </cell>
          <cell r="P6431">
            <v>0.46947499999999998</v>
          </cell>
        </row>
        <row r="6432">
          <cell r="A6432" t="str">
            <v>PEE-033-OL-60-1HSB</v>
          </cell>
          <cell r="G6432" t="str">
            <v xml:space="preserve">CR   </v>
          </cell>
          <cell r="L6432">
            <v>38624</v>
          </cell>
          <cell r="M6432">
            <v>2.915</v>
          </cell>
          <cell r="P6432">
            <v>0.72770000000000001</v>
          </cell>
        </row>
        <row r="6433">
          <cell r="A6433" t="str">
            <v>PEE-033-OL-60-2</v>
          </cell>
          <cell r="G6433" t="str">
            <v xml:space="preserve">INSI </v>
          </cell>
          <cell r="L6433">
            <v>39626</v>
          </cell>
          <cell r="M6433">
            <v>3.0270000000000001</v>
          </cell>
          <cell r="P6433">
            <v>1.1982489999999999</v>
          </cell>
        </row>
        <row r="6434">
          <cell r="A6434" t="str">
            <v>PEE-033-OL-80-1</v>
          </cell>
          <cell r="G6434" t="str">
            <v>IDESP</v>
          </cell>
          <cell r="L6434">
            <v>39472</v>
          </cell>
          <cell r="M6434">
            <v>3.153</v>
          </cell>
          <cell r="P6434">
            <v>0.83</v>
          </cell>
        </row>
        <row r="6435">
          <cell r="A6435" t="str">
            <v>PEE-033-OL-80-2</v>
          </cell>
          <cell r="G6435" t="str">
            <v xml:space="preserve">CR   </v>
          </cell>
          <cell r="L6435">
            <v>38811</v>
          </cell>
          <cell r="M6435">
            <v>3.085</v>
          </cell>
          <cell r="P6435">
            <v>3.0703999999999998</v>
          </cell>
        </row>
        <row r="6436">
          <cell r="A6436" t="str">
            <v>PEE-033-OL-80-2-SB</v>
          </cell>
          <cell r="G6436" t="str">
            <v xml:space="preserve">CR   </v>
          </cell>
          <cell r="L6436">
            <v>38811</v>
          </cell>
          <cell r="M6436">
            <v>3.085</v>
          </cell>
          <cell r="P6436">
            <v>0.28189999999999998</v>
          </cell>
        </row>
        <row r="6437">
          <cell r="A6437" t="str">
            <v>PEE-034-GE-20-E</v>
          </cell>
          <cell r="G6437" t="str">
            <v>INDEV</v>
          </cell>
          <cell r="L6437">
            <v>41288</v>
          </cell>
          <cell r="M6437">
            <v>4.95</v>
          </cell>
          <cell r="P6437">
            <v>0.93535353535353527</v>
          </cell>
        </row>
        <row r="6438">
          <cell r="A6438" t="str">
            <v>PEE-034-GE-30-ES</v>
          </cell>
          <cell r="G6438" t="str">
            <v xml:space="preserve">INSI </v>
          </cell>
          <cell r="L6438">
            <v>39353</v>
          </cell>
          <cell r="M6438">
            <v>3.15</v>
          </cell>
          <cell r="P6438">
            <v>1.2991999999999999</v>
          </cell>
        </row>
        <row r="6439">
          <cell r="A6439" t="str">
            <v>PEE-034-GE-35-E</v>
          </cell>
          <cell r="G6439" t="str">
            <v xml:space="preserve">CR   </v>
          </cell>
          <cell r="L6439">
            <v>38811</v>
          </cell>
          <cell r="M6439">
            <v>3.085</v>
          </cell>
          <cell r="P6439">
            <v>2.5066999999999999</v>
          </cell>
        </row>
        <row r="6440">
          <cell r="A6440" t="str">
            <v>PEE-034-PHSB-6</v>
          </cell>
          <cell r="G6440" t="str">
            <v xml:space="preserve">INAC </v>
          </cell>
          <cell r="L6440">
            <v>40486</v>
          </cell>
          <cell r="M6440">
            <v>3.98</v>
          </cell>
          <cell r="P6440">
            <v>3.2074371859296482</v>
          </cell>
        </row>
        <row r="6441">
          <cell r="A6441" t="str">
            <v>PEE-034-PORTA-ROT.D</v>
          </cell>
          <cell r="G6441" t="str">
            <v>InRet</v>
          </cell>
          <cell r="L6441">
            <v>40144</v>
          </cell>
          <cell r="M6441">
            <v>3.82</v>
          </cell>
          <cell r="P6441">
            <v>11.274869109947645</v>
          </cell>
        </row>
        <row r="6442">
          <cell r="A6442" t="str">
            <v>PEE-034-PORTA-ROT.IZ</v>
          </cell>
          <cell r="G6442" t="str">
            <v>InRet</v>
          </cell>
          <cell r="L6442">
            <v>40144</v>
          </cell>
          <cell r="M6442">
            <v>3.82</v>
          </cell>
          <cell r="P6442">
            <v>11.439790575916232</v>
          </cell>
        </row>
        <row r="6443">
          <cell r="A6443" t="str">
            <v>PEE-034-POS-25</v>
          </cell>
          <cell r="G6443" t="str">
            <v xml:space="preserve">CR   </v>
          </cell>
          <cell r="L6443">
            <v>38624</v>
          </cell>
          <cell r="M6443">
            <v>2.915</v>
          </cell>
          <cell r="P6443">
            <v>10.25</v>
          </cell>
        </row>
        <row r="6444">
          <cell r="A6444" t="str">
            <v>PEE-034-POSB-30MM-RD</v>
          </cell>
          <cell r="G6444" t="str">
            <v>IPFAB</v>
          </cell>
          <cell r="L6444">
            <v>39230</v>
          </cell>
          <cell r="M6444">
            <v>3.0840000000000001</v>
          </cell>
          <cell r="P6444">
            <v>14.802</v>
          </cell>
        </row>
        <row r="6445">
          <cell r="A6445" t="str">
            <v>PEE-034-POSB-30MM-RI</v>
          </cell>
          <cell r="G6445" t="str">
            <v>IPFAB</v>
          </cell>
          <cell r="L6445">
            <v>39230</v>
          </cell>
          <cell r="M6445">
            <v>3.0840000000000001</v>
          </cell>
          <cell r="P6445">
            <v>14.802</v>
          </cell>
        </row>
        <row r="6446">
          <cell r="A6446" t="str">
            <v>PEE-034-POSB-6</v>
          </cell>
          <cell r="G6446" t="str">
            <v>INDEV</v>
          </cell>
          <cell r="L6446">
            <v>39750</v>
          </cell>
          <cell r="M6446">
            <v>3.3679999999999999</v>
          </cell>
          <cell r="P6446">
            <v>1.8299881235154396</v>
          </cell>
        </row>
        <row r="6447">
          <cell r="A6447" t="str">
            <v>PEE-035-BA-3216-ZOH</v>
          </cell>
          <cell r="G6447" t="str">
            <v xml:space="preserve">CR   </v>
          </cell>
          <cell r="L6447">
            <v>38811</v>
          </cell>
          <cell r="M6447">
            <v>3.085</v>
          </cell>
          <cell r="P6447">
            <v>1.4295</v>
          </cell>
        </row>
        <row r="6448">
          <cell r="A6448" t="str">
            <v>PEE-035-BA-3616-ZOH</v>
          </cell>
          <cell r="G6448" t="str">
            <v>IPFAB</v>
          </cell>
          <cell r="L6448">
            <v>39043</v>
          </cell>
          <cell r="M6448">
            <v>3.08</v>
          </cell>
          <cell r="P6448">
            <v>0.79</v>
          </cell>
        </row>
        <row r="6449">
          <cell r="A6449" t="str">
            <v>PEE-035-BA-607</v>
          </cell>
          <cell r="G6449" t="str">
            <v>IDESP</v>
          </cell>
          <cell r="L6449">
            <v>39279</v>
          </cell>
          <cell r="M6449">
            <v>3.1</v>
          </cell>
          <cell r="P6449">
            <v>0.28999999999999998</v>
          </cell>
        </row>
        <row r="6450">
          <cell r="A6450" t="str">
            <v>PEE-035-BHA-1612-ZOH</v>
          </cell>
          <cell r="G6450" t="str">
            <v xml:space="preserve">CR   </v>
          </cell>
          <cell r="L6450">
            <v>38811</v>
          </cell>
          <cell r="M6450">
            <v>3.085</v>
          </cell>
          <cell r="P6450">
            <v>0.52349999999999997</v>
          </cell>
        </row>
        <row r="6451">
          <cell r="A6451" t="str">
            <v>PEE-035-BHA-2020-ZOH</v>
          </cell>
          <cell r="G6451" t="str">
            <v xml:space="preserve">CR   </v>
          </cell>
          <cell r="L6451">
            <v>38811</v>
          </cell>
          <cell r="M6451">
            <v>3.085</v>
          </cell>
          <cell r="P6451">
            <v>0.66439999999999999</v>
          </cell>
        </row>
        <row r="6452">
          <cell r="A6452" t="str">
            <v>PEE-035-HK-1010</v>
          </cell>
          <cell r="G6452" t="str">
            <v>IDESP</v>
          </cell>
          <cell r="L6452">
            <v>38065</v>
          </cell>
          <cell r="M6452">
            <v>2.887</v>
          </cell>
          <cell r="P6452">
            <v>0.15</v>
          </cell>
        </row>
        <row r="6453">
          <cell r="A6453" t="str">
            <v>PEE-035-HK-1812</v>
          </cell>
          <cell r="G6453" t="str">
            <v xml:space="preserve">CR   </v>
          </cell>
          <cell r="L6453">
            <v>38811</v>
          </cell>
          <cell r="M6453">
            <v>3.085</v>
          </cell>
          <cell r="P6453">
            <v>0.2215</v>
          </cell>
        </row>
        <row r="6454">
          <cell r="A6454" t="str">
            <v>PEE-035-HK-1816</v>
          </cell>
          <cell r="G6454" t="str">
            <v>IDESP</v>
          </cell>
          <cell r="L6454">
            <v>38065</v>
          </cell>
          <cell r="M6454">
            <v>2.887</v>
          </cell>
          <cell r="P6454">
            <v>0.22</v>
          </cell>
        </row>
        <row r="6455">
          <cell r="A6455" t="str">
            <v>PEE-035-HK-2216</v>
          </cell>
          <cell r="G6455" t="str">
            <v>IDESP</v>
          </cell>
          <cell r="L6455">
            <v>38065</v>
          </cell>
          <cell r="M6455">
            <v>2.887</v>
          </cell>
          <cell r="P6455">
            <v>0.27</v>
          </cell>
        </row>
        <row r="6456">
          <cell r="A6456" t="str">
            <v>PEE-035-HK-2520</v>
          </cell>
          <cell r="G6456" t="str">
            <v xml:space="preserve">CR   </v>
          </cell>
          <cell r="L6456">
            <v>38811</v>
          </cell>
          <cell r="M6456">
            <v>3.085</v>
          </cell>
          <cell r="P6456">
            <v>0.33229999999999998</v>
          </cell>
        </row>
        <row r="6457">
          <cell r="A6457" t="str">
            <v>PEE-035-HK-2830</v>
          </cell>
          <cell r="G6457" t="str">
            <v>INDEV</v>
          </cell>
          <cell r="L6457">
            <v>41142</v>
          </cell>
          <cell r="M6457">
            <v>4.63</v>
          </cell>
          <cell r="P6457">
            <v>0.34224622030237584</v>
          </cell>
        </row>
        <row r="6458">
          <cell r="A6458" t="str">
            <v>PEE-035-HK-3016-M</v>
          </cell>
          <cell r="G6458" t="str">
            <v>IPFAB</v>
          </cell>
          <cell r="L6458">
            <v>38895</v>
          </cell>
          <cell r="M6458">
            <v>3.0859999999999999</v>
          </cell>
          <cell r="P6458">
            <v>0.33600000000000002</v>
          </cell>
        </row>
        <row r="6459">
          <cell r="A6459" t="str">
            <v>PEE-035-HK-4030</v>
          </cell>
          <cell r="G6459" t="str">
            <v xml:space="preserve">CR   </v>
          </cell>
          <cell r="L6459">
            <v>38811</v>
          </cell>
          <cell r="M6459">
            <v>3.085</v>
          </cell>
          <cell r="P6459">
            <v>0.7147</v>
          </cell>
        </row>
        <row r="6460">
          <cell r="A6460" t="str">
            <v>PEE-035-HK-5025</v>
          </cell>
          <cell r="G6460" t="str">
            <v>INDEV</v>
          </cell>
          <cell r="L6460">
            <v>41142</v>
          </cell>
          <cell r="M6460">
            <v>4.63</v>
          </cell>
          <cell r="P6460">
            <v>0.55144708423326139</v>
          </cell>
        </row>
        <row r="6461">
          <cell r="A6461" t="str">
            <v>PEE-035-IRT-2520</v>
          </cell>
          <cell r="G6461" t="str">
            <v>IPFAP</v>
          </cell>
          <cell r="L6461">
            <v>41838</v>
          </cell>
          <cell r="M6461">
            <v>8.17</v>
          </cell>
          <cell r="P6461">
            <v>7.0501835985312108E-2</v>
          </cell>
        </row>
        <row r="6462">
          <cell r="A6462" t="str">
            <v>PEE-035-NJ-205-ECP</v>
          </cell>
          <cell r="G6462" t="str">
            <v xml:space="preserve">INSI </v>
          </cell>
          <cell r="L6462">
            <v>39513</v>
          </cell>
          <cell r="M6462">
            <v>3.1520000000000001</v>
          </cell>
          <cell r="P6462">
            <v>1.6913</v>
          </cell>
        </row>
        <row r="6463">
          <cell r="A6463" t="str">
            <v>PEE-035-NJ-208</v>
          </cell>
          <cell r="G6463" t="str">
            <v>IPFAB</v>
          </cell>
          <cell r="L6463">
            <v>39009</v>
          </cell>
          <cell r="M6463">
            <v>3.0910000000000002</v>
          </cell>
          <cell r="P6463">
            <v>7.252669</v>
          </cell>
        </row>
        <row r="6464">
          <cell r="A6464" t="str">
            <v>PEE-035-NK-2520</v>
          </cell>
          <cell r="G6464" t="str">
            <v>IPFAB</v>
          </cell>
          <cell r="L6464">
            <v>38895</v>
          </cell>
          <cell r="M6464">
            <v>3.0859999999999999</v>
          </cell>
          <cell r="P6464">
            <v>0.999</v>
          </cell>
        </row>
        <row r="6465">
          <cell r="A6465" t="str">
            <v>PEE-035-NK-2830</v>
          </cell>
          <cell r="G6465" t="str">
            <v xml:space="preserve">CR   </v>
          </cell>
          <cell r="L6465">
            <v>38811</v>
          </cell>
          <cell r="M6465">
            <v>3.085</v>
          </cell>
          <cell r="P6465">
            <v>1.7214</v>
          </cell>
        </row>
        <row r="6466">
          <cell r="A6466" t="str">
            <v>PEE-035-NK-2920</v>
          </cell>
          <cell r="G6466" t="str">
            <v>IPFAB</v>
          </cell>
          <cell r="L6466">
            <v>39416</v>
          </cell>
          <cell r="M6466">
            <v>3.1480000000000001</v>
          </cell>
          <cell r="P6466">
            <v>1.802</v>
          </cell>
        </row>
        <row r="6467">
          <cell r="A6467" t="str">
            <v>PEE-035-NK-3820</v>
          </cell>
          <cell r="G6467" t="str">
            <v>IDESP</v>
          </cell>
          <cell r="L6467">
            <v>39010</v>
          </cell>
          <cell r="M6467">
            <v>3.089</v>
          </cell>
          <cell r="P6467">
            <v>1.409</v>
          </cell>
        </row>
        <row r="6468">
          <cell r="A6468" t="str">
            <v>PEE-035-NK-4030</v>
          </cell>
          <cell r="G6468" t="str">
            <v xml:space="preserve">CR   </v>
          </cell>
          <cell r="L6468">
            <v>38811</v>
          </cell>
          <cell r="M6468">
            <v>3.085</v>
          </cell>
          <cell r="P6468">
            <v>2.0133999999999999</v>
          </cell>
        </row>
        <row r="6469">
          <cell r="A6469" t="str">
            <v>PEE-035-NK-5025</v>
          </cell>
          <cell r="G6469" t="str">
            <v>IDESP</v>
          </cell>
          <cell r="L6469">
            <v>39409</v>
          </cell>
          <cell r="M6469">
            <v>3.141</v>
          </cell>
          <cell r="P6469">
            <v>2.94</v>
          </cell>
        </row>
        <row r="6470">
          <cell r="A6470" t="str">
            <v>PEE-035-NKI-35-50-30</v>
          </cell>
          <cell r="G6470" t="str">
            <v>IPFAB</v>
          </cell>
          <cell r="L6470">
            <v>38840</v>
          </cell>
          <cell r="M6470">
            <v>3.0449999999999999</v>
          </cell>
          <cell r="P6470">
            <v>9.0650250000000003</v>
          </cell>
        </row>
        <row r="6471">
          <cell r="A6471" t="str">
            <v>PEE-035-NU-205</v>
          </cell>
          <cell r="G6471" t="str">
            <v xml:space="preserve">CR   </v>
          </cell>
          <cell r="L6471">
            <v>38624</v>
          </cell>
          <cell r="M6471">
            <v>2.915</v>
          </cell>
          <cell r="P6471">
            <v>2.7572000000000001</v>
          </cell>
        </row>
        <row r="6472">
          <cell r="A6472" t="str">
            <v>PEE-035-NUP-206</v>
          </cell>
          <cell r="G6472" t="str">
            <v>IPFAB</v>
          </cell>
          <cell r="L6472">
            <v>39009</v>
          </cell>
          <cell r="M6472">
            <v>3.0910000000000002</v>
          </cell>
          <cell r="P6472">
            <v>6.3296669999999997</v>
          </cell>
        </row>
        <row r="6473">
          <cell r="A6473" t="str">
            <v>PEE-035-NUP-309</v>
          </cell>
          <cell r="G6473" t="str">
            <v>IPFAB</v>
          </cell>
          <cell r="L6473">
            <v>38379</v>
          </cell>
          <cell r="M6473">
            <v>2.9220000000000002</v>
          </cell>
          <cell r="P6473">
            <v>1</v>
          </cell>
        </row>
        <row r="6474">
          <cell r="A6474" t="str">
            <v>PEE-035-NUP-311-E</v>
          </cell>
          <cell r="G6474" t="str">
            <v>INDEV</v>
          </cell>
          <cell r="L6474">
            <v>41288</v>
          </cell>
          <cell r="M6474">
            <v>4.95</v>
          </cell>
          <cell r="P6474">
            <v>6.4580202020202018</v>
          </cell>
        </row>
        <row r="6475">
          <cell r="A6475" t="str">
            <v>PEE-035-SCE-1012</v>
          </cell>
          <cell r="G6475" t="str">
            <v xml:space="preserve">CR   </v>
          </cell>
          <cell r="L6475">
            <v>38811</v>
          </cell>
          <cell r="M6475">
            <v>3.085</v>
          </cell>
          <cell r="P6475">
            <v>0.27189999999999998</v>
          </cell>
        </row>
        <row r="6476">
          <cell r="A6476" t="str">
            <v>PEE-035-SN-1816</v>
          </cell>
          <cell r="G6476" t="str">
            <v xml:space="preserve">INSI </v>
          </cell>
          <cell r="L6476">
            <v>38723</v>
          </cell>
          <cell r="M6476">
            <v>3.05</v>
          </cell>
          <cell r="P6476">
            <v>0.38900000000000001</v>
          </cell>
        </row>
        <row r="6477">
          <cell r="A6477" t="str">
            <v>PEE-035-TAF-253320</v>
          </cell>
          <cell r="G6477" t="str">
            <v>INDEV</v>
          </cell>
          <cell r="L6477">
            <v>37999</v>
          </cell>
          <cell r="M6477">
            <v>2.8450000000000002</v>
          </cell>
          <cell r="P6477">
            <v>1.3557117750439367</v>
          </cell>
        </row>
        <row r="6478">
          <cell r="A6478" t="str">
            <v>PEE-035-TAF-283730</v>
          </cell>
          <cell r="G6478" t="str">
            <v xml:space="preserve">CR   </v>
          </cell>
          <cell r="L6478">
            <v>38811</v>
          </cell>
          <cell r="M6478">
            <v>3.085</v>
          </cell>
          <cell r="P6478">
            <v>2.1644000000000001</v>
          </cell>
        </row>
        <row r="6479">
          <cell r="A6479" t="str">
            <v>PEE-035-TAF-324230</v>
          </cell>
          <cell r="G6479" t="str">
            <v xml:space="preserve">CR   </v>
          </cell>
          <cell r="L6479">
            <v>38811</v>
          </cell>
          <cell r="M6479">
            <v>3.085</v>
          </cell>
          <cell r="P6479">
            <v>2.5569999999999999</v>
          </cell>
        </row>
        <row r="6480">
          <cell r="A6480" t="str">
            <v>PEE-035-TAF-405030</v>
          </cell>
          <cell r="G6480" t="str">
            <v xml:space="preserve">CR   </v>
          </cell>
          <cell r="L6480">
            <v>38811</v>
          </cell>
          <cell r="M6480">
            <v>3.085</v>
          </cell>
          <cell r="P6480">
            <v>2.7483</v>
          </cell>
        </row>
        <row r="6481">
          <cell r="A6481" t="str">
            <v>PEE-035-TAF-506225</v>
          </cell>
          <cell r="G6481" t="str">
            <v xml:space="preserve">CR   </v>
          </cell>
          <cell r="L6481">
            <v>38811</v>
          </cell>
          <cell r="M6481">
            <v>3.085</v>
          </cell>
          <cell r="P6481">
            <v>3.1917</v>
          </cell>
        </row>
        <row r="6482">
          <cell r="A6482" t="str">
            <v>PEE-036-WP4-104</v>
          </cell>
          <cell r="G6482" t="str">
            <v xml:space="preserve">CR   </v>
          </cell>
          <cell r="L6482">
            <v>38624</v>
          </cell>
          <cell r="M6482">
            <v>2.915</v>
          </cell>
          <cell r="P6482">
            <v>1.5887</v>
          </cell>
        </row>
        <row r="6483">
          <cell r="A6483" t="str">
            <v>PEE-036-WP4-129</v>
          </cell>
          <cell r="G6483" t="str">
            <v xml:space="preserve">CR   </v>
          </cell>
          <cell r="L6483">
            <v>38624</v>
          </cell>
          <cell r="M6483">
            <v>2.915</v>
          </cell>
          <cell r="P6483">
            <v>1.4145000000000001</v>
          </cell>
        </row>
        <row r="6484">
          <cell r="A6484" t="str">
            <v>PEE-036-WP4-132</v>
          </cell>
          <cell r="G6484" t="str">
            <v xml:space="preserve">CR   </v>
          </cell>
          <cell r="L6484">
            <v>38624</v>
          </cell>
          <cell r="M6484">
            <v>2.915</v>
          </cell>
          <cell r="P6484">
            <v>2.6547000000000001</v>
          </cell>
        </row>
        <row r="6485">
          <cell r="A6485" t="str">
            <v>PEE-036-WP4-133</v>
          </cell>
          <cell r="G6485" t="str">
            <v xml:space="preserve">CR   </v>
          </cell>
          <cell r="L6485">
            <v>38624</v>
          </cell>
          <cell r="M6485">
            <v>2.915</v>
          </cell>
          <cell r="P6485">
            <v>1.4350000000000001</v>
          </cell>
        </row>
        <row r="6486">
          <cell r="A6486" t="str">
            <v>PEE-036-WP4-137</v>
          </cell>
          <cell r="G6486" t="str">
            <v xml:space="preserve">CR   </v>
          </cell>
          <cell r="L6486">
            <v>38624</v>
          </cell>
          <cell r="M6486">
            <v>2.915</v>
          </cell>
          <cell r="P6486">
            <v>2.6547000000000001</v>
          </cell>
        </row>
        <row r="6487">
          <cell r="A6487" t="str">
            <v>PEE-036-WP4-138</v>
          </cell>
          <cell r="G6487" t="str">
            <v xml:space="preserve">CR   </v>
          </cell>
          <cell r="L6487">
            <v>38624</v>
          </cell>
          <cell r="M6487">
            <v>2.915</v>
          </cell>
          <cell r="P6487">
            <v>2.5215000000000001</v>
          </cell>
        </row>
        <row r="6488">
          <cell r="A6488" t="str">
            <v>PEE-036-WP4-139</v>
          </cell>
          <cell r="G6488" t="str">
            <v xml:space="preserve">CR   </v>
          </cell>
          <cell r="L6488">
            <v>38624</v>
          </cell>
          <cell r="M6488">
            <v>2.915</v>
          </cell>
          <cell r="P6488">
            <v>1.3632</v>
          </cell>
        </row>
        <row r="6489">
          <cell r="A6489" t="str">
            <v>PEE-037-PRISIONEROS</v>
          </cell>
          <cell r="G6489" t="str">
            <v xml:space="preserve">INSI </v>
          </cell>
          <cell r="L6489">
            <v>38554</v>
          </cell>
          <cell r="M6489">
            <v>2.8620000000000001</v>
          </cell>
          <cell r="P6489">
            <v>1</v>
          </cell>
        </row>
        <row r="6490">
          <cell r="A6490" t="str">
            <v>PEE-037-VIROLAS</v>
          </cell>
          <cell r="G6490" t="str">
            <v xml:space="preserve">INSI </v>
          </cell>
          <cell r="L6490">
            <v>38554</v>
          </cell>
          <cell r="M6490">
            <v>2.8620000000000001</v>
          </cell>
          <cell r="P6490">
            <v>0.47</v>
          </cell>
        </row>
        <row r="6491">
          <cell r="A6491" t="str">
            <v>PEE-040-1204-K</v>
          </cell>
          <cell r="G6491" t="str">
            <v xml:space="preserve">CR   </v>
          </cell>
          <cell r="L6491">
            <v>38811</v>
          </cell>
          <cell r="M6491">
            <v>3.085</v>
          </cell>
          <cell r="P6491">
            <v>0.99660000000000004</v>
          </cell>
        </row>
        <row r="6492">
          <cell r="A6492" t="str">
            <v>PEE-040-1205</v>
          </cell>
          <cell r="G6492" t="str">
            <v xml:space="preserve">INSI </v>
          </cell>
          <cell r="L6492">
            <v>39664</v>
          </cell>
          <cell r="M6492">
            <v>3.0419999999999998</v>
          </cell>
          <cell r="P6492">
            <v>0.95134799999999997</v>
          </cell>
        </row>
        <row r="6493">
          <cell r="A6493" t="str">
            <v>PEE-040-1205-K</v>
          </cell>
          <cell r="G6493" t="str">
            <v>IPFAB</v>
          </cell>
          <cell r="L6493">
            <v>38846</v>
          </cell>
          <cell r="M6493">
            <v>3.04</v>
          </cell>
          <cell r="P6493">
            <v>0.58340000000000003</v>
          </cell>
        </row>
        <row r="6494">
          <cell r="A6494" t="str">
            <v>PEE-040-1206</v>
          </cell>
          <cell r="G6494" t="str">
            <v>INDEV</v>
          </cell>
          <cell r="L6494">
            <v>39902</v>
          </cell>
          <cell r="M6494">
            <v>3.7160000000000002</v>
          </cell>
          <cell r="P6494">
            <v>1.2029870828848224</v>
          </cell>
        </row>
        <row r="6495">
          <cell r="A6495" t="str">
            <v>PEE-040-1206-K</v>
          </cell>
          <cell r="G6495" t="str">
            <v>IPFAB</v>
          </cell>
          <cell r="L6495">
            <v>38919</v>
          </cell>
          <cell r="M6495">
            <v>3.0819999999999999</v>
          </cell>
          <cell r="P6495">
            <v>1.2210000000000001</v>
          </cell>
        </row>
        <row r="6496">
          <cell r="A6496" t="str">
            <v>PEE-040-1207</v>
          </cell>
          <cell r="G6496" t="str">
            <v>IPFAB</v>
          </cell>
          <cell r="L6496">
            <v>38919</v>
          </cell>
          <cell r="M6496">
            <v>3.0819999999999999</v>
          </cell>
          <cell r="P6496">
            <v>1.37</v>
          </cell>
        </row>
        <row r="6497">
          <cell r="A6497" t="str">
            <v>PEE-040-1207-K</v>
          </cell>
          <cell r="G6497" t="str">
            <v>IPFAB</v>
          </cell>
          <cell r="L6497">
            <v>39794</v>
          </cell>
          <cell r="M6497">
            <v>3.41</v>
          </cell>
          <cell r="P6497">
            <v>1.7871999999999999</v>
          </cell>
        </row>
        <row r="6498">
          <cell r="A6498" t="str">
            <v>PEE-040-1207-M</v>
          </cell>
          <cell r="G6498" t="str">
            <v>IPFAB</v>
          </cell>
          <cell r="L6498">
            <v>38659</v>
          </cell>
          <cell r="M6498">
            <v>2.9860000000000002</v>
          </cell>
          <cell r="P6498">
            <v>1.3777999999999999</v>
          </cell>
        </row>
        <row r="6499">
          <cell r="A6499" t="str">
            <v>PEE-040-1208</v>
          </cell>
          <cell r="G6499" t="str">
            <v xml:space="preserve">INAC </v>
          </cell>
          <cell r="L6499">
            <v>42571</v>
          </cell>
          <cell r="M6499">
            <v>15.33</v>
          </cell>
          <cell r="P6499">
            <v>8.4801043705153294</v>
          </cell>
        </row>
        <row r="6500">
          <cell r="A6500" t="str">
            <v>PEE-040-1208-K</v>
          </cell>
          <cell r="G6500" t="str">
            <v>InRet</v>
          </cell>
          <cell r="L6500">
            <v>40224</v>
          </cell>
          <cell r="M6500">
            <v>3.87</v>
          </cell>
          <cell r="P6500">
            <v>2.2928940568475453</v>
          </cell>
        </row>
        <row r="6501">
          <cell r="A6501" t="str">
            <v>PEE-040-1209</v>
          </cell>
          <cell r="G6501" t="str">
            <v>INDEV</v>
          </cell>
          <cell r="L6501">
            <v>39801</v>
          </cell>
          <cell r="M6501">
            <v>3.4049999999999998</v>
          </cell>
          <cell r="P6501">
            <v>2.2200000000000002</v>
          </cell>
        </row>
        <row r="6502">
          <cell r="A6502" t="str">
            <v>PEE-040-1209-C</v>
          </cell>
          <cell r="G6502" t="str">
            <v xml:space="preserve">CR   </v>
          </cell>
          <cell r="L6502">
            <v>38624</v>
          </cell>
          <cell r="M6502">
            <v>2.915</v>
          </cell>
          <cell r="P6502">
            <v>2.0192000000000001</v>
          </cell>
        </row>
        <row r="6503">
          <cell r="A6503" t="str">
            <v>PEE-040-1209-K</v>
          </cell>
          <cell r="G6503" t="str">
            <v>IPFAB</v>
          </cell>
          <cell r="L6503">
            <v>38919</v>
          </cell>
          <cell r="M6503">
            <v>3.0819999999999999</v>
          </cell>
          <cell r="P6503">
            <v>1.9930000000000001</v>
          </cell>
        </row>
        <row r="6504">
          <cell r="A6504" t="str">
            <v>PEE-040-1210</v>
          </cell>
          <cell r="G6504" t="str">
            <v>INDEV</v>
          </cell>
          <cell r="L6504">
            <v>41057</v>
          </cell>
          <cell r="M6504">
            <v>4.49</v>
          </cell>
          <cell r="P6504">
            <v>1.5412026726057906</v>
          </cell>
        </row>
        <row r="6505">
          <cell r="A6505" t="str">
            <v>PEE-040-1210-K</v>
          </cell>
          <cell r="G6505" t="str">
            <v>InRet</v>
          </cell>
          <cell r="L6505">
            <v>40057</v>
          </cell>
          <cell r="M6505">
            <v>3.86</v>
          </cell>
          <cell r="P6505">
            <v>3.2685492227979274</v>
          </cell>
        </row>
        <row r="6506">
          <cell r="A6506" t="str">
            <v>PEE-040-1212-K</v>
          </cell>
          <cell r="G6506" t="str">
            <v>INDEV</v>
          </cell>
          <cell r="L6506">
            <v>40736</v>
          </cell>
          <cell r="M6506">
            <v>4.1500000000000004</v>
          </cell>
          <cell r="P6506">
            <v>3.3790120481927706</v>
          </cell>
        </row>
        <row r="6507">
          <cell r="A6507" t="str">
            <v>PEE-040-1213-K</v>
          </cell>
          <cell r="G6507" t="str">
            <v>IPFAB</v>
          </cell>
          <cell r="L6507">
            <v>38919</v>
          </cell>
          <cell r="M6507">
            <v>3.0819999999999999</v>
          </cell>
          <cell r="P6507">
            <v>4.0659999999999998</v>
          </cell>
        </row>
        <row r="6508">
          <cell r="A6508" t="str">
            <v>PEE-040-1218-K</v>
          </cell>
          <cell r="G6508" t="str">
            <v xml:space="preserve">INAC </v>
          </cell>
          <cell r="L6508">
            <v>38477</v>
          </cell>
          <cell r="M6508">
            <v>2.8959999999999999</v>
          </cell>
          <cell r="P6508">
            <v>20.372928176795579</v>
          </cell>
        </row>
        <row r="6509">
          <cell r="A6509" t="str">
            <v>PEE-040-1305</v>
          </cell>
          <cell r="G6509" t="str">
            <v xml:space="preserve">CR   </v>
          </cell>
          <cell r="L6509">
            <v>38811</v>
          </cell>
          <cell r="M6509">
            <v>3.085</v>
          </cell>
          <cell r="P6509">
            <v>2.0133999999999999</v>
          </cell>
        </row>
        <row r="6510">
          <cell r="A6510" t="str">
            <v>PEE-040-1305-TN</v>
          </cell>
          <cell r="G6510" t="str">
            <v xml:space="preserve">CR   </v>
          </cell>
          <cell r="L6510">
            <v>38811</v>
          </cell>
          <cell r="M6510">
            <v>3.085</v>
          </cell>
          <cell r="P6510">
            <v>2.0133999999999999</v>
          </cell>
        </row>
        <row r="6511">
          <cell r="A6511" t="str">
            <v>PEE-040-1306</v>
          </cell>
          <cell r="G6511" t="str">
            <v xml:space="preserve">INAC </v>
          </cell>
          <cell r="L6511">
            <v>38299</v>
          </cell>
          <cell r="M6511">
            <v>2.9620000000000002</v>
          </cell>
          <cell r="P6511">
            <v>3.5928426738690069</v>
          </cell>
        </row>
        <row r="6512">
          <cell r="A6512" t="str">
            <v>PEE-040-1307</v>
          </cell>
          <cell r="G6512" t="str">
            <v>IPFAB</v>
          </cell>
          <cell r="L6512">
            <v>38642</v>
          </cell>
          <cell r="M6512">
            <v>2.9710000000000001</v>
          </cell>
          <cell r="P6512">
            <v>2.12</v>
          </cell>
        </row>
        <row r="6513">
          <cell r="A6513" t="str">
            <v>PEE-040-1308</v>
          </cell>
          <cell r="G6513" t="str">
            <v>INDEV</v>
          </cell>
          <cell r="L6513">
            <v>40736</v>
          </cell>
          <cell r="M6513">
            <v>4.1500000000000004</v>
          </cell>
          <cell r="P6513">
            <v>2.6399999999999997</v>
          </cell>
        </row>
        <row r="6514">
          <cell r="A6514" t="str">
            <v>PEE-040-1310</v>
          </cell>
          <cell r="G6514" t="str">
            <v>IPFAB</v>
          </cell>
          <cell r="L6514">
            <v>39056</v>
          </cell>
          <cell r="M6514">
            <v>3.06</v>
          </cell>
          <cell r="P6514">
            <v>9.4519610000000007</v>
          </cell>
        </row>
        <row r="6515">
          <cell r="A6515" t="str">
            <v>PEE-040-15123-245</v>
          </cell>
          <cell r="G6515" t="str">
            <v xml:space="preserve">CR   </v>
          </cell>
          <cell r="L6515">
            <v>38811</v>
          </cell>
          <cell r="M6515">
            <v>3.085</v>
          </cell>
          <cell r="P6515">
            <v>1.8322000000000001</v>
          </cell>
        </row>
        <row r="6516">
          <cell r="A6516" t="str">
            <v>PEE-040-16004</v>
          </cell>
          <cell r="G6516" t="str">
            <v xml:space="preserve">CR   </v>
          </cell>
          <cell r="L6516">
            <v>38811</v>
          </cell>
          <cell r="M6516">
            <v>3.085</v>
          </cell>
          <cell r="P6516">
            <v>0.99660000000000004</v>
          </cell>
        </row>
        <row r="6517">
          <cell r="A6517" t="str">
            <v>PEE-040-1604-ZZ</v>
          </cell>
          <cell r="G6517" t="str">
            <v>IDESP</v>
          </cell>
          <cell r="L6517">
            <v>39464</v>
          </cell>
          <cell r="M6517">
            <v>3.1459999999999999</v>
          </cell>
          <cell r="P6517">
            <v>0.59</v>
          </cell>
        </row>
        <row r="6518">
          <cell r="A6518" t="str">
            <v>PEE-040-1607-2Z</v>
          </cell>
          <cell r="G6518" t="str">
            <v xml:space="preserve">CR   </v>
          </cell>
          <cell r="L6518">
            <v>38811</v>
          </cell>
          <cell r="M6518">
            <v>3.085</v>
          </cell>
          <cell r="P6518">
            <v>0.61409999999999998</v>
          </cell>
        </row>
        <row r="6519">
          <cell r="A6519" t="str">
            <v>PEE-040-2200</v>
          </cell>
          <cell r="G6519" t="str">
            <v>IPFAB</v>
          </cell>
          <cell r="L6519">
            <v>39113</v>
          </cell>
          <cell r="M6519">
            <v>3.1070000000000002</v>
          </cell>
          <cell r="P6519">
            <v>0.88200000000000001</v>
          </cell>
        </row>
        <row r="6520">
          <cell r="A6520" t="str">
            <v>PEE-040-2202</v>
          </cell>
          <cell r="G6520" t="str">
            <v>IPFAB</v>
          </cell>
          <cell r="L6520">
            <v>39336</v>
          </cell>
          <cell r="M6520">
            <v>3.1589999999999998</v>
          </cell>
          <cell r="P6520">
            <v>1.0880000000000001</v>
          </cell>
        </row>
        <row r="6521">
          <cell r="A6521" t="str">
            <v>PEE-040-2207</v>
          </cell>
          <cell r="G6521" t="str">
            <v xml:space="preserve">INAC </v>
          </cell>
          <cell r="L6521">
            <v>39133</v>
          </cell>
          <cell r="M6521">
            <v>3.1030000000000002</v>
          </cell>
          <cell r="P6521">
            <v>8.656139220109571</v>
          </cell>
        </row>
        <row r="6522">
          <cell r="A6522" t="str">
            <v>PEE-040-2208</v>
          </cell>
          <cell r="G6522" t="str">
            <v>INDEV</v>
          </cell>
          <cell r="L6522">
            <v>39666</v>
          </cell>
          <cell r="M6522">
            <v>3.0419999999999998</v>
          </cell>
          <cell r="P6522">
            <v>5.7899408284023668</v>
          </cell>
        </row>
        <row r="6523">
          <cell r="A6523" t="str">
            <v>PEE-040-22214-CKW3</v>
          </cell>
          <cell r="G6523" t="str">
            <v xml:space="preserve">CR   </v>
          </cell>
          <cell r="L6523">
            <v>38811</v>
          </cell>
          <cell r="M6523">
            <v>3.085</v>
          </cell>
          <cell r="P6523">
            <v>10.3188</v>
          </cell>
        </row>
        <row r="6524">
          <cell r="A6524" t="str">
            <v>PEE-040-22214-CW33</v>
          </cell>
          <cell r="G6524" t="str">
            <v xml:space="preserve">INAC </v>
          </cell>
          <cell r="L6524">
            <v>38719</v>
          </cell>
          <cell r="M6524">
            <v>3.032</v>
          </cell>
          <cell r="P6524">
            <v>19.175461741424801</v>
          </cell>
        </row>
        <row r="6525">
          <cell r="A6525" t="str">
            <v>PEE-040-22214-JC3W3</v>
          </cell>
          <cell r="G6525" t="str">
            <v>IDESP</v>
          </cell>
          <cell r="L6525">
            <v>38198</v>
          </cell>
          <cell r="M6525">
            <v>2.976</v>
          </cell>
          <cell r="P6525">
            <v>14.88</v>
          </cell>
        </row>
        <row r="6526">
          <cell r="A6526" t="str">
            <v>PEE-040-22214CA3W33</v>
          </cell>
          <cell r="G6526" t="str">
            <v>IDESP</v>
          </cell>
          <cell r="L6526">
            <v>39401</v>
          </cell>
          <cell r="M6526">
            <v>3.1280000000000001</v>
          </cell>
          <cell r="P6526">
            <v>11.78</v>
          </cell>
        </row>
        <row r="6527">
          <cell r="A6527" t="str">
            <v>PEE-040-22215-CWC3</v>
          </cell>
          <cell r="G6527" t="str">
            <v>IPFAB</v>
          </cell>
          <cell r="L6527">
            <v>39009</v>
          </cell>
          <cell r="M6527">
            <v>3.0910000000000002</v>
          </cell>
          <cell r="P6527">
            <v>25.261856999999999</v>
          </cell>
        </row>
        <row r="6528">
          <cell r="A6528" t="str">
            <v>PEE-040-22217-C3W3</v>
          </cell>
          <cell r="G6528" t="str">
            <v>INDEV</v>
          </cell>
          <cell r="L6528">
            <v>39801</v>
          </cell>
          <cell r="M6528">
            <v>3.4049999999999998</v>
          </cell>
          <cell r="P6528">
            <v>23.516886930983848</v>
          </cell>
        </row>
        <row r="6529">
          <cell r="A6529" t="str">
            <v>PEE-040-22217-CKW3</v>
          </cell>
          <cell r="G6529" t="str">
            <v xml:space="preserve">CR   </v>
          </cell>
          <cell r="L6529">
            <v>38624</v>
          </cell>
          <cell r="M6529">
            <v>2.915</v>
          </cell>
          <cell r="P6529">
            <v>24.036200000000001</v>
          </cell>
        </row>
        <row r="6530">
          <cell r="A6530" t="str">
            <v>PEE-040-2308</v>
          </cell>
          <cell r="G6530" t="str">
            <v>INDEV</v>
          </cell>
          <cell r="L6530">
            <v>38804</v>
          </cell>
          <cell r="M6530">
            <v>3.0830000000000002</v>
          </cell>
          <cell r="P6530">
            <v>5.5964644826467724</v>
          </cell>
        </row>
        <row r="6531">
          <cell r="A6531" t="str">
            <v>PEE-040-30203</v>
          </cell>
          <cell r="G6531" t="str">
            <v xml:space="preserve">INSI </v>
          </cell>
          <cell r="L6531">
            <v>41753</v>
          </cell>
          <cell r="M6531">
            <v>8.0500000000000007</v>
          </cell>
          <cell r="P6531">
            <v>1.0660000000000001</v>
          </cell>
        </row>
        <row r="6532">
          <cell r="A6532" t="str">
            <v>PEE-040-30203-MX</v>
          </cell>
          <cell r="G6532" t="str">
            <v xml:space="preserve">CR   </v>
          </cell>
          <cell r="L6532">
            <v>38811</v>
          </cell>
          <cell r="M6532">
            <v>3.085</v>
          </cell>
          <cell r="P6532">
            <v>1.0469999999999999</v>
          </cell>
        </row>
        <row r="6533">
          <cell r="A6533" t="str">
            <v>PEE-040-30204</v>
          </cell>
          <cell r="G6533" t="str">
            <v xml:space="preserve">CR   </v>
          </cell>
          <cell r="L6533">
            <v>38811</v>
          </cell>
          <cell r="M6533">
            <v>3.085</v>
          </cell>
          <cell r="P6533">
            <v>1.2785</v>
          </cell>
        </row>
        <row r="6534">
          <cell r="A6534" t="str">
            <v>PEE-040-30204-MX</v>
          </cell>
          <cell r="G6534" t="str">
            <v xml:space="preserve">CR   </v>
          </cell>
          <cell r="L6534">
            <v>38624</v>
          </cell>
          <cell r="M6534">
            <v>2.915</v>
          </cell>
          <cell r="P6534">
            <v>0.85070000000000001</v>
          </cell>
        </row>
        <row r="6535">
          <cell r="A6535" t="str">
            <v>PEE-040-30204-RX</v>
          </cell>
          <cell r="G6535" t="str">
            <v xml:space="preserve">CR   </v>
          </cell>
          <cell r="L6535">
            <v>38811</v>
          </cell>
          <cell r="M6535">
            <v>3.085</v>
          </cell>
          <cell r="P6535">
            <v>1.5296000000000001</v>
          </cell>
        </row>
        <row r="6536">
          <cell r="A6536" t="str">
            <v>PEE-040-30205</v>
          </cell>
          <cell r="G6536" t="str">
            <v xml:space="preserve">INAC </v>
          </cell>
          <cell r="L6536">
            <v>42811</v>
          </cell>
          <cell r="M6536">
            <v>15.84</v>
          </cell>
          <cell r="P6536">
            <v>3.3777777777777778</v>
          </cell>
        </row>
        <row r="6537">
          <cell r="A6537" t="str">
            <v>PEE-040-30205-25.4</v>
          </cell>
          <cell r="G6537" t="str">
            <v>IPFAB</v>
          </cell>
          <cell r="L6537">
            <v>39286</v>
          </cell>
          <cell r="M6537">
            <v>3.12</v>
          </cell>
          <cell r="P6537">
            <v>1.746</v>
          </cell>
        </row>
        <row r="6538">
          <cell r="A6538" t="str">
            <v>PEE-040-30205-MX</v>
          </cell>
          <cell r="G6538" t="str">
            <v>INDEV</v>
          </cell>
          <cell r="L6538">
            <v>38141</v>
          </cell>
          <cell r="M6538">
            <v>2.9409999999999998</v>
          </cell>
          <cell r="P6538">
            <v>0.86773206392383551</v>
          </cell>
        </row>
        <row r="6539">
          <cell r="A6539" t="str">
            <v>PEE-040-30206-MX</v>
          </cell>
          <cell r="G6539" t="str">
            <v>INDEV</v>
          </cell>
          <cell r="L6539">
            <v>38141</v>
          </cell>
          <cell r="M6539">
            <v>2.9409999999999998</v>
          </cell>
          <cell r="P6539">
            <v>1.0057803468208093</v>
          </cell>
        </row>
        <row r="6540">
          <cell r="A6540" t="str">
            <v>PEE-040-30207</v>
          </cell>
          <cell r="G6540" t="str">
            <v xml:space="preserve">CR   </v>
          </cell>
          <cell r="L6540">
            <v>38624</v>
          </cell>
          <cell r="M6540">
            <v>2.915</v>
          </cell>
          <cell r="P6540">
            <v>0.95330000000000004</v>
          </cell>
        </row>
        <row r="6541">
          <cell r="A6541" t="str">
            <v>PEE-040-30207-MX</v>
          </cell>
          <cell r="G6541" t="str">
            <v xml:space="preserve">INAC </v>
          </cell>
          <cell r="L6541">
            <v>42723</v>
          </cell>
          <cell r="M6541">
            <v>16.22</v>
          </cell>
          <cell r="P6541">
            <v>4.553884093711468</v>
          </cell>
        </row>
        <row r="6542">
          <cell r="A6542" t="str">
            <v>PEE-040-30208-MX</v>
          </cell>
          <cell r="G6542" t="str">
            <v xml:space="preserve">CR   </v>
          </cell>
          <cell r="L6542">
            <v>40428.376423611109</v>
          </cell>
          <cell r="M6542">
            <v>3.97</v>
          </cell>
          <cell r="P6542">
            <v>1.43</v>
          </cell>
        </row>
        <row r="6543">
          <cell r="A6543" t="str">
            <v>PEE-040-30209-MX</v>
          </cell>
          <cell r="G6543" t="str">
            <v xml:space="preserve">CR   </v>
          </cell>
          <cell r="L6543">
            <v>38624</v>
          </cell>
          <cell r="M6543">
            <v>2.915</v>
          </cell>
          <cell r="P6543">
            <v>1.0865</v>
          </cell>
        </row>
        <row r="6544">
          <cell r="A6544" t="str">
            <v>PEE-040-30209-R</v>
          </cell>
          <cell r="G6544" t="str">
            <v xml:space="preserve">CR   </v>
          </cell>
          <cell r="L6544">
            <v>38624</v>
          </cell>
          <cell r="M6544">
            <v>2.915</v>
          </cell>
          <cell r="P6544">
            <v>1.7322</v>
          </cell>
        </row>
        <row r="6545">
          <cell r="A6545" t="str">
            <v>PEE-040-30210-MX</v>
          </cell>
          <cell r="G6545" t="str">
            <v xml:space="preserve">INAC </v>
          </cell>
          <cell r="L6545">
            <v>42723</v>
          </cell>
          <cell r="M6545">
            <v>16.22</v>
          </cell>
          <cell r="P6545">
            <v>6.3161467324291003</v>
          </cell>
        </row>
        <row r="6546">
          <cell r="A6546" t="str">
            <v>PEE-040-30211-MX</v>
          </cell>
          <cell r="G6546" t="str">
            <v xml:space="preserve">INAC </v>
          </cell>
          <cell r="L6546">
            <v>38412</v>
          </cell>
          <cell r="M6546">
            <v>2.9380000000000002</v>
          </cell>
          <cell r="P6546">
            <v>2.8720217835262085</v>
          </cell>
        </row>
        <row r="6547">
          <cell r="A6547" t="str">
            <v>PEE-040-30212-MX</v>
          </cell>
          <cell r="G6547" t="str">
            <v xml:space="preserve">CR   </v>
          </cell>
          <cell r="L6547">
            <v>38624</v>
          </cell>
          <cell r="M6547">
            <v>2.915</v>
          </cell>
          <cell r="P6547">
            <v>2.2652999999999999</v>
          </cell>
        </row>
        <row r="6548">
          <cell r="A6548" t="str">
            <v>PEE-040-30213</v>
          </cell>
          <cell r="G6548" t="str">
            <v xml:space="preserve">INAC </v>
          </cell>
          <cell r="L6548">
            <v>40848</v>
          </cell>
          <cell r="M6548">
            <v>4.26</v>
          </cell>
          <cell r="P6548">
            <v>21.197183098591548</v>
          </cell>
        </row>
        <row r="6549">
          <cell r="A6549" t="str">
            <v>PEE-040-30216</v>
          </cell>
          <cell r="G6549" t="str">
            <v>IPFAB</v>
          </cell>
          <cell r="L6549">
            <v>40879</v>
          </cell>
          <cell r="M6549">
            <v>4.3</v>
          </cell>
          <cell r="P6549">
            <v>0.2326</v>
          </cell>
        </row>
        <row r="6550">
          <cell r="A6550" t="str">
            <v>PEE-040-30216-RX</v>
          </cell>
          <cell r="G6550" t="str">
            <v xml:space="preserve">CR   </v>
          </cell>
          <cell r="L6550">
            <v>40428.376423611109</v>
          </cell>
          <cell r="M6550">
            <v>3.97</v>
          </cell>
          <cell r="P6550">
            <v>7.0620000000000003</v>
          </cell>
        </row>
        <row r="6551">
          <cell r="A6551" t="str">
            <v>PEE-040-30217</v>
          </cell>
          <cell r="G6551" t="str">
            <v xml:space="preserve">INAC </v>
          </cell>
          <cell r="L6551">
            <v>37761</v>
          </cell>
          <cell r="M6551">
            <v>2.88</v>
          </cell>
          <cell r="P6551">
            <v>7.9444444444444446</v>
          </cell>
        </row>
        <row r="6552">
          <cell r="A6552" t="str">
            <v>PEE-040-30226</v>
          </cell>
          <cell r="G6552" t="str">
            <v xml:space="preserve">CR   </v>
          </cell>
          <cell r="L6552">
            <v>38624</v>
          </cell>
          <cell r="M6552">
            <v>2.915</v>
          </cell>
          <cell r="P6552">
            <v>55.565199999999997</v>
          </cell>
        </row>
        <row r="6553">
          <cell r="A6553" t="str">
            <v>PEE-040-30305-MX</v>
          </cell>
          <cell r="G6553" t="str">
            <v xml:space="preserve">CR   </v>
          </cell>
          <cell r="L6553">
            <v>38811</v>
          </cell>
          <cell r="M6553">
            <v>3.085</v>
          </cell>
          <cell r="P6553">
            <v>1.5022</v>
          </cell>
        </row>
        <row r="6554">
          <cell r="A6554" t="str">
            <v>PEE-040-30307-RX</v>
          </cell>
          <cell r="G6554" t="str">
            <v xml:space="preserve">CR   </v>
          </cell>
          <cell r="L6554">
            <v>38624</v>
          </cell>
          <cell r="M6554">
            <v>2.915</v>
          </cell>
          <cell r="P6554">
            <v>2.3984999999999999</v>
          </cell>
        </row>
        <row r="6555">
          <cell r="A6555" t="str">
            <v>PEE-040-30308</v>
          </cell>
          <cell r="G6555" t="str">
            <v>INDEV</v>
          </cell>
          <cell r="L6555">
            <v>40736</v>
          </cell>
          <cell r="M6555">
            <v>4.1500000000000004</v>
          </cell>
          <cell r="P6555">
            <v>3.6746987951807224</v>
          </cell>
        </row>
        <row r="6556">
          <cell r="A6556" t="str">
            <v>PEE-040-30308-RX</v>
          </cell>
          <cell r="G6556" t="str">
            <v>IPFAB</v>
          </cell>
          <cell r="L6556">
            <v>38147</v>
          </cell>
          <cell r="M6556">
            <v>2.9630000000000001</v>
          </cell>
          <cell r="P6556">
            <v>1</v>
          </cell>
        </row>
        <row r="6557">
          <cell r="A6557" t="str">
            <v>PEE-040-30309-RX</v>
          </cell>
          <cell r="G6557" t="str">
            <v xml:space="preserve">CR   </v>
          </cell>
          <cell r="L6557">
            <v>38811</v>
          </cell>
          <cell r="M6557">
            <v>3.085</v>
          </cell>
          <cell r="P6557">
            <v>5.0407999999999999</v>
          </cell>
        </row>
        <row r="6558">
          <cell r="A6558" t="str">
            <v>PEE-040-30309-RX-M</v>
          </cell>
          <cell r="G6558" t="str">
            <v>INDEV</v>
          </cell>
          <cell r="L6558">
            <v>38881</v>
          </cell>
          <cell r="M6558">
            <v>3.081</v>
          </cell>
          <cell r="P6558">
            <v>2.4975332684193443</v>
          </cell>
        </row>
        <row r="6559">
          <cell r="A6559" t="str">
            <v>PEE-040-30311-RX</v>
          </cell>
          <cell r="G6559" t="str">
            <v xml:space="preserve">INSI </v>
          </cell>
          <cell r="L6559">
            <v>41753</v>
          </cell>
          <cell r="M6559">
            <v>8.0500000000000007</v>
          </cell>
          <cell r="P6559">
            <v>2.8033999999999999</v>
          </cell>
        </row>
        <row r="6560">
          <cell r="A6560" t="str">
            <v>PEE-040-320-32X</v>
          </cell>
          <cell r="G6560" t="str">
            <v xml:space="preserve">INSI </v>
          </cell>
          <cell r="L6560">
            <v>41753</v>
          </cell>
          <cell r="M6560">
            <v>8.0500000000000007</v>
          </cell>
          <cell r="P6560">
            <v>0.45929999999999999</v>
          </cell>
        </row>
        <row r="6561">
          <cell r="A6561" t="str">
            <v>PEE-040-32005-X</v>
          </cell>
          <cell r="G6561" t="str">
            <v xml:space="preserve">CR   </v>
          </cell>
          <cell r="L6561">
            <v>38811</v>
          </cell>
          <cell r="M6561">
            <v>3.085</v>
          </cell>
          <cell r="P6561">
            <v>1.2734000000000001</v>
          </cell>
        </row>
        <row r="6562">
          <cell r="A6562" t="str">
            <v>PEE-040-32006-X</v>
          </cell>
          <cell r="G6562" t="str">
            <v xml:space="preserve">CR   </v>
          </cell>
          <cell r="L6562">
            <v>38624</v>
          </cell>
          <cell r="M6562">
            <v>2.915</v>
          </cell>
          <cell r="P6562">
            <v>1.4555</v>
          </cell>
        </row>
        <row r="6563">
          <cell r="A6563" t="str">
            <v>PEE-040-32007-J2</v>
          </cell>
          <cell r="G6563" t="str">
            <v xml:space="preserve">CR   </v>
          </cell>
          <cell r="L6563">
            <v>38624</v>
          </cell>
          <cell r="M6563">
            <v>2.915</v>
          </cell>
          <cell r="P6563">
            <v>2.3165</v>
          </cell>
        </row>
        <row r="6564">
          <cell r="A6564" t="str">
            <v>PEE-040-32008-X</v>
          </cell>
          <cell r="G6564" t="str">
            <v xml:space="preserve">INAC </v>
          </cell>
          <cell r="L6564">
            <v>42963</v>
          </cell>
          <cell r="M6564">
            <v>17.43</v>
          </cell>
          <cell r="P6564">
            <v>4.0160642570281126</v>
          </cell>
        </row>
        <row r="6565">
          <cell r="A6565" t="str">
            <v>PEE-040-32010-MX</v>
          </cell>
          <cell r="G6565" t="str">
            <v>INDEV</v>
          </cell>
          <cell r="L6565">
            <v>40494</v>
          </cell>
          <cell r="M6565">
            <v>3.98</v>
          </cell>
          <cell r="P6565">
            <v>0.25125628140703515</v>
          </cell>
        </row>
        <row r="6566">
          <cell r="A6566" t="str">
            <v>PEE-040-32010-X</v>
          </cell>
          <cell r="G6566" t="str">
            <v xml:space="preserve">CR   </v>
          </cell>
          <cell r="L6566">
            <v>38811</v>
          </cell>
          <cell r="M6566">
            <v>3.085</v>
          </cell>
          <cell r="P6566">
            <v>2.4870999999999999</v>
          </cell>
        </row>
        <row r="6567">
          <cell r="A6567" t="str">
            <v>PEE-040-32011</v>
          </cell>
          <cell r="G6567" t="str">
            <v xml:space="preserve">INSI </v>
          </cell>
          <cell r="L6567">
            <v>41753</v>
          </cell>
          <cell r="M6567">
            <v>8.0500000000000007</v>
          </cell>
          <cell r="P6567">
            <v>0.23200000000000001</v>
          </cell>
        </row>
        <row r="6568">
          <cell r="A6568" t="str">
            <v>PEE-040-32020-X</v>
          </cell>
          <cell r="G6568" t="str">
            <v xml:space="preserve">CR   </v>
          </cell>
          <cell r="L6568">
            <v>38624</v>
          </cell>
          <cell r="M6568">
            <v>2.915</v>
          </cell>
          <cell r="P6568">
            <v>13.171200000000001</v>
          </cell>
        </row>
        <row r="6569">
          <cell r="A6569" t="str">
            <v>PEE-040-3207</v>
          </cell>
          <cell r="G6569" t="str">
            <v xml:space="preserve">CR   </v>
          </cell>
          <cell r="L6569">
            <v>38624</v>
          </cell>
          <cell r="M6569">
            <v>2.915</v>
          </cell>
          <cell r="P6569">
            <v>4.2126999999999999</v>
          </cell>
        </row>
        <row r="6570">
          <cell r="A6570" t="str">
            <v>PEE-040-3208</v>
          </cell>
          <cell r="G6570" t="str">
            <v xml:space="preserve">CR   </v>
          </cell>
          <cell r="L6570">
            <v>38811</v>
          </cell>
          <cell r="M6570">
            <v>3.085</v>
          </cell>
          <cell r="P6570">
            <v>5.5269000000000004</v>
          </cell>
        </row>
        <row r="6571">
          <cell r="A6571" t="str">
            <v>PEE-040-3209</v>
          </cell>
          <cell r="G6571" t="str">
            <v>IPFAB</v>
          </cell>
          <cell r="L6571">
            <v>40361</v>
          </cell>
          <cell r="M6571">
            <v>3.95</v>
          </cell>
          <cell r="P6571">
            <v>8.8009000000000004</v>
          </cell>
        </row>
        <row r="6572">
          <cell r="A6572" t="str">
            <v>PEE-040-3210-2RC3</v>
          </cell>
          <cell r="G6572" t="str">
            <v xml:space="preserve">INAC </v>
          </cell>
          <cell r="L6572">
            <v>42948</v>
          </cell>
          <cell r="M6572">
            <v>17.96</v>
          </cell>
          <cell r="P6572">
            <v>8.6712694877505552</v>
          </cell>
        </row>
        <row r="6573">
          <cell r="A6573" t="str">
            <v>PEE-040-3211</v>
          </cell>
          <cell r="G6573" t="str">
            <v xml:space="preserve">CR   </v>
          </cell>
          <cell r="L6573">
            <v>38811</v>
          </cell>
          <cell r="M6573">
            <v>3.085</v>
          </cell>
          <cell r="P6573">
            <v>7.8019999999999996</v>
          </cell>
        </row>
        <row r="6574">
          <cell r="A6574" t="str">
            <v>PEE-040-3211-2RC3</v>
          </cell>
          <cell r="G6574" t="str">
            <v xml:space="preserve">CR   </v>
          </cell>
          <cell r="L6574">
            <v>38624</v>
          </cell>
          <cell r="M6574">
            <v>2.915</v>
          </cell>
          <cell r="P6574">
            <v>8.2716999999999992</v>
          </cell>
        </row>
        <row r="6575">
          <cell r="A6575" t="str">
            <v>PEE-040-32206-MX</v>
          </cell>
          <cell r="G6575" t="str">
            <v xml:space="preserve">CR   </v>
          </cell>
          <cell r="L6575">
            <v>37981</v>
          </cell>
          <cell r="M6575">
            <v>2.96</v>
          </cell>
          <cell r="P6575">
            <v>1.56</v>
          </cell>
        </row>
        <row r="6576">
          <cell r="A6576" t="str">
            <v>PEE-040-32207</v>
          </cell>
          <cell r="G6576" t="str">
            <v>IPFAB</v>
          </cell>
          <cell r="L6576">
            <v>40896</v>
          </cell>
          <cell r="M6576">
            <v>4.3099999999999996</v>
          </cell>
          <cell r="P6576">
            <v>1.6912</v>
          </cell>
        </row>
        <row r="6577">
          <cell r="A6577" t="str">
            <v>PEE-040-32208-MX</v>
          </cell>
          <cell r="G6577" t="str">
            <v xml:space="preserve">INAC </v>
          </cell>
          <cell r="L6577">
            <v>42828</v>
          </cell>
          <cell r="M6577">
            <v>15.68</v>
          </cell>
          <cell r="P6577">
            <v>9.6142857142857157</v>
          </cell>
        </row>
        <row r="6578">
          <cell r="A6578" t="str">
            <v>PEE-040-32209-MX</v>
          </cell>
          <cell r="G6578" t="str">
            <v xml:space="preserve">INAC </v>
          </cell>
          <cell r="L6578">
            <v>38674</v>
          </cell>
          <cell r="M6578">
            <v>2.9430000000000001</v>
          </cell>
          <cell r="P6578">
            <v>4.2133876996262316</v>
          </cell>
        </row>
        <row r="6579">
          <cell r="A6579" t="str">
            <v>PEE-040-32210-MX</v>
          </cell>
          <cell r="G6579" t="str">
            <v>IDESP</v>
          </cell>
          <cell r="L6579">
            <v>38065</v>
          </cell>
          <cell r="M6579">
            <v>2.887</v>
          </cell>
          <cell r="P6579">
            <v>1.38</v>
          </cell>
        </row>
        <row r="6580">
          <cell r="A6580" t="str">
            <v>PEE-040-32211-MX</v>
          </cell>
          <cell r="G6580" t="str">
            <v xml:space="preserve">INAC </v>
          </cell>
          <cell r="L6580">
            <v>38674</v>
          </cell>
          <cell r="M6580">
            <v>2.9430000000000001</v>
          </cell>
          <cell r="P6580">
            <v>5.2735304111450896</v>
          </cell>
        </row>
        <row r="6581">
          <cell r="A6581" t="str">
            <v>PEE-040-32212-MX</v>
          </cell>
          <cell r="G6581" t="str">
            <v xml:space="preserve">INSI </v>
          </cell>
          <cell r="L6581">
            <v>39548</v>
          </cell>
          <cell r="M6581">
            <v>3.1589999999999998</v>
          </cell>
          <cell r="P6581">
            <v>3.44</v>
          </cell>
        </row>
        <row r="6582">
          <cell r="A6582" t="str">
            <v>PEE-040-32213-MX</v>
          </cell>
          <cell r="G6582" t="str">
            <v xml:space="preserve">CR   </v>
          </cell>
          <cell r="L6582">
            <v>38811</v>
          </cell>
          <cell r="M6582">
            <v>3.085</v>
          </cell>
          <cell r="P6582">
            <v>2.8552</v>
          </cell>
        </row>
        <row r="6583">
          <cell r="A6583" t="str">
            <v>PEE-040-32214-MX</v>
          </cell>
          <cell r="G6583" t="str">
            <v xml:space="preserve">CR   </v>
          </cell>
          <cell r="L6583">
            <v>40428.376423611109</v>
          </cell>
          <cell r="M6583">
            <v>3.97</v>
          </cell>
          <cell r="P6583">
            <v>3.7749999999999999</v>
          </cell>
        </row>
        <row r="6584">
          <cell r="A6584" t="str">
            <v>PEE-040-32215</v>
          </cell>
          <cell r="G6584" t="str">
            <v>INDEV</v>
          </cell>
          <cell r="L6584">
            <v>40736</v>
          </cell>
          <cell r="M6584">
            <v>4.1500000000000004</v>
          </cell>
          <cell r="P6584">
            <v>11.778313253012048</v>
          </cell>
        </row>
        <row r="6585">
          <cell r="A6585" t="str">
            <v>PEE-040-32216-MX</v>
          </cell>
          <cell r="G6585" t="str">
            <v xml:space="preserve">CR   </v>
          </cell>
          <cell r="L6585">
            <v>38811</v>
          </cell>
          <cell r="M6585">
            <v>3.085</v>
          </cell>
          <cell r="P6585">
            <v>4.9344999999999999</v>
          </cell>
        </row>
        <row r="6586">
          <cell r="A6586" t="str">
            <v>PEE-040-32217-MX</v>
          </cell>
          <cell r="G6586" t="str">
            <v xml:space="preserve">CR   </v>
          </cell>
          <cell r="L6586">
            <v>38624</v>
          </cell>
          <cell r="M6586">
            <v>2.915</v>
          </cell>
          <cell r="P6586">
            <v>7.9436706689536871</v>
          </cell>
        </row>
        <row r="6587">
          <cell r="A6587" t="str">
            <v>PEE-040-32218-MX</v>
          </cell>
          <cell r="G6587" t="str">
            <v xml:space="preserve">INAC </v>
          </cell>
          <cell r="L6587">
            <v>38005</v>
          </cell>
          <cell r="M6587">
            <v>2.8809999999999998</v>
          </cell>
          <cell r="P6587">
            <v>10.322804581742451</v>
          </cell>
        </row>
        <row r="6588">
          <cell r="A6588" t="str">
            <v>PEE-040-32306</v>
          </cell>
          <cell r="G6588" t="str">
            <v xml:space="preserve">CR   </v>
          </cell>
          <cell r="L6588">
            <v>38624</v>
          </cell>
          <cell r="M6588">
            <v>2.915</v>
          </cell>
          <cell r="P6588">
            <v>6.0372000000000003</v>
          </cell>
        </row>
        <row r="6589">
          <cell r="A6589" t="str">
            <v>PEE-040-32307</v>
          </cell>
          <cell r="G6589" t="str">
            <v xml:space="preserve">CR   </v>
          </cell>
          <cell r="L6589">
            <v>38624</v>
          </cell>
          <cell r="M6589">
            <v>2.915</v>
          </cell>
          <cell r="P6589">
            <v>3.0545</v>
          </cell>
        </row>
        <row r="6590">
          <cell r="A6590" t="str">
            <v>PEE-040-32309</v>
          </cell>
          <cell r="G6590" t="str">
            <v xml:space="preserve">CR   </v>
          </cell>
          <cell r="L6590">
            <v>38624</v>
          </cell>
          <cell r="M6590">
            <v>2.915</v>
          </cell>
          <cell r="P6590">
            <v>8.7226999999999997</v>
          </cell>
        </row>
        <row r="6591">
          <cell r="A6591" t="str">
            <v>PEE-040-32310</v>
          </cell>
          <cell r="G6591" t="str">
            <v xml:space="preserve">CR   </v>
          </cell>
          <cell r="L6591">
            <v>41765.7965625</v>
          </cell>
          <cell r="M6591">
            <v>8.0500000000000007</v>
          </cell>
          <cell r="P6591">
            <v>4.9689440993788816</v>
          </cell>
        </row>
        <row r="6592">
          <cell r="A6592" t="str">
            <v>PEE-040-32310-RX</v>
          </cell>
          <cell r="G6592" t="str">
            <v xml:space="preserve">CR   </v>
          </cell>
          <cell r="L6592">
            <v>38811</v>
          </cell>
          <cell r="M6592">
            <v>3.085</v>
          </cell>
          <cell r="P6592">
            <v>5.0199999999999996</v>
          </cell>
        </row>
        <row r="6593">
          <cell r="A6593" t="str">
            <v>PEE-040-32311-MX</v>
          </cell>
          <cell r="G6593" t="str">
            <v>INDEV</v>
          </cell>
          <cell r="L6593">
            <v>40736</v>
          </cell>
          <cell r="M6593">
            <v>4.1500000000000004</v>
          </cell>
          <cell r="P6593">
            <v>4.5299999999999994</v>
          </cell>
        </row>
        <row r="6594">
          <cell r="A6594" t="str">
            <v>PEE-040-32315-MX</v>
          </cell>
          <cell r="G6594" t="str">
            <v xml:space="preserve">CR   </v>
          </cell>
          <cell r="L6594">
            <v>38624</v>
          </cell>
          <cell r="M6594">
            <v>2.915</v>
          </cell>
          <cell r="P6594">
            <v>12.628</v>
          </cell>
        </row>
        <row r="6595">
          <cell r="A6595" t="str">
            <v>PEE-040-33011</v>
          </cell>
          <cell r="G6595" t="str">
            <v xml:space="preserve">CR   </v>
          </cell>
          <cell r="L6595">
            <v>38624</v>
          </cell>
          <cell r="M6595">
            <v>2.915</v>
          </cell>
          <cell r="P6595">
            <v>7.8514999999999997</v>
          </cell>
        </row>
        <row r="6596">
          <cell r="A6596" t="str">
            <v>PEE-040-33015</v>
          </cell>
          <cell r="G6596" t="str">
            <v xml:space="preserve">CR   </v>
          </cell>
          <cell r="L6596">
            <v>38624</v>
          </cell>
          <cell r="M6596">
            <v>2.915</v>
          </cell>
          <cell r="P6596">
            <v>10.670199999999999</v>
          </cell>
        </row>
        <row r="6597">
          <cell r="A6597" t="str">
            <v>PEE-040-3308</v>
          </cell>
          <cell r="G6597" t="str">
            <v>INDEV</v>
          </cell>
          <cell r="L6597">
            <v>39265</v>
          </cell>
          <cell r="M6597">
            <v>3.093</v>
          </cell>
          <cell r="P6597">
            <v>7.6244422890397674</v>
          </cell>
        </row>
        <row r="6598">
          <cell r="A6598" t="str">
            <v>PEE-040-3309</v>
          </cell>
          <cell r="G6598" t="str">
            <v>INDEV</v>
          </cell>
          <cell r="L6598">
            <v>41288</v>
          </cell>
          <cell r="M6598">
            <v>4.95</v>
          </cell>
          <cell r="P6598">
            <v>6.1111111111111107</v>
          </cell>
        </row>
        <row r="6599">
          <cell r="A6599" t="str">
            <v>PEE-040-33117</v>
          </cell>
          <cell r="G6599" t="str">
            <v xml:space="preserve">CR   </v>
          </cell>
          <cell r="L6599">
            <v>38624</v>
          </cell>
          <cell r="M6599">
            <v>2.915</v>
          </cell>
          <cell r="P6599">
            <v>15.590199999999999</v>
          </cell>
        </row>
        <row r="6600">
          <cell r="A6600" t="str">
            <v>PEE-040-33205-X</v>
          </cell>
          <cell r="G6600" t="str">
            <v xml:space="preserve">CR   </v>
          </cell>
          <cell r="L6600">
            <v>38624</v>
          </cell>
          <cell r="M6600">
            <v>2.915</v>
          </cell>
          <cell r="P6600">
            <v>2.1421999999999999</v>
          </cell>
        </row>
        <row r="6601">
          <cell r="A6601" t="str">
            <v>PEE-040-33208</v>
          </cell>
          <cell r="G6601" t="str">
            <v xml:space="preserve">CR   </v>
          </cell>
          <cell r="L6601">
            <v>38624</v>
          </cell>
          <cell r="M6601">
            <v>2.915</v>
          </cell>
          <cell r="P6601">
            <v>8.0359999999999996</v>
          </cell>
        </row>
        <row r="6602">
          <cell r="A6602" t="str">
            <v>PEE-040-33213</v>
          </cell>
          <cell r="G6602" t="str">
            <v xml:space="preserve">CR   </v>
          </cell>
          <cell r="L6602">
            <v>38624</v>
          </cell>
          <cell r="M6602">
            <v>2.915</v>
          </cell>
          <cell r="P6602">
            <v>9.2865000000000002</v>
          </cell>
        </row>
        <row r="6603">
          <cell r="A6603" t="str">
            <v>PEE-040-33215</v>
          </cell>
          <cell r="G6603" t="str">
            <v xml:space="preserve">CR   </v>
          </cell>
          <cell r="L6603">
            <v>38624</v>
          </cell>
          <cell r="M6603">
            <v>2.915</v>
          </cell>
          <cell r="P6603">
            <v>11.726000000000001</v>
          </cell>
        </row>
        <row r="6604">
          <cell r="A6604" t="str">
            <v>PEE-040-3490-3420</v>
          </cell>
          <cell r="G6604" t="str">
            <v>IPFAB</v>
          </cell>
          <cell r="L6604">
            <v>38712</v>
          </cell>
          <cell r="M6604">
            <v>3.0230000000000001</v>
          </cell>
          <cell r="P6604">
            <v>2.4750000000000001</v>
          </cell>
        </row>
        <row r="6605">
          <cell r="A6605" t="str">
            <v>PEE-040-36889</v>
          </cell>
          <cell r="G6605" t="str">
            <v>IDESP</v>
          </cell>
          <cell r="L6605">
            <v>38923</v>
          </cell>
          <cell r="M6605">
            <v>3.08</v>
          </cell>
          <cell r="P6605">
            <v>1</v>
          </cell>
        </row>
        <row r="6606">
          <cell r="A6606" t="str">
            <v>PEE-040-4T-320-32X</v>
          </cell>
          <cell r="G6606" t="str">
            <v xml:space="preserve">INAC </v>
          </cell>
          <cell r="L6606">
            <v>38372</v>
          </cell>
          <cell r="M6606">
            <v>2.9430000000000001</v>
          </cell>
          <cell r="P6606">
            <v>2.9799524294937139</v>
          </cell>
        </row>
        <row r="6607">
          <cell r="A6607" t="str">
            <v>PEE-040-5/16-G-10</v>
          </cell>
          <cell r="G6607" t="str">
            <v xml:space="preserve">CR   </v>
          </cell>
          <cell r="L6607">
            <v>38811</v>
          </cell>
          <cell r="M6607">
            <v>3.085</v>
          </cell>
          <cell r="P6607">
            <v>7.1000000000000004E-3</v>
          </cell>
        </row>
        <row r="6608">
          <cell r="A6608" t="str">
            <v>PEE-040-51101</v>
          </cell>
          <cell r="G6608" t="str">
            <v xml:space="preserve">CR   </v>
          </cell>
          <cell r="L6608">
            <v>38811</v>
          </cell>
          <cell r="M6608">
            <v>3.085</v>
          </cell>
          <cell r="P6608">
            <v>0.37369999999999998</v>
          </cell>
        </row>
        <row r="6609">
          <cell r="A6609" t="str">
            <v>PEE-040-51103</v>
          </cell>
          <cell r="G6609" t="str">
            <v xml:space="preserve">CR   </v>
          </cell>
          <cell r="L6609">
            <v>38811</v>
          </cell>
          <cell r="M6609">
            <v>3.085</v>
          </cell>
          <cell r="P6609">
            <v>0.33229999999999998</v>
          </cell>
        </row>
        <row r="6610">
          <cell r="A6610" t="str">
            <v>PEE-040-51104</v>
          </cell>
          <cell r="G6610" t="str">
            <v>INDEV</v>
          </cell>
          <cell r="L6610">
            <v>41194</v>
          </cell>
          <cell r="M6610">
            <v>4.7300000000000004</v>
          </cell>
          <cell r="P6610">
            <v>2.2938689217758981</v>
          </cell>
        </row>
        <row r="6611">
          <cell r="A6611" t="str">
            <v>PEE-040-51105</v>
          </cell>
          <cell r="G6611" t="str">
            <v xml:space="preserve">CR   </v>
          </cell>
          <cell r="L6611">
            <v>38811</v>
          </cell>
          <cell r="M6611">
            <v>3.085</v>
          </cell>
          <cell r="P6611">
            <v>0.41470000000000001</v>
          </cell>
        </row>
        <row r="6612">
          <cell r="A6612" t="str">
            <v>PEE-040-51106</v>
          </cell>
          <cell r="G6612" t="str">
            <v xml:space="preserve">CR   </v>
          </cell>
          <cell r="L6612">
            <v>38811</v>
          </cell>
          <cell r="M6612">
            <v>3.085</v>
          </cell>
          <cell r="P6612">
            <v>0.51729999999999998</v>
          </cell>
        </row>
        <row r="6613">
          <cell r="A6613" t="str">
            <v>PEE-040-51107</v>
          </cell>
          <cell r="G6613" t="str">
            <v xml:space="preserve">CR   </v>
          </cell>
          <cell r="L6613">
            <v>38811</v>
          </cell>
          <cell r="M6613">
            <v>3.085</v>
          </cell>
          <cell r="P6613">
            <v>0.85560000000000003</v>
          </cell>
        </row>
        <row r="6614">
          <cell r="A6614" t="str">
            <v>PEE-040-51108</v>
          </cell>
          <cell r="G6614" t="str">
            <v xml:space="preserve">CR   </v>
          </cell>
          <cell r="L6614">
            <v>38811</v>
          </cell>
          <cell r="M6614">
            <v>3.085</v>
          </cell>
          <cell r="P6614">
            <v>0.75609999999999999</v>
          </cell>
        </row>
        <row r="6615">
          <cell r="A6615" t="str">
            <v>PEE-040-51109</v>
          </cell>
          <cell r="G6615" t="str">
            <v xml:space="preserve">CR   </v>
          </cell>
          <cell r="L6615">
            <v>38811</v>
          </cell>
          <cell r="M6615">
            <v>3.085</v>
          </cell>
          <cell r="P6615">
            <v>1.5755999999999999</v>
          </cell>
        </row>
        <row r="6616">
          <cell r="A6616" t="str">
            <v>PEE-040-51109-M</v>
          </cell>
          <cell r="G6616" t="str">
            <v>IPFAB</v>
          </cell>
          <cell r="L6616">
            <v>38776</v>
          </cell>
          <cell r="M6616">
            <v>3.0750000000000002</v>
          </cell>
          <cell r="P6616">
            <v>1.397</v>
          </cell>
        </row>
        <row r="6617">
          <cell r="A6617" t="str">
            <v>PEE-040-51110</v>
          </cell>
          <cell r="G6617" t="str">
            <v>IDESP</v>
          </cell>
          <cell r="L6617">
            <v>39343</v>
          </cell>
          <cell r="M6617">
            <v>3.1349999999999998</v>
          </cell>
          <cell r="P6617">
            <v>0.95</v>
          </cell>
        </row>
        <row r="6618">
          <cell r="A6618" t="str">
            <v>PEE-040-51111</v>
          </cell>
          <cell r="G6618" t="str">
            <v xml:space="preserve">CR   </v>
          </cell>
          <cell r="L6618">
            <v>38624</v>
          </cell>
          <cell r="M6618">
            <v>2.915</v>
          </cell>
          <cell r="P6618">
            <v>1.3837999999999999</v>
          </cell>
        </row>
        <row r="6619">
          <cell r="A6619" t="str">
            <v>PEE-040-51112</v>
          </cell>
          <cell r="G6619" t="str">
            <v>IPFAB</v>
          </cell>
          <cell r="L6619">
            <v>40043</v>
          </cell>
          <cell r="M6619">
            <v>3.85</v>
          </cell>
          <cell r="P6619">
            <v>1.3792</v>
          </cell>
        </row>
        <row r="6620">
          <cell r="A6620" t="str">
            <v>PEE-040-51113</v>
          </cell>
          <cell r="G6620" t="str">
            <v xml:space="preserve">CR   </v>
          </cell>
          <cell r="L6620">
            <v>38811</v>
          </cell>
          <cell r="M6620">
            <v>3.085</v>
          </cell>
          <cell r="P6620">
            <v>2.7483</v>
          </cell>
        </row>
        <row r="6621">
          <cell r="A6621" t="str">
            <v>PEE-040-51114</v>
          </cell>
          <cell r="G6621" t="str">
            <v>IDESP</v>
          </cell>
          <cell r="L6621">
            <v>39575</v>
          </cell>
          <cell r="M6621">
            <v>3.177</v>
          </cell>
          <cell r="P6621">
            <v>2.1800000000000002</v>
          </cell>
        </row>
        <row r="6622">
          <cell r="A6622" t="str">
            <v>PEE-040-51115</v>
          </cell>
          <cell r="G6622" t="str">
            <v>IPFAB</v>
          </cell>
          <cell r="L6622">
            <v>40007</v>
          </cell>
          <cell r="M6622">
            <v>3.82</v>
          </cell>
          <cell r="P6622">
            <v>2.08</v>
          </cell>
        </row>
        <row r="6623">
          <cell r="A6623" t="str">
            <v>PEE-040-51115-M</v>
          </cell>
          <cell r="G6623" t="str">
            <v>IPFAB</v>
          </cell>
          <cell r="L6623">
            <v>39160</v>
          </cell>
          <cell r="M6623">
            <v>3.101</v>
          </cell>
          <cell r="P6623">
            <v>2.383</v>
          </cell>
        </row>
        <row r="6624">
          <cell r="A6624" t="str">
            <v>PEE-040-51117</v>
          </cell>
          <cell r="G6624" t="str">
            <v xml:space="preserve">CR   </v>
          </cell>
          <cell r="L6624">
            <v>38624</v>
          </cell>
          <cell r="M6624">
            <v>2.915</v>
          </cell>
          <cell r="P6624">
            <v>2.9826999999999999</v>
          </cell>
        </row>
        <row r="6625">
          <cell r="A6625" t="str">
            <v>PEE-040-51118</v>
          </cell>
          <cell r="G6625" t="str">
            <v xml:space="preserve">CR   </v>
          </cell>
          <cell r="L6625">
            <v>38811</v>
          </cell>
          <cell r="M6625">
            <v>3.085</v>
          </cell>
          <cell r="P6625">
            <v>3.9605000000000001</v>
          </cell>
        </row>
        <row r="6626">
          <cell r="A6626" t="str">
            <v>PEE-040-51206</v>
          </cell>
          <cell r="G6626" t="str">
            <v>INDEV</v>
          </cell>
          <cell r="L6626">
            <v>40267</v>
          </cell>
          <cell r="M6626">
            <v>3.89</v>
          </cell>
          <cell r="P6626">
            <v>1.0628020565552698</v>
          </cell>
        </row>
        <row r="6627">
          <cell r="A6627" t="str">
            <v>PEE-040-51207</v>
          </cell>
          <cell r="G6627" t="str">
            <v xml:space="preserve">CR   </v>
          </cell>
          <cell r="L6627">
            <v>38811</v>
          </cell>
          <cell r="M6627">
            <v>3.085</v>
          </cell>
          <cell r="P6627">
            <v>0.93630000000000002</v>
          </cell>
        </row>
        <row r="6628">
          <cell r="A6628" t="str">
            <v>PEE-040-51208</v>
          </cell>
          <cell r="G6628" t="str">
            <v xml:space="preserve">CR   </v>
          </cell>
          <cell r="L6628">
            <v>38811</v>
          </cell>
          <cell r="M6628">
            <v>3.085</v>
          </cell>
          <cell r="P6628">
            <v>2.0348999999999999</v>
          </cell>
        </row>
        <row r="6629">
          <cell r="A6629" t="str">
            <v>PEE-040-51209</v>
          </cell>
          <cell r="G6629" t="str">
            <v xml:space="preserve">CR   </v>
          </cell>
          <cell r="L6629">
            <v>38624</v>
          </cell>
          <cell r="M6629">
            <v>2.915</v>
          </cell>
          <cell r="P6629">
            <v>1.9475</v>
          </cell>
        </row>
        <row r="6630">
          <cell r="A6630" t="str">
            <v>PEE-040-51210</v>
          </cell>
          <cell r="G6630" t="str">
            <v xml:space="preserve">CR   </v>
          </cell>
          <cell r="L6630">
            <v>38811</v>
          </cell>
          <cell r="M6630">
            <v>3.085</v>
          </cell>
          <cell r="P6630">
            <v>1.5697000000000001</v>
          </cell>
        </row>
        <row r="6631">
          <cell r="A6631" t="str">
            <v>PEE-040-51211</v>
          </cell>
          <cell r="G6631" t="str">
            <v xml:space="preserve">CR   </v>
          </cell>
          <cell r="L6631">
            <v>38811</v>
          </cell>
          <cell r="M6631">
            <v>3.085</v>
          </cell>
          <cell r="P6631">
            <v>3.3222</v>
          </cell>
        </row>
        <row r="6632">
          <cell r="A6632" t="str">
            <v>PEE-040-51212</v>
          </cell>
          <cell r="G6632" t="str">
            <v xml:space="preserve">CR   </v>
          </cell>
          <cell r="L6632">
            <v>38811</v>
          </cell>
          <cell r="M6632">
            <v>3.085</v>
          </cell>
          <cell r="P6632">
            <v>2.4371999999999998</v>
          </cell>
        </row>
        <row r="6633">
          <cell r="A6633" t="str">
            <v>PEE-040-51217</v>
          </cell>
          <cell r="G6633" t="str">
            <v xml:space="preserve">CR   </v>
          </cell>
          <cell r="L6633">
            <v>38811</v>
          </cell>
          <cell r="M6633">
            <v>3.085</v>
          </cell>
          <cell r="P6633">
            <v>4.6978999999999997</v>
          </cell>
        </row>
        <row r="6634">
          <cell r="A6634" t="str">
            <v>PEE-040-51305</v>
          </cell>
          <cell r="G6634" t="str">
            <v xml:space="preserve">CR   </v>
          </cell>
          <cell r="L6634">
            <v>38811</v>
          </cell>
          <cell r="M6634">
            <v>3.085</v>
          </cell>
          <cell r="P6634">
            <v>1.2121</v>
          </cell>
        </row>
        <row r="6635">
          <cell r="A6635" t="str">
            <v>PEE-040-5201-2RST</v>
          </cell>
          <cell r="G6635" t="str">
            <v xml:space="preserve">CR   </v>
          </cell>
          <cell r="L6635">
            <v>38811</v>
          </cell>
          <cell r="M6635">
            <v>3.085</v>
          </cell>
          <cell r="P6635">
            <v>2.6879</v>
          </cell>
        </row>
        <row r="6636">
          <cell r="A6636" t="str">
            <v>PEE-040-5204</v>
          </cell>
          <cell r="G6636" t="str">
            <v xml:space="preserve">CR   </v>
          </cell>
          <cell r="L6636">
            <v>38624</v>
          </cell>
          <cell r="M6636">
            <v>2.915</v>
          </cell>
          <cell r="P6636">
            <v>2.2652999999999999</v>
          </cell>
        </row>
        <row r="6637">
          <cell r="A6637" t="str">
            <v>PEE-040-5204-2RST</v>
          </cell>
          <cell r="G6637" t="str">
            <v xml:space="preserve">INSI </v>
          </cell>
          <cell r="L6637">
            <v>41856</v>
          </cell>
          <cell r="M6637">
            <v>8.24</v>
          </cell>
          <cell r="P6637">
            <v>1.3325</v>
          </cell>
        </row>
        <row r="6638">
          <cell r="A6638" t="str">
            <v>PEE-040-5205-2RST</v>
          </cell>
          <cell r="G6638" t="str">
            <v>INDEV</v>
          </cell>
          <cell r="L6638">
            <v>40081</v>
          </cell>
          <cell r="M6638">
            <v>3.85</v>
          </cell>
          <cell r="P6638">
            <v>2.4</v>
          </cell>
        </row>
        <row r="6639">
          <cell r="A6639" t="str">
            <v>PEE-040-5206</v>
          </cell>
          <cell r="G6639" t="str">
            <v xml:space="preserve">CR   </v>
          </cell>
          <cell r="L6639">
            <v>38811</v>
          </cell>
          <cell r="M6639">
            <v>3.085</v>
          </cell>
          <cell r="P6639">
            <v>3.3523000000000001</v>
          </cell>
        </row>
        <row r="6640">
          <cell r="A6640" t="str">
            <v>PEE-040-5206-2RST</v>
          </cell>
          <cell r="G6640" t="str">
            <v>IDESP</v>
          </cell>
          <cell r="L6640">
            <v>39337</v>
          </cell>
          <cell r="M6640">
            <v>3.1469999999999998</v>
          </cell>
          <cell r="P6640">
            <v>3.51</v>
          </cell>
        </row>
        <row r="6641">
          <cell r="A6641" t="str">
            <v>PEE-040-5207-2RS</v>
          </cell>
          <cell r="G6641" t="str">
            <v xml:space="preserve">CR   </v>
          </cell>
          <cell r="L6641">
            <v>38811</v>
          </cell>
          <cell r="M6641">
            <v>3.085</v>
          </cell>
          <cell r="P6641">
            <v>4.7868000000000004</v>
          </cell>
        </row>
        <row r="6642">
          <cell r="A6642" t="str">
            <v>PEE-040-5209</v>
          </cell>
          <cell r="G6642" t="str">
            <v xml:space="preserve">CR   </v>
          </cell>
          <cell r="L6642">
            <v>38811</v>
          </cell>
          <cell r="M6642">
            <v>3.085</v>
          </cell>
          <cell r="P6642">
            <v>3.7948</v>
          </cell>
        </row>
        <row r="6643">
          <cell r="A6643" t="str">
            <v>PEE-040-5210</v>
          </cell>
          <cell r="G6643" t="str">
            <v>IPFAB</v>
          </cell>
          <cell r="L6643">
            <v>40126</v>
          </cell>
          <cell r="M6643">
            <v>3.83</v>
          </cell>
          <cell r="P6643">
            <v>5.7584</v>
          </cell>
        </row>
        <row r="6644">
          <cell r="A6644" t="str">
            <v>PEE-040-5210-2RSTC3</v>
          </cell>
          <cell r="G6644" t="str">
            <v xml:space="preserve">CR   </v>
          </cell>
          <cell r="L6644">
            <v>38811</v>
          </cell>
          <cell r="M6644">
            <v>3.085</v>
          </cell>
          <cell r="P6644">
            <v>6.9494999999999996</v>
          </cell>
        </row>
        <row r="6645">
          <cell r="A6645" t="str">
            <v>PEE-040-5211-2RSTC3</v>
          </cell>
          <cell r="G6645" t="str">
            <v xml:space="preserve">CR   </v>
          </cell>
          <cell r="L6645">
            <v>38811</v>
          </cell>
          <cell r="M6645">
            <v>3.085</v>
          </cell>
          <cell r="P6645">
            <v>7.9512999999999998</v>
          </cell>
        </row>
        <row r="6646">
          <cell r="A6646" t="str">
            <v>PEE-040-5304</v>
          </cell>
          <cell r="G6646" t="str">
            <v xml:space="preserve">CR   </v>
          </cell>
          <cell r="L6646">
            <v>38811</v>
          </cell>
          <cell r="M6646">
            <v>3.085</v>
          </cell>
          <cell r="P6646">
            <v>2.5009999999999999</v>
          </cell>
        </row>
        <row r="6647">
          <cell r="A6647" t="str">
            <v>PEE-040-5304-2RST</v>
          </cell>
          <cell r="G6647" t="str">
            <v xml:space="preserve">CR   </v>
          </cell>
          <cell r="L6647">
            <v>38624</v>
          </cell>
          <cell r="M6647">
            <v>2.915</v>
          </cell>
          <cell r="P6647">
            <v>2.6137000000000001</v>
          </cell>
        </row>
        <row r="6648">
          <cell r="A6648" t="str">
            <v>PEE-040-5304-C3</v>
          </cell>
          <cell r="G6648" t="str">
            <v xml:space="preserve">CR   </v>
          </cell>
          <cell r="L6648">
            <v>38811</v>
          </cell>
          <cell r="M6648">
            <v>3.085</v>
          </cell>
          <cell r="P6648">
            <v>2.6274999999999999</v>
          </cell>
        </row>
        <row r="6649">
          <cell r="A6649" t="str">
            <v>PEE-040-5305-2RS</v>
          </cell>
          <cell r="G6649" t="str">
            <v xml:space="preserve">CR   </v>
          </cell>
          <cell r="L6649">
            <v>38624</v>
          </cell>
          <cell r="M6649">
            <v>2.915</v>
          </cell>
          <cell r="P6649">
            <v>3.8744999999999998</v>
          </cell>
        </row>
        <row r="6650">
          <cell r="A6650" t="str">
            <v>PEE-040-5307-2RS</v>
          </cell>
          <cell r="G6650" t="str">
            <v xml:space="preserve">CR   </v>
          </cell>
          <cell r="L6650">
            <v>38624</v>
          </cell>
          <cell r="M6650">
            <v>2.915</v>
          </cell>
          <cell r="P6650">
            <v>5.8323</v>
          </cell>
        </row>
        <row r="6651">
          <cell r="A6651" t="str">
            <v>PEE-040-5307-2RS-NR</v>
          </cell>
          <cell r="G6651" t="str">
            <v xml:space="preserve">INSI </v>
          </cell>
          <cell r="L6651">
            <v>37819</v>
          </cell>
          <cell r="M6651">
            <v>2.78</v>
          </cell>
          <cell r="P6651">
            <v>6.68</v>
          </cell>
        </row>
        <row r="6652">
          <cell r="A6652" t="str">
            <v>PEE-040-5307-2RSC3</v>
          </cell>
          <cell r="G6652" t="str">
            <v xml:space="preserve">CR   </v>
          </cell>
          <cell r="L6652">
            <v>38811</v>
          </cell>
          <cell r="M6652">
            <v>3.085</v>
          </cell>
          <cell r="P6652">
            <v>6.7248999999999999</v>
          </cell>
        </row>
        <row r="6653">
          <cell r="A6653" t="str">
            <v>PEE-040-5307-NR</v>
          </cell>
          <cell r="G6653" t="str">
            <v xml:space="preserve">INSI </v>
          </cell>
          <cell r="L6653">
            <v>39513</v>
          </cell>
          <cell r="M6653">
            <v>3.1520000000000001</v>
          </cell>
          <cell r="P6653">
            <v>6.5938999999999997</v>
          </cell>
        </row>
        <row r="6654">
          <cell r="A6654" t="str">
            <v>PEE-040-6000-2RLD</v>
          </cell>
          <cell r="G6654" t="str">
            <v xml:space="preserve">CR   </v>
          </cell>
          <cell r="L6654">
            <v>38624</v>
          </cell>
          <cell r="M6654">
            <v>2.915</v>
          </cell>
          <cell r="P6654">
            <v>0.54330000000000001</v>
          </cell>
        </row>
        <row r="6655">
          <cell r="A6655" t="str">
            <v>PEE-040-6000-DDC3</v>
          </cell>
          <cell r="G6655" t="str">
            <v xml:space="preserve">CR   </v>
          </cell>
          <cell r="L6655">
            <v>38624</v>
          </cell>
          <cell r="M6655">
            <v>2.915</v>
          </cell>
          <cell r="P6655">
            <v>1.1274999999999999</v>
          </cell>
        </row>
        <row r="6656">
          <cell r="A6656" t="str">
            <v>PEE-040-6001</v>
          </cell>
          <cell r="G6656" t="str">
            <v xml:space="preserve">CR   </v>
          </cell>
          <cell r="L6656">
            <v>38624</v>
          </cell>
          <cell r="M6656">
            <v>2.915</v>
          </cell>
          <cell r="P6656">
            <v>0.44080000000000003</v>
          </cell>
        </row>
        <row r="6657">
          <cell r="A6657" t="str">
            <v>PEE-040-6001-2RS*</v>
          </cell>
          <cell r="G6657" t="str">
            <v>INDEV</v>
          </cell>
          <cell r="L6657">
            <v>38817</v>
          </cell>
          <cell r="M6657">
            <v>3.081</v>
          </cell>
          <cell r="P6657">
            <v>0.52706913339824735</v>
          </cell>
        </row>
        <row r="6658">
          <cell r="A6658" t="str">
            <v>PEE-040-6002-2Z</v>
          </cell>
          <cell r="G6658" t="str">
            <v xml:space="preserve">CR   </v>
          </cell>
          <cell r="L6658">
            <v>40428.376423611109</v>
          </cell>
          <cell r="M6658">
            <v>3.97</v>
          </cell>
          <cell r="P6658">
            <v>0.45400000000000001</v>
          </cell>
        </row>
        <row r="6659">
          <cell r="A6659" t="str">
            <v>PEE-040-6002-LLC3</v>
          </cell>
          <cell r="G6659" t="str">
            <v xml:space="preserve">CR   </v>
          </cell>
          <cell r="L6659">
            <v>38811</v>
          </cell>
          <cell r="M6659">
            <v>3.085</v>
          </cell>
          <cell r="P6659">
            <v>0.6</v>
          </cell>
        </row>
        <row r="6660">
          <cell r="A6660" t="str">
            <v>PEE-040-6002-LLRU</v>
          </cell>
          <cell r="G6660" t="str">
            <v>INDEV</v>
          </cell>
          <cell r="L6660">
            <v>41057</v>
          </cell>
          <cell r="M6660">
            <v>4.49</v>
          </cell>
          <cell r="P6660">
            <v>0.33100222717149219</v>
          </cell>
        </row>
        <row r="6661">
          <cell r="A6661" t="str">
            <v>PEE-040-6003-2RLD</v>
          </cell>
          <cell r="G6661" t="str">
            <v xml:space="preserve">CR   </v>
          </cell>
          <cell r="L6661">
            <v>40428.376423611109</v>
          </cell>
          <cell r="M6661">
            <v>3.97</v>
          </cell>
          <cell r="P6661">
            <v>0.63700000000000001</v>
          </cell>
        </row>
        <row r="6662">
          <cell r="A6662" t="str">
            <v>PEE-040-6003-LLC3</v>
          </cell>
          <cell r="G6662" t="str">
            <v xml:space="preserve">CR   </v>
          </cell>
          <cell r="L6662">
            <v>38624</v>
          </cell>
          <cell r="M6662">
            <v>2.915</v>
          </cell>
          <cell r="P6662">
            <v>0.50229999999999997</v>
          </cell>
        </row>
        <row r="6663">
          <cell r="A6663" t="str">
            <v>PEE-040-6004-2RLD</v>
          </cell>
          <cell r="G6663" t="str">
            <v>IPFAB</v>
          </cell>
          <cell r="L6663">
            <v>39916</v>
          </cell>
          <cell r="M6663">
            <v>3.677</v>
          </cell>
          <cell r="P6663">
            <v>0.57399999999999995</v>
          </cell>
        </row>
        <row r="6664">
          <cell r="A6664" t="str">
            <v>PEE-040-6004-2Z</v>
          </cell>
          <cell r="G6664" t="str">
            <v xml:space="preserve">CR   </v>
          </cell>
          <cell r="L6664">
            <v>38624</v>
          </cell>
          <cell r="M6664">
            <v>2.915</v>
          </cell>
          <cell r="P6664">
            <v>0.63549999999999995</v>
          </cell>
        </row>
        <row r="6665">
          <cell r="A6665" t="str">
            <v>PEE-040-6004-LLC3</v>
          </cell>
          <cell r="G6665" t="str">
            <v xml:space="preserve">CR   </v>
          </cell>
          <cell r="L6665">
            <v>38624</v>
          </cell>
          <cell r="M6665">
            <v>2.915</v>
          </cell>
          <cell r="P6665">
            <v>0.57399999999999995</v>
          </cell>
        </row>
        <row r="6666">
          <cell r="A6666" t="str">
            <v>PEE-040-6005-2RS</v>
          </cell>
          <cell r="G6666" t="str">
            <v>INIMP</v>
          </cell>
          <cell r="L6666">
            <v>39175</v>
          </cell>
          <cell r="M6666">
            <v>3.1</v>
          </cell>
          <cell r="P6666">
            <v>0.62</v>
          </cell>
        </row>
        <row r="6667">
          <cell r="A6667" t="str">
            <v>PEE-040-6005-2RS-C3</v>
          </cell>
          <cell r="G6667" t="str">
            <v>INIMP</v>
          </cell>
          <cell r="L6667">
            <v>39175</v>
          </cell>
          <cell r="M6667">
            <v>3.1</v>
          </cell>
          <cell r="P6667">
            <v>0.62</v>
          </cell>
        </row>
        <row r="6668">
          <cell r="A6668" t="str">
            <v>PEE-040-6005-D-C3</v>
          </cell>
          <cell r="G6668" t="str">
            <v>IPFAB</v>
          </cell>
          <cell r="L6668">
            <v>41886</v>
          </cell>
          <cell r="M6668">
            <v>8.41</v>
          </cell>
          <cell r="P6668">
            <v>0.40389999999999998</v>
          </cell>
        </row>
        <row r="6669">
          <cell r="A6669" t="str">
            <v>PEE-040-6005-LLC3</v>
          </cell>
          <cell r="G6669" t="str">
            <v xml:space="preserve">CR   </v>
          </cell>
          <cell r="L6669">
            <v>38624</v>
          </cell>
          <cell r="M6669">
            <v>2.915</v>
          </cell>
          <cell r="P6669">
            <v>0.76870000000000005</v>
          </cell>
        </row>
        <row r="6670">
          <cell r="A6670" t="str">
            <v>PEE-040-6006-LLRC</v>
          </cell>
          <cell r="G6670" t="str">
            <v xml:space="preserve">CR   </v>
          </cell>
          <cell r="L6670">
            <v>37981</v>
          </cell>
          <cell r="M6670">
            <v>2.96</v>
          </cell>
          <cell r="P6670">
            <v>1.06</v>
          </cell>
        </row>
        <row r="6671">
          <cell r="A6671" t="str">
            <v>PEE-040-6007-2RLD</v>
          </cell>
          <cell r="G6671" t="str">
            <v xml:space="preserve">CR   </v>
          </cell>
          <cell r="L6671">
            <v>38624</v>
          </cell>
          <cell r="M6671">
            <v>2.915</v>
          </cell>
          <cell r="P6671">
            <v>1.3325</v>
          </cell>
        </row>
        <row r="6672">
          <cell r="A6672" t="str">
            <v>PEE-040-6007-LLR3</v>
          </cell>
          <cell r="G6672" t="str">
            <v xml:space="preserve">CR   </v>
          </cell>
          <cell r="L6672">
            <v>38624</v>
          </cell>
          <cell r="M6672">
            <v>2.915</v>
          </cell>
          <cell r="P6672">
            <v>1.3325</v>
          </cell>
        </row>
        <row r="6673">
          <cell r="A6673" t="str">
            <v>PEE-040-6008</v>
          </cell>
          <cell r="G6673" t="str">
            <v xml:space="preserve">CR   </v>
          </cell>
          <cell r="L6673">
            <v>41144.46875</v>
          </cell>
          <cell r="M6673">
            <v>4.63</v>
          </cell>
          <cell r="P6673">
            <v>1.107</v>
          </cell>
        </row>
        <row r="6674">
          <cell r="A6674" t="str">
            <v>PEE-040-6008-2Z</v>
          </cell>
          <cell r="G6674" t="str">
            <v xml:space="preserve">CR   </v>
          </cell>
          <cell r="L6674">
            <v>40428.376423611109</v>
          </cell>
          <cell r="M6674">
            <v>3.97</v>
          </cell>
          <cell r="P6674">
            <v>1.7829999999999999</v>
          </cell>
        </row>
        <row r="6675">
          <cell r="A6675" t="str">
            <v>PEE-040-6008-LLC3</v>
          </cell>
          <cell r="G6675" t="str">
            <v xml:space="preserve">CR   </v>
          </cell>
          <cell r="L6675">
            <v>38811</v>
          </cell>
          <cell r="M6675">
            <v>3.085</v>
          </cell>
          <cell r="P6675">
            <v>0.01</v>
          </cell>
        </row>
        <row r="6676">
          <cell r="A6676" t="str">
            <v>PEE-040-6009-2RST</v>
          </cell>
          <cell r="G6676" t="str">
            <v xml:space="preserve">CR   </v>
          </cell>
          <cell r="L6676">
            <v>40428.376423611109</v>
          </cell>
          <cell r="M6676">
            <v>3.97</v>
          </cell>
          <cell r="P6676">
            <v>2.1480000000000001</v>
          </cell>
        </row>
        <row r="6677">
          <cell r="A6677" t="str">
            <v>PEE-040-6009-2Z</v>
          </cell>
          <cell r="G6677" t="str">
            <v xml:space="preserve">CR   </v>
          </cell>
          <cell r="L6677">
            <v>38624</v>
          </cell>
          <cell r="M6677">
            <v>2.915</v>
          </cell>
          <cell r="P6677">
            <v>1.8963000000000001</v>
          </cell>
        </row>
        <row r="6678">
          <cell r="A6678" t="str">
            <v>PEE-040-6010</v>
          </cell>
          <cell r="G6678" t="str">
            <v xml:space="preserve">CR   </v>
          </cell>
          <cell r="L6678">
            <v>40428.376423611109</v>
          </cell>
          <cell r="M6678">
            <v>3.97</v>
          </cell>
          <cell r="P6678">
            <v>2.0569999999999999</v>
          </cell>
        </row>
        <row r="6679">
          <cell r="A6679" t="str">
            <v>PEE-040-6010-2RLD-C3</v>
          </cell>
          <cell r="G6679" t="str">
            <v>IPFAB</v>
          </cell>
          <cell r="L6679">
            <v>39245</v>
          </cell>
          <cell r="M6679">
            <v>3.0750000000000002</v>
          </cell>
          <cell r="P6679">
            <v>2.3199999999999998</v>
          </cell>
        </row>
        <row r="6680">
          <cell r="A6680" t="str">
            <v>PEE-040-6010-2RST</v>
          </cell>
          <cell r="G6680" t="str">
            <v xml:space="preserve">CR   </v>
          </cell>
          <cell r="L6680">
            <v>37981</v>
          </cell>
          <cell r="M6680">
            <v>2.96</v>
          </cell>
          <cell r="P6680">
            <v>1.67</v>
          </cell>
        </row>
        <row r="6681">
          <cell r="A6681" t="str">
            <v>PEE-040-6010-LLRC</v>
          </cell>
          <cell r="G6681" t="str">
            <v xml:space="preserve">CR   </v>
          </cell>
          <cell r="L6681">
            <v>37981</v>
          </cell>
          <cell r="M6681">
            <v>2.96</v>
          </cell>
          <cell r="P6681">
            <v>2.13</v>
          </cell>
        </row>
        <row r="6682">
          <cell r="A6682" t="str">
            <v>PEE-040-6011</v>
          </cell>
          <cell r="G6682" t="str">
            <v xml:space="preserve">CR   </v>
          </cell>
          <cell r="L6682">
            <v>40428.376423611109</v>
          </cell>
          <cell r="M6682">
            <v>3.97</v>
          </cell>
          <cell r="P6682">
            <v>2.3090000000000002</v>
          </cell>
        </row>
        <row r="6683">
          <cell r="A6683" t="str">
            <v>PEE-040-6013-2RS</v>
          </cell>
          <cell r="G6683" t="str">
            <v xml:space="preserve">CR   </v>
          </cell>
          <cell r="L6683">
            <v>38624</v>
          </cell>
          <cell r="M6683">
            <v>2.915</v>
          </cell>
          <cell r="P6683">
            <v>3.8641999999999999</v>
          </cell>
        </row>
        <row r="6684">
          <cell r="A6684" t="str">
            <v>PEE-040-6014</v>
          </cell>
          <cell r="G6684" t="str">
            <v>IPFAP</v>
          </cell>
          <cell r="L6684">
            <v>42152</v>
          </cell>
          <cell r="M6684">
            <v>9.02</v>
          </cell>
          <cell r="P6684">
            <v>3.98</v>
          </cell>
        </row>
        <row r="6685">
          <cell r="A6685" t="str">
            <v>PEE-040-6014-2RLD</v>
          </cell>
          <cell r="G6685" t="str">
            <v xml:space="preserve">CR   </v>
          </cell>
          <cell r="L6685">
            <v>40428.376423611109</v>
          </cell>
          <cell r="M6685">
            <v>3.97</v>
          </cell>
          <cell r="P6685">
            <v>5.5780000000000003</v>
          </cell>
        </row>
        <row r="6686">
          <cell r="A6686" t="str">
            <v>PEE-040-6015</v>
          </cell>
          <cell r="G6686" t="str">
            <v xml:space="preserve">CR   </v>
          </cell>
          <cell r="L6686">
            <v>40428.376423611109</v>
          </cell>
          <cell r="M6686">
            <v>3.97</v>
          </cell>
          <cell r="P6686">
            <v>3.1459999999999999</v>
          </cell>
        </row>
        <row r="6687">
          <cell r="A6687" t="str">
            <v>PEE-040-6015-2RS</v>
          </cell>
          <cell r="G6687" t="str">
            <v xml:space="preserve">CR   </v>
          </cell>
          <cell r="L6687">
            <v>38811</v>
          </cell>
          <cell r="M6687">
            <v>3.085</v>
          </cell>
          <cell r="P6687">
            <v>4.7057000000000002</v>
          </cell>
        </row>
        <row r="6688">
          <cell r="A6688" t="str">
            <v>PEE-040-6015-LLU</v>
          </cell>
          <cell r="G6688" t="str">
            <v xml:space="preserve">CR   </v>
          </cell>
          <cell r="L6688">
            <v>38624</v>
          </cell>
          <cell r="M6688">
            <v>2.915</v>
          </cell>
          <cell r="P6688">
            <v>4.8483000000000001</v>
          </cell>
        </row>
        <row r="6689">
          <cell r="A6689" t="str">
            <v>PEE-040-6016-2RS</v>
          </cell>
          <cell r="G6689" t="str">
            <v xml:space="preserve">CR   </v>
          </cell>
          <cell r="L6689">
            <v>38624</v>
          </cell>
          <cell r="M6689">
            <v>2.915</v>
          </cell>
          <cell r="P6689">
            <v>5.7195</v>
          </cell>
        </row>
        <row r="6690">
          <cell r="A6690" t="str">
            <v>PEE-040-6016-LLU</v>
          </cell>
          <cell r="G6690" t="str">
            <v xml:space="preserve">CR   </v>
          </cell>
          <cell r="L6690">
            <v>38624</v>
          </cell>
          <cell r="M6690">
            <v>2.915</v>
          </cell>
          <cell r="P6690">
            <v>5.7195</v>
          </cell>
        </row>
        <row r="6691">
          <cell r="A6691" t="str">
            <v>PEE-040-6017-2RS</v>
          </cell>
          <cell r="G6691" t="str">
            <v xml:space="preserve">CR   </v>
          </cell>
          <cell r="L6691">
            <v>38624</v>
          </cell>
          <cell r="M6691">
            <v>2.915</v>
          </cell>
          <cell r="P6691">
            <v>6.1909999999999998</v>
          </cell>
        </row>
        <row r="6692">
          <cell r="A6692" t="str">
            <v>PEE-040-6018</v>
          </cell>
          <cell r="G6692" t="str">
            <v>INDEV</v>
          </cell>
          <cell r="L6692">
            <v>39771</v>
          </cell>
          <cell r="M6692">
            <v>3.3210000000000002</v>
          </cell>
          <cell r="P6692">
            <v>6.5859078590785902</v>
          </cell>
        </row>
        <row r="6693">
          <cell r="A6693" t="str">
            <v>PEE-040-6020</v>
          </cell>
          <cell r="G6693" t="str">
            <v xml:space="preserve">CR   </v>
          </cell>
          <cell r="L6693">
            <v>40428.376423611109</v>
          </cell>
          <cell r="M6693">
            <v>3.97</v>
          </cell>
          <cell r="P6693">
            <v>9.5890000000000004</v>
          </cell>
        </row>
        <row r="6694">
          <cell r="A6694" t="str">
            <v>PEE-040-6028</v>
          </cell>
          <cell r="G6694" t="str">
            <v xml:space="preserve">CR   </v>
          </cell>
          <cell r="L6694">
            <v>38624</v>
          </cell>
          <cell r="M6694">
            <v>2.915</v>
          </cell>
          <cell r="P6694">
            <v>29.120200000000001</v>
          </cell>
        </row>
        <row r="6695">
          <cell r="A6695" t="str">
            <v>PEE-040-608-2RLD</v>
          </cell>
          <cell r="G6695" t="str">
            <v>INDEV</v>
          </cell>
          <cell r="L6695">
            <v>39415</v>
          </cell>
          <cell r="M6695">
            <v>3.149</v>
          </cell>
          <cell r="P6695">
            <v>0.22105430295331852</v>
          </cell>
        </row>
        <row r="6696">
          <cell r="A6696" t="str">
            <v>PEE-040-608-2Z</v>
          </cell>
          <cell r="G6696" t="str">
            <v>INIMP</v>
          </cell>
          <cell r="L6696">
            <v>38651</v>
          </cell>
          <cell r="M6696">
            <v>2.988</v>
          </cell>
          <cell r="P6696">
            <v>0.18</v>
          </cell>
        </row>
        <row r="6697">
          <cell r="A6697" t="str">
            <v>PEE-040-615885</v>
          </cell>
          <cell r="G6697" t="str">
            <v>IDESP</v>
          </cell>
          <cell r="L6697">
            <v>38686</v>
          </cell>
          <cell r="M6697">
            <v>2.976</v>
          </cell>
          <cell r="P6697">
            <v>1</v>
          </cell>
        </row>
        <row r="6698">
          <cell r="A6698" t="str">
            <v>PEE-040-616054</v>
          </cell>
          <cell r="G6698" t="str">
            <v xml:space="preserve">CR   </v>
          </cell>
          <cell r="L6698">
            <v>38811</v>
          </cell>
          <cell r="M6698">
            <v>3.085</v>
          </cell>
          <cell r="P6698">
            <v>0.97650000000000003</v>
          </cell>
        </row>
        <row r="6699">
          <cell r="A6699" t="str">
            <v>PEE-040-618-7-ZZ</v>
          </cell>
          <cell r="G6699" t="str">
            <v xml:space="preserve">CR   </v>
          </cell>
          <cell r="L6699">
            <v>38624</v>
          </cell>
          <cell r="M6699">
            <v>2.915</v>
          </cell>
          <cell r="P6699">
            <v>0.87119999999999997</v>
          </cell>
        </row>
        <row r="6700">
          <cell r="A6700" t="str">
            <v>PEE-040-6200-2RLD</v>
          </cell>
          <cell r="G6700" t="str">
            <v>IDESP</v>
          </cell>
          <cell r="L6700">
            <v>39191</v>
          </cell>
          <cell r="M6700">
            <v>3.085</v>
          </cell>
          <cell r="P6700">
            <v>0.46</v>
          </cell>
        </row>
        <row r="6701">
          <cell r="A6701" t="str">
            <v>PEE-040-6200-LLZN</v>
          </cell>
          <cell r="G6701" t="str">
            <v xml:space="preserve">CR   </v>
          </cell>
          <cell r="L6701">
            <v>38624</v>
          </cell>
          <cell r="M6701">
            <v>2.915</v>
          </cell>
          <cell r="P6701">
            <v>0.60470000000000002</v>
          </cell>
        </row>
        <row r="6702">
          <cell r="A6702" t="str">
            <v>PEE-040-6200-ZN</v>
          </cell>
          <cell r="G6702" t="str">
            <v xml:space="preserve">CR   </v>
          </cell>
          <cell r="L6702">
            <v>40428.376423611109</v>
          </cell>
          <cell r="M6702">
            <v>3.97</v>
          </cell>
          <cell r="P6702">
            <v>0.47</v>
          </cell>
        </row>
        <row r="6703">
          <cell r="A6703" t="str">
            <v>PEE-040-6201-2RLD</v>
          </cell>
          <cell r="G6703" t="str">
            <v xml:space="preserve">INAC </v>
          </cell>
          <cell r="L6703">
            <v>41050</v>
          </cell>
          <cell r="M6703">
            <v>4.47</v>
          </cell>
          <cell r="P6703">
            <v>0.4840044742729307</v>
          </cell>
        </row>
        <row r="6704">
          <cell r="A6704" t="str">
            <v>PEE-040-6201-LLC3</v>
          </cell>
          <cell r="G6704" t="str">
            <v xml:space="preserve">CR   </v>
          </cell>
          <cell r="L6704">
            <v>38811</v>
          </cell>
          <cell r="M6704">
            <v>3.085</v>
          </cell>
          <cell r="P6704">
            <v>0.42780000000000001</v>
          </cell>
        </row>
        <row r="6705">
          <cell r="A6705" t="str">
            <v>PEE-040-6202</v>
          </cell>
          <cell r="G6705" t="str">
            <v xml:space="preserve">CR   </v>
          </cell>
          <cell r="L6705">
            <v>38624</v>
          </cell>
          <cell r="M6705">
            <v>2.915</v>
          </cell>
          <cell r="P6705">
            <v>0.36899999999999999</v>
          </cell>
        </row>
        <row r="6706">
          <cell r="A6706" t="str">
            <v>PEE-040-6202-2RLD</v>
          </cell>
          <cell r="G6706" t="str">
            <v xml:space="preserve">CR   </v>
          </cell>
          <cell r="L6706">
            <v>38624</v>
          </cell>
          <cell r="M6706">
            <v>2.915</v>
          </cell>
          <cell r="P6706">
            <v>0.44080000000000003</v>
          </cell>
        </row>
        <row r="6707">
          <cell r="A6707" t="str">
            <v>PEE-040-6202-2Z</v>
          </cell>
          <cell r="G6707" t="str">
            <v xml:space="preserve">CR   </v>
          </cell>
          <cell r="L6707">
            <v>37981</v>
          </cell>
          <cell r="M6707">
            <v>2.96</v>
          </cell>
          <cell r="P6707">
            <v>0.36</v>
          </cell>
        </row>
        <row r="6708">
          <cell r="A6708" t="str">
            <v>PEE-040-6202-2ZHT</v>
          </cell>
          <cell r="G6708" t="str">
            <v xml:space="preserve">CR   </v>
          </cell>
          <cell r="L6708">
            <v>38624</v>
          </cell>
          <cell r="M6708">
            <v>2.915</v>
          </cell>
          <cell r="P6708">
            <v>0.44080000000000003</v>
          </cell>
        </row>
        <row r="6709">
          <cell r="A6709" t="str">
            <v>PEE-040-6202-2ZR</v>
          </cell>
          <cell r="G6709" t="str">
            <v xml:space="preserve">CR   </v>
          </cell>
          <cell r="L6709">
            <v>38624</v>
          </cell>
          <cell r="M6709">
            <v>2.915</v>
          </cell>
          <cell r="P6709">
            <v>0.44080000000000003</v>
          </cell>
        </row>
        <row r="6710">
          <cell r="A6710" t="str">
            <v>PEE-040-6202-LLC3</v>
          </cell>
          <cell r="G6710" t="str">
            <v xml:space="preserve">CR   </v>
          </cell>
          <cell r="L6710">
            <v>38624</v>
          </cell>
          <cell r="M6710">
            <v>2.915</v>
          </cell>
          <cell r="P6710">
            <v>0.45100000000000001</v>
          </cell>
        </row>
        <row r="6711">
          <cell r="A6711" t="str">
            <v>PEE-040-6202-LLRR</v>
          </cell>
          <cell r="G6711" t="str">
            <v xml:space="preserve">CR   </v>
          </cell>
          <cell r="L6711">
            <v>38624</v>
          </cell>
          <cell r="M6711">
            <v>2.915</v>
          </cell>
          <cell r="P6711">
            <v>0.44080000000000003</v>
          </cell>
        </row>
        <row r="6712">
          <cell r="A6712" t="str">
            <v>PEE-040-6203</v>
          </cell>
          <cell r="G6712" t="str">
            <v xml:space="preserve">CR   </v>
          </cell>
          <cell r="L6712">
            <v>38811</v>
          </cell>
          <cell r="M6712">
            <v>3.085</v>
          </cell>
          <cell r="P6712">
            <v>0.4128</v>
          </cell>
        </row>
        <row r="6713">
          <cell r="A6713" t="str">
            <v>PEE-040-6203-2R10</v>
          </cell>
          <cell r="G6713" t="str">
            <v>INDEV</v>
          </cell>
          <cell r="L6713">
            <v>40635</v>
          </cell>
          <cell r="M6713">
            <v>4.07</v>
          </cell>
          <cell r="P6713">
            <v>3.9312039312039309</v>
          </cell>
        </row>
        <row r="6714">
          <cell r="A6714" t="str">
            <v>PEE-040-6203-2RLD</v>
          </cell>
          <cell r="G6714" t="str">
            <v>IPFAB</v>
          </cell>
          <cell r="L6714">
            <v>41046</v>
          </cell>
          <cell r="M6714">
            <v>4.47</v>
          </cell>
          <cell r="P6714">
            <v>0.47149999999999997</v>
          </cell>
        </row>
        <row r="6715">
          <cell r="A6715" t="str">
            <v>PEE-040-6203-2RS</v>
          </cell>
          <cell r="G6715" t="str">
            <v>IPFAB</v>
          </cell>
          <cell r="L6715">
            <v>39330</v>
          </cell>
          <cell r="M6715">
            <v>3.165</v>
          </cell>
          <cell r="P6715">
            <v>0.35</v>
          </cell>
        </row>
        <row r="6716">
          <cell r="A6716" t="str">
            <v>PEE-040-6203-2RST</v>
          </cell>
          <cell r="G6716" t="str">
            <v>IDESP</v>
          </cell>
          <cell r="L6716">
            <v>38982</v>
          </cell>
          <cell r="M6716">
            <v>3.0990000000000002</v>
          </cell>
          <cell r="P6716">
            <v>0.42</v>
          </cell>
        </row>
        <row r="6717">
          <cell r="A6717" t="str">
            <v>PEE-040-6203-2Z</v>
          </cell>
          <cell r="G6717" t="str">
            <v>INPEE</v>
          </cell>
          <cell r="L6717">
            <v>39213</v>
          </cell>
          <cell r="M6717">
            <v>3.081</v>
          </cell>
          <cell r="P6717">
            <v>0.44</v>
          </cell>
        </row>
        <row r="6718">
          <cell r="A6718" t="str">
            <v>PEE-040-6203-LLC3</v>
          </cell>
          <cell r="G6718" t="str">
            <v xml:space="preserve">CR   </v>
          </cell>
          <cell r="L6718">
            <v>38624</v>
          </cell>
          <cell r="M6718">
            <v>2.915</v>
          </cell>
          <cell r="P6718">
            <v>0.47149999999999997</v>
          </cell>
        </row>
        <row r="6719">
          <cell r="A6719" t="str">
            <v>PEE-040-6204</v>
          </cell>
          <cell r="G6719" t="str">
            <v>IPFAB</v>
          </cell>
          <cell r="L6719">
            <v>40431</v>
          </cell>
          <cell r="M6719">
            <v>3.97</v>
          </cell>
          <cell r="P6719">
            <v>0.57399999999999995</v>
          </cell>
        </row>
        <row r="6720">
          <cell r="A6720" t="str">
            <v>PEE-040-6204-1RS</v>
          </cell>
          <cell r="G6720" t="str">
            <v>INDEV</v>
          </cell>
          <cell r="L6720">
            <v>39504</v>
          </cell>
          <cell r="M6720">
            <v>3.1579999999999999</v>
          </cell>
          <cell r="P6720">
            <v>0.6299873337555415</v>
          </cell>
        </row>
        <row r="6721">
          <cell r="A6721" t="str">
            <v>PEE-040-6204-2LST</v>
          </cell>
          <cell r="G6721" t="str">
            <v xml:space="preserve">CR   </v>
          </cell>
          <cell r="L6721">
            <v>38624</v>
          </cell>
          <cell r="M6721">
            <v>2.915</v>
          </cell>
          <cell r="P6721">
            <v>0.75849999999999995</v>
          </cell>
        </row>
        <row r="6722">
          <cell r="A6722" t="str">
            <v>PEE-040-6204-2RLD</v>
          </cell>
          <cell r="G6722" t="str">
            <v xml:space="preserve">INSI </v>
          </cell>
          <cell r="L6722">
            <v>39518</v>
          </cell>
          <cell r="M6722">
            <v>3.1579999999999999</v>
          </cell>
          <cell r="P6722">
            <v>0.63549999999999995</v>
          </cell>
        </row>
        <row r="6723">
          <cell r="A6723" t="str">
            <v>PEE-040-6204-2RST</v>
          </cell>
          <cell r="G6723" t="str">
            <v>INDEV</v>
          </cell>
          <cell r="L6723">
            <v>39995</v>
          </cell>
          <cell r="M6723">
            <v>3.81</v>
          </cell>
          <cell r="P6723">
            <v>0.65703412073490808</v>
          </cell>
        </row>
        <row r="6724">
          <cell r="A6724" t="str">
            <v>PEE-040-6204-2Z</v>
          </cell>
          <cell r="G6724" t="str">
            <v xml:space="preserve">CR   </v>
          </cell>
          <cell r="L6724">
            <v>38624</v>
          </cell>
          <cell r="M6724">
            <v>2.915</v>
          </cell>
          <cell r="P6724">
            <v>0.63549999999999995</v>
          </cell>
        </row>
        <row r="6725">
          <cell r="A6725" t="str">
            <v>PEE-040-6204-LLC3</v>
          </cell>
          <cell r="G6725" t="str">
            <v xml:space="preserve">CR   </v>
          </cell>
          <cell r="L6725">
            <v>38624</v>
          </cell>
          <cell r="M6725">
            <v>2.915</v>
          </cell>
          <cell r="P6725">
            <v>0.64570000000000005</v>
          </cell>
        </row>
        <row r="6726">
          <cell r="A6726" t="str">
            <v>PEE-040-6205</v>
          </cell>
          <cell r="G6726" t="str">
            <v xml:space="preserve">INSI </v>
          </cell>
          <cell r="L6726">
            <v>40070</v>
          </cell>
          <cell r="M6726">
            <v>3.86</v>
          </cell>
          <cell r="P6726">
            <v>0.72</v>
          </cell>
        </row>
        <row r="6727">
          <cell r="A6727" t="str">
            <v>PEE-040-6205-1RST</v>
          </cell>
          <cell r="G6727" t="str">
            <v xml:space="preserve">CR   </v>
          </cell>
          <cell r="L6727">
            <v>38624</v>
          </cell>
          <cell r="M6727">
            <v>2.915</v>
          </cell>
          <cell r="P6727">
            <v>0.78920000000000001</v>
          </cell>
        </row>
        <row r="6728">
          <cell r="A6728" t="str">
            <v>PEE-040-6205-2LST</v>
          </cell>
          <cell r="G6728" t="str">
            <v xml:space="preserve">CR   </v>
          </cell>
          <cell r="L6728">
            <v>38624</v>
          </cell>
          <cell r="M6728">
            <v>2.915</v>
          </cell>
          <cell r="P6728">
            <v>0.88149999999999995</v>
          </cell>
        </row>
        <row r="6729">
          <cell r="A6729" t="str">
            <v>PEE-040-6205-2RLD</v>
          </cell>
          <cell r="G6729" t="str">
            <v>IPFAB</v>
          </cell>
          <cell r="L6729">
            <v>41361</v>
          </cell>
          <cell r="M6729">
            <v>5.13</v>
          </cell>
          <cell r="P6729">
            <v>0.74460000000000004</v>
          </cell>
        </row>
        <row r="6730">
          <cell r="A6730" t="str">
            <v>PEE-040-6205-2RST</v>
          </cell>
          <cell r="G6730" t="str">
            <v>IDESP</v>
          </cell>
          <cell r="L6730">
            <v>39191</v>
          </cell>
          <cell r="M6730">
            <v>3.085</v>
          </cell>
          <cell r="P6730">
            <v>0.7</v>
          </cell>
        </row>
        <row r="6731">
          <cell r="A6731" t="str">
            <v>PEE-040-6205-2Z</v>
          </cell>
          <cell r="G6731" t="str">
            <v xml:space="preserve">CR   </v>
          </cell>
          <cell r="L6731">
            <v>40428.376423611109</v>
          </cell>
          <cell r="M6731">
            <v>3.97</v>
          </cell>
          <cell r="P6731">
            <v>0.91300000000000003</v>
          </cell>
        </row>
        <row r="6732">
          <cell r="A6732" t="str">
            <v>PEE-040-6205-LLC3</v>
          </cell>
          <cell r="G6732" t="str">
            <v xml:space="preserve">CR   </v>
          </cell>
          <cell r="L6732">
            <v>38624</v>
          </cell>
          <cell r="M6732">
            <v>2.915</v>
          </cell>
          <cell r="P6732">
            <v>0.83030000000000004</v>
          </cell>
        </row>
        <row r="6733">
          <cell r="A6733" t="str">
            <v>PEE-040-6205-N</v>
          </cell>
          <cell r="G6733" t="str">
            <v>IPFAB</v>
          </cell>
          <cell r="L6733">
            <v>39147</v>
          </cell>
          <cell r="M6733">
            <v>3.1019999999999999</v>
          </cell>
          <cell r="P6733">
            <v>1.0254000000000001</v>
          </cell>
        </row>
        <row r="6734">
          <cell r="A6734" t="str">
            <v>PEE-040-6206</v>
          </cell>
          <cell r="G6734" t="str">
            <v xml:space="preserve">CR   </v>
          </cell>
          <cell r="L6734">
            <v>38624</v>
          </cell>
          <cell r="M6734">
            <v>2.915</v>
          </cell>
          <cell r="P6734">
            <v>0.87119999999999997</v>
          </cell>
        </row>
        <row r="6735">
          <cell r="A6735" t="str">
            <v>PEE-040-6206-2RLD</v>
          </cell>
          <cell r="G6735" t="str">
            <v>IPFAB</v>
          </cell>
          <cell r="L6735">
            <v>39681</v>
          </cell>
          <cell r="M6735">
            <v>3.028</v>
          </cell>
          <cell r="P6735">
            <v>0.33025100000000002</v>
          </cell>
        </row>
        <row r="6736">
          <cell r="A6736" t="str">
            <v>PEE-040-6206-2RSK</v>
          </cell>
          <cell r="G6736" t="str">
            <v>IPFAB</v>
          </cell>
          <cell r="L6736">
            <v>41361</v>
          </cell>
          <cell r="M6736">
            <v>5.13</v>
          </cell>
          <cell r="P6736">
            <v>1.5932999999999999</v>
          </cell>
        </row>
        <row r="6737">
          <cell r="A6737" t="str">
            <v>PEE-040-6206-2RST</v>
          </cell>
          <cell r="G6737" t="str">
            <v xml:space="preserve">INSI </v>
          </cell>
          <cell r="L6737">
            <v>39513</v>
          </cell>
          <cell r="M6737">
            <v>3.1520000000000001</v>
          </cell>
          <cell r="P6737">
            <v>0.96399999999999997</v>
          </cell>
        </row>
        <row r="6738">
          <cell r="A6738" t="str">
            <v>PEE-040-6206-2Z</v>
          </cell>
          <cell r="G6738" t="str">
            <v xml:space="preserve">CR   </v>
          </cell>
          <cell r="L6738">
            <v>38811</v>
          </cell>
          <cell r="M6738">
            <v>3.085</v>
          </cell>
          <cell r="P6738">
            <v>1.0569999999999999</v>
          </cell>
        </row>
        <row r="6739">
          <cell r="A6739" t="str">
            <v>PEE-040-6206-LLC3</v>
          </cell>
          <cell r="G6739" t="str">
            <v xml:space="preserve">CR   </v>
          </cell>
          <cell r="L6739">
            <v>38624</v>
          </cell>
          <cell r="M6739">
            <v>2.915</v>
          </cell>
          <cell r="P6739">
            <v>1.1274999999999999</v>
          </cell>
        </row>
        <row r="6740">
          <cell r="A6740" t="str">
            <v>PEE-040-6206-N</v>
          </cell>
          <cell r="G6740" t="str">
            <v>IPFAB</v>
          </cell>
          <cell r="L6740">
            <v>39147</v>
          </cell>
          <cell r="M6740">
            <v>3.1019999999999999</v>
          </cell>
          <cell r="P6740">
            <v>1.1182000000000001</v>
          </cell>
        </row>
        <row r="6741">
          <cell r="A6741" t="str">
            <v>PEE-040-6207</v>
          </cell>
          <cell r="G6741" t="str">
            <v xml:space="preserve">CR   </v>
          </cell>
          <cell r="L6741">
            <v>38624</v>
          </cell>
          <cell r="M6741">
            <v>2.915</v>
          </cell>
          <cell r="P6741">
            <v>1.4350000000000001</v>
          </cell>
        </row>
        <row r="6742">
          <cell r="A6742" t="str">
            <v>PEE-040-6207-2RLD</v>
          </cell>
          <cell r="G6742" t="str">
            <v xml:space="preserve">INAC </v>
          </cell>
          <cell r="L6742">
            <v>42656</v>
          </cell>
          <cell r="M6742">
            <v>15.4</v>
          </cell>
          <cell r="P6742">
            <v>3.4285714285714284</v>
          </cell>
        </row>
        <row r="6743">
          <cell r="A6743" t="str">
            <v>PEE-040-6207-2RSK</v>
          </cell>
          <cell r="G6743" t="str">
            <v>IPFAB</v>
          </cell>
          <cell r="L6743">
            <v>39209</v>
          </cell>
          <cell r="M6743">
            <v>3.0830000000000002</v>
          </cell>
          <cell r="P6743">
            <v>0.4</v>
          </cell>
        </row>
        <row r="6744">
          <cell r="A6744" t="str">
            <v>PEE-040-6207-2RST</v>
          </cell>
          <cell r="G6744" t="str">
            <v>IPFAB</v>
          </cell>
          <cell r="L6744">
            <v>39204</v>
          </cell>
          <cell r="M6744">
            <v>3.09</v>
          </cell>
          <cell r="P6744">
            <v>0.4</v>
          </cell>
        </row>
        <row r="6745">
          <cell r="A6745" t="str">
            <v>PEE-040-6207-2ZN</v>
          </cell>
          <cell r="G6745" t="str">
            <v xml:space="preserve">CR   </v>
          </cell>
          <cell r="L6745">
            <v>38811</v>
          </cell>
          <cell r="M6745">
            <v>3.085</v>
          </cell>
          <cell r="P6745">
            <v>1.3792</v>
          </cell>
        </row>
        <row r="6746">
          <cell r="A6746" t="str">
            <v>PEE-040-6207-C3</v>
          </cell>
          <cell r="G6746" t="str">
            <v xml:space="preserve">CR   </v>
          </cell>
          <cell r="L6746">
            <v>38624</v>
          </cell>
          <cell r="M6746">
            <v>2.915</v>
          </cell>
          <cell r="P6746">
            <v>1.4350000000000001</v>
          </cell>
        </row>
        <row r="6747">
          <cell r="A6747" t="str">
            <v>PEE-040-6207-LLC3</v>
          </cell>
          <cell r="G6747" t="str">
            <v xml:space="preserve">CR   </v>
          </cell>
          <cell r="L6747">
            <v>38624</v>
          </cell>
          <cell r="M6747">
            <v>2.915</v>
          </cell>
          <cell r="P6747">
            <v>1.5066999999999999</v>
          </cell>
        </row>
        <row r="6748">
          <cell r="A6748" t="str">
            <v>PEE-040-6207-NC3</v>
          </cell>
          <cell r="G6748" t="str">
            <v>IPFAB</v>
          </cell>
          <cell r="L6748">
            <v>39147</v>
          </cell>
          <cell r="M6748">
            <v>3.1019999999999999</v>
          </cell>
          <cell r="P6748">
            <v>1.5503</v>
          </cell>
        </row>
        <row r="6749">
          <cell r="A6749" t="str">
            <v>PEE-040-6208</v>
          </cell>
          <cell r="G6749" t="str">
            <v xml:space="preserve">INAC </v>
          </cell>
          <cell r="L6749">
            <v>42907</v>
          </cell>
          <cell r="M6749">
            <v>16.37</v>
          </cell>
          <cell r="P6749">
            <v>3.2138057422113619</v>
          </cell>
        </row>
        <row r="6750">
          <cell r="A6750" t="str">
            <v>PEE-040-6208-2RLD</v>
          </cell>
          <cell r="G6750" t="str">
            <v xml:space="preserve">INAC </v>
          </cell>
          <cell r="L6750">
            <v>42907</v>
          </cell>
          <cell r="M6750">
            <v>16.37</v>
          </cell>
          <cell r="P6750">
            <v>3.7135003054367743</v>
          </cell>
        </row>
        <row r="6751">
          <cell r="A6751" t="str">
            <v>PEE-040-6208-2RSK</v>
          </cell>
          <cell r="G6751" t="str">
            <v xml:space="preserve">CR   </v>
          </cell>
          <cell r="L6751">
            <v>38624</v>
          </cell>
          <cell r="M6751">
            <v>2.915</v>
          </cell>
          <cell r="P6751">
            <v>2.4702999999999999</v>
          </cell>
        </row>
        <row r="6752">
          <cell r="A6752" t="str">
            <v>PEE-040-6208-2RST</v>
          </cell>
          <cell r="G6752" t="str">
            <v xml:space="preserve">CR   </v>
          </cell>
          <cell r="L6752">
            <v>40428.376423611109</v>
          </cell>
          <cell r="M6752">
            <v>3.97</v>
          </cell>
          <cell r="P6752">
            <v>1.532</v>
          </cell>
        </row>
        <row r="6753">
          <cell r="A6753" t="str">
            <v>PEE-040-6208-2RTK</v>
          </cell>
          <cell r="G6753" t="str">
            <v xml:space="preserve">CR   </v>
          </cell>
          <cell r="L6753">
            <v>38624</v>
          </cell>
          <cell r="M6753">
            <v>2.915</v>
          </cell>
          <cell r="P6753">
            <v>2.87</v>
          </cell>
        </row>
        <row r="6754">
          <cell r="A6754" t="str">
            <v>PEE-040-6208-2ZN</v>
          </cell>
          <cell r="G6754" t="str">
            <v xml:space="preserve">CR   </v>
          </cell>
          <cell r="L6754">
            <v>40428.376423611109</v>
          </cell>
          <cell r="M6754">
            <v>3.97</v>
          </cell>
          <cell r="P6754">
            <v>1.8049999999999999</v>
          </cell>
        </row>
        <row r="6755">
          <cell r="A6755" t="str">
            <v>PEE-040-6208-LLR</v>
          </cell>
          <cell r="G6755" t="str">
            <v xml:space="preserve">CR   </v>
          </cell>
          <cell r="L6755">
            <v>38624</v>
          </cell>
          <cell r="M6755">
            <v>2.915</v>
          </cell>
          <cell r="P6755">
            <v>1.7117</v>
          </cell>
        </row>
        <row r="6756">
          <cell r="A6756" t="str">
            <v>PEE-040-6208-NRC3</v>
          </cell>
          <cell r="G6756" t="str">
            <v xml:space="preserve">CR   </v>
          </cell>
          <cell r="L6756">
            <v>38624</v>
          </cell>
          <cell r="M6756">
            <v>2.915</v>
          </cell>
          <cell r="P6756">
            <v>1.681</v>
          </cell>
        </row>
        <row r="6757">
          <cell r="A6757" t="str">
            <v>PEE-040-6209</v>
          </cell>
          <cell r="G6757" t="str">
            <v xml:space="preserve">CR   </v>
          </cell>
          <cell r="L6757">
            <v>40428.376423611109</v>
          </cell>
          <cell r="M6757">
            <v>3.97</v>
          </cell>
          <cell r="P6757">
            <v>1.917</v>
          </cell>
        </row>
        <row r="6758">
          <cell r="A6758" t="str">
            <v>PEE-040-6209-1RS</v>
          </cell>
          <cell r="G6758" t="str">
            <v xml:space="preserve">CR   </v>
          </cell>
          <cell r="L6758">
            <v>38624</v>
          </cell>
          <cell r="M6758">
            <v>2.915</v>
          </cell>
          <cell r="P6758">
            <v>2.173</v>
          </cell>
        </row>
        <row r="6759">
          <cell r="A6759" t="str">
            <v>PEE-040-6209-2RLD</v>
          </cell>
          <cell r="G6759" t="str">
            <v xml:space="preserve">INAC </v>
          </cell>
          <cell r="L6759">
            <v>42907</v>
          </cell>
          <cell r="M6759">
            <v>16.37</v>
          </cell>
          <cell r="P6759">
            <v>3.9987782529016487</v>
          </cell>
        </row>
        <row r="6760">
          <cell r="A6760" t="str">
            <v>PEE-040-6209-2RST</v>
          </cell>
          <cell r="G6760" t="str">
            <v xml:space="preserve">INSI </v>
          </cell>
          <cell r="L6760">
            <v>41617</v>
          </cell>
          <cell r="M6760">
            <v>6.24</v>
          </cell>
          <cell r="P6760">
            <v>6.1524999999999999</v>
          </cell>
        </row>
        <row r="6761">
          <cell r="A6761" t="str">
            <v>PEE-040-6209-2RTK</v>
          </cell>
          <cell r="G6761" t="str">
            <v xml:space="preserve">CR   </v>
          </cell>
          <cell r="L6761">
            <v>40428.376423611109</v>
          </cell>
          <cell r="M6761">
            <v>3.97</v>
          </cell>
          <cell r="P6761">
            <v>3.262</v>
          </cell>
        </row>
        <row r="6762">
          <cell r="A6762" t="str">
            <v>PEE-040-6209-LLR*</v>
          </cell>
          <cell r="G6762" t="str">
            <v xml:space="preserve">CR   </v>
          </cell>
          <cell r="L6762">
            <v>40428.376423611109</v>
          </cell>
          <cell r="M6762">
            <v>3.97</v>
          </cell>
          <cell r="P6762">
            <v>2.347</v>
          </cell>
        </row>
        <row r="6763">
          <cell r="A6763" t="str">
            <v>PEE-040-6210</v>
          </cell>
          <cell r="G6763" t="str">
            <v xml:space="preserve">CR   </v>
          </cell>
          <cell r="L6763">
            <v>40428.376423611109</v>
          </cell>
          <cell r="M6763">
            <v>3.97</v>
          </cell>
          <cell r="P6763">
            <v>0.93</v>
          </cell>
        </row>
        <row r="6764">
          <cell r="A6764" t="str">
            <v>PEE-040-6210-2RLD</v>
          </cell>
          <cell r="G6764" t="str">
            <v xml:space="preserve">CR   </v>
          </cell>
          <cell r="L6764">
            <v>38811</v>
          </cell>
          <cell r="M6764">
            <v>3.085</v>
          </cell>
          <cell r="P6764">
            <v>2.3976000000000002</v>
          </cell>
        </row>
        <row r="6765">
          <cell r="A6765" t="str">
            <v>PEE-040-6210-2RS</v>
          </cell>
          <cell r="G6765" t="str">
            <v>IPFAB</v>
          </cell>
          <cell r="L6765">
            <v>38974</v>
          </cell>
          <cell r="M6765">
            <v>3.1030000000000002</v>
          </cell>
          <cell r="P6765">
            <v>0.84589999999999999</v>
          </cell>
        </row>
        <row r="6766">
          <cell r="A6766" t="str">
            <v>PEE-040-6210-2RSK</v>
          </cell>
          <cell r="G6766" t="str">
            <v xml:space="preserve">CR   </v>
          </cell>
          <cell r="L6766">
            <v>38811</v>
          </cell>
          <cell r="M6766">
            <v>3.085</v>
          </cell>
          <cell r="P6766">
            <v>3.4140999999999999</v>
          </cell>
        </row>
        <row r="6767">
          <cell r="A6767" t="str">
            <v>PEE-040-6210-2RST</v>
          </cell>
          <cell r="G6767" t="str">
            <v xml:space="preserve">CR   </v>
          </cell>
          <cell r="L6767">
            <v>38624</v>
          </cell>
          <cell r="M6767">
            <v>2.915</v>
          </cell>
          <cell r="P6767">
            <v>2.5727000000000002</v>
          </cell>
        </row>
        <row r="6768">
          <cell r="A6768" t="str">
            <v>PEE-040-6210-LLC3</v>
          </cell>
          <cell r="G6768" t="str">
            <v xml:space="preserve">CR   </v>
          </cell>
          <cell r="L6768">
            <v>38811</v>
          </cell>
          <cell r="M6768">
            <v>3.085</v>
          </cell>
          <cell r="P6768">
            <v>2.4575</v>
          </cell>
        </row>
        <row r="6769">
          <cell r="A6769" t="str">
            <v>PEE-040-6211</v>
          </cell>
          <cell r="G6769" t="str">
            <v>INDEV</v>
          </cell>
          <cell r="L6769">
            <v>38817</v>
          </cell>
          <cell r="M6769">
            <v>3.081</v>
          </cell>
          <cell r="P6769">
            <v>1.669620253164557</v>
          </cell>
        </row>
        <row r="6770">
          <cell r="A6770" t="str">
            <v>PEE-040-6211-2RS*</v>
          </cell>
          <cell r="G6770" t="str">
            <v xml:space="preserve">CR   </v>
          </cell>
          <cell r="L6770">
            <v>38811</v>
          </cell>
          <cell r="M6770">
            <v>3.085</v>
          </cell>
          <cell r="P6770">
            <v>2.0007999999999999</v>
          </cell>
        </row>
        <row r="6771">
          <cell r="A6771" t="str">
            <v>PEE-040-6211-N</v>
          </cell>
          <cell r="G6771" t="str">
            <v>IPFAB</v>
          </cell>
          <cell r="L6771">
            <v>39147</v>
          </cell>
          <cell r="M6771">
            <v>3.1019999999999999</v>
          </cell>
          <cell r="P6771">
            <v>2.3694000000000002</v>
          </cell>
        </row>
        <row r="6772">
          <cell r="A6772" t="str">
            <v>PEE-040-6211-ZN</v>
          </cell>
          <cell r="G6772" t="str">
            <v xml:space="preserve">CR   </v>
          </cell>
          <cell r="L6772">
            <v>38811</v>
          </cell>
          <cell r="M6772">
            <v>3.085</v>
          </cell>
          <cell r="P6772">
            <v>3.2532000000000001</v>
          </cell>
        </row>
        <row r="6773">
          <cell r="A6773" t="str">
            <v>PEE-040-6212</v>
          </cell>
          <cell r="G6773" t="str">
            <v xml:space="preserve">CR   </v>
          </cell>
          <cell r="L6773">
            <v>40428.376423611109</v>
          </cell>
          <cell r="M6773">
            <v>3.97</v>
          </cell>
          <cell r="P6773">
            <v>2.694</v>
          </cell>
        </row>
        <row r="6774">
          <cell r="A6774" t="str">
            <v>PEE-040-6212-2RS*</v>
          </cell>
          <cell r="G6774" t="str">
            <v>INIMP</v>
          </cell>
          <cell r="L6774">
            <v>39057</v>
          </cell>
          <cell r="M6774">
            <v>3.0550000000000002</v>
          </cell>
          <cell r="P6774">
            <v>4.8563999999999998</v>
          </cell>
        </row>
        <row r="6775">
          <cell r="A6775" t="str">
            <v>PEE-040-6213</v>
          </cell>
          <cell r="G6775" t="str">
            <v xml:space="preserve">CR   </v>
          </cell>
          <cell r="L6775">
            <v>40428.376423611109</v>
          </cell>
          <cell r="M6775">
            <v>3.97</v>
          </cell>
          <cell r="P6775">
            <v>2.2240000000000002</v>
          </cell>
        </row>
        <row r="6776">
          <cell r="A6776" t="str">
            <v>PEE-040-6213-2RLD</v>
          </cell>
          <cell r="G6776" t="str">
            <v>INDEV</v>
          </cell>
          <cell r="L6776">
            <v>40736</v>
          </cell>
          <cell r="M6776">
            <v>4.1500000000000004</v>
          </cell>
          <cell r="P6776">
            <v>4.7799999999999994</v>
          </cell>
        </row>
        <row r="6777">
          <cell r="A6777" t="str">
            <v>PEE-040-6214</v>
          </cell>
          <cell r="G6777" t="str">
            <v xml:space="preserve">CR   </v>
          </cell>
          <cell r="L6777">
            <v>38624</v>
          </cell>
          <cell r="M6777">
            <v>2.915</v>
          </cell>
          <cell r="P6777">
            <v>3.3517000000000001</v>
          </cell>
        </row>
        <row r="6778">
          <cell r="A6778" t="str">
            <v>PEE-040-6214-2RS</v>
          </cell>
          <cell r="G6778" t="str">
            <v xml:space="preserve">CR   </v>
          </cell>
          <cell r="L6778">
            <v>40428.376423611109</v>
          </cell>
          <cell r="M6778">
            <v>3.97</v>
          </cell>
          <cell r="P6778">
            <v>1.4110831234256926</v>
          </cell>
        </row>
        <row r="6779">
          <cell r="A6779" t="str">
            <v>PEE-040-6215</v>
          </cell>
          <cell r="G6779" t="str">
            <v xml:space="preserve">CR   </v>
          </cell>
          <cell r="L6779">
            <v>37981</v>
          </cell>
          <cell r="M6779">
            <v>2.96</v>
          </cell>
          <cell r="P6779">
            <v>4.54</v>
          </cell>
        </row>
        <row r="6780">
          <cell r="A6780" t="str">
            <v>PEE-040-6217</v>
          </cell>
          <cell r="G6780" t="str">
            <v xml:space="preserve">CR   </v>
          </cell>
          <cell r="L6780">
            <v>37981</v>
          </cell>
          <cell r="M6780">
            <v>2.96</v>
          </cell>
          <cell r="P6780">
            <v>4.01</v>
          </cell>
        </row>
        <row r="6781">
          <cell r="A6781" t="str">
            <v>PEE-040-62201-2RLD</v>
          </cell>
          <cell r="G6781" t="str">
            <v xml:space="preserve">CR   </v>
          </cell>
          <cell r="L6781">
            <v>38811</v>
          </cell>
          <cell r="M6781">
            <v>3.085</v>
          </cell>
          <cell r="P6781">
            <v>0.84560000000000002</v>
          </cell>
        </row>
        <row r="6782">
          <cell r="A6782" t="str">
            <v>PEE-040-62204-2RLD</v>
          </cell>
          <cell r="G6782" t="str">
            <v xml:space="preserve">CR   </v>
          </cell>
          <cell r="L6782">
            <v>38811</v>
          </cell>
          <cell r="M6782">
            <v>3.085</v>
          </cell>
          <cell r="P6782">
            <v>0.7147</v>
          </cell>
        </row>
        <row r="6783">
          <cell r="A6783" t="str">
            <v>PEE-040-62304-2RLD</v>
          </cell>
          <cell r="G6783" t="str">
            <v xml:space="preserve">CR   </v>
          </cell>
          <cell r="L6783">
            <v>38811</v>
          </cell>
          <cell r="M6783">
            <v>3.085</v>
          </cell>
          <cell r="P6783">
            <v>0.96499999999999997</v>
          </cell>
        </row>
        <row r="6784">
          <cell r="A6784" t="str">
            <v>PEE-040-62304-2RLD17</v>
          </cell>
          <cell r="G6784" t="str">
            <v xml:space="preserve">CR   </v>
          </cell>
          <cell r="L6784">
            <v>38811</v>
          </cell>
          <cell r="M6784">
            <v>3.085</v>
          </cell>
          <cell r="P6784">
            <v>1.1515</v>
          </cell>
        </row>
        <row r="6785">
          <cell r="A6785" t="str">
            <v>PEE-040-624-2Z</v>
          </cell>
          <cell r="G6785" t="str">
            <v xml:space="preserve">CR   </v>
          </cell>
          <cell r="L6785">
            <v>38811</v>
          </cell>
          <cell r="M6785">
            <v>3.085</v>
          </cell>
          <cell r="P6785">
            <v>0.312</v>
          </cell>
        </row>
        <row r="6786">
          <cell r="A6786" t="str">
            <v>PEE-040-626-2Z</v>
          </cell>
          <cell r="G6786" t="str">
            <v xml:space="preserve">CR   </v>
          </cell>
          <cell r="L6786">
            <v>38624</v>
          </cell>
          <cell r="M6786">
            <v>2.915</v>
          </cell>
          <cell r="P6786">
            <v>0.33829999999999999</v>
          </cell>
        </row>
        <row r="6787">
          <cell r="A6787" t="str">
            <v>PEE-040-627-2RLD</v>
          </cell>
          <cell r="G6787" t="str">
            <v xml:space="preserve">INSI </v>
          </cell>
          <cell r="L6787">
            <v>40668</v>
          </cell>
          <cell r="M6787">
            <v>4.1100000000000003</v>
          </cell>
          <cell r="P6787">
            <v>0.2646</v>
          </cell>
        </row>
        <row r="6788">
          <cell r="A6788" t="str">
            <v>PEE-040-63-28</v>
          </cell>
          <cell r="G6788" t="str">
            <v xml:space="preserve">CR   </v>
          </cell>
          <cell r="L6788">
            <v>40428.376423611109</v>
          </cell>
          <cell r="M6788">
            <v>3.97</v>
          </cell>
          <cell r="P6788">
            <v>0.68899999999999995</v>
          </cell>
        </row>
        <row r="6789">
          <cell r="A6789" t="str">
            <v>PEE-040-6300-2RLD</v>
          </cell>
          <cell r="G6789" t="str">
            <v xml:space="preserve">CR   </v>
          </cell>
          <cell r="L6789">
            <v>40428.376423611109</v>
          </cell>
          <cell r="M6789">
            <v>3.97</v>
          </cell>
          <cell r="P6789">
            <v>0.57599999999999996</v>
          </cell>
        </row>
        <row r="6790">
          <cell r="A6790" t="str">
            <v>PEE-040-63001-2RS</v>
          </cell>
          <cell r="G6790" t="str">
            <v xml:space="preserve">CR   </v>
          </cell>
          <cell r="L6790">
            <v>38811</v>
          </cell>
          <cell r="M6790">
            <v>3.085</v>
          </cell>
          <cell r="P6790">
            <v>1.0744</v>
          </cell>
        </row>
        <row r="6791">
          <cell r="A6791" t="str">
            <v>PEE-040-6301-LLC3</v>
          </cell>
          <cell r="G6791" t="str">
            <v xml:space="preserve">CR   </v>
          </cell>
          <cell r="L6791">
            <v>38811</v>
          </cell>
          <cell r="M6791">
            <v>3.085</v>
          </cell>
          <cell r="P6791">
            <v>0.55710000000000004</v>
          </cell>
        </row>
        <row r="6792">
          <cell r="A6792" t="str">
            <v>PEE-040-6302-2RLD</v>
          </cell>
          <cell r="G6792" t="str">
            <v xml:space="preserve">CR   </v>
          </cell>
          <cell r="L6792">
            <v>38624</v>
          </cell>
          <cell r="M6792">
            <v>2.915</v>
          </cell>
          <cell r="P6792">
            <v>0.67649999999999999</v>
          </cell>
        </row>
        <row r="6793">
          <cell r="A6793" t="str">
            <v>PEE-040-6302-LLC3</v>
          </cell>
          <cell r="G6793" t="str">
            <v>INDEV</v>
          </cell>
          <cell r="L6793">
            <v>41057</v>
          </cell>
          <cell r="M6793">
            <v>4.49</v>
          </cell>
          <cell r="P6793">
            <v>0.68020044543429836</v>
          </cell>
        </row>
        <row r="6794">
          <cell r="A6794" t="str">
            <v>PEE-040-6303-2RLD</v>
          </cell>
          <cell r="G6794" t="str">
            <v>IPFAP</v>
          </cell>
          <cell r="L6794">
            <v>43602</v>
          </cell>
          <cell r="M6794">
            <v>45.8</v>
          </cell>
          <cell r="P6794">
            <v>0.14372052401746727</v>
          </cell>
        </row>
        <row r="6795">
          <cell r="A6795" t="str">
            <v>PEE-040-6303-2RST</v>
          </cell>
          <cell r="G6795" t="str">
            <v>IPFAP</v>
          </cell>
          <cell r="L6795">
            <v>42248</v>
          </cell>
          <cell r="M6795">
            <v>9.35</v>
          </cell>
          <cell r="P6795">
            <v>0.70399999999999996</v>
          </cell>
        </row>
        <row r="6796">
          <cell r="A6796" t="str">
            <v>PEE-040-6303-2RST-C3</v>
          </cell>
          <cell r="G6796" t="str">
            <v xml:space="preserve">CR   </v>
          </cell>
          <cell r="L6796">
            <v>40428.376423611109</v>
          </cell>
          <cell r="M6796">
            <v>3.97</v>
          </cell>
          <cell r="P6796">
            <v>0.70399999999999996</v>
          </cell>
        </row>
        <row r="6797">
          <cell r="A6797" t="str">
            <v>PEE-040-6303-LLC3</v>
          </cell>
          <cell r="G6797" t="str">
            <v xml:space="preserve">CR   </v>
          </cell>
          <cell r="L6797">
            <v>40428.376423611109</v>
          </cell>
          <cell r="M6797">
            <v>3.97</v>
          </cell>
          <cell r="P6797">
            <v>0.88500000000000001</v>
          </cell>
        </row>
        <row r="6798">
          <cell r="A6798" t="str">
            <v>PEE-040-6304-2RLD</v>
          </cell>
          <cell r="G6798" t="str">
            <v>VPRet</v>
          </cell>
          <cell r="L6798">
            <v>41591</v>
          </cell>
          <cell r="M6798">
            <v>5.97</v>
          </cell>
          <cell r="P6798">
            <v>0.75778894472361813</v>
          </cell>
        </row>
        <row r="6799">
          <cell r="A6799" t="str">
            <v>PEE-040-6304-2Z</v>
          </cell>
          <cell r="G6799" t="str">
            <v xml:space="preserve">CR   </v>
          </cell>
          <cell r="L6799">
            <v>40428.376423611109</v>
          </cell>
          <cell r="M6799">
            <v>3.97</v>
          </cell>
          <cell r="P6799">
            <v>0.97399999999999998</v>
          </cell>
        </row>
        <row r="6800">
          <cell r="A6800" t="str">
            <v>PEE-040-6305</v>
          </cell>
          <cell r="G6800" t="str">
            <v xml:space="preserve">CR   </v>
          </cell>
          <cell r="L6800">
            <v>38624</v>
          </cell>
          <cell r="M6800">
            <v>2.915</v>
          </cell>
          <cell r="P6800">
            <v>1.107</v>
          </cell>
        </row>
        <row r="6801">
          <cell r="A6801" t="str">
            <v>PEE-040-6305-2RLD</v>
          </cell>
          <cell r="G6801" t="str">
            <v xml:space="preserve">INAC </v>
          </cell>
          <cell r="L6801">
            <v>38674</v>
          </cell>
          <cell r="M6801">
            <v>2.9430000000000001</v>
          </cell>
          <cell r="P6801">
            <v>1.9605844376486576</v>
          </cell>
        </row>
        <row r="6802">
          <cell r="A6802" t="str">
            <v>PEE-040-6305-2RST</v>
          </cell>
          <cell r="G6802" t="str">
            <v>IPFAP</v>
          </cell>
          <cell r="L6802">
            <v>42251</v>
          </cell>
          <cell r="M6802">
            <v>9.36</v>
          </cell>
          <cell r="P6802">
            <v>1.1838995726495727</v>
          </cell>
        </row>
        <row r="6803">
          <cell r="A6803" t="str">
            <v>PEE-040-6305-LLC3</v>
          </cell>
          <cell r="G6803" t="str">
            <v xml:space="preserve">CR   </v>
          </cell>
          <cell r="L6803">
            <v>38624</v>
          </cell>
          <cell r="M6803">
            <v>2.915</v>
          </cell>
          <cell r="P6803">
            <v>1.2709999999999999</v>
          </cell>
        </row>
        <row r="6804">
          <cell r="A6804" t="str">
            <v>PEE-040-6306</v>
          </cell>
          <cell r="G6804" t="str">
            <v xml:space="preserve">CR   </v>
          </cell>
          <cell r="L6804">
            <v>38624</v>
          </cell>
          <cell r="M6804">
            <v>2.915</v>
          </cell>
          <cell r="P6804">
            <v>1.3017000000000001</v>
          </cell>
        </row>
        <row r="6805">
          <cell r="A6805" t="str">
            <v>PEE-040-6306-2RLD</v>
          </cell>
          <cell r="G6805" t="str">
            <v>IPFAP</v>
          </cell>
          <cell r="L6805">
            <v>42272</v>
          </cell>
          <cell r="M6805">
            <v>9.4499999999999993</v>
          </cell>
          <cell r="P6805">
            <v>1.6502962962962964</v>
          </cell>
        </row>
        <row r="6806">
          <cell r="A6806" t="str">
            <v>PEE-040-6306-2RST</v>
          </cell>
          <cell r="G6806" t="str">
            <v xml:space="preserve">CR   </v>
          </cell>
          <cell r="L6806">
            <v>38811</v>
          </cell>
          <cell r="M6806">
            <v>3.085</v>
          </cell>
          <cell r="P6806">
            <v>1.7310000000000001</v>
          </cell>
        </row>
        <row r="6807">
          <cell r="A6807" t="str">
            <v>PEE-040-6306-LLC3</v>
          </cell>
          <cell r="G6807" t="str">
            <v xml:space="preserve">INAC </v>
          </cell>
          <cell r="L6807">
            <v>38674</v>
          </cell>
          <cell r="M6807">
            <v>2.9430000000000001</v>
          </cell>
          <cell r="P6807">
            <v>3.3061501868841319</v>
          </cell>
        </row>
        <row r="6808">
          <cell r="A6808" t="str">
            <v>PEE-040-6306-ZN</v>
          </cell>
          <cell r="G6808" t="str">
            <v xml:space="preserve">CR   </v>
          </cell>
          <cell r="L6808">
            <v>38624</v>
          </cell>
          <cell r="M6808">
            <v>2.915</v>
          </cell>
          <cell r="P6808">
            <v>1.6605000000000001</v>
          </cell>
        </row>
        <row r="6809">
          <cell r="A6809" t="str">
            <v>PEE-040-6307</v>
          </cell>
          <cell r="G6809" t="str">
            <v>IPFAB</v>
          </cell>
          <cell r="L6809">
            <v>39562</v>
          </cell>
          <cell r="M6809">
            <v>3.181</v>
          </cell>
          <cell r="P6809">
            <v>1.5271999999999999</v>
          </cell>
        </row>
        <row r="6810">
          <cell r="A6810" t="str">
            <v>PEE-040-6307-2RLD</v>
          </cell>
          <cell r="G6810" t="str">
            <v xml:space="preserve">INAC </v>
          </cell>
          <cell r="L6810">
            <v>42912</v>
          </cell>
          <cell r="M6810">
            <v>16.440000000000001</v>
          </cell>
          <cell r="P6810">
            <v>4.8351581508515808</v>
          </cell>
        </row>
        <row r="6811">
          <cell r="A6811" t="str">
            <v>PEE-040-6307-2RST</v>
          </cell>
          <cell r="G6811" t="str">
            <v>INDEV</v>
          </cell>
          <cell r="L6811">
            <v>40000</v>
          </cell>
          <cell r="M6811">
            <v>3.81</v>
          </cell>
          <cell r="P6811">
            <v>2.1432020997375325</v>
          </cell>
        </row>
        <row r="6812">
          <cell r="A6812" t="str">
            <v>PEE-040-6307-LLRC</v>
          </cell>
          <cell r="G6812" t="str">
            <v xml:space="preserve">CR   </v>
          </cell>
          <cell r="L6812">
            <v>38624</v>
          </cell>
          <cell r="M6812">
            <v>2.915</v>
          </cell>
          <cell r="P6812">
            <v>2.0499999999999998</v>
          </cell>
        </row>
        <row r="6813">
          <cell r="A6813" t="str">
            <v>PEE-040-6307-ZN</v>
          </cell>
          <cell r="G6813" t="str">
            <v xml:space="preserve">CR   </v>
          </cell>
          <cell r="L6813">
            <v>38624</v>
          </cell>
          <cell r="M6813">
            <v>2.915</v>
          </cell>
          <cell r="P6813">
            <v>2.3984999999999999</v>
          </cell>
        </row>
        <row r="6814">
          <cell r="A6814" t="str">
            <v>PEE-040-6308</v>
          </cell>
          <cell r="G6814" t="str">
            <v xml:space="preserve">INAC </v>
          </cell>
          <cell r="L6814">
            <v>38883</v>
          </cell>
          <cell r="M6814">
            <v>3.0790000000000002</v>
          </cell>
          <cell r="P6814">
            <v>4.5306917830464428</v>
          </cell>
        </row>
        <row r="6815">
          <cell r="A6815" t="str">
            <v>PEE-040-6308-2RC3</v>
          </cell>
          <cell r="G6815" t="str">
            <v xml:space="preserve">INSI </v>
          </cell>
          <cell r="L6815">
            <v>38237</v>
          </cell>
          <cell r="M6815">
            <v>2.992</v>
          </cell>
          <cell r="P6815">
            <v>2.77</v>
          </cell>
        </row>
        <row r="6816">
          <cell r="A6816" t="str">
            <v>PEE-040-6308-2RST</v>
          </cell>
          <cell r="G6816" t="str">
            <v xml:space="preserve">CR   </v>
          </cell>
          <cell r="L6816">
            <v>38811</v>
          </cell>
          <cell r="M6816">
            <v>3.085</v>
          </cell>
          <cell r="P6816">
            <v>2.8306</v>
          </cell>
        </row>
        <row r="6817">
          <cell r="A6817" t="str">
            <v>PEE-040-6308-LLC3</v>
          </cell>
          <cell r="G6817" t="str">
            <v xml:space="preserve">CR   </v>
          </cell>
          <cell r="L6817">
            <v>38624</v>
          </cell>
          <cell r="M6817">
            <v>2.915</v>
          </cell>
          <cell r="P6817">
            <v>2.8391999999999999</v>
          </cell>
        </row>
        <row r="6818">
          <cell r="A6818" t="str">
            <v>PEE-040-6308-N</v>
          </cell>
          <cell r="G6818" t="str">
            <v>IPFAB</v>
          </cell>
          <cell r="L6818">
            <v>39147</v>
          </cell>
          <cell r="M6818">
            <v>3.1019999999999999</v>
          </cell>
          <cell r="P6818">
            <v>2.5920999999999998</v>
          </cell>
        </row>
        <row r="6819">
          <cell r="A6819" t="str">
            <v>PEE-040-6309</v>
          </cell>
          <cell r="G6819" t="str">
            <v>INDEV</v>
          </cell>
          <cell r="L6819">
            <v>41057</v>
          </cell>
          <cell r="M6819">
            <v>4.49</v>
          </cell>
          <cell r="P6819">
            <v>3.291002227171492</v>
          </cell>
        </row>
        <row r="6820">
          <cell r="A6820" t="str">
            <v>PEE-040-6309-2RS*</v>
          </cell>
          <cell r="G6820" t="str">
            <v xml:space="preserve">CR   </v>
          </cell>
          <cell r="L6820">
            <v>37981</v>
          </cell>
          <cell r="M6820">
            <v>2.96</v>
          </cell>
          <cell r="P6820">
            <v>3.03</v>
          </cell>
        </row>
        <row r="6821">
          <cell r="A6821" t="str">
            <v>PEE-040-6309-N</v>
          </cell>
          <cell r="G6821" t="str">
            <v xml:space="preserve">CR   </v>
          </cell>
          <cell r="L6821">
            <v>38624</v>
          </cell>
          <cell r="M6821">
            <v>2.915</v>
          </cell>
          <cell r="P6821">
            <v>3.8027000000000002</v>
          </cell>
        </row>
        <row r="6822">
          <cell r="A6822" t="str">
            <v>PEE-040-6310</v>
          </cell>
          <cell r="G6822" t="str">
            <v xml:space="preserve">CR   </v>
          </cell>
          <cell r="L6822">
            <v>37981</v>
          </cell>
          <cell r="M6822">
            <v>2.96</v>
          </cell>
          <cell r="P6822">
            <v>3.56</v>
          </cell>
        </row>
        <row r="6823">
          <cell r="A6823" t="str">
            <v>PEE-040-6310-2RS</v>
          </cell>
          <cell r="G6823" t="str">
            <v xml:space="preserve">CR   </v>
          </cell>
          <cell r="L6823">
            <v>37981</v>
          </cell>
          <cell r="M6823">
            <v>2.96</v>
          </cell>
          <cell r="P6823">
            <v>4.01</v>
          </cell>
        </row>
        <row r="6824">
          <cell r="A6824" t="str">
            <v>PEE-040-6311</v>
          </cell>
          <cell r="G6824" t="str">
            <v xml:space="preserve">CR   </v>
          </cell>
          <cell r="L6824">
            <v>40428.376423611109</v>
          </cell>
          <cell r="M6824">
            <v>3.97</v>
          </cell>
          <cell r="P6824">
            <v>6.633</v>
          </cell>
        </row>
        <row r="6825">
          <cell r="A6825" t="str">
            <v>PEE-040-6311-2RS</v>
          </cell>
          <cell r="G6825" t="str">
            <v xml:space="preserve">CR   </v>
          </cell>
          <cell r="L6825">
            <v>38624</v>
          </cell>
          <cell r="M6825">
            <v>2.915</v>
          </cell>
          <cell r="P6825">
            <v>6.1397000000000004</v>
          </cell>
        </row>
        <row r="6826">
          <cell r="A6826" t="str">
            <v>PEE-040-6312-2RLD</v>
          </cell>
          <cell r="G6826" t="str">
            <v xml:space="preserve">CR   </v>
          </cell>
          <cell r="L6826">
            <v>38624</v>
          </cell>
          <cell r="M6826">
            <v>2.915</v>
          </cell>
          <cell r="P6826">
            <v>11.387700000000001</v>
          </cell>
        </row>
        <row r="6827">
          <cell r="A6827" t="str">
            <v>PEE-040-6403-2RLD</v>
          </cell>
          <cell r="G6827" t="str">
            <v xml:space="preserve">CR   </v>
          </cell>
          <cell r="L6827">
            <v>40428.376423611109</v>
          </cell>
          <cell r="M6827">
            <v>3.97</v>
          </cell>
          <cell r="P6827">
            <v>1.089</v>
          </cell>
        </row>
        <row r="6828">
          <cell r="A6828" t="str">
            <v>PEE-040-6903-2Z</v>
          </cell>
          <cell r="G6828" t="str">
            <v xml:space="preserve">CR   </v>
          </cell>
          <cell r="L6828">
            <v>40428.376423611109</v>
          </cell>
          <cell r="M6828">
            <v>3.97</v>
          </cell>
          <cell r="P6828">
            <v>0.73</v>
          </cell>
        </row>
        <row r="6829">
          <cell r="A6829" t="str">
            <v>PEE-040-6904-2Z</v>
          </cell>
          <cell r="G6829" t="str">
            <v xml:space="preserve">CR   </v>
          </cell>
          <cell r="L6829">
            <v>38624</v>
          </cell>
          <cell r="M6829">
            <v>2.915</v>
          </cell>
          <cell r="P6829">
            <v>0.60470000000000002</v>
          </cell>
        </row>
        <row r="6830">
          <cell r="A6830" t="str">
            <v>PEE-040-6908-2RLD</v>
          </cell>
          <cell r="G6830" t="str">
            <v xml:space="preserve">CR   </v>
          </cell>
          <cell r="L6830">
            <v>40428.376423611109</v>
          </cell>
          <cell r="M6830">
            <v>3.97</v>
          </cell>
          <cell r="P6830">
            <v>1.351</v>
          </cell>
        </row>
        <row r="6831">
          <cell r="A6831" t="str">
            <v>PEE-040-7206-AE1</v>
          </cell>
          <cell r="G6831" t="str">
            <v xml:space="preserve">CR   </v>
          </cell>
          <cell r="L6831">
            <v>38811</v>
          </cell>
          <cell r="M6831">
            <v>3.085</v>
          </cell>
          <cell r="P6831">
            <v>3.0402999999999998</v>
          </cell>
        </row>
        <row r="6832">
          <cell r="A6832" t="str">
            <v>PEE-040-7209-TN</v>
          </cell>
          <cell r="G6832" t="str">
            <v xml:space="preserve">CR   </v>
          </cell>
          <cell r="L6832">
            <v>38811</v>
          </cell>
          <cell r="M6832">
            <v>3.085</v>
          </cell>
          <cell r="P6832">
            <v>4.8489000000000004</v>
          </cell>
        </row>
        <row r="6833">
          <cell r="A6833" t="str">
            <v>PEE-040-7304-AE1</v>
          </cell>
          <cell r="G6833" t="str">
            <v>INDEV</v>
          </cell>
          <cell r="L6833">
            <v>41288</v>
          </cell>
          <cell r="M6833">
            <v>4.95</v>
          </cell>
          <cell r="P6833">
            <v>1.5818181818181818</v>
          </cell>
        </row>
        <row r="6834">
          <cell r="A6834" t="str">
            <v>PEE-040-CUP-30206</v>
          </cell>
          <cell r="G6834" t="str">
            <v xml:space="preserve">INSI </v>
          </cell>
          <cell r="L6834">
            <v>37626</v>
          </cell>
          <cell r="M6834">
            <v>3.34</v>
          </cell>
          <cell r="P6834">
            <v>0.01</v>
          </cell>
        </row>
        <row r="6835">
          <cell r="A6835" t="str">
            <v>PEE-040-DDR-4-FLLR</v>
          </cell>
          <cell r="G6835" t="str">
            <v xml:space="preserve">CR   </v>
          </cell>
          <cell r="L6835">
            <v>38624</v>
          </cell>
          <cell r="M6835">
            <v>2.915</v>
          </cell>
          <cell r="P6835">
            <v>2.9622999999999999</v>
          </cell>
        </row>
        <row r="6836">
          <cell r="A6836" t="str">
            <v>PEE-040-FH-206--30GO</v>
          </cell>
          <cell r="G6836" t="str">
            <v xml:space="preserve">CR   </v>
          </cell>
          <cell r="L6836">
            <v>38624</v>
          </cell>
          <cell r="M6836">
            <v>2.915</v>
          </cell>
          <cell r="P6836">
            <v>2.35704974271012</v>
          </cell>
        </row>
        <row r="6837">
          <cell r="A6837" t="str">
            <v>PEE-040-GR-205-16SQ</v>
          </cell>
          <cell r="G6837" t="str">
            <v xml:space="preserve">CR   </v>
          </cell>
          <cell r="L6837">
            <v>38811</v>
          </cell>
          <cell r="M6837">
            <v>3.085</v>
          </cell>
          <cell r="P6837">
            <v>3.2919</v>
          </cell>
        </row>
        <row r="6838">
          <cell r="A6838" t="str">
            <v>PEE-040-MX-6200-2RC3</v>
          </cell>
          <cell r="G6838" t="str">
            <v xml:space="preserve">CR   </v>
          </cell>
          <cell r="L6838">
            <v>38624</v>
          </cell>
          <cell r="M6838">
            <v>2.915</v>
          </cell>
          <cell r="P6838">
            <v>0.45100000000000001</v>
          </cell>
        </row>
        <row r="6839">
          <cell r="A6839" t="str">
            <v>PEE-040-NKI-25-20</v>
          </cell>
          <cell r="G6839" t="str">
            <v>IDESP</v>
          </cell>
          <cell r="L6839">
            <v>39409</v>
          </cell>
          <cell r="M6839">
            <v>3.141</v>
          </cell>
          <cell r="P6839">
            <v>1.85</v>
          </cell>
        </row>
        <row r="6840">
          <cell r="A6840" t="str">
            <v>PEE-040-RETEN-SET-10</v>
          </cell>
          <cell r="G6840" t="str">
            <v xml:space="preserve">CR   </v>
          </cell>
          <cell r="L6840">
            <v>38811</v>
          </cell>
          <cell r="M6840">
            <v>3.085</v>
          </cell>
          <cell r="P6840">
            <v>0.67079999999999995</v>
          </cell>
        </row>
        <row r="6841">
          <cell r="A6841" t="str">
            <v>PEE-040-RLD-6006-RED</v>
          </cell>
          <cell r="G6841" t="str">
            <v>INPEE</v>
          </cell>
          <cell r="L6841">
            <v>39211</v>
          </cell>
          <cell r="M6841">
            <v>3.08</v>
          </cell>
          <cell r="P6841">
            <v>0.04</v>
          </cell>
        </row>
        <row r="6842">
          <cell r="A6842" t="str">
            <v>PEE-040-RLD-6204-RED</v>
          </cell>
          <cell r="G6842" t="str">
            <v>INPEE</v>
          </cell>
          <cell r="L6842">
            <v>38279</v>
          </cell>
          <cell r="M6842">
            <v>2.9550000000000001</v>
          </cell>
          <cell r="P6842">
            <v>0.05</v>
          </cell>
        </row>
        <row r="6843">
          <cell r="A6843" t="str">
            <v>PEE-040-RLD-6206-RED</v>
          </cell>
          <cell r="G6843" t="str">
            <v>INPE$</v>
          </cell>
          <cell r="L6843">
            <v>39650</v>
          </cell>
          <cell r="M6843">
            <v>3.0230000000000001</v>
          </cell>
          <cell r="P6843">
            <v>8.6007277538868679E-2</v>
          </cell>
        </row>
        <row r="6844">
          <cell r="A6844" t="str">
            <v>PEE-040-RLD-6307-RED</v>
          </cell>
          <cell r="G6844" t="str">
            <v>INPEE</v>
          </cell>
          <cell r="L6844">
            <v>38133</v>
          </cell>
          <cell r="M6844">
            <v>2.9649999999999999</v>
          </cell>
          <cell r="P6844">
            <v>0.14000000000000001</v>
          </cell>
        </row>
        <row r="6845">
          <cell r="A6845" t="str">
            <v>PEE-040-RST-203</v>
          </cell>
          <cell r="G6845" t="str">
            <v xml:space="preserve">CR   </v>
          </cell>
          <cell r="L6845">
            <v>38624</v>
          </cell>
          <cell r="M6845">
            <v>2.915</v>
          </cell>
          <cell r="P6845">
            <v>5.1299999999999998E-2</v>
          </cell>
        </row>
        <row r="6846">
          <cell r="A6846" t="str">
            <v>PEE-040-RST-204</v>
          </cell>
          <cell r="G6846" t="str">
            <v xml:space="preserve">CR   </v>
          </cell>
          <cell r="L6846">
            <v>38624</v>
          </cell>
          <cell r="M6846">
            <v>2.915</v>
          </cell>
          <cell r="P6846">
            <v>5.1299999999999998E-2</v>
          </cell>
        </row>
        <row r="6847">
          <cell r="A6847" t="str">
            <v>PEE-040-RST-205</v>
          </cell>
          <cell r="G6847" t="str">
            <v xml:space="preserve">CR   </v>
          </cell>
          <cell r="L6847">
            <v>38624</v>
          </cell>
          <cell r="M6847">
            <v>2.915</v>
          </cell>
          <cell r="P6847">
            <v>6.1499999999999999E-2</v>
          </cell>
        </row>
        <row r="6848">
          <cell r="A6848" t="str">
            <v>PEE-040-RST-6204-RED</v>
          </cell>
          <cell r="G6848" t="str">
            <v xml:space="preserve">INSI </v>
          </cell>
          <cell r="L6848">
            <v>38294</v>
          </cell>
          <cell r="M6848">
            <v>2.9569999999999999</v>
          </cell>
          <cell r="P6848">
            <v>6.5000000000000002E-2</v>
          </cell>
        </row>
        <row r="6849">
          <cell r="A6849" t="str">
            <v>PEE-040-SS-6203-2RS</v>
          </cell>
          <cell r="G6849" t="str">
            <v xml:space="preserve">CR   </v>
          </cell>
          <cell r="L6849">
            <v>38811</v>
          </cell>
          <cell r="M6849">
            <v>3.085</v>
          </cell>
          <cell r="P6849">
            <v>2.5568</v>
          </cell>
        </row>
        <row r="6850">
          <cell r="A6850" t="str">
            <v>PEE-040-SS-6204-2RS</v>
          </cell>
          <cell r="G6850" t="str">
            <v xml:space="preserve">CR   </v>
          </cell>
          <cell r="L6850">
            <v>38811</v>
          </cell>
          <cell r="M6850">
            <v>3.085</v>
          </cell>
          <cell r="P6850">
            <v>3.4321999999999999</v>
          </cell>
        </row>
        <row r="6851">
          <cell r="A6851" t="str">
            <v>PEE-040-UEL-209-DBL*</v>
          </cell>
          <cell r="G6851" t="str">
            <v xml:space="preserve">CR   </v>
          </cell>
          <cell r="L6851">
            <v>38624</v>
          </cell>
          <cell r="M6851">
            <v>2.915</v>
          </cell>
          <cell r="P6851">
            <v>7.3902000000000001</v>
          </cell>
        </row>
        <row r="6852">
          <cell r="A6852" t="str">
            <v>PEE-040-Y-320-32X</v>
          </cell>
          <cell r="G6852" t="str">
            <v>INMUE</v>
          </cell>
          <cell r="L6852">
            <v>40456</v>
          </cell>
          <cell r="M6852">
            <v>3.98</v>
          </cell>
          <cell r="P6852">
            <v>0.58201005025125618</v>
          </cell>
        </row>
        <row r="6853">
          <cell r="A6853" t="str">
            <v>PEE-040-ZZ-6005</v>
          </cell>
          <cell r="G6853" t="str">
            <v xml:space="preserve">CR   </v>
          </cell>
          <cell r="L6853">
            <v>38624</v>
          </cell>
          <cell r="M6853">
            <v>2.915</v>
          </cell>
          <cell r="P6853">
            <v>4.1000000000000002E-2</v>
          </cell>
        </row>
        <row r="6854">
          <cell r="A6854" t="str">
            <v>PEE-040-ZZ-6201</v>
          </cell>
          <cell r="G6854" t="str">
            <v xml:space="preserve">INSI </v>
          </cell>
          <cell r="L6854">
            <v>39513</v>
          </cell>
          <cell r="M6854">
            <v>3.1520000000000001</v>
          </cell>
          <cell r="P6854">
            <v>3.1E-2</v>
          </cell>
        </row>
        <row r="6855">
          <cell r="A6855" t="str">
            <v>PEE-040-ZZ-6203</v>
          </cell>
          <cell r="G6855" t="str">
            <v>INPEE</v>
          </cell>
          <cell r="L6855">
            <v>39184</v>
          </cell>
          <cell r="M6855">
            <v>3.0910000000000002</v>
          </cell>
          <cell r="P6855">
            <v>0.03</v>
          </cell>
        </row>
        <row r="6856">
          <cell r="A6856" t="str">
            <v>PEE-040-ZZ-6304</v>
          </cell>
          <cell r="G6856" t="str">
            <v>IDESP</v>
          </cell>
          <cell r="L6856">
            <v>38028</v>
          </cell>
          <cell r="M6856">
            <v>2.9350000000000001</v>
          </cell>
          <cell r="P6856">
            <v>4.3999999999999997E-2</v>
          </cell>
        </row>
        <row r="6857">
          <cell r="A6857" t="str">
            <v>PEE-041-1212</v>
          </cell>
          <cell r="G6857" t="str">
            <v>INDEV</v>
          </cell>
          <cell r="L6857">
            <v>39776</v>
          </cell>
          <cell r="M6857">
            <v>3.3330000000000002</v>
          </cell>
          <cell r="P6857">
            <v>3.3219921992199222</v>
          </cell>
        </row>
        <row r="6858">
          <cell r="A6858" t="str">
            <v>PEE-041-1309</v>
          </cell>
          <cell r="G6858" t="str">
            <v xml:space="preserve">CR   </v>
          </cell>
          <cell r="L6858">
            <v>38811</v>
          </cell>
          <cell r="M6858">
            <v>3.085</v>
          </cell>
          <cell r="P6858">
            <v>2.7684000000000002</v>
          </cell>
        </row>
        <row r="6859">
          <cell r="A6859" t="str">
            <v>PEE-041-1311</v>
          </cell>
          <cell r="G6859" t="str">
            <v xml:space="preserve">INAC </v>
          </cell>
          <cell r="L6859">
            <v>38741</v>
          </cell>
          <cell r="M6859">
            <v>3.0379999999999998</v>
          </cell>
          <cell r="P6859">
            <v>11.673930217248191</v>
          </cell>
        </row>
        <row r="6860">
          <cell r="A6860" t="str">
            <v>PEE-041-1311-K</v>
          </cell>
          <cell r="G6860" t="str">
            <v xml:space="preserve">INAC </v>
          </cell>
          <cell r="L6860">
            <v>38741</v>
          </cell>
          <cell r="M6860">
            <v>3.0379999999999998</v>
          </cell>
          <cell r="P6860">
            <v>11.673798551678738</v>
          </cell>
        </row>
        <row r="6861">
          <cell r="A6861" t="str">
            <v>PEE-041-1635-2RS</v>
          </cell>
          <cell r="G6861" t="str">
            <v>INDEV</v>
          </cell>
          <cell r="L6861">
            <v>40987</v>
          </cell>
          <cell r="M6861">
            <v>4.37</v>
          </cell>
          <cell r="P6861">
            <v>2.06</v>
          </cell>
        </row>
        <row r="6862">
          <cell r="A6862" t="str">
            <v>PEE-041-1635-ZZ</v>
          </cell>
          <cell r="G6862" t="str">
            <v>IDESP</v>
          </cell>
          <cell r="L6862">
            <v>38747</v>
          </cell>
          <cell r="M6862">
            <v>3.0569999999999999</v>
          </cell>
          <cell r="P6862">
            <v>0.66</v>
          </cell>
        </row>
        <row r="6863">
          <cell r="A6863" t="str">
            <v>PEE-041-176207-2RST</v>
          </cell>
          <cell r="G6863" t="str">
            <v xml:space="preserve">CR   </v>
          </cell>
          <cell r="L6863">
            <v>38811</v>
          </cell>
          <cell r="M6863">
            <v>3.085</v>
          </cell>
          <cell r="P6863">
            <v>2.2147999999999999</v>
          </cell>
        </row>
        <row r="6864">
          <cell r="A6864" t="str">
            <v>PEE-041-5208-2RST</v>
          </cell>
          <cell r="G6864" t="str">
            <v>INDEV</v>
          </cell>
          <cell r="L6864">
            <v>40667</v>
          </cell>
          <cell r="M6864">
            <v>4.1100000000000003</v>
          </cell>
          <cell r="P6864">
            <v>4.2081021897810222</v>
          </cell>
        </row>
        <row r="6865">
          <cell r="A6865" t="str">
            <v>PEE-041-5208-M</v>
          </cell>
          <cell r="G6865" t="str">
            <v>IPFAB</v>
          </cell>
          <cell r="L6865">
            <v>38776</v>
          </cell>
          <cell r="M6865">
            <v>3.0750000000000002</v>
          </cell>
          <cell r="P6865">
            <v>2.8639999999999999</v>
          </cell>
        </row>
        <row r="6866">
          <cell r="A6866" t="str">
            <v>PEE-041-6000-2RSTLD</v>
          </cell>
          <cell r="G6866" t="str">
            <v xml:space="preserve">CR   </v>
          </cell>
          <cell r="L6866">
            <v>40428.376423611109</v>
          </cell>
          <cell r="M6866">
            <v>3.97</v>
          </cell>
          <cell r="P6866">
            <v>0.29699999999999999</v>
          </cell>
        </row>
        <row r="6867">
          <cell r="A6867" t="str">
            <v>PEE-041-6002</v>
          </cell>
          <cell r="G6867" t="str">
            <v>IPFAB</v>
          </cell>
          <cell r="L6867">
            <v>38723</v>
          </cell>
          <cell r="M6867">
            <v>3.05</v>
          </cell>
          <cell r="P6867">
            <v>0.42030000000000001</v>
          </cell>
        </row>
        <row r="6868">
          <cell r="A6868" t="str">
            <v>PEE-041-6003</v>
          </cell>
          <cell r="G6868" t="str">
            <v xml:space="preserve">CR   </v>
          </cell>
          <cell r="L6868">
            <v>38811</v>
          </cell>
          <cell r="M6868">
            <v>3.085</v>
          </cell>
          <cell r="P6868">
            <v>0.5696</v>
          </cell>
        </row>
        <row r="6869">
          <cell r="A6869" t="str">
            <v>PEE-041-6004-2RST</v>
          </cell>
          <cell r="G6869" t="str">
            <v xml:space="preserve">CR   </v>
          </cell>
          <cell r="L6869">
            <v>38811</v>
          </cell>
          <cell r="M6869">
            <v>3.085</v>
          </cell>
          <cell r="P6869">
            <v>0.59770000000000001</v>
          </cell>
        </row>
        <row r="6870">
          <cell r="A6870" t="str">
            <v>PEE-041-6005</v>
          </cell>
          <cell r="G6870" t="str">
            <v>IPFAB</v>
          </cell>
          <cell r="L6870">
            <v>40555</v>
          </cell>
          <cell r="M6870">
            <v>4</v>
          </cell>
          <cell r="P6870">
            <v>0.45</v>
          </cell>
        </row>
        <row r="6871">
          <cell r="A6871" t="str">
            <v>PEE-041-6005-ZZ</v>
          </cell>
          <cell r="G6871" t="str">
            <v xml:space="preserve">CR   </v>
          </cell>
          <cell r="L6871">
            <v>40428.376423611109</v>
          </cell>
          <cell r="M6871">
            <v>3.97</v>
          </cell>
          <cell r="P6871">
            <v>0.505</v>
          </cell>
        </row>
        <row r="6872">
          <cell r="A6872" t="str">
            <v>PEE-041-6006</v>
          </cell>
          <cell r="G6872" t="str">
            <v>IPFAB</v>
          </cell>
          <cell r="L6872">
            <v>38337</v>
          </cell>
          <cell r="M6872">
            <v>2.976</v>
          </cell>
          <cell r="P6872">
            <v>0.54</v>
          </cell>
        </row>
        <row r="6873">
          <cell r="A6873" t="str">
            <v>PEE-041-6008-2RST</v>
          </cell>
          <cell r="G6873" t="str">
            <v>INDEV</v>
          </cell>
          <cell r="L6873">
            <v>41044</v>
          </cell>
          <cell r="M6873">
            <v>4.46</v>
          </cell>
          <cell r="P6873">
            <v>1.1499999999999999</v>
          </cell>
        </row>
        <row r="6874">
          <cell r="A6874" t="str">
            <v>PEE-041-6009</v>
          </cell>
          <cell r="G6874" t="str">
            <v xml:space="preserve">INAC </v>
          </cell>
          <cell r="L6874">
            <v>42303</v>
          </cell>
          <cell r="M6874">
            <v>9.57</v>
          </cell>
          <cell r="P6874">
            <v>3.9707419017763845</v>
          </cell>
        </row>
        <row r="6875">
          <cell r="A6875" t="str">
            <v>PEE-041-6009-2RS22SP</v>
          </cell>
          <cell r="G6875" t="str">
            <v xml:space="preserve">CR   </v>
          </cell>
          <cell r="L6875">
            <v>40428.376423611109</v>
          </cell>
          <cell r="M6875">
            <v>3.97</v>
          </cell>
          <cell r="P6875">
            <v>2.508</v>
          </cell>
        </row>
        <row r="6876">
          <cell r="A6876" t="str">
            <v>PEE-041-6009-4RS22SP</v>
          </cell>
          <cell r="G6876" t="str">
            <v>IPFAB</v>
          </cell>
          <cell r="L6876">
            <v>39232</v>
          </cell>
          <cell r="M6876">
            <v>3.081</v>
          </cell>
          <cell r="P6876">
            <v>2.2799999999999998</v>
          </cell>
        </row>
        <row r="6877">
          <cell r="A6877" t="str">
            <v>PEE-041-6010-2RLD</v>
          </cell>
          <cell r="G6877" t="str">
            <v>IPFAB</v>
          </cell>
          <cell r="L6877">
            <v>39245</v>
          </cell>
          <cell r="M6877">
            <v>3.0750000000000002</v>
          </cell>
          <cell r="P6877">
            <v>2.3199999999999998</v>
          </cell>
        </row>
        <row r="6878">
          <cell r="A6878" t="str">
            <v>PEE-041-6011-2RLD</v>
          </cell>
          <cell r="G6878" t="str">
            <v xml:space="preserve">CR   </v>
          </cell>
          <cell r="L6878">
            <v>38811</v>
          </cell>
          <cell r="M6878">
            <v>3.085</v>
          </cell>
          <cell r="P6878">
            <v>3.2589000000000001</v>
          </cell>
        </row>
        <row r="6879">
          <cell r="A6879" t="str">
            <v>PEE-041-6013-2RLD</v>
          </cell>
          <cell r="G6879" t="str">
            <v xml:space="preserve">CR   </v>
          </cell>
          <cell r="L6879">
            <v>38811</v>
          </cell>
          <cell r="M6879">
            <v>3.085</v>
          </cell>
          <cell r="P6879">
            <v>6.1219000000000001</v>
          </cell>
        </row>
        <row r="6880">
          <cell r="A6880" t="str">
            <v>PEE-041-6026</v>
          </cell>
          <cell r="G6880" t="str">
            <v xml:space="preserve">CR   </v>
          </cell>
          <cell r="L6880">
            <v>38811</v>
          </cell>
          <cell r="M6880">
            <v>3.085</v>
          </cell>
          <cell r="P6880">
            <v>35.029299999999999</v>
          </cell>
        </row>
        <row r="6881">
          <cell r="A6881" t="str">
            <v>PEE-041-607-2RLD</v>
          </cell>
          <cell r="G6881" t="str">
            <v>INDEV</v>
          </cell>
          <cell r="L6881">
            <v>39079</v>
          </cell>
          <cell r="M6881">
            <v>3.0760000000000001</v>
          </cell>
          <cell r="P6881">
            <v>0.4169700910273082</v>
          </cell>
        </row>
        <row r="6882">
          <cell r="A6882" t="str">
            <v>PEE-041-608-ZZ-C3</v>
          </cell>
          <cell r="G6882" t="str">
            <v>INDEV</v>
          </cell>
          <cell r="L6882">
            <v>41289</v>
          </cell>
          <cell r="M6882">
            <v>4.96</v>
          </cell>
          <cell r="P6882">
            <v>0.98790322580645173</v>
          </cell>
        </row>
        <row r="6883">
          <cell r="A6883" t="str">
            <v>PEE-041-609-2RLD</v>
          </cell>
          <cell r="G6883" t="str">
            <v>INDEV</v>
          </cell>
          <cell r="L6883">
            <v>41057</v>
          </cell>
          <cell r="M6883">
            <v>4.49</v>
          </cell>
          <cell r="P6883">
            <v>0.51819599109131409</v>
          </cell>
        </row>
        <row r="6884">
          <cell r="A6884" t="str">
            <v>PEE-041-6200-2RSTLD</v>
          </cell>
          <cell r="G6884" t="str">
            <v xml:space="preserve">CR   </v>
          </cell>
          <cell r="L6884">
            <v>38811</v>
          </cell>
          <cell r="M6884">
            <v>3.085</v>
          </cell>
          <cell r="P6884">
            <v>0.44569999999999999</v>
          </cell>
        </row>
        <row r="6885">
          <cell r="A6885" t="str">
            <v>PEE-041-6201</v>
          </cell>
          <cell r="G6885" t="str">
            <v xml:space="preserve">INSI </v>
          </cell>
          <cell r="L6885" t="str">
            <v>NULL</v>
          </cell>
          <cell r="M6885" t="str">
            <v>conver</v>
          </cell>
          <cell r="P6885">
            <v>0.25974000000000003</v>
          </cell>
        </row>
        <row r="6886">
          <cell r="A6886" t="str">
            <v>PEE-041-6203</v>
          </cell>
          <cell r="G6886" t="str">
            <v>IPFAB</v>
          </cell>
          <cell r="L6886">
            <v>38712</v>
          </cell>
          <cell r="M6886">
            <v>3.0230000000000001</v>
          </cell>
          <cell r="P6886">
            <v>0.45100000000000001</v>
          </cell>
        </row>
        <row r="6887">
          <cell r="A6887" t="str">
            <v>PEE-041-6203-RLD-P53</v>
          </cell>
          <cell r="G6887" t="str">
            <v xml:space="preserve">CR   </v>
          </cell>
          <cell r="L6887">
            <v>40428.376423611109</v>
          </cell>
          <cell r="M6887">
            <v>3.97</v>
          </cell>
          <cell r="P6887">
            <v>1.8979999999999999</v>
          </cell>
        </row>
        <row r="6888">
          <cell r="A6888" t="str">
            <v>PEE-041-6203-ZZ-C3</v>
          </cell>
          <cell r="G6888" t="str">
            <v>INDEV</v>
          </cell>
          <cell r="L6888">
            <v>39596</v>
          </cell>
          <cell r="M6888">
            <v>3.1280000000000001</v>
          </cell>
          <cell r="P6888">
            <v>0.31969309462915602</v>
          </cell>
        </row>
        <row r="6889">
          <cell r="A6889" t="str">
            <v>PEE-041-6204-*</v>
          </cell>
          <cell r="G6889" t="str">
            <v>INPEE</v>
          </cell>
          <cell r="L6889">
            <v>38909</v>
          </cell>
          <cell r="M6889">
            <v>3.0859999999999999</v>
          </cell>
          <cell r="P6889">
            <v>0.5</v>
          </cell>
        </row>
        <row r="6890">
          <cell r="A6890" t="str">
            <v>PEE-041-6204-1RLD</v>
          </cell>
          <cell r="G6890" t="str">
            <v>INPE$</v>
          </cell>
          <cell r="L6890">
            <v>40241</v>
          </cell>
          <cell r="M6890">
            <v>3.88</v>
          </cell>
          <cell r="P6890">
            <v>1</v>
          </cell>
        </row>
        <row r="6891">
          <cell r="A6891" t="str">
            <v>PEE-041-6204-1RST</v>
          </cell>
          <cell r="G6891" t="str">
            <v xml:space="preserve">CR   </v>
          </cell>
          <cell r="L6891">
            <v>40428.376423611109</v>
          </cell>
          <cell r="M6891">
            <v>3.97</v>
          </cell>
          <cell r="P6891">
            <v>0.27800000000000002</v>
          </cell>
        </row>
        <row r="6892">
          <cell r="A6892" t="str">
            <v>PEE-041-6205-*</v>
          </cell>
          <cell r="G6892" t="str">
            <v>INPEE</v>
          </cell>
          <cell r="L6892">
            <v>38909</v>
          </cell>
          <cell r="M6892">
            <v>3.0859999999999999</v>
          </cell>
          <cell r="P6892">
            <v>0.65</v>
          </cell>
        </row>
        <row r="6893">
          <cell r="A6893" t="str">
            <v>PEE-041-6205-1RLD</v>
          </cell>
          <cell r="G6893" t="str">
            <v>IPFAB</v>
          </cell>
          <cell r="L6893">
            <v>39198</v>
          </cell>
          <cell r="M6893">
            <v>3.0859999999999999</v>
          </cell>
          <cell r="P6893">
            <v>1</v>
          </cell>
        </row>
        <row r="6894">
          <cell r="A6894" t="str">
            <v>PEE-041-6205-2RLD-C3</v>
          </cell>
          <cell r="G6894" t="str">
            <v>VPRet</v>
          </cell>
          <cell r="L6894">
            <v>42304</v>
          </cell>
          <cell r="M6894">
            <v>9.58</v>
          </cell>
          <cell r="P6894">
            <v>0.75839248434237994</v>
          </cell>
        </row>
        <row r="6895">
          <cell r="A6895" t="str">
            <v>PEE-041-6205-ZZ-C3</v>
          </cell>
          <cell r="G6895" t="str">
            <v xml:space="preserve">INAC </v>
          </cell>
          <cell r="L6895">
            <v>41550</v>
          </cell>
          <cell r="M6895">
            <v>5.8</v>
          </cell>
          <cell r="P6895">
            <v>1.0224137931034483</v>
          </cell>
        </row>
        <row r="6896">
          <cell r="A6896" t="str">
            <v>PEE-041-6206-1RLD</v>
          </cell>
          <cell r="G6896" t="str">
            <v xml:space="preserve">CR   </v>
          </cell>
          <cell r="L6896">
            <v>40428.376423611109</v>
          </cell>
          <cell r="M6896">
            <v>3.97</v>
          </cell>
          <cell r="P6896">
            <v>0.28499999999999998</v>
          </cell>
        </row>
        <row r="6897">
          <cell r="A6897" t="str">
            <v>PEE-041-6206-2RST-22</v>
          </cell>
          <cell r="G6897" t="str">
            <v xml:space="preserve">INAC </v>
          </cell>
          <cell r="L6897">
            <v>42314</v>
          </cell>
          <cell r="M6897">
            <v>9.65</v>
          </cell>
          <cell r="P6897">
            <v>3.2290155440414505</v>
          </cell>
        </row>
        <row r="6898">
          <cell r="A6898" t="str">
            <v>PEE-041-6208-2RST-K</v>
          </cell>
          <cell r="G6898" t="str">
            <v>IPFAP</v>
          </cell>
          <cell r="L6898">
            <v>42248</v>
          </cell>
          <cell r="M6898">
            <v>9.35</v>
          </cell>
          <cell r="P6898">
            <v>0.90994652406417109</v>
          </cell>
        </row>
        <row r="6899">
          <cell r="A6899" t="str">
            <v>PEE-041-6208-2RSTKC3</v>
          </cell>
          <cell r="G6899" t="str">
            <v>INDEV</v>
          </cell>
          <cell r="L6899">
            <v>40821</v>
          </cell>
          <cell r="M6899">
            <v>4.2300000000000004</v>
          </cell>
          <cell r="P6899">
            <v>2.011347517730496</v>
          </cell>
        </row>
        <row r="6900">
          <cell r="A6900" t="str">
            <v>PEE-041-6208-2RSTKU3</v>
          </cell>
          <cell r="G6900" t="str">
            <v>IPFAB</v>
          </cell>
          <cell r="L6900">
            <v>40784</v>
          </cell>
          <cell r="M6900">
            <v>4.21</v>
          </cell>
          <cell r="P6900">
            <v>0.23749999999999999</v>
          </cell>
        </row>
        <row r="6901">
          <cell r="A6901" t="str">
            <v>PEE-041-6209-2RLD-22</v>
          </cell>
          <cell r="G6901" t="str">
            <v xml:space="preserve">CR   </v>
          </cell>
          <cell r="L6901">
            <v>40428.376423611109</v>
          </cell>
          <cell r="M6901">
            <v>3.97</v>
          </cell>
          <cell r="P6901">
            <v>2.4969999999999999</v>
          </cell>
        </row>
        <row r="6902">
          <cell r="A6902" t="str">
            <v>PEE-041-6209-2RLD-K</v>
          </cell>
          <cell r="G6902" t="str">
            <v xml:space="preserve">CR   </v>
          </cell>
          <cell r="L6902">
            <v>38811</v>
          </cell>
          <cell r="M6902">
            <v>3.085</v>
          </cell>
          <cell r="P6902">
            <v>2.6175000000000002</v>
          </cell>
        </row>
        <row r="6903">
          <cell r="A6903" t="str">
            <v>PEE-041-6209-2RST-C3</v>
          </cell>
          <cell r="G6903" t="str">
            <v>INDEV</v>
          </cell>
          <cell r="L6903">
            <v>38854</v>
          </cell>
          <cell r="M6903">
            <v>3.0419999999999998</v>
          </cell>
          <cell r="P6903">
            <v>2.1802103879026959</v>
          </cell>
        </row>
        <row r="6904">
          <cell r="A6904" t="str">
            <v>PEE-041-6209-2RST-CX</v>
          </cell>
          <cell r="G6904" t="str">
            <v xml:space="preserve">CR   </v>
          </cell>
          <cell r="L6904">
            <v>40428.376423611109</v>
          </cell>
          <cell r="M6904">
            <v>3.97</v>
          </cell>
          <cell r="P6904">
            <v>2.2949999999999999</v>
          </cell>
        </row>
        <row r="6905">
          <cell r="A6905" t="str">
            <v>PEE-041-6209-2RST-K</v>
          </cell>
          <cell r="G6905" t="str">
            <v xml:space="preserve">CR   </v>
          </cell>
          <cell r="L6905">
            <v>38811</v>
          </cell>
          <cell r="M6905">
            <v>3.085</v>
          </cell>
          <cell r="P6905">
            <v>1.9315</v>
          </cell>
        </row>
        <row r="6906">
          <cell r="A6906" t="str">
            <v>PEE-041-6209-2RSTKC3</v>
          </cell>
          <cell r="G6906" t="str">
            <v>IDESP</v>
          </cell>
          <cell r="L6906">
            <v>40672</v>
          </cell>
          <cell r="M6906">
            <v>4.1100000000000003</v>
          </cell>
          <cell r="P6906">
            <v>2.19</v>
          </cell>
        </row>
        <row r="6907">
          <cell r="A6907" t="str">
            <v>PEE-041-6209-N</v>
          </cell>
          <cell r="G6907" t="str">
            <v xml:space="preserve">CR   </v>
          </cell>
          <cell r="L6907">
            <v>38624</v>
          </cell>
          <cell r="M6907">
            <v>2.915</v>
          </cell>
          <cell r="P6907">
            <v>1.5887</v>
          </cell>
        </row>
        <row r="6908">
          <cell r="A6908" t="str">
            <v>PEE-041-6209-NR</v>
          </cell>
          <cell r="G6908" t="str">
            <v xml:space="preserve">CR   </v>
          </cell>
          <cell r="L6908">
            <v>38811</v>
          </cell>
          <cell r="M6908">
            <v>3.085</v>
          </cell>
          <cell r="P6908">
            <v>1.5739000000000001</v>
          </cell>
        </row>
        <row r="6909">
          <cell r="A6909" t="str">
            <v>PEE-041-6210-C3</v>
          </cell>
          <cell r="G6909" t="str">
            <v>IPFAB</v>
          </cell>
          <cell r="L6909">
            <v>37666</v>
          </cell>
          <cell r="M6909">
            <v>3.18</v>
          </cell>
          <cell r="P6909">
            <v>2.2000000000000002</v>
          </cell>
        </row>
        <row r="6910">
          <cell r="A6910" t="str">
            <v>PEE-041-6211-2RLD</v>
          </cell>
          <cell r="G6910" t="str">
            <v>INDEV</v>
          </cell>
          <cell r="L6910">
            <v>38090</v>
          </cell>
          <cell r="M6910">
            <v>2.81</v>
          </cell>
          <cell r="P6910">
            <v>2.0401067615658364</v>
          </cell>
        </row>
        <row r="6911">
          <cell r="A6911" t="str">
            <v>PEE-041-6211-2RS</v>
          </cell>
          <cell r="G6911" t="str">
            <v>IPFAB</v>
          </cell>
          <cell r="L6911">
            <v>38883</v>
          </cell>
          <cell r="M6911">
            <v>3.0790000000000002</v>
          </cell>
          <cell r="P6911">
            <v>2.504</v>
          </cell>
        </row>
        <row r="6912">
          <cell r="A6912" t="str">
            <v>PEE-041-6216-2RS</v>
          </cell>
          <cell r="G6912" t="str">
            <v xml:space="preserve">CR   </v>
          </cell>
          <cell r="L6912">
            <v>38811</v>
          </cell>
          <cell r="M6912">
            <v>3.085</v>
          </cell>
          <cell r="P6912">
            <v>15.401400000000001</v>
          </cell>
        </row>
        <row r="6913">
          <cell r="A6913" t="str">
            <v>PEE-041-6217-2RS</v>
          </cell>
          <cell r="G6913" t="str">
            <v xml:space="preserve">CR   </v>
          </cell>
          <cell r="L6913">
            <v>40428.376423611109</v>
          </cell>
          <cell r="M6913">
            <v>3.97</v>
          </cell>
          <cell r="P6913">
            <v>9.9659999999999993</v>
          </cell>
        </row>
        <row r="6914">
          <cell r="A6914" t="str">
            <v>PEE-041-625-2RLD</v>
          </cell>
          <cell r="G6914" t="str">
            <v>INDEV</v>
          </cell>
          <cell r="L6914">
            <v>40450</v>
          </cell>
          <cell r="M6914">
            <v>3.99</v>
          </cell>
          <cell r="P6914">
            <v>0.35</v>
          </cell>
        </row>
        <row r="6915">
          <cell r="A6915" t="str">
            <v>PEE-041-626-2RLD</v>
          </cell>
          <cell r="G6915" t="str">
            <v xml:space="preserve">CR   </v>
          </cell>
          <cell r="L6915">
            <v>38811</v>
          </cell>
          <cell r="M6915">
            <v>3.085</v>
          </cell>
          <cell r="P6915">
            <v>0.28349999999999997</v>
          </cell>
        </row>
        <row r="6916">
          <cell r="A6916" t="str">
            <v>PEE-041-628-2RLD</v>
          </cell>
          <cell r="G6916" t="str">
            <v>INDEV</v>
          </cell>
          <cell r="L6916">
            <v>41057</v>
          </cell>
          <cell r="M6916">
            <v>4.49</v>
          </cell>
          <cell r="P6916">
            <v>0.39109131403118036</v>
          </cell>
        </row>
        <row r="6917">
          <cell r="A6917" t="str">
            <v>PEE-041-629</v>
          </cell>
          <cell r="G6917" t="str">
            <v>IPFAB</v>
          </cell>
          <cell r="L6917">
            <v>38723</v>
          </cell>
          <cell r="M6917">
            <v>3.05</v>
          </cell>
          <cell r="P6917">
            <v>0.33350000000000002</v>
          </cell>
        </row>
        <row r="6918">
          <cell r="A6918" t="str">
            <v>PEE-041-629-2RLD</v>
          </cell>
          <cell r="G6918" t="str">
            <v xml:space="preserve">CR   </v>
          </cell>
          <cell r="L6918">
            <v>38811</v>
          </cell>
          <cell r="M6918">
            <v>3.085</v>
          </cell>
          <cell r="P6918">
            <v>0.3226</v>
          </cell>
        </row>
        <row r="6919">
          <cell r="A6919" t="str">
            <v>PEE-041-6303-2RSTLD</v>
          </cell>
          <cell r="G6919" t="str">
            <v>IDESP</v>
          </cell>
          <cell r="L6919">
            <v>38065</v>
          </cell>
          <cell r="M6919">
            <v>2.887</v>
          </cell>
          <cell r="P6919">
            <v>0.82</v>
          </cell>
        </row>
        <row r="6920">
          <cell r="A6920" t="str">
            <v>PEE-041-6304.2Z-HT</v>
          </cell>
          <cell r="G6920" t="str">
            <v>IPFAB</v>
          </cell>
          <cell r="L6920">
            <v>37942</v>
          </cell>
          <cell r="M6920">
            <v>2.87</v>
          </cell>
          <cell r="P6920">
            <v>1.25</v>
          </cell>
        </row>
        <row r="6921">
          <cell r="A6921" t="str">
            <v>PEE-041-6306-NR</v>
          </cell>
          <cell r="G6921" t="str">
            <v xml:space="preserve">CR   </v>
          </cell>
          <cell r="L6921">
            <v>38811</v>
          </cell>
          <cell r="M6921">
            <v>3.085</v>
          </cell>
          <cell r="P6921">
            <v>2.0569999999999999</v>
          </cell>
        </row>
        <row r="6922">
          <cell r="A6922" t="str">
            <v>PEE-041-6306-ZNR</v>
          </cell>
          <cell r="G6922" t="str">
            <v xml:space="preserve">INAC </v>
          </cell>
          <cell r="L6922">
            <v>37866</v>
          </cell>
          <cell r="M6922">
            <v>2.96</v>
          </cell>
          <cell r="P6922">
            <v>2.0844594594594597</v>
          </cell>
        </row>
        <row r="6923">
          <cell r="A6923" t="str">
            <v>PEE-041-6307-N</v>
          </cell>
          <cell r="G6923" t="str">
            <v xml:space="preserve">CR   </v>
          </cell>
          <cell r="L6923">
            <v>38811</v>
          </cell>
          <cell r="M6923">
            <v>3.085</v>
          </cell>
          <cell r="P6923">
            <v>2.5528</v>
          </cell>
        </row>
        <row r="6924">
          <cell r="A6924" t="str">
            <v>PEE-041-6308-2RLD-C3</v>
          </cell>
          <cell r="G6924" t="str">
            <v xml:space="preserve">INAC </v>
          </cell>
          <cell r="L6924">
            <v>42907</v>
          </cell>
          <cell r="M6924">
            <v>16.37</v>
          </cell>
          <cell r="P6924">
            <v>6.2840562003665239</v>
          </cell>
        </row>
        <row r="6925">
          <cell r="A6925" t="str">
            <v>PEE-041-6308-2RS</v>
          </cell>
          <cell r="G6925" t="str">
            <v xml:space="preserve">INAC </v>
          </cell>
          <cell r="L6925">
            <v>37844</v>
          </cell>
          <cell r="M6925">
            <v>2.9279999999999999</v>
          </cell>
          <cell r="P6925">
            <v>4.0744535519125682</v>
          </cell>
        </row>
        <row r="6926">
          <cell r="A6926" t="str">
            <v>PEE-041-6308-D-C0</v>
          </cell>
          <cell r="G6926" t="str">
            <v>INPEE</v>
          </cell>
          <cell r="L6926">
            <v>39010</v>
          </cell>
          <cell r="M6926">
            <v>3.089</v>
          </cell>
          <cell r="P6926">
            <v>1.87</v>
          </cell>
        </row>
        <row r="6927">
          <cell r="A6927" t="str">
            <v>PEE-041-6308-D-C3</v>
          </cell>
          <cell r="G6927" t="str">
            <v>INPEE</v>
          </cell>
          <cell r="L6927">
            <v>39157</v>
          </cell>
          <cell r="M6927">
            <v>3.0979999999999999</v>
          </cell>
          <cell r="P6927">
            <v>1.68</v>
          </cell>
        </row>
        <row r="6928">
          <cell r="A6928" t="str">
            <v>PEE-041-6309-2RLD</v>
          </cell>
          <cell r="G6928" t="str">
            <v xml:space="preserve">CR   </v>
          </cell>
          <cell r="L6928">
            <v>40428.376423611109</v>
          </cell>
          <cell r="M6928">
            <v>3.97</v>
          </cell>
          <cell r="P6928">
            <v>3.7450000000000001</v>
          </cell>
        </row>
        <row r="6929">
          <cell r="A6929" t="str">
            <v>PEE-041-6309-2RST</v>
          </cell>
          <cell r="G6929" t="str">
            <v>IPFAP</v>
          </cell>
          <cell r="L6929">
            <v>42248</v>
          </cell>
          <cell r="M6929">
            <v>9.35</v>
          </cell>
          <cell r="P6929">
            <v>4.3390053475935826</v>
          </cell>
        </row>
        <row r="6930">
          <cell r="A6930" t="str">
            <v>PEE-041-6309-2RST-C3</v>
          </cell>
          <cell r="G6930" t="str">
            <v xml:space="preserve">CR   </v>
          </cell>
          <cell r="L6930">
            <v>40428.376423611109</v>
          </cell>
          <cell r="M6930">
            <v>3.97</v>
          </cell>
          <cell r="P6930">
            <v>4.3390000000000004</v>
          </cell>
        </row>
        <row r="6931">
          <cell r="A6931" t="str">
            <v>PEE-041-6310-2RLD</v>
          </cell>
          <cell r="G6931" t="str">
            <v>INDEV</v>
          </cell>
          <cell r="L6931">
            <v>39048</v>
          </cell>
          <cell r="M6931">
            <v>3.0750000000000002</v>
          </cell>
          <cell r="P6931">
            <v>3.6193495934959348</v>
          </cell>
        </row>
        <row r="6932">
          <cell r="A6932" t="str">
            <v>PEE-041-6310-2RLD-K</v>
          </cell>
          <cell r="G6932" t="str">
            <v>IPFAB</v>
          </cell>
          <cell r="L6932">
            <v>38847</v>
          </cell>
          <cell r="M6932">
            <v>3.0409999999999999</v>
          </cell>
          <cell r="P6932">
            <v>5.5880000000000001</v>
          </cell>
        </row>
        <row r="6933">
          <cell r="A6933" t="str">
            <v>PEE-041-6312</v>
          </cell>
          <cell r="G6933" t="str">
            <v xml:space="preserve">INAC </v>
          </cell>
          <cell r="L6933">
            <v>38775</v>
          </cell>
          <cell r="M6933">
            <v>3.0750000000000002</v>
          </cell>
          <cell r="P6933">
            <v>11.529918699186991</v>
          </cell>
        </row>
        <row r="6934">
          <cell r="A6934" t="str">
            <v>PEE-041-6313-C3</v>
          </cell>
          <cell r="G6934" t="str">
            <v>IDESP</v>
          </cell>
          <cell r="L6934">
            <v>40918</v>
          </cell>
          <cell r="M6934">
            <v>4.33</v>
          </cell>
          <cell r="P6934">
            <v>13.05</v>
          </cell>
        </row>
        <row r="6935">
          <cell r="A6935" t="str">
            <v>PEE-041-6805-2RS-C3</v>
          </cell>
          <cell r="G6935" t="str">
            <v>IPFAB</v>
          </cell>
          <cell r="L6935">
            <v>38982</v>
          </cell>
          <cell r="M6935">
            <v>3.0990000000000002</v>
          </cell>
          <cell r="P6935">
            <v>0.442</v>
          </cell>
        </row>
        <row r="6936">
          <cell r="A6936" t="str">
            <v>PEE-041-6905-2RLD-C0</v>
          </cell>
          <cell r="G6936" t="str">
            <v xml:space="preserve">CR   </v>
          </cell>
          <cell r="L6936">
            <v>40428.376423611109</v>
          </cell>
          <cell r="M6936">
            <v>3.97</v>
          </cell>
          <cell r="P6936">
            <v>1.232</v>
          </cell>
        </row>
        <row r="6937">
          <cell r="A6937" t="str">
            <v>PEE-041-6905-2RLD-C3</v>
          </cell>
          <cell r="G6937" t="str">
            <v xml:space="preserve">CR   </v>
          </cell>
          <cell r="L6937">
            <v>40428.376423611109</v>
          </cell>
          <cell r="M6937">
            <v>3.97</v>
          </cell>
          <cell r="P6937">
            <v>0.502</v>
          </cell>
        </row>
        <row r="6938">
          <cell r="A6938" t="str">
            <v>PEE-041-6905-2RS</v>
          </cell>
          <cell r="G6938" t="str">
            <v xml:space="preserve">CR   </v>
          </cell>
          <cell r="L6938">
            <v>38811</v>
          </cell>
          <cell r="M6938">
            <v>3.085</v>
          </cell>
          <cell r="P6938">
            <v>1.1854</v>
          </cell>
        </row>
        <row r="6939">
          <cell r="A6939" t="str">
            <v>PEE-041-99502-H</v>
          </cell>
          <cell r="G6939" t="str">
            <v>IDESP</v>
          </cell>
          <cell r="L6939">
            <v>39062</v>
          </cell>
          <cell r="M6939">
            <v>3.0579999999999998</v>
          </cell>
          <cell r="P6939">
            <v>0.36</v>
          </cell>
        </row>
        <row r="6940">
          <cell r="A6940" t="str">
            <v>PEE-041-CF5202-2RST-</v>
          </cell>
          <cell r="G6940" t="str">
            <v xml:space="preserve">INAC </v>
          </cell>
          <cell r="L6940">
            <v>43080</v>
          </cell>
          <cell r="M6940">
            <v>17.64</v>
          </cell>
          <cell r="P6940">
            <v>11.648163265306122</v>
          </cell>
        </row>
        <row r="6941">
          <cell r="A6941" t="str">
            <v>PEE-041-EE-3-ZZ</v>
          </cell>
          <cell r="G6941" t="str">
            <v>IPFAB</v>
          </cell>
          <cell r="L6941">
            <v>38819</v>
          </cell>
          <cell r="M6941">
            <v>3.077</v>
          </cell>
          <cell r="P6941">
            <v>2.6372</v>
          </cell>
        </row>
        <row r="6942">
          <cell r="A6942" t="str">
            <v>PEE-041-FHRL-6004-12</v>
          </cell>
          <cell r="G6942" t="str">
            <v>IDESP</v>
          </cell>
          <cell r="L6942">
            <v>40918</v>
          </cell>
          <cell r="M6942">
            <v>4.33</v>
          </cell>
          <cell r="P6942">
            <v>3.94</v>
          </cell>
        </row>
        <row r="6943">
          <cell r="A6943" t="str">
            <v>PEE-041-FHRL-6005-16</v>
          </cell>
          <cell r="G6943" t="str">
            <v>INDEV</v>
          </cell>
          <cell r="L6943">
            <v>41071</v>
          </cell>
          <cell r="M6943">
            <v>4.5</v>
          </cell>
          <cell r="P6943">
            <v>2.4470000000000001</v>
          </cell>
        </row>
        <row r="6944">
          <cell r="A6944" t="str">
            <v>PEE-041-FHRL-6006-19</v>
          </cell>
          <cell r="G6944" t="str">
            <v>IDESP</v>
          </cell>
          <cell r="L6944">
            <v>40779</v>
          </cell>
          <cell r="M6944">
            <v>4.21</v>
          </cell>
          <cell r="P6944">
            <v>8.15</v>
          </cell>
        </row>
        <row r="6945">
          <cell r="A6945" t="str">
            <v>PEE-041-SS-6203-2RSM</v>
          </cell>
          <cell r="G6945" t="str">
            <v>IPFAB</v>
          </cell>
          <cell r="L6945">
            <v>38895</v>
          </cell>
          <cell r="M6945">
            <v>3.0859999999999999</v>
          </cell>
          <cell r="P6945">
            <v>1.4890000000000001</v>
          </cell>
        </row>
        <row r="6946">
          <cell r="A6946" t="str">
            <v>PEE-041-SS-6204-2RSM</v>
          </cell>
          <cell r="G6946" t="str">
            <v>IPFAB</v>
          </cell>
          <cell r="L6946">
            <v>38686</v>
          </cell>
          <cell r="M6946">
            <v>2.976</v>
          </cell>
          <cell r="P6946">
            <v>1.97</v>
          </cell>
        </row>
        <row r="6947">
          <cell r="A6947" t="str">
            <v>PEE-041-SS-6204-HO</v>
          </cell>
          <cell r="G6947" t="str">
            <v>IPFAB</v>
          </cell>
          <cell r="L6947">
            <v>38895</v>
          </cell>
          <cell r="M6947">
            <v>3.0859999999999999</v>
          </cell>
          <cell r="P6947">
            <v>2.38</v>
          </cell>
        </row>
        <row r="6948">
          <cell r="A6948" t="str">
            <v>PEE-041-SS-6205-2RSM</v>
          </cell>
          <cell r="G6948" t="str">
            <v>IPFAB</v>
          </cell>
          <cell r="L6948">
            <v>38686</v>
          </cell>
          <cell r="M6948">
            <v>2.976</v>
          </cell>
          <cell r="P6948">
            <v>2.6349999999999998</v>
          </cell>
        </row>
        <row r="6949">
          <cell r="A6949" t="str">
            <v>PEE-041-SS-6206-2RS</v>
          </cell>
          <cell r="G6949" t="str">
            <v xml:space="preserve">CR   </v>
          </cell>
          <cell r="L6949">
            <v>38811</v>
          </cell>
          <cell r="M6949">
            <v>3.085</v>
          </cell>
          <cell r="P6949">
            <v>6.5435999999999996</v>
          </cell>
        </row>
        <row r="6950">
          <cell r="A6950" t="str">
            <v>PEE-041-SS-6206-2RSM</v>
          </cell>
          <cell r="G6950" t="str">
            <v>IPFAB</v>
          </cell>
          <cell r="L6950">
            <v>38686</v>
          </cell>
          <cell r="M6950">
            <v>2.976</v>
          </cell>
          <cell r="P6950">
            <v>4.181</v>
          </cell>
        </row>
        <row r="6951">
          <cell r="A6951" t="str">
            <v>PEE-041-SS-6301-HO</v>
          </cell>
          <cell r="G6951" t="str">
            <v>IPFAB</v>
          </cell>
          <cell r="L6951">
            <v>39603</v>
          </cell>
          <cell r="M6951">
            <v>3.0680000000000001</v>
          </cell>
          <cell r="P6951">
            <v>3.69</v>
          </cell>
        </row>
        <row r="6952">
          <cell r="A6952" t="str">
            <v>PEE-041-SS-6303-SB</v>
          </cell>
          <cell r="G6952" t="str">
            <v>IPFAP</v>
          </cell>
          <cell r="L6952">
            <v>41880</v>
          </cell>
          <cell r="M6952">
            <v>8.41</v>
          </cell>
          <cell r="P6952">
            <v>1.6771819262782401</v>
          </cell>
        </row>
        <row r="6953">
          <cell r="A6953" t="str">
            <v>PEE-041-W-5203-2RS</v>
          </cell>
          <cell r="G6953" t="str">
            <v>IDESP</v>
          </cell>
          <cell r="L6953">
            <v>39279</v>
          </cell>
          <cell r="M6953">
            <v>3.1</v>
          </cell>
          <cell r="P6953">
            <v>1.99</v>
          </cell>
        </row>
        <row r="6954">
          <cell r="A6954" t="str">
            <v>PEE-041-W-5204-2RS</v>
          </cell>
          <cell r="G6954" t="str">
            <v>INDEV</v>
          </cell>
          <cell r="L6954">
            <v>41667</v>
          </cell>
          <cell r="M6954">
            <v>8.02</v>
          </cell>
          <cell r="P6954">
            <v>2.59</v>
          </cell>
        </row>
        <row r="6955">
          <cell r="A6955" t="str">
            <v>PEE-042-21310-W33-C3</v>
          </cell>
          <cell r="G6955" t="str">
            <v xml:space="preserve">CR   </v>
          </cell>
          <cell r="L6955">
            <v>38624</v>
          </cell>
          <cell r="M6955">
            <v>2.915</v>
          </cell>
          <cell r="P6955">
            <v>21.449399656946827</v>
          </cell>
        </row>
        <row r="6956">
          <cell r="A6956" t="str">
            <v>PEE-042-21310CA3W33</v>
          </cell>
          <cell r="G6956" t="str">
            <v>IDESP</v>
          </cell>
          <cell r="L6956">
            <v>39377</v>
          </cell>
          <cell r="M6956">
            <v>3.1629999999999998</v>
          </cell>
          <cell r="P6956">
            <v>12.99</v>
          </cell>
        </row>
        <row r="6957">
          <cell r="A6957" t="str">
            <v>PEE-042-22205-CW33</v>
          </cell>
          <cell r="G6957" t="str">
            <v>IPFAB</v>
          </cell>
          <cell r="L6957">
            <v>38148</v>
          </cell>
          <cell r="M6957">
            <v>2.96</v>
          </cell>
          <cell r="P6957">
            <v>7.26</v>
          </cell>
        </row>
        <row r="6958">
          <cell r="A6958" t="str">
            <v>PEE-042-22205CW33C3</v>
          </cell>
          <cell r="G6958" t="str">
            <v xml:space="preserve">CR   </v>
          </cell>
          <cell r="L6958">
            <v>38811</v>
          </cell>
          <cell r="M6958">
            <v>3.085</v>
          </cell>
          <cell r="P6958">
            <v>3.0286</v>
          </cell>
        </row>
        <row r="6959">
          <cell r="A6959" t="str">
            <v>PEE-042-22206-CW33</v>
          </cell>
          <cell r="G6959" t="str">
            <v>IPFAB</v>
          </cell>
          <cell r="L6959">
            <v>40511</v>
          </cell>
          <cell r="M6959">
            <v>4</v>
          </cell>
          <cell r="P6959">
            <v>8.9097000000000008</v>
          </cell>
        </row>
        <row r="6960">
          <cell r="A6960" t="str">
            <v>PEE-042-22206-KW33</v>
          </cell>
          <cell r="G6960" t="str">
            <v xml:space="preserve">INAC </v>
          </cell>
          <cell r="L6960">
            <v>38741</v>
          </cell>
          <cell r="M6960">
            <v>3.0379999999999998</v>
          </cell>
          <cell r="P6960">
            <v>9.0651744568795269</v>
          </cell>
        </row>
        <row r="6961">
          <cell r="A6961" t="str">
            <v>PEE-042-22207-CKW33</v>
          </cell>
          <cell r="G6961" t="str">
            <v xml:space="preserve">CR   </v>
          </cell>
          <cell r="L6961">
            <v>38811</v>
          </cell>
          <cell r="M6961">
            <v>3.085</v>
          </cell>
          <cell r="P6961">
            <v>5.0537000000000001</v>
          </cell>
        </row>
        <row r="6962">
          <cell r="A6962" t="str">
            <v>PEE-042-22207CW33</v>
          </cell>
          <cell r="G6962" t="str">
            <v>IPFAB</v>
          </cell>
          <cell r="L6962">
            <v>39009</v>
          </cell>
          <cell r="M6962">
            <v>3.0910000000000002</v>
          </cell>
          <cell r="P6962">
            <v>9.3820770000000007</v>
          </cell>
        </row>
        <row r="6963">
          <cell r="A6963" t="str">
            <v>PEE-042-22207CW33C3</v>
          </cell>
          <cell r="G6963" t="str">
            <v xml:space="preserve">INAC </v>
          </cell>
          <cell r="L6963">
            <v>38880</v>
          </cell>
          <cell r="M6963">
            <v>3.0819999999999999</v>
          </cell>
          <cell r="P6963">
            <v>8.111615833874108</v>
          </cell>
        </row>
        <row r="6964">
          <cell r="A6964" t="str">
            <v>PEE-042-22208CKW33C3</v>
          </cell>
          <cell r="G6964" t="str">
            <v xml:space="preserve">CR   </v>
          </cell>
          <cell r="L6964">
            <v>38811</v>
          </cell>
          <cell r="M6964">
            <v>3.085</v>
          </cell>
          <cell r="P6964">
            <v>4.0288000000000004</v>
          </cell>
        </row>
        <row r="6965">
          <cell r="A6965" t="str">
            <v>PEE-042-22208CW33</v>
          </cell>
          <cell r="G6965" t="str">
            <v>IPFAB</v>
          </cell>
          <cell r="L6965">
            <v>39009</v>
          </cell>
          <cell r="M6965">
            <v>3.0910000000000002</v>
          </cell>
          <cell r="P6965">
            <v>11.699126</v>
          </cell>
        </row>
        <row r="6966">
          <cell r="A6966" t="str">
            <v>PEE-042-22209-CKW33</v>
          </cell>
          <cell r="G6966" t="str">
            <v xml:space="preserve">CR   </v>
          </cell>
          <cell r="L6966">
            <v>38811</v>
          </cell>
          <cell r="M6966">
            <v>3.085</v>
          </cell>
          <cell r="P6966">
            <v>6.4027000000000003</v>
          </cell>
        </row>
        <row r="6967">
          <cell r="A6967" t="str">
            <v>PEE-042-22209-CW33</v>
          </cell>
          <cell r="G6967" t="str">
            <v>IPFAB</v>
          </cell>
          <cell r="L6967">
            <v>39009</v>
          </cell>
          <cell r="M6967">
            <v>3.0910000000000002</v>
          </cell>
          <cell r="P6967">
            <v>12.266192</v>
          </cell>
        </row>
        <row r="6968">
          <cell r="A6968" t="str">
            <v>PEE-042-22210-CKW3C3</v>
          </cell>
          <cell r="G6968" t="str">
            <v>IPFAB</v>
          </cell>
          <cell r="L6968">
            <v>39009</v>
          </cell>
          <cell r="M6968">
            <v>3.0910000000000002</v>
          </cell>
          <cell r="P6968">
            <v>4</v>
          </cell>
        </row>
        <row r="6969">
          <cell r="A6969" t="str">
            <v>PEE-042-22210CW33</v>
          </cell>
          <cell r="G6969" t="str">
            <v>IPFAB</v>
          </cell>
          <cell r="L6969">
            <v>39009</v>
          </cell>
          <cell r="M6969">
            <v>3.0910000000000002</v>
          </cell>
          <cell r="P6969">
            <v>4</v>
          </cell>
        </row>
        <row r="6970">
          <cell r="A6970" t="str">
            <v>PEE-042-22210CW33C3</v>
          </cell>
          <cell r="G6970" t="str">
            <v>INDEV</v>
          </cell>
          <cell r="L6970">
            <v>39223</v>
          </cell>
          <cell r="M6970">
            <v>3.0779999999999998</v>
          </cell>
          <cell r="P6970">
            <v>4.151364522417154</v>
          </cell>
        </row>
        <row r="6971">
          <cell r="A6971" t="str">
            <v>PEE-042-22211-CKW3C3</v>
          </cell>
          <cell r="G6971" t="str">
            <v>INDEV</v>
          </cell>
          <cell r="L6971">
            <v>39666</v>
          </cell>
          <cell r="M6971">
            <v>3.0419999999999998</v>
          </cell>
          <cell r="P6971">
            <v>4.5724852071005921</v>
          </cell>
        </row>
        <row r="6972">
          <cell r="A6972" t="str">
            <v>PEE-042-22211CW33C3</v>
          </cell>
          <cell r="G6972" t="str">
            <v>INDEV</v>
          </cell>
          <cell r="L6972">
            <v>40736</v>
          </cell>
          <cell r="M6972">
            <v>4.1500000000000004</v>
          </cell>
          <cell r="P6972">
            <v>3.399180722891566</v>
          </cell>
        </row>
        <row r="6973">
          <cell r="A6973" t="str">
            <v>PEE-042-22212CKW33C3</v>
          </cell>
          <cell r="G6973" t="str">
            <v xml:space="preserve">CR   </v>
          </cell>
          <cell r="L6973">
            <v>38811</v>
          </cell>
          <cell r="M6973">
            <v>3.085</v>
          </cell>
          <cell r="P6973">
            <v>6.2633000000000001</v>
          </cell>
        </row>
        <row r="6974">
          <cell r="A6974" t="str">
            <v>PEE-042-22212CW33C3</v>
          </cell>
          <cell r="G6974" t="str">
            <v>INDEV</v>
          </cell>
          <cell r="L6974">
            <v>39575</v>
          </cell>
          <cell r="M6974">
            <v>3.177</v>
          </cell>
          <cell r="P6974">
            <v>5.79241422725842</v>
          </cell>
        </row>
        <row r="6975">
          <cell r="A6975" t="str">
            <v>PEE-042-22213CKW33C3</v>
          </cell>
          <cell r="G6975" t="str">
            <v>InRet</v>
          </cell>
          <cell r="L6975">
            <v>40865</v>
          </cell>
          <cell r="M6975">
            <v>4.28</v>
          </cell>
          <cell r="P6975">
            <v>7.5236214953271014</v>
          </cell>
        </row>
        <row r="6976">
          <cell r="A6976" t="str">
            <v>PEE-042-22213CW33C3</v>
          </cell>
          <cell r="G6976" t="str">
            <v xml:space="preserve">CR   </v>
          </cell>
          <cell r="L6976">
            <v>38811</v>
          </cell>
          <cell r="M6976">
            <v>3.085</v>
          </cell>
          <cell r="P6976">
            <v>7.5945999999999998</v>
          </cell>
        </row>
        <row r="6977">
          <cell r="A6977" t="str">
            <v>PEE-042-22215-CK</v>
          </cell>
          <cell r="G6977" t="str">
            <v xml:space="preserve">CR   </v>
          </cell>
          <cell r="L6977">
            <v>38624</v>
          </cell>
          <cell r="M6977">
            <v>2.915</v>
          </cell>
          <cell r="P6977">
            <v>15.385199999999999</v>
          </cell>
        </row>
        <row r="6978">
          <cell r="A6978" t="str">
            <v>PEE-042-22215KMC3W33</v>
          </cell>
          <cell r="G6978" t="str">
            <v>INDEV</v>
          </cell>
          <cell r="L6978">
            <v>39223</v>
          </cell>
          <cell r="M6978">
            <v>3.0779999999999998</v>
          </cell>
          <cell r="P6978">
            <v>13.351656920077975</v>
          </cell>
        </row>
        <row r="6979">
          <cell r="A6979" t="str">
            <v>PEE-042-22216-C3W3</v>
          </cell>
          <cell r="G6979" t="str">
            <v>INDEV</v>
          </cell>
          <cell r="L6979">
            <v>39666</v>
          </cell>
          <cell r="M6979">
            <v>3.0419999999999998</v>
          </cell>
          <cell r="P6979">
            <v>17.324128862590403</v>
          </cell>
        </row>
        <row r="6980">
          <cell r="A6980" t="str">
            <v>PEE-042-22216-CKW3</v>
          </cell>
          <cell r="G6980" t="str">
            <v>INDEV</v>
          </cell>
          <cell r="L6980">
            <v>39223</v>
          </cell>
          <cell r="M6980">
            <v>3.0779999999999998</v>
          </cell>
          <cell r="P6980">
            <v>2.6640675763482782</v>
          </cell>
        </row>
        <row r="6981">
          <cell r="A6981" t="str">
            <v>PEE-042-22216C3W33MB</v>
          </cell>
          <cell r="G6981" t="str">
            <v xml:space="preserve">CR   </v>
          </cell>
          <cell r="L6981">
            <v>38811</v>
          </cell>
          <cell r="M6981">
            <v>3.085</v>
          </cell>
          <cell r="P6981">
            <v>12.2</v>
          </cell>
        </row>
        <row r="6982">
          <cell r="A6982" t="str">
            <v>PEE-042-22217CKW33C3</v>
          </cell>
          <cell r="G6982" t="str">
            <v>INDEV</v>
          </cell>
          <cell r="L6982">
            <v>39223</v>
          </cell>
          <cell r="M6982">
            <v>3.0779999999999998</v>
          </cell>
          <cell r="P6982">
            <v>10.383658219623133</v>
          </cell>
        </row>
        <row r="6983">
          <cell r="A6983" t="str">
            <v>PEE-042-22218-CWC3</v>
          </cell>
          <cell r="G6983" t="str">
            <v>IPFAP</v>
          </cell>
          <cell r="L6983">
            <v>42205</v>
          </cell>
          <cell r="M6983">
            <v>9.19</v>
          </cell>
          <cell r="P6983">
            <v>15.608269858541894</v>
          </cell>
        </row>
        <row r="6984">
          <cell r="A6984" t="str">
            <v>PEE-042-22218-KWC3</v>
          </cell>
          <cell r="G6984" t="str">
            <v>InRet</v>
          </cell>
          <cell r="L6984">
            <v>40224</v>
          </cell>
          <cell r="M6984">
            <v>3.87</v>
          </cell>
          <cell r="P6984">
            <v>15.756304909560724</v>
          </cell>
        </row>
        <row r="6985">
          <cell r="A6985" t="str">
            <v>PEE-042-22218CKW33C3</v>
          </cell>
          <cell r="G6985" t="str">
            <v>INDEV</v>
          </cell>
          <cell r="L6985">
            <v>39223</v>
          </cell>
          <cell r="M6985">
            <v>3.0779999999999998</v>
          </cell>
          <cell r="P6985">
            <v>12.137296946068878</v>
          </cell>
        </row>
        <row r="6986">
          <cell r="A6986" t="str">
            <v>PEE-042-22218CW33</v>
          </cell>
          <cell r="G6986" t="str">
            <v>INDEV</v>
          </cell>
          <cell r="L6986">
            <v>41051</v>
          </cell>
          <cell r="M6986">
            <v>4.4800000000000004</v>
          </cell>
          <cell r="P6986">
            <v>12.816004464285713</v>
          </cell>
        </row>
        <row r="6987">
          <cell r="A6987" t="str">
            <v>PEE-042-22218CW33C3</v>
          </cell>
          <cell r="G6987" t="str">
            <v>IPFAB</v>
          </cell>
          <cell r="L6987">
            <v>38658</v>
          </cell>
          <cell r="M6987">
            <v>2.992</v>
          </cell>
          <cell r="P6987">
            <v>13.0488</v>
          </cell>
        </row>
        <row r="6988">
          <cell r="A6988" t="str">
            <v>PEE-042-22218KMC3W33</v>
          </cell>
          <cell r="G6988" t="str">
            <v>IDESP</v>
          </cell>
          <cell r="L6988">
            <v>38758</v>
          </cell>
          <cell r="M6988">
            <v>3.0659999999999998</v>
          </cell>
          <cell r="P6988">
            <v>17.61</v>
          </cell>
        </row>
        <row r="6989">
          <cell r="A6989" t="str">
            <v>PEE-042-22219-CKW33</v>
          </cell>
          <cell r="G6989" t="str">
            <v xml:space="preserve">CR   </v>
          </cell>
          <cell r="L6989">
            <v>38811</v>
          </cell>
          <cell r="M6989">
            <v>3.085</v>
          </cell>
          <cell r="P6989">
            <v>17.587299999999999</v>
          </cell>
        </row>
        <row r="6990">
          <cell r="A6990" t="str">
            <v>PEE-042-22219-CW33</v>
          </cell>
          <cell r="G6990" t="str">
            <v xml:space="preserve">CR   </v>
          </cell>
          <cell r="L6990">
            <v>38811</v>
          </cell>
          <cell r="M6990">
            <v>3.085</v>
          </cell>
          <cell r="P6990">
            <v>17.587299999999999</v>
          </cell>
        </row>
        <row r="6991">
          <cell r="A6991" t="str">
            <v>PEE-042-22222-CW33</v>
          </cell>
          <cell r="G6991" t="str">
            <v xml:space="preserve">CR   </v>
          </cell>
          <cell r="L6991">
            <v>38811</v>
          </cell>
          <cell r="M6991">
            <v>3.085</v>
          </cell>
          <cell r="P6991">
            <v>22.661100000000001</v>
          </cell>
        </row>
        <row r="6992">
          <cell r="A6992" t="str">
            <v>PEE-042-22222KMC3W33</v>
          </cell>
          <cell r="G6992" t="str">
            <v>IDESP</v>
          </cell>
          <cell r="L6992">
            <v>38758</v>
          </cell>
          <cell r="M6992">
            <v>3.0659999999999998</v>
          </cell>
          <cell r="P6992">
            <v>25.7</v>
          </cell>
        </row>
        <row r="6993">
          <cell r="A6993" t="str">
            <v>PEE-042-22224CW33C3</v>
          </cell>
          <cell r="G6993" t="str">
            <v xml:space="preserve">CR   </v>
          </cell>
          <cell r="L6993">
            <v>38811</v>
          </cell>
          <cell r="M6993">
            <v>3.085</v>
          </cell>
          <cell r="P6993">
            <v>28.468399999999999</v>
          </cell>
        </row>
        <row r="6994">
          <cell r="A6994" t="str">
            <v>PEE-042-22309-CW33</v>
          </cell>
          <cell r="G6994" t="str">
            <v xml:space="preserve">INAC </v>
          </cell>
          <cell r="L6994">
            <v>38765</v>
          </cell>
          <cell r="M6994">
            <v>3.0670000000000002</v>
          </cell>
          <cell r="P6994">
            <v>27.79589175089664</v>
          </cell>
        </row>
        <row r="6995">
          <cell r="A6995" t="str">
            <v>PEE-042-22309CKW33C3</v>
          </cell>
          <cell r="G6995" t="str">
            <v>INDEV</v>
          </cell>
          <cell r="L6995">
            <v>40980</v>
          </cell>
          <cell r="M6995">
            <v>4.3600000000000003</v>
          </cell>
          <cell r="P6995">
            <v>26.186903669724767</v>
          </cell>
        </row>
        <row r="6996">
          <cell r="A6996" t="str">
            <v>PEE-042-22310CW33C3</v>
          </cell>
          <cell r="G6996" t="str">
            <v xml:space="preserve">CR   </v>
          </cell>
          <cell r="L6996">
            <v>38811</v>
          </cell>
          <cell r="M6996">
            <v>3.085</v>
          </cell>
          <cell r="P6996">
            <v>8.0693000000000001</v>
          </cell>
        </row>
        <row r="6997">
          <cell r="A6997" t="str">
            <v>PEE-042-22311-CW33C3</v>
          </cell>
          <cell r="G6997" t="str">
            <v xml:space="preserve">INAC </v>
          </cell>
          <cell r="L6997">
            <v>38737</v>
          </cell>
          <cell r="M6997">
            <v>3.0459999999999998</v>
          </cell>
          <cell r="P6997">
            <v>25.443204202232437</v>
          </cell>
        </row>
        <row r="6998">
          <cell r="A6998" t="str">
            <v>PEE-042-22311-KW33C3</v>
          </cell>
          <cell r="G6998" t="str">
            <v>INDEV</v>
          </cell>
          <cell r="L6998">
            <v>40589</v>
          </cell>
          <cell r="M6998">
            <v>4.05</v>
          </cell>
          <cell r="P6998">
            <v>19.135802469135804</v>
          </cell>
        </row>
        <row r="6999">
          <cell r="A6999" t="str">
            <v>PEE-042-22312CW33C3</v>
          </cell>
          <cell r="G6999" t="str">
            <v xml:space="preserve">CR   </v>
          </cell>
          <cell r="L6999">
            <v>38811</v>
          </cell>
          <cell r="M6999">
            <v>3.085</v>
          </cell>
          <cell r="P6999">
            <v>10.2698</v>
          </cell>
        </row>
        <row r="7000">
          <cell r="A7000" t="str">
            <v>PEE-042-22314-C3W33</v>
          </cell>
          <cell r="G7000" t="str">
            <v xml:space="preserve">CR   </v>
          </cell>
          <cell r="L7000">
            <v>38811</v>
          </cell>
          <cell r="M7000">
            <v>3.085</v>
          </cell>
          <cell r="P7000">
            <v>16.59</v>
          </cell>
        </row>
        <row r="7001">
          <cell r="A7001" t="str">
            <v>PEE-042-22315CKW33C3</v>
          </cell>
          <cell r="G7001" t="str">
            <v xml:space="preserve">INAC </v>
          </cell>
          <cell r="L7001">
            <v>39219</v>
          </cell>
          <cell r="M7001">
            <v>3.077</v>
          </cell>
          <cell r="P7001">
            <v>42.95580110497238</v>
          </cell>
        </row>
        <row r="7002">
          <cell r="A7002" t="str">
            <v>PEE-042-22315CW33C3</v>
          </cell>
          <cell r="G7002" t="str">
            <v xml:space="preserve">CR   </v>
          </cell>
          <cell r="L7002">
            <v>38811</v>
          </cell>
          <cell r="M7002">
            <v>3.085</v>
          </cell>
          <cell r="P7002">
            <v>19.4497</v>
          </cell>
        </row>
        <row r="7003">
          <cell r="A7003" t="str">
            <v>PEE-042-22316-C3W33</v>
          </cell>
          <cell r="G7003" t="str">
            <v>IPFAB</v>
          </cell>
          <cell r="L7003">
            <v>38163</v>
          </cell>
          <cell r="M7003">
            <v>2.9470000000000001</v>
          </cell>
          <cell r="P7003">
            <v>1</v>
          </cell>
        </row>
        <row r="7004">
          <cell r="A7004" t="str">
            <v>PEE-042-22316CKW33C3</v>
          </cell>
          <cell r="G7004" t="str">
            <v>IPFAP</v>
          </cell>
          <cell r="L7004">
            <v>41806</v>
          </cell>
          <cell r="M7004">
            <v>8.16</v>
          </cell>
          <cell r="P7004">
            <v>22.772401960784315</v>
          </cell>
        </row>
        <row r="7005">
          <cell r="A7005" t="str">
            <v>PEE-042-22316CW33C3</v>
          </cell>
          <cell r="G7005" t="str">
            <v xml:space="preserve">CR   </v>
          </cell>
          <cell r="L7005">
            <v>38811</v>
          </cell>
          <cell r="M7005">
            <v>3.085</v>
          </cell>
          <cell r="P7005">
            <v>22.395499999999998</v>
          </cell>
        </row>
        <row r="7006">
          <cell r="A7006" t="str">
            <v>PEE-042-22317-C3W33</v>
          </cell>
          <cell r="G7006" t="str">
            <v xml:space="preserve">CR   </v>
          </cell>
          <cell r="L7006">
            <v>38811</v>
          </cell>
          <cell r="M7006">
            <v>3.085</v>
          </cell>
          <cell r="P7006">
            <v>24.89</v>
          </cell>
        </row>
        <row r="7007">
          <cell r="A7007" t="str">
            <v>PEE-042-22317CW33C3</v>
          </cell>
          <cell r="G7007" t="str">
            <v xml:space="preserve">CR   </v>
          </cell>
          <cell r="L7007">
            <v>38811</v>
          </cell>
          <cell r="M7007">
            <v>3.085</v>
          </cell>
          <cell r="P7007">
            <v>23.721699999999998</v>
          </cell>
        </row>
        <row r="7008">
          <cell r="A7008" t="str">
            <v>PEE-042-22318CW33C3</v>
          </cell>
          <cell r="G7008" t="str">
            <v>INDEV</v>
          </cell>
          <cell r="L7008">
            <v>38978</v>
          </cell>
          <cell r="M7008">
            <v>3.0979999999999999</v>
          </cell>
          <cell r="P7008">
            <v>28.573305358295677</v>
          </cell>
        </row>
        <row r="7009">
          <cell r="A7009" t="str">
            <v>PEE-043-1204</v>
          </cell>
          <cell r="G7009" t="str">
            <v xml:space="preserve">CR   </v>
          </cell>
          <cell r="L7009">
            <v>38811</v>
          </cell>
          <cell r="M7009">
            <v>3.085</v>
          </cell>
          <cell r="P7009">
            <v>0.99660000000000004</v>
          </cell>
        </row>
        <row r="7010">
          <cell r="A7010" t="str">
            <v>PEE-043-5209-TN</v>
          </cell>
          <cell r="G7010" t="str">
            <v>INDEV</v>
          </cell>
          <cell r="L7010">
            <v>41362</v>
          </cell>
          <cell r="M7010">
            <v>5.09</v>
          </cell>
          <cell r="P7010">
            <v>5.2460707269155211</v>
          </cell>
        </row>
        <row r="7011">
          <cell r="A7011" t="str">
            <v>PEE-043-5307-C3</v>
          </cell>
          <cell r="G7011" t="str">
            <v>IPFAB</v>
          </cell>
          <cell r="L7011">
            <v>39938</v>
          </cell>
          <cell r="M7011">
            <v>3.71</v>
          </cell>
          <cell r="P7011">
            <v>5.7080000000000002</v>
          </cell>
        </row>
        <row r="7012">
          <cell r="A7012" t="str">
            <v>PEE-043-6008-2RLD</v>
          </cell>
          <cell r="G7012" t="str">
            <v>INDEV</v>
          </cell>
          <cell r="L7012">
            <v>40476</v>
          </cell>
          <cell r="M7012">
            <v>3.98</v>
          </cell>
          <cell r="P7012">
            <v>1.6912060301507537</v>
          </cell>
        </row>
        <row r="7013">
          <cell r="A7013" t="str">
            <v>PEE-043-6009-2RLD</v>
          </cell>
          <cell r="G7013" t="str">
            <v xml:space="preserve">INAC </v>
          </cell>
          <cell r="L7013">
            <v>42907</v>
          </cell>
          <cell r="M7013">
            <v>16.37</v>
          </cell>
          <cell r="P7013">
            <v>2.2852779474648743</v>
          </cell>
        </row>
        <row r="7014">
          <cell r="A7014" t="str">
            <v>PEE-043-6012-2RS</v>
          </cell>
          <cell r="G7014" t="str">
            <v xml:space="preserve">CR   </v>
          </cell>
          <cell r="L7014">
            <v>40428.376423611109</v>
          </cell>
          <cell r="M7014">
            <v>3.97</v>
          </cell>
          <cell r="P7014">
            <v>3.8639999999999999</v>
          </cell>
        </row>
        <row r="7015">
          <cell r="A7015" t="str">
            <v>PEE-043-6201-2Z</v>
          </cell>
          <cell r="G7015" t="str">
            <v xml:space="preserve">CR   </v>
          </cell>
          <cell r="L7015">
            <v>38624</v>
          </cell>
          <cell r="M7015">
            <v>2.915</v>
          </cell>
          <cell r="P7015">
            <v>0.43849056603773584</v>
          </cell>
        </row>
        <row r="7016">
          <cell r="A7016" t="str">
            <v>PEE-043-629-2Z</v>
          </cell>
          <cell r="G7016" t="str">
            <v xml:space="preserve">INAC </v>
          </cell>
          <cell r="L7016">
            <v>37852</v>
          </cell>
          <cell r="M7016">
            <v>2.895</v>
          </cell>
          <cell r="P7016">
            <v>0.38687392055267705</v>
          </cell>
        </row>
        <row r="7017">
          <cell r="A7017" t="str">
            <v>PEE-045-FFH-209-HX</v>
          </cell>
          <cell r="G7017" t="str">
            <v>IPFAB</v>
          </cell>
          <cell r="L7017">
            <v>40710</v>
          </cell>
          <cell r="M7017">
            <v>4.13</v>
          </cell>
          <cell r="P7017">
            <v>0.24210000000000001</v>
          </cell>
        </row>
        <row r="7018">
          <cell r="A7018" t="str">
            <v>PEE-045-PB-7-Z</v>
          </cell>
          <cell r="G7018" t="str">
            <v>INIMP</v>
          </cell>
          <cell r="L7018">
            <v>38799</v>
          </cell>
          <cell r="M7018">
            <v>3.0750000000000002</v>
          </cell>
          <cell r="P7018">
            <v>3.6</v>
          </cell>
        </row>
        <row r="7019">
          <cell r="A7019" t="str">
            <v>PEE-045-PF-3-Z</v>
          </cell>
          <cell r="G7019" t="str">
            <v xml:space="preserve">CR   </v>
          </cell>
          <cell r="L7019">
            <v>38811</v>
          </cell>
          <cell r="M7019">
            <v>3.085</v>
          </cell>
          <cell r="P7019">
            <v>0.24160000000000001</v>
          </cell>
        </row>
        <row r="7020">
          <cell r="A7020" t="str">
            <v>PEE-045-PF-4-Z</v>
          </cell>
          <cell r="G7020" t="str">
            <v xml:space="preserve">CR   </v>
          </cell>
          <cell r="L7020">
            <v>38811</v>
          </cell>
          <cell r="M7020">
            <v>3.085</v>
          </cell>
          <cell r="P7020">
            <v>0.29189999999999999</v>
          </cell>
        </row>
        <row r="7021">
          <cell r="A7021" t="str">
            <v>PEE-045-PF-4-ZSET</v>
          </cell>
          <cell r="G7021" t="str">
            <v xml:space="preserve">CR   </v>
          </cell>
          <cell r="L7021">
            <v>38624</v>
          </cell>
          <cell r="M7021">
            <v>2.915</v>
          </cell>
          <cell r="P7021">
            <v>1.0967</v>
          </cell>
        </row>
        <row r="7022">
          <cell r="A7022" t="str">
            <v>PEE-045-PF-5-Z</v>
          </cell>
          <cell r="G7022" t="str">
            <v>IPFAB</v>
          </cell>
          <cell r="L7022">
            <v>40981</v>
          </cell>
          <cell r="M7022">
            <v>4.3600000000000003</v>
          </cell>
          <cell r="P7022">
            <v>0.32550000000000001</v>
          </cell>
        </row>
        <row r="7023">
          <cell r="A7023" t="str">
            <v>PEE-045-PF-5-ZSET</v>
          </cell>
          <cell r="G7023" t="str">
            <v xml:space="preserve">CR   </v>
          </cell>
          <cell r="L7023">
            <v>38624</v>
          </cell>
          <cell r="M7023">
            <v>2.915</v>
          </cell>
          <cell r="P7023">
            <v>1.1377999999999999</v>
          </cell>
        </row>
        <row r="7024">
          <cell r="A7024" t="str">
            <v>PEE-045-PF-6-Z</v>
          </cell>
          <cell r="G7024" t="str">
            <v xml:space="preserve">INAC </v>
          </cell>
          <cell r="L7024">
            <v>38903</v>
          </cell>
          <cell r="M7024">
            <v>3.085</v>
          </cell>
          <cell r="P7024">
            <v>0.50233387358184767</v>
          </cell>
        </row>
        <row r="7025">
          <cell r="A7025" t="str">
            <v>PEE-045-PF-6-ZSET</v>
          </cell>
          <cell r="G7025" t="str">
            <v xml:space="preserve">CR   </v>
          </cell>
          <cell r="L7025">
            <v>37981</v>
          </cell>
          <cell r="M7025">
            <v>2.96</v>
          </cell>
          <cell r="P7025">
            <v>1.44</v>
          </cell>
        </row>
        <row r="7026">
          <cell r="A7026" t="str">
            <v>PEE-045-PF-7-Z</v>
          </cell>
          <cell r="G7026" t="str">
            <v>IPFAB</v>
          </cell>
          <cell r="L7026">
            <v>38888</v>
          </cell>
          <cell r="M7026">
            <v>3.0790000000000002</v>
          </cell>
          <cell r="P7026">
            <v>0.35</v>
          </cell>
        </row>
        <row r="7027">
          <cell r="A7027" t="str">
            <v>PEE-045-PF-7-ZB</v>
          </cell>
          <cell r="G7027" t="str">
            <v xml:space="preserve">CR   </v>
          </cell>
          <cell r="L7027">
            <v>38624</v>
          </cell>
          <cell r="M7027">
            <v>2.915</v>
          </cell>
          <cell r="P7027">
            <v>0.85070000000000001</v>
          </cell>
        </row>
        <row r="7028">
          <cell r="A7028" t="str">
            <v>PEE-045-PF-7-ZSET</v>
          </cell>
          <cell r="G7028" t="str">
            <v xml:space="preserve">CR   </v>
          </cell>
          <cell r="L7028">
            <v>38624</v>
          </cell>
          <cell r="M7028">
            <v>2.915</v>
          </cell>
          <cell r="P7028">
            <v>1.9065000000000001</v>
          </cell>
        </row>
        <row r="7029">
          <cell r="A7029" t="str">
            <v>PEE-045-PFF-10-Z</v>
          </cell>
          <cell r="G7029" t="str">
            <v xml:space="preserve">CR   </v>
          </cell>
          <cell r="L7029">
            <v>38811</v>
          </cell>
          <cell r="M7029">
            <v>3.085</v>
          </cell>
          <cell r="P7029">
            <v>1.4823</v>
          </cell>
        </row>
        <row r="7030">
          <cell r="A7030" t="str">
            <v>PEE-045-PFF-10-ZSET</v>
          </cell>
          <cell r="G7030" t="str">
            <v xml:space="preserve">CR   </v>
          </cell>
          <cell r="L7030">
            <v>38624</v>
          </cell>
          <cell r="M7030">
            <v>2.915</v>
          </cell>
          <cell r="P7030">
            <v>3.6797</v>
          </cell>
        </row>
        <row r="7031">
          <cell r="A7031" t="str">
            <v>PEE-045-PFF-11-R</v>
          </cell>
          <cell r="G7031" t="str">
            <v xml:space="preserve">CR   </v>
          </cell>
          <cell r="L7031">
            <v>38624</v>
          </cell>
          <cell r="M7031">
            <v>2.915</v>
          </cell>
          <cell r="P7031">
            <v>3.1261999999999999</v>
          </cell>
        </row>
        <row r="7032">
          <cell r="A7032" t="str">
            <v>PEE-045-PFF-11-Z</v>
          </cell>
          <cell r="G7032" t="str">
            <v xml:space="preserve">CR   </v>
          </cell>
          <cell r="L7032">
            <v>38811</v>
          </cell>
          <cell r="M7032">
            <v>3.085</v>
          </cell>
          <cell r="P7032">
            <v>1.8523000000000001</v>
          </cell>
        </row>
        <row r="7033">
          <cell r="A7033" t="str">
            <v>PEE-045-PFF-11-ZSET</v>
          </cell>
          <cell r="G7033" t="str">
            <v xml:space="preserve">CR   </v>
          </cell>
          <cell r="L7033">
            <v>38624</v>
          </cell>
          <cell r="M7033">
            <v>2.915</v>
          </cell>
          <cell r="P7033">
            <v>4.4074999999999998</v>
          </cell>
        </row>
        <row r="7034">
          <cell r="A7034" t="str">
            <v>PEE-045-PFF-6-Z</v>
          </cell>
          <cell r="G7034" t="str">
            <v xml:space="preserve">CR   </v>
          </cell>
          <cell r="L7034">
            <v>38811</v>
          </cell>
          <cell r="M7034">
            <v>3.085</v>
          </cell>
          <cell r="P7034">
            <v>0.52349999999999997</v>
          </cell>
        </row>
        <row r="7035">
          <cell r="A7035" t="str">
            <v>PEE-045-PFF-7-Z</v>
          </cell>
          <cell r="G7035" t="str">
            <v xml:space="preserve">INSI </v>
          </cell>
          <cell r="L7035">
            <v>39518</v>
          </cell>
          <cell r="M7035">
            <v>3.1579999999999999</v>
          </cell>
          <cell r="P7035">
            <v>0.56710000000000005</v>
          </cell>
        </row>
        <row r="7036">
          <cell r="A7036" t="str">
            <v>PEE-045-PFF-8-Z</v>
          </cell>
          <cell r="G7036" t="str">
            <v>IPFAB</v>
          </cell>
          <cell r="L7036">
            <v>40981</v>
          </cell>
          <cell r="M7036">
            <v>4.3600000000000003</v>
          </cell>
          <cell r="P7036">
            <v>1.0982000000000001</v>
          </cell>
        </row>
        <row r="7037">
          <cell r="A7037" t="str">
            <v>PEE-045-PFF-8-ZSET</v>
          </cell>
          <cell r="G7037" t="str">
            <v xml:space="preserve">INSI </v>
          </cell>
          <cell r="L7037">
            <v>39518</v>
          </cell>
          <cell r="M7037">
            <v>3.1579999999999999</v>
          </cell>
          <cell r="P7037">
            <v>2.8</v>
          </cell>
        </row>
        <row r="7038">
          <cell r="A7038" t="str">
            <v>PEE-045-PFF-9-Z</v>
          </cell>
          <cell r="G7038" t="str">
            <v xml:space="preserve">CR   </v>
          </cell>
          <cell r="L7038">
            <v>38811</v>
          </cell>
          <cell r="M7038">
            <v>3.085</v>
          </cell>
          <cell r="P7038">
            <v>1.2834000000000001</v>
          </cell>
        </row>
        <row r="7039">
          <cell r="A7039" t="str">
            <v>PEE-045-PFF-9-ZSET</v>
          </cell>
          <cell r="G7039" t="str">
            <v xml:space="preserve">CR   </v>
          </cell>
          <cell r="L7039">
            <v>38811</v>
          </cell>
          <cell r="M7039">
            <v>3.085</v>
          </cell>
          <cell r="P7039">
            <v>3.2134</v>
          </cell>
        </row>
        <row r="7040">
          <cell r="A7040" t="str">
            <v>PEE-045-PFL-3-Z</v>
          </cell>
          <cell r="G7040" t="str">
            <v xml:space="preserve">CR   </v>
          </cell>
          <cell r="L7040">
            <v>38811</v>
          </cell>
          <cell r="M7040">
            <v>3.085</v>
          </cell>
          <cell r="P7040">
            <v>0.25390000000000001</v>
          </cell>
        </row>
        <row r="7041">
          <cell r="A7041" t="str">
            <v>PEE-045-PFL-4-Z</v>
          </cell>
          <cell r="G7041" t="str">
            <v xml:space="preserve">INSI </v>
          </cell>
          <cell r="L7041">
            <v>39513</v>
          </cell>
          <cell r="M7041">
            <v>3.1520000000000001</v>
          </cell>
          <cell r="P7041">
            <v>0.17910000000000001</v>
          </cell>
        </row>
        <row r="7042">
          <cell r="A7042" t="str">
            <v>PEE-045-PFL-5-Z</v>
          </cell>
          <cell r="G7042" t="str">
            <v>INDEV</v>
          </cell>
          <cell r="L7042">
            <v>41735</v>
          </cell>
          <cell r="M7042">
            <v>8.0500000000000007</v>
          </cell>
          <cell r="P7042">
            <v>0.19900621118012421</v>
          </cell>
        </row>
        <row r="7043">
          <cell r="A7043" t="str">
            <v>PEE-045-PFL-6-Z</v>
          </cell>
          <cell r="G7043" t="str">
            <v>IPFAB</v>
          </cell>
          <cell r="L7043">
            <v>40981</v>
          </cell>
          <cell r="M7043">
            <v>4.3600000000000003</v>
          </cell>
          <cell r="P7043">
            <v>0.31769999999999998</v>
          </cell>
        </row>
        <row r="7044">
          <cell r="A7044" t="str">
            <v>PEE-045-PFL-7-Z</v>
          </cell>
          <cell r="G7044" t="str">
            <v xml:space="preserve">CR   </v>
          </cell>
          <cell r="L7044">
            <v>38811</v>
          </cell>
          <cell r="M7044">
            <v>3.085</v>
          </cell>
          <cell r="P7044">
            <v>0.42780000000000001</v>
          </cell>
        </row>
        <row r="7045">
          <cell r="A7045" t="str">
            <v>PEE-045-PFT-3-Z</v>
          </cell>
          <cell r="G7045" t="str">
            <v xml:space="preserve">CR   </v>
          </cell>
          <cell r="L7045">
            <v>38811</v>
          </cell>
          <cell r="M7045">
            <v>3.085</v>
          </cell>
          <cell r="P7045">
            <v>0.19120000000000001</v>
          </cell>
        </row>
        <row r="7046">
          <cell r="A7046" t="str">
            <v>PEE-045-PFT-4-Z</v>
          </cell>
          <cell r="G7046" t="str">
            <v xml:space="preserve">CR   </v>
          </cell>
          <cell r="L7046">
            <v>38624</v>
          </cell>
          <cell r="M7046">
            <v>2.915</v>
          </cell>
          <cell r="P7046">
            <v>0.22550000000000001</v>
          </cell>
        </row>
        <row r="7047">
          <cell r="A7047" t="str">
            <v>PEE-045-PFT-5-Z</v>
          </cell>
          <cell r="G7047" t="str">
            <v xml:space="preserve">INAC </v>
          </cell>
          <cell r="L7047">
            <v>39021</v>
          </cell>
          <cell r="M7047">
            <v>3.0939999999999999</v>
          </cell>
          <cell r="P7047">
            <v>0.55617323852617973</v>
          </cell>
        </row>
        <row r="7048">
          <cell r="A7048" t="str">
            <v>PEE-045-PFT-5-ZM</v>
          </cell>
          <cell r="G7048" t="str">
            <v xml:space="preserve">CR   </v>
          </cell>
          <cell r="L7048">
            <v>41103.497800925928</v>
          </cell>
          <cell r="M7048">
            <v>4.5599999999999996</v>
          </cell>
          <cell r="P7048">
            <v>0.83</v>
          </cell>
        </row>
        <row r="7049">
          <cell r="A7049" t="str">
            <v>PEE-045-PFT-5Z</v>
          </cell>
          <cell r="G7049" t="str">
            <v xml:space="preserve">INAC </v>
          </cell>
          <cell r="L7049">
            <v>39016</v>
          </cell>
          <cell r="M7049">
            <v>3.093</v>
          </cell>
          <cell r="P7049">
            <v>0.55635305528612999</v>
          </cell>
        </row>
        <row r="7050">
          <cell r="A7050" t="str">
            <v>PEE-045-PFT-6-Z</v>
          </cell>
          <cell r="G7050" t="str">
            <v xml:space="preserve">INSI </v>
          </cell>
          <cell r="L7050">
            <v>39518</v>
          </cell>
          <cell r="M7050">
            <v>3.1579999999999999</v>
          </cell>
          <cell r="P7050">
            <v>0.54120000000000001</v>
          </cell>
        </row>
        <row r="7051">
          <cell r="A7051" t="str">
            <v>PEE-045-PFT-7-Z</v>
          </cell>
          <cell r="G7051" t="str">
            <v>IPFAB</v>
          </cell>
          <cell r="L7051">
            <v>38888</v>
          </cell>
          <cell r="M7051">
            <v>3.0790000000000002</v>
          </cell>
          <cell r="P7051">
            <v>0.45500000000000002</v>
          </cell>
        </row>
        <row r="7052">
          <cell r="A7052" t="str">
            <v>PEE-045-PP-3-ZSET</v>
          </cell>
          <cell r="G7052" t="str">
            <v xml:space="preserve">CR   </v>
          </cell>
          <cell r="L7052">
            <v>38811</v>
          </cell>
          <cell r="M7052">
            <v>3.085</v>
          </cell>
          <cell r="P7052">
            <v>0.64429999999999998</v>
          </cell>
        </row>
        <row r="7053">
          <cell r="A7053" t="str">
            <v>PEE-045-PP-4-ZSET</v>
          </cell>
          <cell r="G7053" t="str">
            <v xml:space="preserve">INAC </v>
          </cell>
          <cell r="L7053">
            <v>42404</v>
          </cell>
          <cell r="M7053">
            <v>14.38</v>
          </cell>
          <cell r="P7053">
            <v>2.0785813630041723</v>
          </cell>
        </row>
        <row r="7054">
          <cell r="A7054" t="str">
            <v>PEE-045-PP-5-Z</v>
          </cell>
          <cell r="G7054" t="str">
            <v xml:space="preserve">CR   </v>
          </cell>
          <cell r="L7054">
            <v>37981</v>
          </cell>
          <cell r="M7054">
            <v>2.96</v>
          </cell>
          <cell r="P7054">
            <v>0.46</v>
          </cell>
        </row>
        <row r="7055">
          <cell r="A7055" t="str">
            <v>PEE-045-PP-5-ZSET</v>
          </cell>
          <cell r="G7055" t="str">
            <v xml:space="preserve">CR   </v>
          </cell>
          <cell r="L7055">
            <v>38811</v>
          </cell>
          <cell r="M7055">
            <v>3.085</v>
          </cell>
          <cell r="P7055">
            <v>0.44440000000000002</v>
          </cell>
        </row>
        <row r="7056">
          <cell r="A7056" t="str">
            <v>PEE-045-PP-6-ZSET</v>
          </cell>
          <cell r="G7056" t="str">
            <v xml:space="preserve">CR   </v>
          </cell>
          <cell r="L7056">
            <v>38811</v>
          </cell>
          <cell r="M7056">
            <v>3.085</v>
          </cell>
          <cell r="P7056">
            <v>0.99490000000000001</v>
          </cell>
        </row>
        <row r="7057">
          <cell r="A7057" t="str">
            <v>PEE-045-PP-7-ZSET</v>
          </cell>
          <cell r="G7057" t="str">
            <v>IPFAB</v>
          </cell>
          <cell r="L7057">
            <v>39107</v>
          </cell>
          <cell r="M7057">
            <v>3.0960000000000001</v>
          </cell>
          <cell r="P7057">
            <v>1.3131999999999999</v>
          </cell>
        </row>
        <row r="7058">
          <cell r="A7058" t="str">
            <v>PEE-047-176203-2RS</v>
          </cell>
          <cell r="G7058" t="str">
            <v xml:space="preserve">CR   </v>
          </cell>
          <cell r="L7058">
            <v>38624</v>
          </cell>
          <cell r="M7058">
            <v>2.915</v>
          </cell>
          <cell r="P7058">
            <v>2.419</v>
          </cell>
        </row>
        <row r="7059">
          <cell r="A7059" t="str">
            <v>PEE-047-176206-2RS</v>
          </cell>
          <cell r="G7059" t="str">
            <v>IPFAB</v>
          </cell>
          <cell r="L7059">
            <v>38216</v>
          </cell>
          <cell r="M7059">
            <v>3.0150000000000001</v>
          </cell>
          <cell r="P7059">
            <v>3.11</v>
          </cell>
        </row>
        <row r="7060">
          <cell r="A7060" t="str">
            <v>PEE-047-176208-2RS</v>
          </cell>
          <cell r="G7060" t="str">
            <v xml:space="preserve">CR   </v>
          </cell>
          <cell r="L7060">
            <v>38624</v>
          </cell>
          <cell r="M7060">
            <v>2.915</v>
          </cell>
          <cell r="P7060">
            <v>4.633</v>
          </cell>
        </row>
        <row r="7061">
          <cell r="A7061" t="str">
            <v>PEE-047-202-RRE</v>
          </cell>
          <cell r="G7061" t="str">
            <v>INDEV</v>
          </cell>
          <cell r="L7061">
            <v>41362</v>
          </cell>
          <cell r="M7061">
            <v>5.09</v>
          </cell>
          <cell r="P7061">
            <v>1.1667976424361493</v>
          </cell>
        </row>
        <row r="7062">
          <cell r="A7062" t="str">
            <v>PEE-047-203-KRR6</v>
          </cell>
          <cell r="G7062" t="str">
            <v>IDESP</v>
          </cell>
          <cell r="L7062">
            <v>40779</v>
          </cell>
          <cell r="M7062">
            <v>4.21</v>
          </cell>
          <cell r="P7062">
            <v>5.91</v>
          </cell>
        </row>
        <row r="7063">
          <cell r="A7063" t="str">
            <v>PEE-047-204-KPP2</v>
          </cell>
          <cell r="G7063" t="str">
            <v xml:space="preserve">CR   </v>
          </cell>
          <cell r="L7063">
            <v>38811</v>
          </cell>
          <cell r="M7063">
            <v>3.085</v>
          </cell>
          <cell r="P7063">
            <v>2.6263999999999998</v>
          </cell>
        </row>
        <row r="7064">
          <cell r="A7064" t="str">
            <v>PEE-047-205-NPP9</v>
          </cell>
          <cell r="G7064" t="str">
            <v xml:space="preserve">CR   </v>
          </cell>
          <cell r="L7064">
            <v>38624</v>
          </cell>
          <cell r="M7064">
            <v>2.915</v>
          </cell>
          <cell r="P7064">
            <v>2.4906999999999999</v>
          </cell>
        </row>
        <row r="7065">
          <cell r="A7065" t="str">
            <v>PEE-047-205KPP2</v>
          </cell>
          <cell r="G7065" t="str">
            <v xml:space="preserve">CR   </v>
          </cell>
          <cell r="L7065">
            <v>38811</v>
          </cell>
          <cell r="M7065">
            <v>3.085</v>
          </cell>
          <cell r="P7065">
            <v>2.3637000000000001</v>
          </cell>
        </row>
        <row r="7066">
          <cell r="A7066" t="str">
            <v>PEE-047-205KPPB2</v>
          </cell>
          <cell r="G7066" t="str">
            <v xml:space="preserve">CR   </v>
          </cell>
          <cell r="L7066">
            <v>38811</v>
          </cell>
          <cell r="M7066">
            <v>3.085</v>
          </cell>
          <cell r="P7066">
            <v>2.7262</v>
          </cell>
        </row>
        <row r="7067">
          <cell r="A7067" t="str">
            <v>PEE-047-206-KRRB</v>
          </cell>
          <cell r="G7067" t="str">
            <v>INDEV</v>
          </cell>
          <cell r="L7067">
            <v>40924</v>
          </cell>
          <cell r="M7067">
            <v>4.33</v>
          </cell>
          <cell r="P7067">
            <v>1.8433718244803694</v>
          </cell>
        </row>
        <row r="7068">
          <cell r="A7068" t="str">
            <v>PEE-047-207-KB17</v>
          </cell>
          <cell r="G7068" t="str">
            <v xml:space="preserve">CR   </v>
          </cell>
          <cell r="L7068">
            <v>38811</v>
          </cell>
          <cell r="M7068">
            <v>3.085</v>
          </cell>
          <cell r="P7068">
            <v>4.3973000000000004</v>
          </cell>
        </row>
        <row r="7069">
          <cell r="A7069" t="str">
            <v>PEE-047-207-KYY</v>
          </cell>
          <cell r="G7069" t="str">
            <v xml:space="preserve">CR   </v>
          </cell>
          <cell r="L7069">
            <v>38811</v>
          </cell>
          <cell r="M7069">
            <v>3.085</v>
          </cell>
          <cell r="P7069">
            <v>3.5034000000000001</v>
          </cell>
        </row>
        <row r="7070">
          <cell r="A7070" t="str">
            <v>PEE-047-6306-2RS*</v>
          </cell>
          <cell r="G7070" t="str">
            <v xml:space="preserve">INAC </v>
          </cell>
          <cell r="L7070">
            <v>42724</v>
          </cell>
          <cell r="M7070">
            <v>16.170000000000002</v>
          </cell>
          <cell r="P7070">
            <v>4.5021645021645016</v>
          </cell>
        </row>
        <row r="7071">
          <cell r="A7071" t="str">
            <v>PEE-047-AEL-202-15MM</v>
          </cell>
          <cell r="G7071" t="str">
            <v xml:space="preserve">CR   </v>
          </cell>
          <cell r="L7071">
            <v>38624</v>
          </cell>
          <cell r="M7071">
            <v>2.915</v>
          </cell>
          <cell r="P7071">
            <v>1.8859999999999999</v>
          </cell>
        </row>
        <row r="7072">
          <cell r="A7072" t="str">
            <v>PEE-047-AEL-204-20MM</v>
          </cell>
          <cell r="G7072" t="str">
            <v xml:space="preserve">CR   </v>
          </cell>
          <cell r="L7072">
            <v>38624</v>
          </cell>
          <cell r="M7072">
            <v>2.915</v>
          </cell>
          <cell r="P7072">
            <v>2.0396999999999998</v>
          </cell>
        </row>
        <row r="7073">
          <cell r="A7073" t="str">
            <v>PEE-047-AEL-205-14</v>
          </cell>
          <cell r="G7073" t="str">
            <v xml:space="preserve">CR   </v>
          </cell>
          <cell r="L7073">
            <v>38811</v>
          </cell>
          <cell r="M7073">
            <v>3.085</v>
          </cell>
          <cell r="P7073">
            <v>2.0991</v>
          </cell>
        </row>
        <row r="7074">
          <cell r="A7074" t="str">
            <v>PEE-047-AEL-205-16</v>
          </cell>
          <cell r="G7074" t="str">
            <v xml:space="preserve">CR   </v>
          </cell>
          <cell r="L7074">
            <v>38624</v>
          </cell>
          <cell r="M7074">
            <v>2.915</v>
          </cell>
          <cell r="P7074">
            <v>2.1627000000000001</v>
          </cell>
        </row>
        <row r="7075">
          <cell r="A7075" t="str">
            <v>PEE-047-AEL-205-25MM</v>
          </cell>
          <cell r="G7075" t="str">
            <v>INDEV</v>
          </cell>
          <cell r="L7075">
            <v>40273</v>
          </cell>
          <cell r="M7075">
            <v>3.89</v>
          </cell>
          <cell r="P7075">
            <v>1.9498971722365037</v>
          </cell>
        </row>
        <row r="7076">
          <cell r="A7076" t="str">
            <v>PEE-047-AEL-206-18*</v>
          </cell>
          <cell r="G7076" t="str">
            <v xml:space="preserve">CR   </v>
          </cell>
          <cell r="L7076">
            <v>38624</v>
          </cell>
          <cell r="M7076">
            <v>2.915</v>
          </cell>
          <cell r="P7076">
            <v>3.3107000000000002</v>
          </cell>
        </row>
        <row r="7077">
          <cell r="A7077" t="str">
            <v>PEE-047-AEL-206-19</v>
          </cell>
          <cell r="G7077" t="str">
            <v>IPFAB</v>
          </cell>
          <cell r="L7077">
            <v>39107</v>
          </cell>
          <cell r="M7077">
            <v>3.0960000000000001</v>
          </cell>
          <cell r="P7077">
            <v>2.6960999999999999</v>
          </cell>
        </row>
        <row r="7078">
          <cell r="A7078" t="str">
            <v>PEE-047-AEL-206-19*</v>
          </cell>
          <cell r="G7078" t="str">
            <v xml:space="preserve">CR   </v>
          </cell>
          <cell r="L7078">
            <v>38624</v>
          </cell>
          <cell r="M7078">
            <v>2.915</v>
          </cell>
          <cell r="P7078">
            <v>2.7572000000000001</v>
          </cell>
        </row>
        <row r="7079">
          <cell r="A7079" t="str">
            <v>PEE-047-AEL-206-20</v>
          </cell>
          <cell r="G7079" t="str">
            <v xml:space="preserve">CR   </v>
          </cell>
          <cell r="L7079">
            <v>38624</v>
          </cell>
          <cell r="M7079">
            <v>2.915</v>
          </cell>
          <cell r="P7079">
            <v>2.9007999999999998</v>
          </cell>
        </row>
        <row r="7080">
          <cell r="A7080" t="str">
            <v>PEE-047-AEL-206-30GO</v>
          </cell>
          <cell r="G7080" t="str">
            <v xml:space="preserve">CR   </v>
          </cell>
          <cell r="L7080">
            <v>38624</v>
          </cell>
          <cell r="M7080">
            <v>2.915</v>
          </cell>
          <cell r="P7080">
            <v>2.8085</v>
          </cell>
        </row>
        <row r="7081">
          <cell r="A7081" t="str">
            <v>PEE-047-AEL-206-30MM</v>
          </cell>
          <cell r="G7081" t="str">
            <v xml:space="preserve">CR   </v>
          </cell>
          <cell r="L7081">
            <v>38624</v>
          </cell>
          <cell r="M7081">
            <v>2.915</v>
          </cell>
          <cell r="P7081">
            <v>2.9007999999999998</v>
          </cell>
        </row>
        <row r="7082">
          <cell r="A7082" t="str">
            <v>PEE-047-AEL-207-20</v>
          </cell>
          <cell r="G7082" t="str">
            <v>INDEV</v>
          </cell>
          <cell r="L7082">
            <v>38251</v>
          </cell>
          <cell r="M7082">
            <v>2.996</v>
          </cell>
          <cell r="P7082">
            <v>3.0200267022696927</v>
          </cell>
        </row>
        <row r="7083">
          <cell r="A7083" t="str">
            <v>PEE-047-AEL-207-21</v>
          </cell>
          <cell r="G7083" t="str">
            <v xml:space="preserve">CR   </v>
          </cell>
          <cell r="L7083">
            <v>38811</v>
          </cell>
          <cell r="M7083">
            <v>3.085</v>
          </cell>
          <cell r="P7083">
            <v>3.9967000000000001</v>
          </cell>
        </row>
        <row r="7084">
          <cell r="A7084" t="str">
            <v>PEE-047-AEL-207-23</v>
          </cell>
          <cell r="G7084" t="str">
            <v xml:space="preserve">INSI </v>
          </cell>
          <cell r="L7084">
            <v>39664</v>
          </cell>
          <cell r="M7084">
            <v>3.0419999999999998</v>
          </cell>
          <cell r="P7084">
            <v>2.83501</v>
          </cell>
        </row>
        <row r="7085">
          <cell r="A7085" t="str">
            <v>PEE-047-AEL-207-35GO</v>
          </cell>
          <cell r="G7085" t="str">
            <v xml:space="preserve">CR   </v>
          </cell>
          <cell r="L7085">
            <v>38624</v>
          </cell>
          <cell r="M7085">
            <v>2.915</v>
          </cell>
          <cell r="P7085">
            <v>3.2185000000000001</v>
          </cell>
        </row>
        <row r="7086">
          <cell r="A7086" t="str">
            <v>PEE-047-AEL-207-35MM</v>
          </cell>
          <cell r="G7086" t="str">
            <v>INDEV</v>
          </cell>
          <cell r="L7086">
            <v>40000</v>
          </cell>
          <cell r="M7086">
            <v>3.81</v>
          </cell>
          <cell r="P7086">
            <v>3.63</v>
          </cell>
        </row>
        <row r="7087">
          <cell r="A7087" t="str">
            <v>PEE-047-AEL-208-24</v>
          </cell>
          <cell r="G7087" t="str">
            <v xml:space="preserve">CR   </v>
          </cell>
          <cell r="L7087">
            <v>38811</v>
          </cell>
          <cell r="M7087">
            <v>3.085</v>
          </cell>
          <cell r="P7087">
            <v>3.681</v>
          </cell>
        </row>
        <row r="7088">
          <cell r="A7088" t="str">
            <v>PEE-047-AEL-208-24GO</v>
          </cell>
          <cell r="G7088" t="str">
            <v>IDESP</v>
          </cell>
          <cell r="L7088">
            <v>39337</v>
          </cell>
          <cell r="M7088">
            <v>3.1469999999999998</v>
          </cell>
          <cell r="P7088">
            <v>3.32</v>
          </cell>
        </row>
        <row r="7089">
          <cell r="A7089" t="str">
            <v>PEE-047-AEL-208-40GO</v>
          </cell>
          <cell r="G7089" t="str">
            <v xml:space="preserve">CR   </v>
          </cell>
          <cell r="L7089">
            <v>38624</v>
          </cell>
          <cell r="M7089">
            <v>2.915</v>
          </cell>
          <cell r="P7089">
            <v>3.7925</v>
          </cell>
        </row>
        <row r="7090">
          <cell r="A7090" t="str">
            <v>PEE-047-AEL-209-45MM</v>
          </cell>
          <cell r="G7090" t="str">
            <v xml:space="preserve">CR   </v>
          </cell>
          <cell r="L7090">
            <v>38624</v>
          </cell>
          <cell r="M7090">
            <v>2.915</v>
          </cell>
          <cell r="P7090">
            <v>4.4485000000000001</v>
          </cell>
        </row>
        <row r="7091">
          <cell r="A7091" t="str">
            <v>PEE-047-AEL-210-31</v>
          </cell>
          <cell r="G7091" t="str">
            <v>InRet</v>
          </cell>
          <cell r="L7091">
            <v>40427</v>
          </cell>
          <cell r="M7091">
            <v>3.97</v>
          </cell>
          <cell r="P7091">
            <v>5.0349874055415613</v>
          </cell>
        </row>
        <row r="7092">
          <cell r="A7092" t="str">
            <v>PEE-047-AEL-210-50GO</v>
          </cell>
          <cell r="G7092" t="str">
            <v xml:space="preserve">CR   </v>
          </cell>
          <cell r="L7092">
            <v>38624</v>
          </cell>
          <cell r="M7092">
            <v>2.915</v>
          </cell>
          <cell r="P7092">
            <v>5.3811999999999998</v>
          </cell>
        </row>
        <row r="7093">
          <cell r="A7093" t="str">
            <v>PEE-047-AEL-210-50MM</v>
          </cell>
          <cell r="G7093" t="str">
            <v xml:space="preserve">CR   </v>
          </cell>
          <cell r="L7093">
            <v>37981</v>
          </cell>
          <cell r="M7093">
            <v>2.96</v>
          </cell>
          <cell r="P7093">
            <v>5.2</v>
          </cell>
        </row>
        <row r="7094">
          <cell r="A7094" t="str">
            <v>PEE-047-AH213902</v>
          </cell>
          <cell r="G7094" t="str">
            <v>IPFAB</v>
          </cell>
          <cell r="L7094">
            <v>39343</v>
          </cell>
          <cell r="M7094">
            <v>3.1349999999999998</v>
          </cell>
          <cell r="P7094">
            <v>10.91</v>
          </cell>
        </row>
        <row r="7095">
          <cell r="A7095" t="str">
            <v>PEE-047-BCC-112-SB2</v>
          </cell>
          <cell r="G7095" t="str">
            <v xml:space="preserve">CR   </v>
          </cell>
          <cell r="L7095">
            <v>38624</v>
          </cell>
          <cell r="M7095">
            <v>2.915</v>
          </cell>
          <cell r="P7095">
            <v>7.6772</v>
          </cell>
        </row>
        <row r="7096">
          <cell r="A7096" t="str">
            <v>PEE-047-F-203-MAMX</v>
          </cell>
          <cell r="G7096" t="str">
            <v xml:space="preserve">INAC </v>
          </cell>
          <cell r="L7096">
            <v>43438</v>
          </cell>
          <cell r="M7096">
            <v>37.4</v>
          </cell>
          <cell r="P7096">
            <v>2.6737967914438503</v>
          </cell>
        </row>
        <row r="7097">
          <cell r="A7097" t="str">
            <v>PEE-047-F-204-MAMX</v>
          </cell>
          <cell r="G7097" t="str">
            <v>INDEV</v>
          </cell>
          <cell r="L7097">
            <v>41456</v>
          </cell>
          <cell r="M7097">
            <v>5.39</v>
          </cell>
          <cell r="P7097">
            <v>0.44654916512059367</v>
          </cell>
        </row>
        <row r="7098">
          <cell r="A7098" t="str">
            <v>PEE-047-F-205-MAMX</v>
          </cell>
          <cell r="G7098" t="str">
            <v>INDEV</v>
          </cell>
          <cell r="L7098">
            <v>40037</v>
          </cell>
          <cell r="M7098">
            <v>3.84</v>
          </cell>
          <cell r="P7098">
            <v>0.67971354166666675</v>
          </cell>
        </row>
        <row r="7099">
          <cell r="A7099" t="str">
            <v>PEE-047-F-206-H</v>
          </cell>
          <cell r="G7099" t="str">
            <v>IPFAB</v>
          </cell>
          <cell r="L7099">
            <v>40267</v>
          </cell>
          <cell r="M7099">
            <v>3.89</v>
          </cell>
          <cell r="P7099">
            <v>0.98</v>
          </cell>
        </row>
        <row r="7100">
          <cell r="A7100" t="str">
            <v>PEE-047-F-206-MAMX</v>
          </cell>
          <cell r="G7100" t="str">
            <v>INDEV</v>
          </cell>
          <cell r="L7100">
            <v>39035</v>
          </cell>
          <cell r="M7100">
            <v>3.0760000000000001</v>
          </cell>
          <cell r="P7100">
            <v>1.1407997399219767</v>
          </cell>
        </row>
        <row r="7101">
          <cell r="A7101" t="str">
            <v>PEE-047-F-207-H</v>
          </cell>
          <cell r="G7101" t="str">
            <v xml:space="preserve">INAC </v>
          </cell>
          <cell r="L7101">
            <v>43152</v>
          </cell>
          <cell r="M7101">
            <v>20.190000000000001</v>
          </cell>
          <cell r="P7101">
            <v>5.1510648836057449</v>
          </cell>
        </row>
        <row r="7102">
          <cell r="A7102" t="str">
            <v>PEE-047-F-207-MAMX</v>
          </cell>
          <cell r="G7102" t="str">
            <v>IPFAB</v>
          </cell>
          <cell r="L7102">
            <v>39036</v>
          </cell>
          <cell r="M7102">
            <v>3.0720000000000001</v>
          </cell>
          <cell r="P7102">
            <v>1.1100000000000001</v>
          </cell>
        </row>
        <row r="7103">
          <cell r="A7103" t="str">
            <v>PEE-047-F-208-MAMX</v>
          </cell>
          <cell r="G7103" t="str">
            <v>INDEV</v>
          </cell>
          <cell r="L7103">
            <v>40037</v>
          </cell>
          <cell r="M7103">
            <v>3.84</v>
          </cell>
          <cell r="P7103">
            <v>1.4067447916666669</v>
          </cell>
        </row>
        <row r="7104">
          <cell r="A7104" t="str">
            <v>PEE-047-F-209-H</v>
          </cell>
          <cell r="G7104" t="str">
            <v>INDEV</v>
          </cell>
          <cell r="L7104">
            <v>39035</v>
          </cell>
          <cell r="M7104">
            <v>3.0760000000000001</v>
          </cell>
          <cell r="P7104">
            <v>1.5178803641092327</v>
          </cell>
        </row>
        <row r="7105">
          <cell r="A7105" t="str">
            <v>PEE-047-F-209-MAMX</v>
          </cell>
          <cell r="G7105" t="str">
            <v xml:space="preserve">INSI </v>
          </cell>
          <cell r="L7105">
            <v>40821</v>
          </cell>
          <cell r="M7105">
            <v>4.2300000000000004</v>
          </cell>
          <cell r="P7105">
            <v>1.7370000000000001</v>
          </cell>
        </row>
        <row r="7106">
          <cell r="A7106" t="str">
            <v>PEE-047-F-210-MAMX</v>
          </cell>
          <cell r="G7106" t="str">
            <v>IPFAB</v>
          </cell>
          <cell r="L7106">
            <v>40401</v>
          </cell>
          <cell r="M7106">
            <v>3.96</v>
          </cell>
          <cell r="P7106">
            <v>2.15</v>
          </cell>
        </row>
        <row r="7107">
          <cell r="A7107" t="str">
            <v>PEE-047-F-211-MAMX</v>
          </cell>
          <cell r="G7107" t="str">
            <v>IPFAB</v>
          </cell>
          <cell r="L7107">
            <v>39666</v>
          </cell>
          <cell r="M7107">
            <v>3.0419999999999998</v>
          </cell>
          <cell r="P7107">
            <v>2.5394000000000001</v>
          </cell>
        </row>
        <row r="7108">
          <cell r="A7108" t="str">
            <v>PEE-047-F-212-MAMX</v>
          </cell>
          <cell r="G7108" t="str">
            <v>INDEV</v>
          </cell>
          <cell r="L7108">
            <v>40883</v>
          </cell>
          <cell r="M7108">
            <v>4.3</v>
          </cell>
          <cell r="P7108">
            <v>3.43</v>
          </cell>
        </row>
        <row r="7109">
          <cell r="A7109" t="str">
            <v>PEE-047-F-213-MAMX</v>
          </cell>
          <cell r="G7109" t="str">
            <v>INDEV</v>
          </cell>
          <cell r="L7109">
            <v>41187</v>
          </cell>
          <cell r="M7109">
            <v>4.72</v>
          </cell>
          <cell r="P7109">
            <v>2.8005296610169492</v>
          </cell>
        </row>
        <row r="7110">
          <cell r="A7110" t="str">
            <v>PEE-047-F-214-MAMX</v>
          </cell>
          <cell r="G7110" t="str">
            <v xml:space="preserve">CR   </v>
          </cell>
          <cell r="L7110">
            <v>38811</v>
          </cell>
          <cell r="M7110">
            <v>3.085</v>
          </cell>
          <cell r="P7110">
            <v>3.9396</v>
          </cell>
        </row>
        <row r="7111">
          <cell r="A7111" t="str">
            <v>PEE-047-F-215-MAMX</v>
          </cell>
          <cell r="G7111" t="str">
            <v xml:space="preserve">CR   </v>
          </cell>
          <cell r="L7111">
            <v>38811</v>
          </cell>
          <cell r="M7111">
            <v>3.085</v>
          </cell>
          <cell r="P7111">
            <v>4.7316000000000003</v>
          </cell>
        </row>
        <row r="7112">
          <cell r="A7112" t="str">
            <v>PEE-047-F-216-MAMX</v>
          </cell>
          <cell r="G7112" t="str">
            <v xml:space="preserve">INAC </v>
          </cell>
          <cell r="L7112">
            <v>44264</v>
          </cell>
          <cell r="M7112">
            <v>95.25</v>
          </cell>
          <cell r="P7112">
            <v>15.61784776902887</v>
          </cell>
        </row>
        <row r="7113">
          <cell r="A7113" t="str">
            <v>PEE-047-F-217-MAMX</v>
          </cell>
          <cell r="G7113" t="str">
            <v xml:space="preserve">CR   </v>
          </cell>
          <cell r="L7113">
            <v>38624</v>
          </cell>
          <cell r="M7113">
            <v>2.915</v>
          </cell>
          <cell r="P7113">
            <v>8.9994999999999994</v>
          </cell>
        </row>
        <row r="7114">
          <cell r="A7114" t="str">
            <v>PEE-047-F-218-MAMX</v>
          </cell>
          <cell r="G7114" t="str">
            <v xml:space="preserve">CR   </v>
          </cell>
          <cell r="L7114">
            <v>38624</v>
          </cell>
          <cell r="M7114">
            <v>2.915</v>
          </cell>
          <cell r="P7114">
            <v>10.8752</v>
          </cell>
        </row>
        <row r="7115">
          <cell r="A7115" t="str">
            <v>PEE-047-F3X-204-XH</v>
          </cell>
          <cell r="G7115" t="str">
            <v>IDESP</v>
          </cell>
          <cell r="L7115">
            <v>39444</v>
          </cell>
          <cell r="M7115">
            <v>3.149</v>
          </cell>
          <cell r="P7115">
            <v>0.81</v>
          </cell>
        </row>
        <row r="7116">
          <cell r="A7116" t="str">
            <v>PEE-047-F3X-205-XH</v>
          </cell>
          <cell r="G7116" t="str">
            <v>IDESP</v>
          </cell>
          <cell r="L7116">
            <v>39444</v>
          </cell>
          <cell r="M7116">
            <v>3.149</v>
          </cell>
          <cell r="P7116">
            <v>0.94</v>
          </cell>
        </row>
        <row r="7117">
          <cell r="A7117" t="str">
            <v>PEE-047-F3X-206-XH</v>
          </cell>
          <cell r="G7117" t="str">
            <v>IDESP</v>
          </cell>
          <cell r="L7117">
            <v>39444</v>
          </cell>
          <cell r="M7117">
            <v>3.149</v>
          </cell>
          <cell r="P7117">
            <v>1.1100000000000001</v>
          </cell>
        </row>
        <row r="7118">
          <cell r="A7118" t="str">
            <v>PEE-047-F3X-207-XH</v>
          </cell>
          <cell r="G7118" t="str">
            <v>INDEV</v>
          </cell>
          <cell r="L7118">
            <v>39035</v>
          </cell>
          <cell r="M7118">
            <v>3.0760000000000001</v>
          </cell>
          <cell r="P7118">
            <v>1.1480819245773732</v>
          </cell>
        </row>
        <row r="7119">
          <cell r="A7119" t="str">
            <v>PEE-047-F4X-210-HB</v>
          </cell>
          <cell r="G7119" t="str">
            <v>INDEV</v>
          </cell>
          <cell r="L7119">
            <v>38945</v>
          </cell>
          <cell r="M7119">
            <v>3.08</v>
          </cell>
          <cell r="P7119">
            <v>1.883116883116883</v>
          </cell>
        </row>
        <row r="7120">
          <cell r="A7120" t="str">
            <v>PEE-047-F4X-210-HT</v>
          </cell>
          <cell r="G7120" t="str">
            <v>INDEV</v>
          </cell>
          <cell r="L7120">
            <v>38160</v>
          </cell>
          <cell r="M7120">
            <v>2.968</v>
          </cell>
          <cell r="P7120">
            <v>2.6178571428571429</v>
          </cell>
        </row>
        <row r="7121">
          <cell r="A7121" t="str">
            <v>PEE-047-FB-204-HA</v>
          </cell>
          <cell r="G7121" t="str">
            <v>IDESP</v>
          </cell>
          <cell r="L7121">
            <v>38957</v>
          </cell>
          <cell r="M7121">
            <v>3.0920000000000001</v>
          </cell>
          <cell r="P7121">
            <v>1.01</v>
          </cell>
        </row>
        <row r="7122">
          <cell r="A7122" t="str">
            <v>PEE-047-FB-205-HA</v>
          </cell>
          <cell r="G7122" t="str">
            <v>INDEV</v>
          </cell>
          <cell r="L7122">
            <v>39037</v>
          </cell>
          <cell r="M7122">
            <v>3.0680000000000001</v>
          </cell>
          <cell r="P7122">
            <v>1.1388526727509778</v>
          </cell>
        </row>
        <row r="7123">
          <cell r="A7123" t="str">
            <v>PEE-047-FB-206-HA</v>
          </cell>
          <cell r="G7123" t="str">
            <v>INDEV</v>
          </cell>
          <cell r="L7123">
            <v>39938</v>
          </cell>
          <cell r="M7123">
            <v>3.71</v>
          </cell>
          <cell r="P7123">
            <v>1.0751212938005392</v>
          </cell>
        </row>
        <row r="7124">
          <cell r="A7124" t="str">
            <v>PEE-047-FB-207-HA</v>
          </cell>
          <cell r="G7124" t="str">
            <v xml:space="preserve">CR   </v>
          </cell>
          <cell r="L7124">
            <v>41144.46875</v>
          </cell>
          <cell r="M7124">
            <v>4.63</v>
          </cell>
          <cell r="P7124">
            <v>1.75</v>
          </cell>
        </row>
        <row r="7125">
          <cell r="A7125" t="str">
            <v>PEE-047-FB-208-HA</v>
          </cell>
          <cell r="G7125" t="str">
            <v>IDESP</v>
          </cell>
          <cell r="L7125">
            <v>39062</v>
          </cell>
          <cell r="M7125">
            <v>3.0579999999999998</v>
          </cell>
          <cell r="P7125">
            <v>1.88</v>
          </cell>
        </row>
        <row r="7126">
          <cell r="A7126" t="str">
            <v>PEE-047-FB-209-HA</v>
          </cell>
          <cell r="G7126" t="str">
            <v>INDEV</v>
          </cell>
          <cell r="L7126">
            <v>39037</v>
          </cell>
          <cell r="M7126">
            <v>3.0680000000000001</v>
          </cell>
          <cell r="P7126">
            <v>2.0373533246414604</v>
          </cell>
        </row>
        <row r="7127">
          <cell r="A7127" t="str">
            <v>PEE-047-FB-210-HA</v>
          </cell>
          <cell r="G7127" t="str">
            <v xml:space="preserve">INAC </v>
          </cell>
          <cell r="L7127">
            <v>44355</v>
          </cell>
          <cell r="M7127">
            <v>100</v>
          </cell>
          <cell r="P7127">
            <v>11</v>
          </cell>
        </row>
        <row r="7128">
          <cell r="A7128" t="str">
            <v>PEE-047-FC-204-HMX</v>
          </cell>
          <cell r="G7128" t="str">
            <v>IDESP</v>
          </cell>
          <cell r="L7128">
            <v>39743</v>
          </cell>
          <cell r="M7128">
            <v>3.2109999999999999</v>
          </cell>
          <cell r="P7128">
            <v>1.35</v>
          </cell>
        </row>
        <row r="7129">
          <cell r="A7129" t="str">
            <v>PEE-047-FC-205-HMX</v>
          </cell>
          <cell r="G7129" t="str">
            <v xml:space="preserve">INSI </v>
          </cell>
          <cell r="L7129">
            <v>40821</v>
          </cell>
          <cell r="M7129">
            <v>4.2300000000000004</v>
          </cell>
          <cell r="P7129">
            <v>1.24</v>
          </cell>
        </row>
        <row r="7130">
          <cell r="A7130" t="str">
            <v>PEE-047-FC-206-HMX</v>
          </cell>
          <cell r="G7130" t="str">
            <v>IDESP</v>
          </cell>
          <cell r="L7130">
            <v>39743</v>
          </cell>
          <cell r="M7130">
            <v>3.2109999999999999</v>
          </cell>
          <cell r="P7130">
            <v>2.13</v>
          </cell>
        </row>
        <row r="7131">
          <cell r="A7131" t="str">
            <v>PEE-047-FC-207-HMX</v>
          </cell>
          <cell r="G7131" t="str">
            <v>IDESP</v>
          </cell>
          <cell r="L7131">
            <v>39863</v>
          </cell>
          <cell r="M7131">
            <v>3.51</v>
          </cell>
          <cell r="P7131">
            <v>3.21</v>
          </cell>
        </row>
        <row r="7132">
          <cell r="A7132" t="str">
            <v>PEE-047-FC-208-HMX</v>
          </cell>
          <cell r="G7132" t="str">
            <v>INDEV</v>
          </cell>
          <cell r="L7132">
            <v>40029</v>
          </cell>
          <cell r="M7132">
            <v>3.84</v>
          </cell>
          <cell r="P7132">
            <v>4.91</v>
          </cell>
        </row>
        <row r="7133">
          <cell r="A7133" t="str">
            <v>PEE-047-FC-209-HMX</v>
          </cell>
          <cell r="G7133" t="str">
            <v>IDESP</v>
          </cell>
          <cell r="L7133">
            <v>39573</v>
          </cell>
          <cell r="M7133">
            <v>3.1720000000000002</v>
          </cell>
          <cell r="P7133">
            <v>2.71</v>
          </cell>
        </row>
        <row r="7134">
          <cell r="A7134" t="str">
            <v>PEE-047-FC-212-H</v>
          </cell>
          <cell r="G7134" t="str">
            <v>INDEV</v>
          </cell>
          <cell r="L7134">
            <v>40309</v>
          </cell>
          <cell r="M7134">
            <v>3.91</v>
          </cell>
          <cell r="P7134">
            <v>7.8107416879795393</v>
          </cell>
        </row>
        <row r="7135">
          <cell r="A7135" t="str">
            <v>PEE-047-FC-213-H</v>
          </cell>
          <cell r="G7135" t="str">
            <v>IDESP</v>
          </cell>
          <cell r="L7135">
            <v>39743</v>
          </cell>
          <cell r="M7135">
            <v>3.2109999999999999</v>
          </cell>
          <cell r="P7135">
            <v>12.27</v>
          </cell>
        </row>
        <row r="7136">
          <cell r="A7136" t="str">
            <v>PEE-047-FC-214-HMX</v>
          </cell>
          <cell r="G7136" t="str">
            <v>IDESP</v>
          </cell>
          <cell r="L7136">
            <v>39743</v>
          </cell>
          <cell r="M7136">
            <v>3.2109999999999999</v>
          </cell>
          <cell r="P7136">
            <v>13.64</v>
          </cell>
        </row>
        <row r="7137">
          <cell r="A7137" t="str">
            <v>PEE-047-FC-215-H</v>
          </cell>
          <cell r="G7137" t="str">
            <v>IDESP</v>
          </cell>
          <cell r="L7137">
            <v>39743</v>
          </cell>
          <cell r="M7137">
            <v>3.2109999999999999</v>
          </cell>
          <cell r="P7137">
            <v>14.66</v>
          </cell>
        </row>
        <row r="7138">
          <cell r="A7138" t="str">
            <v>PEE-047-FD-204-KH</v>
          </cell>
          <cell r="G7138" t="str">
            <v xml:space="preserve">CR   </v>
          </cell>
          <cell r="L7138">
            <v>38811</v>
          </cell>
          <cell r="M7138">
            <v>3.085</v>
          </cell>
          <cell r="P7138">
            <v>1.2412000000000001</v>
          </cell>
        </row>
        <row r="7139">
          <cell r="A7139" t="str">
            <v>PEE-047-FD-205-XH</v>
          </cell>
          <cell r="G7139" t="str">
            <v>INDEV</v>
          </cell>
          <cell r="L7139">
            <v>39309</v>
          </cell>
          <cell r="M7139">
            <v>3.1469999999999998</v>
          </cell>
          <cell r="P7139">
            <v>0.82939307276771534</v>
          </cell>
        </row>
        <row r="7140">
          <cell r="A7140" t="str">
            <v>PEE-047-FD-206-XH</v>
          </cell>
          <cell r="G7140" t="str">
            <v>INDEV</v>
          </cell>
          <cell r="L7140">
            <v>39309</v>
          </cell>
          <cell r="M7140">
            <v>3.1469999999999998</v>
          </cell>
          <cell r="P7140">
            <v>1.0337146488719415</v>
          </cell>
        </row>
        <row r="7141">
          <cell r="A7141" t="str">
            <v>PEE-047-FH-204-12</v>
          </cell>
          <cell r="G7141" t="str">
            <v xml:space="preserve">CR   </v>
          </cell>
          <cell r="L7141">
            <v>38811</v>
          </cell>
          <cell r="M7141">
            <v>3.085</v>
          </cell>
          <cell r="P7141">
            <v>2.0234999999999999</v>
          </cell>
        </row>
        <row r="7142">
          <cell r="A7142" t="str">
            <v>PEE-047-FH-205-16</v>
          </cell>
          <cell r="G7142" t="str">
            <v>IPFAB</v>
          </cell>
          <cell r="L7142">
            <v>40305</v>
          </cell>
          <cell r="M7142">
            <v>3.91</v>
          </cell>
          <cell r="P7142">
            <v>1.68</v>
          </cell>
        </row>
        <row r="7143">
          <cell r="A7143" t="str">
            <v>PEE-047-FH-205-25MM</v>
          </cell>
          <cell r="G7143" t="str">
            <v xml:space="preserve">INSI </v>
          </cell>
          <cell r="L7143">
            <v>41222</v>
          </cell>
          <cell r="M7143">
            <v>4.79</v>
          </cell>
          <cell r="P7143">
            <v>4.6498999999999997</v>
          </cell>
        </row>
        <row r="7144">
          <cell r="A7144" t="str">
            <v>PEE-047-FH-206-18</v>
          </cell>
          <cell r="G7144" t="str">
            <v xml:space="preserve">CR   </v>
          </cell>
          <cell r="L7144">
            <v>40428.376423611109</v>
          </cell>
          <cell r="M7144">
            <v>3.97</v>
          </cell>
          <cell r="P7144">
            <v>2.6240000000000001</v>
          </cell>
        </row>
        <row r="7145">
          <cell r="A7145" t="str">
            <v>PEE-047-FH-206-20</v>
          </cell>
          <cell r="G7145" t="str">
            <v>IDESP</v>
          </cell>
          <cell r="L7145">
            <v>40779</v>
          </cell>
          <cell r="M7145">
            <v>4.21</v>
          </cell>
          <cell r="P7145">
            <v>4.97</v>
          </cell>
        </row>
        <row r="7146">
          <cell r="A7146" t="str">
            <v>PEE-047-FH-206-30MM</v>
          </cell>
          <cell r="G7146" t="str">
            <v xml:space="preserve">INAC </v>
          </cell>
          <cell r="L7146">
            <v>43171</v>
          </cell>
          <cell r="M7146">
            <v>20.57</v>
          </cell>
          <cell r="P7146">
            <v>4.9586776859504136</v>
          </cell>
        </row>
        <row r="7147">
          <cell r="A7147" t="str">
            <v>PEE-047-FH-207-20-GO</v>
          </cell>
          <cell r="G7147" t="str">
            <v xml:space="preserve">CR   </v>
          </cell>
          <cell r="L7147">
            <v>40428.376423611109</v>
          </cell>
          <cell r="M7147">
            <v>3.97</v>
          </cell>
          <cell r="P7147">
            <v>3.9380000000000002</v>
          </cell>
        </row>
        <row r="7148">
          <cell r="A7148" t="str">
            <v>PEE-047-FH-207-22</v>
          </cell>
          <cell r="G7148" t="str">
            <v>IDESP</v>
          </cell>
          <cell r="L7148">
            <v>40918</v>
          </cell>
          <cell r="M7148">
            <v>4.33</v>
          </cell>
          <cell r="P7148">
            <v>6.1</v>
          </cell>
        </row>
        <row r="7149">
          <cell r="A7149" t="str">
            <v>PEE-047-FH-207-35MM</v>
          </cell>
          <cell r="G7149" t="str">
            <v xml:space="preserve">INSI </v>
          </cell>
          <cell r="L7149">
            <v>41361</v>
          </cell>
          <cell r="M7149">
            <v>5.13</v>
          </cell>
          <cell r="P7149">
            <v>2.7362000000000002</v>
          </cell>
        </row>
        <row r="7150">
          <cell r="A7150" t="str">
            <v>PEE-047-FH-208-40-GO</v>
          </cell>
          <cell r="G7150" t="str">
            <v>IPFAB</v>
          </cell>
          <cell r="L7150">
            <v>37972</v>
          </cell>
          <cell r="M7150">
            <v>2.9670000000000001</v>
          </cell>
          <cell r="P7150">
            <v>3.22</v>
          </cell>
        </row>
        <row r="7151">
          <cell r="A7151" t="str">
            <v>PEE-047-FH-208-40-MM</v>
          </cell>
          <cell r="G7151" t="str">
            <v>INDEV</v>
          </cell>
          <cell r="L7151">
            <v>38006</v>
          </cell>
          <cell r="M7151">
            <v>2.8849999999999998</v>
          </cell>
          <cell r="P7151">
            <v>0.34662045060658581</v>
          </cell>
        </row>
        <row r="7152">
          <cell r="A7152" t="str">
            <v>PEE-047-FH-210-50MM</v>
          </cell>
          <cell r="G7152" t="str">
            <v>InRet</v>
          </cell>
          <cell r="L7152">
            <v>40897</v>
          </cell>
          <cell r="M7152">
            <v>4.3099999999999996</v>
          </cell>
          <cell r="P7152">
            <v>4.5581902552204188</v>
          </cell>
        </row>
        <row r="7153">
          <cell r="A7153" t="str">
            <v>PEE-047-FH-211-35-G</v>
          </cell>
          <cell r="G7153" t="str">
            <v>IPFAB</v>
          </cell>
          <cell r="L7153">
            <v>40640</v>
          </cell>
          <cell r="M7153">
            <v>4.08</v>
          </cell>
          <cell r="P7153">
            <v>1.1000000000000001</v>
          </cell>
        </row>
        <row r="7154">
          <cell r="A7154" t="str">
            <v>PEE-047-FH204-20MMGO</v>
          </cell>
          <cell r="G7154" t="str">
            <v>INDEV</v>
          </cell>
          <cell r="L7154">
            <v>41142</v>
          </cell>
          <cell r="M7154">
            <v>4.63</v>
          </cell>
          <cell r="P7154">
            <v>1.3760043196544276</v>
          </cell>
        </row>
        <row r="7155">
          <cell r="A7155" t="str">
            <v>PEE-047-FH205-25MMGO</v>
          </cell>
          <cell r="G7155" t="str">
            <v>INDEV</v>
          </cell>
          <cell r="L7155">
            <v>41368</v>
          </cell>
          <cell r="M7155">
            <v>5.13</v>
          </cell>
          <cell r="P7155">
            <v>1.6920077972709551</v>
          </cell>
        </row>
        <row r="7156">
          <cell r="A7156" t="str">
            <v>PEE-047-FH206-30MM-G</v>
          </cell>
          <cell r="G7156" t="str">
            <v>IDESP</v>
          </cell>
          <cell r="L7156">
            <v>39378</v>
          </cell>
          <cell r="M7156">
            <v>3.169</v>
          </cell>
          <cell r="P7156">
            <v>2.36</v>
          </cell>
        </row>
        <row r="7157">
          <cell r="A7157" t="str">
            <v>PEE-047-FH206-30MMGO</v>
          </cell>
          <cell r="G7157" t="str">
            <v xml:space="preserve">CR   </v>
          </cell>
          <cell r="L7157">
            <v>38811</v>
          </cell>
          <cell r="M7157">
            <v>3.085</v>
          </cell>
          <cell r="P7157">
            <v>2.3018999999999998</v>
          </cell>
        </row>
        <row r="7158">
          <cell r="A7158" t="str">
            <v>PEE-047-FH207-35MMGO</v>
          </cell>
          <cell r="G7158" t="str">
            <v>IDESP</v>
          </cell>
          <cell r="L7158">
            <v>39633</v>
          </cell>
          <cell r="M7158">
            <v>3.028</v>
          </cell>
          <cell r="P7158">
            <v>2.73</v>
          </cell>
        </row>
        <row r="7159">
          <cell r="A7159" t="str">
            <v>PEE-047-FH208-40MMGO</v>
          </cell>
          <cell r="G7159" t="str">
            <v xml:space="preserve">CR   </v>
          </cell>
          <cell r="L7159">
            <v>40428.376423611109</v>
          </cell>
          <cell r="M7159">
            <v>3.97</v>
          </cell>
          <cell r="P7159">
            <v>2.9369999999999998</v>
          </cell>
        </row>
        <row r="7160">
          <cell r="A7160" t="str">
            <v>PEE-047-FH209-45MMGO</v>
          </cell>
          <cell r="G7160" t="str">
            <v xml:space="preserve">CR   </v>
          </cell>
          <cell r="L7160">
            <v>40428.376423611109</v>
          </cell>
          <cell r="M7160">
            <v>3.97</v>
          </cell>
          <cell r="P7160">
            <v>3.867</v>
          </cell>
        </row>
        <row r="7161">
          <cell r="A7161" t="str">
            <v>PEE-047-FH210-50MMGO</v>
          </cell>
          <cell r="G7161" t="str">
            <v>INDEV</v>
          </cell>
          <cell r="L7161">
            <v>39507</v>
          </cell>
          <cell r="M7161">
            <v>3.157</v>
          </cell>
          <cell r="P7161">
            <v>4.4985429204941401</v>
          </cell>
        </row>
        <row r="7162">
          <cell r="A7162" t="str">
            <v>PEE-047-FHF-207-22X</v>
          </cell>
          <cell r="G7162" t="str">
            <v xml:space="preserve">CR   </v>
          </cell>
          <cell r="L7162">
            <v>38811</v>
          </cell>
          <cell r="M7162">
            <v>3.085</v>
          </cell>
          <cell r="P7162">
            <v>8.0838999999999999</v>
          </cell>
        </row>
        <row r="7163">
          <cell r="A7163" t="str">
            <v>PEE-047-FHF-210-31-G</v>
          </cell>
          <cell r="G7163" t="str">
            <v xml:space="preserve">CR   </v>
          </cell>
          <cell r="L7163">
            <v>40428.376423611109</v>
          </cell>
          <cell r="M7163">
            <v>3.97</v>
          </cell>
          <cell r="P7163">
            <v>10.692</v>
          </cell>
        </row>
        <row r="7164">
          <cell r="A7164" t="str">
            <v>PEE-047-FHF-211-35-G</v>
          </cell>
          <cell r="G7164" t="str">
            <v xml:space="preserve">CR   </v>
          </cell>
          <cell r="L7164">
            <v>40428.376423611109</v>
          </cell>
          <cell r="M7164">
            <v>3.97</v>
          </cell>
          <cell r="P7164">
            <v>13.148</v>
          </cell>
        </row>
        <row r="7165">
          <cell r="A7165" t="str">
            <v>PEE-047-FHL-202-10</v>
          </cell>
          <cell r="G7165" t="str">
            <v xml:space="preserve">CR   </v>
          </cell>
          <cell r="L7165">
            <v>38624</v>
          </cell>
          <cell r="M7165">
            <v>2.915</v>
          </cell>
          <cell r="P7165">
            <v>2.8801999999999999</v>
          </cell>
        </row>
        <row r="7166">
          <cell r="A7166" t="str">
            <v>PEE-047-FHL-6004-12</v>
          </cell>
          <cell r="G7166" t="str">
            <v xml:space="preserve">CR   </v>
          </cell>
          <cell r="L7166">
            <v>40428.376423611109</v>
          </cell>
          <cell r="M7166">
            <v>3.97</v>
          </cell>
          <cell r="P7166">
            <v>2.706</v>
          </cell>
        </row>
        <row r="7167">
          <cell r="A7167" t="str">
            <v>PEE-047-FHR-204-12</v>
          </cell>
          <cell r="G7167" t="str">
            <v xml:space="preserve">CR   </v>
          </cell>
          <cell r="L7167">
            <v>40428.376423611109</v>
          </cell>
          <cell r="M7167">
            <v>3.97</v>
          </cell>
          <cell r="P7167">
            <v>1.782</v>
          </cell>
        </row>
        <row r="7168">
          <cell r="A7168" t="str">
            <v>PEE-047-FHR-205-14</v>
          </cell>
          <cell r="G7168" t="str">
            <v xml:space="preserve">CR   </v>
          </cell>
          <cell r="L7168">
            <v>40428.376423611109</v>
          </cell>
          <cell r="M7168">
            <v>3.97</v>
          </cell>
          <cell r="P7168">
            <v>1.8380000000000001</v>
          </cell>
        </row>
        <row r="7169">
          <cell r="A7169" t="str">
            <v>PEE-047-FHR-205-16</v>
          </cell>
          <cell r="G7169" t="str">
            <v xml:space="preserve">CR   </v>
          </cell>
          <cell r="L7169">
            <v>40428.376423611109</v>
          </cell>
          <cell r="M7169">
            <v>3.97</v>
          </cell>
          <cell r="P7169">
            <v>2.073</v>
          </cell>
        </row>
        <row r="7170">
          <cell r="A7170" t="str">
            <v>PEE-047-FHR-207-22</v>
          </cell>
          <cell r="G7170" t="str">
            <v xml:space="preserve">CR   </v>
          </cell>
          <cell r="L7170">
            <v>38811</v>
          </cell>
          <cell r="M7170">
            <v>3.085</v>
          </cell>
          <cell r="P7170">
            <v>3.6341999999999999</v>
          </cell>
        </row>
        <row r="7171">
          <cell r="A7171" t="str">
            <v>PEE-047-FHR-207-35MM</v>
          </cell>
          <cell r="G7171" t="str">
            <v xml:space="preserve">CR   </v>
          </cell>
          <cell r="L7171">
            <v>40428.376423611109</v>
          </cell>
          <cell r="M7171">
            <v>3.97</v>
          </cell>
          <cell r="P7171">
            <v>2.5630000000000002</v>
          </cell>
        </row>
        <row r="7172">
          <cell r="A7172" t="str">
            <v>PEE-047-FHR-6004-L12</v>
          </cell>
          <cell r="G7172" t="str">
            <v xml:space="preserve">CR   </v>
          </cell>
          <cell r="L7172">
            <v>38624</v>
          </cell>
          <cell r="M7172">
            <v>2.915</v>
          </cell>
          <cell r="P7172">
            <v>2.3062</v>
          </cell>
        </row>
        <row r="7173">
          <cell r="A7173" t="str">
            <v>PEE-047-FHR-6005-16</v>
          </cell>
          <cell r="G7173" t="str">
            <v xml:space="preserve">CR   </v>
          </cell>
          <cell r="L7173">
            <v>38624</v>
          </cell>
          <cell r="M7173">
            <v>2.915</v>
          </cell>
          <cell r="P7173">
            <v>3.1877</v>
          </cell>
        </row>
        <row r="7174">
          <cell r="A7174" t="str">
            <v>PEE-047-FHS-201-8</v>
          </cell>
          <cell r="G7174" t="str">
            <v xml:space="preserve">CR   </v>
          </cell>
          <cell r="L7174">
            <v>40428.376423611109</v>
          </cell>
          <cell r="M7174">
            <v>3.97</v>
          </cell>
          <cell r="P7174">
            <v>2.714</v>
          </cell>
        </row>
        <row r="7175">
          <cell r="A7175" t="str">
            <v>PEE-047-FHS-202-10MM</v>
          </cell>
          <cell r="G7175" t="str">
            <v xml:space="preserve">CR   </v>
          </cell>
          <cell r="L7175">
            <v>40428.376423611109</v>
          </cell>
          <cell r="M7175">
            <v>3.97</v>
          </cell>
          <cell r="P7175">
            <v>2.4239999999999999</v>
          </cell>
        </row>
        <row r="7176">
          <cell r="A7176" t="str">
            <v>PEE-047-FHS-202-15MM</v>
          </cell>
          <cell r="G7176" t="str">
            <v xml:space="preserve">CR   </v>
          </cell>
          <cell r="L7176">
            <v>40428.376423611109</v>
          </cell>
          <cell r="M7176">
            <v>3.97</v>
          </cell>
          <cell r="P7176">
            <v>2.3140000000000001</v>
          </cell>
        </row>
        <row r="7177">
          <cell r="A7177" t="str">
            <v>PEE-047-FHS-203-17MM</v>
          </cell>
          <cell r="G7177" t="str">
            <v xml:space="preserve">CR   </v>
          </cell>
          <cell r="L7177">
            <v>40428.376423611109</v>
          </cell>
          <cell r="M7177">
            <v>3.97</v>
          </cell>
          <cell r="P7177">
            <v>1.8049999999999999</v>
          </cell>
        </row>
        <row r="7178">
          <cell r="A7178" t="str">
            <v>PEE-047-FHS-204-12BR</v>
          </cell>
          <cell r="G7178" t="str">
            <v xml:space="preserve">CR   </v>
          </cell>
          <cell r="L7178">
            <v>38624</v>
          </cell>
          <cell r="M7178">
            <v>2.915</v>
          </cell>
          <cell r="P7178">
            <v>2.911</v>
          </cell>
        </row>
        <row r="7179">
          <cell r="A7179" t="str">
            <v>PEE-047-FHS-204-12IL</v>
          </cell>
          <cell r="G7179" t="str">
            <v xml:space="preserve">CR   </v>
          </cell>
          <cell r="L7179">
            <v>38624</v>
          </cell>
          <cell r="M7179">
            <v>2.915</v>
          </cell>
          <cell r="P7179">
            <v>4.1101999999999999</v>
          </cell>
        </row>
        <row r="7180">
          <cell r="A7180" t="str">
            <v>PEE-047-FHS-204-20BR</v>
          </cell>
          <cell r="G7180" t="str">
            <v xml:space="preserve">CR   </v>
          </cell>
          <cell r="L7180">
            <v>40428.376423611109</v>
          </cell>
          <cell r="M7180">
            <v>3.97</v>
          </cell>
          <cell r="P7180">
            <v>3.1779999999999999</v>
          </cell>
        </row>
        <row r="7181">
          <cell r="A7181" t="str">
            <v>PEE-047-FHS-204-PRZ</v>
          </cell>
          <cell r="G7181" t="str">
            <v xml:space="preserve">CR   </v>
          </cell>
          <cell r="L7181">
            <v>38624</v>
          </cell>
          <cell r="M7181">
            <v>2.915</v>
          </cell>
          <cell r="P7181">
            <v>3.7309999999999999</v>
          </cell>
        </row>
        <row r="7182">
          <cell r="A7182" t="str">
            <v>PEE-047-FHS-205-12</v>
          </cell>
          <cell r="G7182" t="str">
            <v xml:space="preserve">CR   </v>
          </cell>
          <cell r="L7182">
            <v>40428.376423611109</v>
          </cell>
          <cell r="M7182">
            <v>3.97</v>
          </cell>
          <cell r="P7182">
            <v>1.65</v>
          </cell>
        </row>
        <row r="7183">
          <cell r="A7183" t="str">
            <v>PEE-047-FHS-205-14</v>
          </cell>
          <cell r="G7183" t="str">
            <v>IDESP</v>
          </cell>
          <cell r="L7183">
            <v>40918</v>
          </cell>
          <cell r="M7183">
            <v>4.33</v>
          </cell>
          <cell r="P7183">
            <v>3.74</v>
          </cell>
        </row>
        <row r="7184">
          <cell r="A7184" t="str">
            <v>PEE-047-FHS-205-14LF</v>
          </cell>
          <cell r="G7184" t="str">
            <v xml:space="preserve">CR   </v>
          </cell>
          <cell r="L7184">
            <v>38624</v>
          </cell>
          <cell r="M7184">
            <v>2.915</v>
          </cell>
          <cell r="P7184">
            <v>3.28</v>
          </cell>
        </row>
        <row r="7185">
          <cell r="A7185" t="str">
            <v>PEE-047-FHS-205-25MM</v>
          </cell>
          <cell r="G7185" t="str">
            <v>VPRet</v>
          </cell>
          <cell r="L7185">
            <v>42549</v>
          </cell>
          <cell r="M7185">
            <v>15.45</v>
          </cell>
          <cell r="P7185">
            <v>1.3728414239482201</v>
          </cell>
        </row>
        <row r="7186">
          <cell r="A7186" t="str">
            <v>PEE-047-FHS-205-PRZ</v>
          </cell>
          <cell r="G7186" t="str">
            <v xml:space="preserve">CR   </v>
          </cell>
          <cell r="L7186">
            <v>38624</v>
          </cell>
          <cell r="M7186">
            <v>2.915</v>
          </cell>
          <cell r="P7186">
            <v>4.4894999999999996</v>
          </cell>
        </row>
        <row r="7187">
          <cell r="A7187" t="str">
            <v>PEE-047-FHS-206-19IL</v>
          </cell>
          <cell r="G7187" t="str">
            <v xml:space="preserve">CR   </v>
          </cell>
          <cell r="L7187">
            <v>38624</v>
          </cell>
          <cell r="M7187">
            <v>2.915</v>
          </cell>
          <cell r="P7187">
            <v>2.8494999999999999</v>
          </cell>
        </row>
        <row r="7188">
          <cell r="A7188" t="str">
            <v>PEE-047-FHS-206-20</v>
          </cell>
          <cell r="G7188" t="str">
            <v>INDEV</v>
          </cell>
          <cell r="L7188">
            <v>40746</v>
          </cell>
          <cell r="M7188">
            <v>4.16</v>
          </cell>
          <cell r="P7188">
            <v>2.9380048076923075</v>
          </cell>
        </row>
        <row r="7189">
          <cell r="A7189" t="str">
            <v>PEE-047-FHS-206-30BR</v>
          </cell>
          <cell r="G7189" t="str">
            <v xml:space="preserve">CR   </v>
          </cell>
          <cell r="L7189">
            <v>38624</v>
          </cell>
          <cell r="M7189">
            <v>2.915</v>
          </cell>
          <cell r="P7189">
            <v>4.4074999999999998</v>
          </cell>
        </row>
        <row r="7190">
          <cell r="A7190" t="str">
            <v>PEE-047-FHS-206-30MM</v>
          </cell>
          <cell r="G7190" t="str">
            <v xml:space="preserve">CR   </v>
          </cell>
          <cell r="L7190">
            <v>40428.376423611109</v>
          </cell>
          <cell r="M7190">
            <v>3.97</v>
          </cell>
          <cell r="P7190">
            <v>2.2989999999999999</v>
          </cell>
        </row>
        <row r="7191">
          <cell r="A7191" t="str">
            <v>PEE-047-FHS-206-PFR</v>
          </cell>
          <cell r="G7191" t="str">
            <v xml:space="preserve">CR   </v>
          </cell>
          <cell r="L7191">
            <v>38624</v>
          </cell>
          <cell r="M7191">
            <v>2.915</v>
          </cell>
          <cell r="P7191">
            <v>4.1718000000000002</v>
          </cell>
        </row>
        <row r="7192">
          <cell r="A7192" t="str">
            <v>PEE-047-FHS-207-20R</v>
          </cell>
          <cell r="G7192" t="str">
            <v xml:space="preserve">CR   </v>
          </cell>
          <cell r="L7192">
            <v>40428.376423611109</v>
          </cell>
          <cell r="M7192">
            <v>3.97</v>
          </cell>
          <cell r="P7192">
            <v>4.0529999999999999</v>
          </cell>
        </row>
        <row r="7193">
          <cell r="A7193" t="str">
            <v>PEE-047-FHS-207-PFR</v>
          </cell>
          <cell r="G7193" t="str">
            <v xml:space="preserve">CR   </v>
          </cell>
          <cell r="L7193">
            <v>37981</v>
          </cell>
          <cell r="M7193">
            <v>2.96</v>
          </cell>
          <cell r="P7193">
            <v>5.15</v>
          </cell>
        </row>
        <row r="7194">
          <cell r="A7194" t="str">
            <v>PEE-047-FHSLF-205-14</v>
          </cell>
          <cell r="G7194" t="str">
            <v xml:space="preserve">CR   </v>
          </cell>
          <cell r="L7194">
            <v>40428.376423611109</v>
          </cell>
          <cell r="M7194">
            <v>3.97</v>
          </cell>
          <cell r="P7194">
            <v>2.444</v>
          </cell>
        </row>
        <row r="7195">
          <cell r="A7195" t="str">
            <v>PEE-047-FHT-207-35FZ</v>
          </cell>
          <cell r="G7195" t="str">
            <v>IPFAB</v>
          </cell>
          <cell r="L7195">
            <v>41061</v>
          </cell>
          <cell r="M7195">
            <v>4.49</v>
          </cell>
          <cell r="P7195">
            <v>3.3660000000000001</v>
          </cell>
        </row>
        <row r="7196">
          <cell r="A7196" t="str">
            <v>PEE-047-FS-204-HMX</v>
          </cell>
          <cell r="G7196" t="str">
            <v xml:space="preserve">CR   </v>
          </cell>
          <cell r="L7196">
            <v>38624</v>
          </cell>
          <cell r="M7196">
            <v>2.915</v>
          </cell>
          <cell r="P7196">
            <v>0.88149999999999995</v>
          </cell>
        </row>
        <row r="7197">
          <cell r="A7197" t="str">
            <v>PEE-047-FS-205-HMX</v>
          </cell>
          <cell r="G7197" t="str">
            <v xml:space="preserve">CR   </v>
          </cell>
          <cell r="L7197">
            <v>38811</v>
          </cell>
          <cell r="M7197">
            <v>3.085</v>
          </cell>
          <cell r="P7197">
            <v>0.93520000000000003</v>
          </cell>
        </row>
        <row r="7198">
          <cell r="A7198" t="str">
            <v>PEE-047-FS-206-HMX</v>
          </cell>
          <cell r="G7198" t="str">
            <v>IDESP</v>
          </cell>
          <cell r="L7198">
            <v>39673</v>
          </cell>
          <cell r="M7198">
            <v>3.036</v>
          </cell>
          <cell r="P7198">
            <v>1.32</v>
          </cell>
        </row>
        <row r="7199">
          <cell r="A7199" t="str">
            <v>PEE-047-FS-207-HMX</v>
          </cell>
          <cell r="G7199" t="str">
            <v>INDEV</v>
          </cell>
          <cell r="L7199">
            <v>40434</v>
          </cell>
          <cell r="M7199">
            <v>3.96</v>
          </cell>
          <cell r="P7199">
            <v>1.51</v>
          </cell>
        </row>
        <row r="7200">
          <cell r="A7200" t="str">
            <v>PEE-047-FS-208-HMX</v>
          </cell>
          <cell r="G7200" t="str">
            <v>INDEV</v>
          </cell>
          <cell r="L7200">
            <v>40721</v>
          </cell>
          <cell r="M7200">
            <v>4.13</v>
          </cell>
          <cell r="P7200">
            <v>1.9300000000000002</v>
          </cell>
        </row>
        <row r="7201">
          <cell r="A7201" t="str">
            <v>PEE-047-FS-209-HMX</v>
          </cell>
          <cell r="G7201" t="str">
            <v>IDESP</v>
          </cell>
          <cell r="L7201">
            <v>39673</v>
          </cell>
          <cell r="M7201">
            <v>3.036</v>
          </cell>
          <cell r="P7201">
            <v>2.23</v>
          </cell>
        </row>
        <row r="7202">
          <cell r="A7202" t="str">
            <v>PEE-047-FS-210-HMX</v>
          </cell>
          <cell r="G7202" t="str">
            <v>IDESP</v>
          </cell>
          <cell r="L7202">
            <v>39673</v>
          </cell>
          <cell r="M7202">
            <v>3.036</v>
          </cell>
          <cell r="P7202">
            <v>2.56</v>
          </cell>
        </row>
        <row r="7203">
          <cell r="A7203" t="str">
            <v>PEE-047-FS-211-HMX</v>
          </cell>
          <cell r="G7203" t="str">
            <v xml:space="preserve">CR   </v>
          </cell>
          <cell r="L7203">
            <v>38811</v>
          </cell>
          <cell r="M7203">
            <v>3.085</v>
          </cell>
          <cell r="P7203">
            <v>2.8389000000000002</v>
          </cell>
        </row>
        <row r="7204">
          <cell r="A7204" t="str">
            <v>PEE-047-FS-212-HMX</v>
          </cell>
          <cell r="G7204" t="str">
            <v xml:space="preserve">CR   </v>
          </cell>
          <cell r="L7204">
            <v>38811</v>
          </cell>
          <cell r="M7204">
            <v>3.085</v>
          </cell>
          <cell r="P7204">
            <v>1.2269692058346839</v>
          </cell>
        </row>
        <row r="7205">
          <cell r="A7205" t="str">
            <v>PEE-047-FT-203-MX</v>
          </cell>
          <cell r="G7205" t="str">
            <v>IDESP</v>
          </cell>
          <cell r="L7205">
            <v>40429</v>
          </cell>
          <cell r="M7205">
            <v>3.97</v>
          </cell>
          <cell r="P7205">
            <v>1.23</v>
          </cell>
        </row>
        <row r="7206">
          <cell r="A7206" t="str">
            <v>PEE-047-FT-204-H</v>
          </cell>
          <cell r="G7206" t="str">
            <v>IPFAP</v>
          </cell>
          <cell r="L7206">
            <v>42145</v>
          </cell>
          <cell r="M7206">
            <v>8.99</v>
          </cell>
          <cell r="P7206">
            <v>0.34835372636262513</v>
          </cell>
        </row>
        <row r="7207">
          <cell r="A7207" t="str">
            <v>PEE-047-FT-204-MX</v>
          </cell>
          <cell r="G7207" t="str">
            <v xml:space="preserve">CR   </v>
          </cell>
          <cell r="L7207">
            <v>38811</v>
          </cell>
          <cell r="M7207">
            <v>3.085</v>
          </cell>
          <cell r="P7207">
            <v>0.83550000000000002</v>
          </cell>
        </row>
        <row r="7208">
          <cell r="A7208" t="str">
            <v>PEE-047-FT-205-H</v>
          </cell>
          <cell r="G7208" t="str">
            <v xml:space="preserve">INAC </v>
          </cell>
          <cell r="L7208">
            <v>43335</v>
          </cell>
          <cell r="M7208">
            <v>30.7</v>
          </cell>
          <cell r="P7208">
            <v>2.2777850162866451</v>
          </cell>
        </row>
        <row r="7209">
          <cell r="A7209" t="str">
            <v>PEE-047-FT-205-M</v>
          </cell>
          <cell r="G7209" t="str">
            <v>IPFAB</v>
          </cell>
          <cell r="L7209">
            <v>38919</v>
          </cell>
          <cell r="M7209">
            <v>3.0819999999999999</v>
          </cell>
          <cell r="P7209">
            <v>0.69899999999999995</v>
          </cell>
        </row>
        <row r="7210">
          <cell r="A7210" t="str">
            <v>PEE-047-FT-205-MX</v>
          </cell>
          <cell r="G7210" t="str">
            <v>INDEV</v>
          </cell>
          <cell r="L7210">
            <v>39035</v>
          </cell>
          <cell r="M7210">
            <v>3.0760000000000001</v>
          </cell>
          <cell r="P7210">
            <v>0.7503576072821847</v>
          </cell>
        </row>
        <row r="7211">
          <cell r="A7211" t="str">
            <v>PEE-047-FT-206-MX</v>
          </cell>
          <cell r="G7211" t="str">
            <v xml:space="preserve">INAC </v>
          </cell>
          <cell r="L7211">
            <v>43167</v>
          </cell>
          <cell r="M7211">
            <v>20.62</v>
          </cell>
          <cell r="P7211">
            <v>4.3646944713870024</v>
          </cell>
        </row>
        <row r="7212">
          <cell r="A7212" t="str">
            <v>PEE-047-FT-207-MX</v>
          </cell>
          <cell r="G7212" t="str">
            <v>IDESP</v>
          </cell>
          <cell r="L7212">
            <v>40115</v>
          </cell>
          <cell r="M7212">
            <v>3.83</v>
          </cell>
          <cell r="P7212">
            <v>2.0499999999999998</v>
          </cell>
        </row>
        <row r="7213">
          <cell r="A7213" t="str">
            <v>PEE-047-FT-208-H</v>
          </cell>
          <cell r="G7213" t="str">
            <v xml:space="preserve">CR   </v>
          </cell>
          <cell r="L7213">
            <v>38811</v>
          </cell>
          <cell r="M7213">
            <v>3.085</v>
          </cell>
          <cell r="P7213">
            <v>1.4295</v>
          </cell>
        </row>
        <row r="7214">
          <cell r="A7214" t="str">
            <v>PEE-047-FT-208-MX</v>
          </cell>
          <cell r="G7214" t="str">
            <v>IDESP</v>
          </cell>
          <cell r="L7214">
            <v>40429</v>
          </cell>
          <cell r="M7214">
            <v>3.97</v>
          </cell>
          <cell r="P7214">
            <v>2.31</v>
          </cell>
        </row>
        <row r="7215">
          <cell r="A7215" t="str">
            <v>PEE-047-FT-209-MX</v>
          </cell>
          <cell r="G7215" t="str">
            <v>IDESP</v>
          </cell>
          <cell r="L7215">
            <v>40429</v>
          </cell>
          <cell r="M7215">
            <v>3.97</v>
          </cell>
          <cell r="P7215">
            <v>2.67</v>
          </cell>
        </row>
        <row r="7216">
          <cell r="A7216" t="str">
            <v>PEE-047-FT-210-MX</v>
          </cell>
          <cell r="G7216" t="str">
            <v>INDEV</v>
          </cell>
          <cell r="L7216">
            <v>41394</v>
          </cell>
          <cell r="M7216">
            <v>5.18</v>
          </cell>
          <cell r="P7216">
            <v>3.151351351351352</v>
          </cell>
        </row>
        <row r="7217">
          <cell r="A7217" t="str">
            <v>PEE-047-FT-211-MX</v>
          </cell>
          <cell r="G7217" t="str">
            <v>IPFAB</v>
          </cell>
          <cell r="L7217">
            <v>40731</v>
          </cell>
          <cell r="M7217">
            <v>4.1500000000000004</v>
          </cell>
          <cell r="P7217">
            <v>3.43</v>
          </cell>
        </row>
        <row r="7218">
          <cell r="A7218" t="str">
            <v>PEE-047-FT-212-MX</v>
          </cell>
          <cell r="G7218" t="str">
            <v>IDESP</v>
          </cell>
          <cell r="L7218">
            <v>40429</v>
          </cell>
          <cell r="M7218">
            <v>3.97</v>
          </cell>
          <cell r="P7218">
            <v>4.37</v>
          </cell>
        </row>
        <row r="7219">
          <cell r="A7219" t="str">
            <v>PEE-047-FT-213-MX</v>
          </cell>
          <cell r="G7219" t="str">
            <v xml:space="preserve">CR   </v>
          </cell>
          <cell r="L7219">
            <v>38624</v>
          </cell>
          <cell r="M7219">
            <v>2.915</v>
          </cell>
          <cell r="P7219">
            <v>3.4131999999999998</v>
          </cell>
        </row>
        <row r="7220">
          <cell r="A7220" t="str">
            <v>PEE-047-FT-214-MX</v>
          </cell>
          <cell r="G7220" t="str">
            <v xml:space="preserve">CR   </v>
          </cell>
          <cell r="L7220">
            <v>38624</v>
          </cell>
          <cell r="M7220">
            <v>2.915</v>
          </cell>
          <cell r="P7220">
            <v>4.0590000000000002</v>
          </cell>
        </row>
        <row r="7221">
          <cell r="A7221" t="str">
            <v>PEE-047-FX-207</v>
          </cell>
          <cell r="G7221" t="str">
            <v>IPFAB</v>
          </cell>
          <cell r="L7221">
            <v>39947</v>
          </cell>
          <cell r="M7221">
            <v>3.74</v>
          </cell>
          <cell r="P7221">
            <v>1.802</v>
          </cell>
        </row>
        <row r="7222">
          <cell r="A7222" t="str">
            <v>PEE-047-G-207-SSK</v>
          </cell>
          <cell r="G7222" t="str">
            <v xml:space="preserve">CR   </v>
          </cell>
          <cell r="L7222">
            <v>38624</v>
          </cell>
          <cell r="M7222">
            <v>2.915</v>
          </cell>
          <cell r="P7222">
            <v>7.8411999999999997</v>
          </cell>
        </row>
        <row r="7223">
          <cell r="A7223" t="str">
            <v>PEE-047-G-209-KPPB</v>
          </cell>
          <cell r="G7223" t="str">
            <v xml:space="preserve">INAC </v>
          </cell>
          <cell r="L7223">
            <v>42955</v>
          </cell>
          <cell r="M7223">
            <v>17.98</v>
          </cell>
          <cell r="P7223">
            <v>12.68075639599555</v>
          </cell>
        </row>
        <row r="7224">
          <cell r="A7224" t="str">
            <v>PEE-047-G-210-KRB2</v>
          </cell>
          <cell r="G7224" t="str">
            <v xml:space="preserve">CR   </v>
          </cell>
          <cell r="L7224">
            <v>38624</v>
          </cell>
          <cell r="M7224">
            <v>2.915</v>
          </cell>
          <cell r="P7224">
            <v>5.5452000000000004</v>
          </cell>
        </row>
        <row r="7225">
          <cell r="A7225" t="str">
            <v>PEE-047-G210KPPB2-GX</v>
          </cell>
          <cell r="G7225" t="str">
            <v>IDESP</v>
          </cell>
          <cell r="L7225">
            <v>38205</v>
          </cell>
          <cell r="M7225">
            <v>3.06</v>
          </cell>
          <cell r="P7225">
            <v>7.48</v>
          </cell>
        </row>
        <row r="7226">
          <cell r="A7226" t="str">
            <v>PEE-047-GP-204-KRR2</v>
          </cell>
          <cell r="G7226" t="str">
            <v xml:space="preserve">CR   </v>
          </cell>
          <cell r="L7226">
            <v>38811</v>
          </cell>
          <cell r="M7226">
            <v>3.085</v>
          </cell>
          <cell r="P7226">
            <v>4.7316000000000003</v>
          </cell>
        </row>
        <row r="7227">
          <cell r="A7227" t="str">
            <v>PEE-047-GR-205-DBL</v>
          </cell>
          <cell r="G7227" t="str">
            <v xml:space="preserve">CR   </v>
          </cell>
          <cell r="L7227">
            <v>38624</v>
          </cell>
          <cell r="M7227">
            <v>2.915</v>
          </cell>
          <cell r="P7227">
            <v>2.9622999999999999</v>
          </cell>
        </row>
        <row r="7228">
          <cell r="A7228" t="str">
            <v>PEE-047-GR-206-DBL</v>
          </cell>
          <cell r="G7228" t="str">
            <v xml:space="preserve">CR   </v>
          </cell>
          <cell r="L7228">
            <v>38624</v>
          </cell>
          <cell r="M7228">
            <v>2.915</v>
          </cell>
          <cell r="P7228">
            <v>3.8744999999999998</v>
          </cell>
        </row>
        <row r="7229">
          <cell r="A7229" t="str">
            <v>PEE-047-GR-207-35MM</v>
          </cell>
          <cell r="G7229" t="str">
            <v>INDEV</v>
          </cell>
          <cell r="L7229">
            <v>40499</v>
          </cell>
          <cell r="M7229">
            <v>3.99</v>
          </cell>
          <cell r="P7229">
            <v>3.9499999999999997</v>
          </cell>
        </row>
        <row r="7230">
          <cell r="A7230" t="str">
            <v>PEE-047-GR-207-DBL</v>
          </cell>
          <cell r="G7230" t="str">
            <v xml:space="preserve">CR   </v>
          </cell>
          <cell r="L7230">
            <v>38624</v>
          </cell>
          <cell r="M7230">
            <v>2.915</v>
          </cell>
          <cell r="P7230">
            <v>4.2332000000000001</v>
          </cell>
        </row>
        <row r="7231">
          <cell r="A7231" t="str">
            <v>PEE-047-GR-208-40SQ</v>
          </cell>
          <cell r="G7231" t="str">
            <v>InRet</v>
          </cell>
          <cell r="L7231">
            <v>40119</v>
          </cell>
          <cell r="M7231">
            <v>3.83</v>
          </cell>
          <cell r="P7231">
            <v>4.8563968668407309</v>
          </cell>
        </row>
        <row r="7232">
          <cell r="A7232" t="str">
            <v>PEE-047-GR-210-50SQ</v>
          </cell>
          <cell r="G7232" t="str">
            <v>InRet</v>
          </cell>
          <cell r="L7232">
            <v>40119</v>
          </cell>
          <cell r="M7232">
            <v>3.83</v>
          </cell>
          <cell r="P7232">
            <v>5.2950391644908619</v>
          </cell>
        </row>
        <row r="7233">
          <cell r="A7233" t="str">
            <v>PEE-047-GR-211-35R</v>
          </cell>
          <cell r="G7233" t="str">
            <v xml:space="preserve">CR   </v>
          </cell>
          <cell r="L7233">
            <v>38811</v>
          </cell>
          <cell r="M7233">
            <v>3.085</v>
          </cell>
          <cell r="P7233">
            <v>8.0399999999999991</v>
          </cell>
        </row>
        <row r="7234">
          <cell r="A7234" t="str">
            <v>PEE-047-GR-212-SQZ</v>
          </cell>
          <cell r="G7234" t="str">
            <v>InRet</v>
          </cell>
          <cell r="L7234">
            <v>40119</v>
          </cell>
          <cell r="M7234">
            <v>3.83</v>
          </cell>
          <cell r="P7234">
            <v>7.3498694516971277</v>
          </cell>
        </row>
        <row r="7235">
          <cell r="A7235" t="str">
            <v>PEE-047-GR209-28</v>
          </cell>
          <cell r="G7235" t="str">
            <v>InRet</v>
          </cell>
          <cell r="L7235">
            <v>40717</v>
          </cell>
          <cell r="M7235">
            <v>4.13</v>
          </cell>
          <cell r="P7235">
            <v>9.1145762711864418</v>
          </cell>
        </row>
        <row r="7236">
          <cell r="A7236" t="str">
            <v>PEE-047-GR211-35</v>
          </cell>
          <cell r="G7236" t="str">
            <v>IDESP</v>
          </cell>
          <cell r="L7236">
            <v>38028</v>
          </cell>
          <cell r="M7236">
            <v>2.9350000000000001</v>
          </cell>
          <cell r="P7236">
            <v>7.92</v>
          </cell>
        </row>
        <row r="7237">
          <cell r="A7237" t="str">
            <v>PEE-047-GW-209-PB11</v>
          </cell>
          <cell r="G7237" t="str">
            <v>IDESP</v>
          </cell>
          <cell r="L7237">
            <v>38685</v>
          </cell>
          <cell r="M7237">
            <v>2.99</v>
          </cell>
          <cell r="P7237">
            <v>4.1100000000000003</v>
          </cell>
        </row>
        <row r="7238">
          <cell r="A7238" t="str">
            <v>PEE-047-GW-209-PPB1</v>
          </cell>
          <cell r="G7238" t="str">
            <v xml:space="preserve">CR   </v>
          </cell>
          <cell r="L7238">
            <v>38624</v>
          </cell>
          <cell r="M7238">
            <v>2.915</v>
          </cell>
          <cell r="P7238">
            <v>6.6726999999999999</v>
          </cell>
        </row>
        <row r="7239">
          <cell r="A7239" t="str">
            <v>PEE-047-HA-204-HMX</v>
          </cell>
          <cell r="G7239" t="str">
            <v>INDEV</v>
          </cell>
          <cell r="L7239">
            <v>40770</v>
          </cell>
          <cell r="M7239">
            <v>4.1900000000000004</v>
          </cell>
          <cell r="P7239">
            <v>1.0399999999999998</v>
          </cell>
        </row>
        <row r="7240">
          <cell r="A7240" t="str">
            <v>PEE-047-HA-205-HMX</v>
          </cell>
          <cell r="G7240" t="str">
            <v>IDESP</v>
          </cell>
          <cell r="L7240">
            <v>39030</v>
          </cell>
          <cell r="M7240">
            <v>3.069</v>
          </cell>
          <cell r="P7240">
            <v>1.26</v>
          </cell>
        </row>
        <row r="7241">
          <cell r="A7241" t="str">
            <v>PEE-047-HA-206-HMX</v>
          </cell>
          <cell r="G7241" t="str">
            <v>IDESP</v>
          </cell>
          <cell r="L7241">
            <v>39062</v>
          </cell>
          <cell r="M7241">
            <v>3.0579999999999998</v>
          </cell>
          <cell r="P7241">
            <v>1.49</v>
          </cell>
        </row>
        <row r="7242">
          <cell r="A7242" t="str">
            <v>PEE-047-HA-207-HMX</v>
          </cell>
          <cell r="G7242" t="str">
            <v>IDESP</v>
          </cell>
          <cell r="L7242">
            <v>39062</v>
          </cell>
          <cell r="M7242">
            <v>3.0579999999999998</v>
          </cell>
          <cell r="P7242">
            <v>1.85</v>
          </cell>
        </row>
        <row r="7243">
          <cell r="A7243" t="str">
            <v>PEE-047-HA-208-HMX</v>
          </cell>
          <cell r="G7243" t="str">
            <v>INDEV</v>
          </cell>
          <cell r="L7243">
            <v>39938</v>
          </cell>
          <cell r="M7243">
            <v>3.71</v>
          </cell>
          <cell r="P7243">
            <v>2.2164959568733154</v>
          </cell>
        </row>
        <row r="7244">
          <cell r="A7244" t="str">
            <v>PEE-047-HA-210-HMX</v>
          </cell>
          <cell r="G7244" t="str">
            <v xml:space="preserve">INSI </v>
          </cell>
          <cell r="L7244">
            <v>41893</v>
          </cell>
          <cell r="M7244">
            <v>8.41</v>
          </cell>
          <cell r="P7244">
            <v>2.9</v>
          </cell>
        </row>
        <row r="7245">
          <cell r="A7245" t="str">
            <v>PEE-047-HA-212-HMX</v>
          </cell>
          <cell r="G7245" t="str">
            <v>INDEV</v>
          </cell>
          <cell r="L7245">
            <v>40861</v>
          </cell>
          <cell r="M7245">
            <v>4.29</v>
          </cell>
          <cell r="P7245">
            <v>4.5</v>
          </cell>
        </row>
        <row r="7246">
          <cell r="A7246" t="str">
            <v>PEE-047-HC-205-25MM</v>
          </cell>
          <cell r="G7246" t="str">
            <v xml:space="preserve">CR   </v>
          </cell>
          <cell r="L7246">
            <v>40428.376423611109</v>
          </cell>
          <cell r="M7246">
            <v>3.97</v>
          </cell>
          <cell r="P7246">
            <v>1.4339999999999999</v>
          </cell>
        </row>
        <row r="7247">
          <cell r="A7247" t="str">
            <v>PEE-047-HC-206-18DBL</v>
          </cell>
          <cell r="G7247" t="str">
            <v>IDESP</v>
          </cell>
          <cell r="L7247">
            <v>38427</v>
          </cell>
          <cell r="M7247">
            <v>2.919</v>
          </cell>
          <cell r="P7247">
            <v>2.42</v>
          </cell>
        </row>
        <row r="7248">
          <cell r="A7248" t="str">
            <v>PEE-047-HC-206-19-DB</v>
          </cell>
          <cell r="G7248" t="str">
            <v xml:space="preserve">CR   </v>
          </cell>
          <cell r="L7248">
            <v>40428.376423611109</v>
          </cell>
          <cell r="M7248">
            <v>3.97</v>
          </cell>
          <cell r="P7248">
            <v>2.4990000000000001</v>
          </cell>
        </row>
        <row r="7249">
          <cell r="A7249" t="str">
            <v>PEE-047-HC-206-20-DB</v>
          </cell>
          <cell r="G7249" t="str">
            <v>IPFAB</v>
          </cell>
          <cell r="L7249">
            <v>39342</v>
          </cell>
          <cell r="M7249">
            <v>3.137</v>
          </cell>
          <cell r="P7249">
            <v>1.9330000000000001</v>
          </cell>
        </row>
        <row r="7250">
          <cell r="A7250" t="str">
            <v>PEE-047-HC-206-30MM</v>
          </cell>
          <cell r="G7250" t="str">
            <v>IPFAB</v>
          </cell>
          <cell r="L7250">
            <v>40990</v>
          </cell>
          <cell r="M7250">
            <v>4.38</v>
          </cell>
          <cell r="P7250">
            <v>2.0022000000000002</v>
          </cell>
        </row>
        <row r="7251">
          <cell r="A7251" t="str">
            <v>PEE-047-HC-206-DBL</v>
          </cell>
          <cell r="G7251" t="str">
            <v>IPFAB</v>
          </cell>
          <cell r="L7251">
            <v>38492</v>
          </cell>
          <cell r="M7251">
            <v>2.8849999999999998</v>
          </cell>
          <cell r="P7251">
            <v>3.45</v>
          </cell>
        </row>
        <row r="7252">
          <cell r="A7252" t="str">
            <v>PEE-047-HC-206-TRL</v>
          </cell>
          <cell r="G7252" t="str">
            <v>IDESP</v>
          </cell>
          <cell r="L7252">
            <v>39279</v>
          </cell>
          <cell r="M7252">
            <v>3.1</v>
          </cell>
          <cell r="P7252">
            <v>2.09</v>
          </cell>
        </row>
        <row r="7253">
          <cell r="A7253" t="str">
            <v>PEE-047-HC-207-22-DB</v>
          </cell>
          <cell r="G7253" t="str">
            <v xml:space="preserve">CR   </v>
          </cell>
          <cell r="L7253">
            <v>38811</v>
          </cell>
          <cell r="M7253">
            <v>3.085</v>
          </cell>
          <cell r="P7253">
            <v>3.3191999999999999</v>
          </cell>
        </row>
        <row r="7254">
          <cell r="A7254" t="str">
            <v>PEE-047-HC-207-35MM</v>
          </cell>
          <cell r="G7254" t="str">
            <v>INDEV</v>
          </cell>
          <cell r="L7254">
            <v>41572</v>
          </cell>
          <cell r="M7254">
            <v>5.87</v>
          </cell>
          <cell r="P7254">
            <v>1.8626235093696764</v>
          </cell>
        </row>
        <row r="7255">
          <cell r="A7255" t="str">
            <v>PEE-047-HC-207-DBL</v>
          </cell>
          <cell r="G7255" t="str">
            <v xml:space="preserve">CR   </v>
          </cell>
          <cell r="L7255">
            <v>38811</v>
          </cell>
          <cell r="M7255">
            <v>3.085</v>
          </cell>
          <cell r="P7255">
            <v>3.1183000000000001</v>
          </cell>
        </row>
        <row r="7256">
          <cell r="A7256" t="str">
            <v>PEE-047-HC-207-TRL</v>
          </cell>
          <cell r="G7256" t="str">
            <v>IDESP</v>
          </cell>
          <cell r="L7256">
            <v>39279</v>
          </cell>
          <cell r="M7256">
            <v>3.1</v>
          </cell>
          <cell r="P7256">
            <v>2.6</v>
          </cell>
        </row>
        <row r="7257">
          <cell r="A7257" t="str">
            <v>PEE-047-HC-208-24DBL</v>
          </cell>
          <cell r="G7257" t="str">
            <v>IPFAB</v>
          </cell>
          <cell r="L7257">
            <v>39924</v>
          </cell>
          <cell r="M7257">
            <v>3.6890000000000001</v>
          </cell>
          <cell r="P7257">
            <v>3.4767000000000001</v>
          </cell>
        </row>
        <row r="7258">
          <cell r="A7258" t="str">
            <v>PEE-047-HC-208-40MM</v>
          </cell>
          <cell r="G7258" t="str">
            <v>IPFAP</v>
          </cell>
          <cell r="L7258">
            <v>42625</v>
          </cell>
          <cell r="M7258">
            <v>15.25</v>
          </cell>
          <cell r="P7258">
            <v>3.5310032786885244</v>
          </cell>
        </row>
        <row r="7259">
          <cell r="A7259" t="str">
            <v>PEE-047-HC-208-TRL</v>
          </cell>
          <cell r="G7259" t="str">
            <v>IDESP</v>
          </cell>
          <cell r="L7259">
            <v>39276</v>
          </cell>
          <cell r="M7259">
            <v>3.1</v>
          </cell>
          <cell r="P7259">
            <v>3.32</v>
          </cell>
        </row>
        <row r="7260">
          <cell r="A7260" t="str">
            <v>PEE-047-HC-209-26-DB</v>
          </cell>
          <cell r="G7260" t="str">
            <v>IPFAP</v>
          </cell>
          <cell r="L7260">
            <v>42765</v>
          </cell>
          <cell r="M7260">
            <v>16.32</v>
          </cell>
          <cell r="P7260">
            <v>4.7090012254901961</v>
          </cell>
        </row>
        <row r="7261">
          <cell r="A7261" t="str">
            <v>PEE-047-HC-209-27-DB</v>
          </cell>
          <cell r="G7261" t="str">
            <v>INDEV</v>
          </cell>
          <cell r="L7261">
            <v>39939</v>
          </cell>
          <cell r="M7261">
            <v>3.71</v>
          </cell>
          <cell r="P7261">
            <v>4.7376549865229105</v>
          </cell>
        </row>
        <row r="7262">
          <cell r="A7262" t="str">
            <v>PEE-047-HC-209-28-DB</v>
          </cell>
          <cell r="G7262" t="str">
            <v>VPRet</v>
          </cell>
          <cell r="L7262">
            <v>42320</v>
          </cell>
          <cell r="M7262">
            <v>9.68</v>
          </cell>
          <cell r="P7262">
            <v>5.5298037190082647</v>
          </cell>
        </row>
        <row r="7263">
          <cell r="A7263" t="str">
            <v>PEE-047-HC-209-45MM</v>
          </cell>
          <cell r="G7263" t="str">
            <v>IPFAP</v>
          </cell>
          <cell r="L7263">
            <v>42320</v>
          </cell>
          <cell r="M7263">
            <v>9.68</v>
          </cell>
          <cell r="P7263">
            <v>3.5710020661157027</v>
          </cell>
        </row>
        <row r="7264">
          <cell r="A7264" t="str">
            <v>PEE-047-HC-210-31TRL</v>
          </cell>
          <cell r="G7264" t="str">
            <v xml:space="preserve">CR   </v>
          </cell>
          <cell r="L7264">
            <v>40428.376423611109</v>
          </cell>
          <cell r="M7264">
            <v>3.97</v>
          </cell>
          <cell r="P7264">
            <v>9.1519999999999992</v>
          </cell>
        </row>
        <row r="7265">
          <cell r="A7265" t="str">
            <v>PEE-047-HC-210-32-DB</v>
          </cell>
          <cell r="G7265" t="str">
            <v xml:space="preserve">CR   </v>
          </cell>
          <cell r="L7265">
            <v>40428.376423611109</v>
          </cell>
          <cell r="M7265">
            <v>3.97</v>
          </cell>
          <cell r="P7265">
            <v>5.9829999999999997</v>
          </cell>
        </row>
        <row r="7266">
          <cell r="A7266" t="str">
            <v>PEE-047-HC-210-50MM</v>
          </cell>
          <cell r="G7266" t="str">
            <v xml:space="preserve">INAC </v>
          </cell>
          <cell r="L7266">
            <v>43103</v>
          </cell>
          <cell r="M7266">
            <v>18.760000000000002</v>
          </cell>
          <cell r="P7266">
            <v>8.7292164179104468</v>
          </cell>
        </row>
        <row r="7267">
          <cell r="A7267" t="str">
            <v>PEE-047-HC-210-TRL</v>
          </cell>
          <cell r="G7267" t="str">
            <v>IDESP</v>
          </cell>
          <cell r="L7267">
            <v>39276</v>
          </cell>
          <cell r="M7267">
            <v>3.1</v>
          </cell>
          <cell r="P7267">
            <v>3.67</v>
          </cell>
        </row>
        <row r="7268">
          <cell r="A7268" t="str">
            <v>PEE-047-HC-211-32</v>
          </cell>
          <cell r="G7268" t="str">
            <v>IDESP</v>
          </cell>
          <cell r="L7268">
            <v>39464</v>
          </cell>
          <cell r="M7268">
            <v>3.1459999999999999</v>
          </cell>
          <cell r="P7268">
            <v>9.66</v>
          </cell>
        </row>
        <row r="7269">
          <cell r="A7269" t="str">
            <v>PEE-047-HC-211-35-DB</v>
          </cell>
          <cell r="G7269" t="str">
            <v xml:space="preserve">CR   </v>
          </cell>
          <cell r="L7269">
            <v>40428.376423611109</v>
          </cell>
          <cell r="M7269">
            <v>3.97</v>
          </cell>
          <cell r="P7269">
            <v>7.7190000000000003</v>
          </cell>
        </row>
        <row r="7270">
          <cell r="A7270" t="str">
            <v>PEE-047-HC-211-35TRL</v>
          </cell>
          <cell r="G7270" t="str">
            <v xml:space="preserve">CR   </v>
          </cell>
          <cell r="L7270">
            <v>40428.376423611109</v>
          </cell>
          <cell r="M7270">
            <v>3.97</v>
          </cell>
          <cell r="P7270">
            <v>11.797000000000001</v>
          </cell>
        </row>
        <row r="7271">
          <cell r="A7271" t="str">
            <v>PEE-047-HC-211-55MM</v>
          </cell>
          <cell r="G7271" t="str">
            <v xml:space="preserve">INAC </v>
          </cell>
          <cell r="L7271">
            <v>42801</v>
          </cell>
          <cell r="M7271">
            <v>15.83</v>
          </cell>
          <cell r="P7271">
            <v>12.403663929248262</v>
          </cell>
        </row>
        <row r="7272">
          <cell r="A7272" t="str">
            <v>PEE-047-HC-211-DBL</v>
          </cell>
          <cell r="G7272" t="str">
            <v>IPFAB</v>
          </cell>
          <cell r="L7272">
            <v>40016</v>
          </cell>
          <cell r="M7272">
            <v>3.82</v>
          </cell>
          <cell r="P7272">
            <v>7.46</v>
          </cell>
        </row>
        <row r="7273">
          <cell r="A7273" t="str">
            <v>PEE-047-HC-212-39</v>
          </cell>
          <cell r="G7273" t="str">
            <v>IPFAB</v>
          </cell>
          <cell r="L7273">
            <v>39167</v>
          </cell>
          <cell r="M7273">
            <v>3.1019999999999999</v>
          </cell>
          <cell r="P7273">
            <v>12.2058</v>
          </cell>
        </row>
        <row r="7274">
          <cell r="A7274" t="str">
            <v>PEE-047-HC-212-39MM</v>
          </cell>
          <cell r="G7274" t="str">
            <v>IPFAB</v>
          </cell>
          <cell r="L7274">
            <v>39163</v>
          </cell>
          <cell r="M7274">
            <v>3.1</v>
          </cell>
          <cell r="P7274">
            <v>12.2058</v>
          </cell>
        </row>
        <row r="7275">
          <cell r="A7275" t="str">
            <v>PEE-047-HC-212-60MM</v>
          </cell>
          <cell r="G7275" t="str">
            <v xml:space="preserve">CR   </v>
          </cell>
          <cell r="L7275">
            <v>40428.376423611109</v>
          </cell>
          <cell r="M7275">
            <v>3.97</v>
          </cell>
          <cell r="P7275">
            <v>10.273999999999999</v>
          </cell>
        </row>
        <row r="7276">
          <cell r="A7276" t="str">
            <v>PEE-047-HC-212-TRL</v>
          </cell>
          <cell r="G7276" t="str">
            <v xml:space="preserve">CR   </v>
          </cell>
          <cell r="L7276">
            <v>38811</v>
          </cell>
          <cell r="M7276">
            <v>3.085</v>
          </cell>
          <cell r="P7276">
            <v>9.5511999999999997</v>
          </cell>
        </row>
        <row r="7277">
          <cell r="A7277" t="str">
            <v>PEE-047-HC205-16DBL</v>
          </cell>
          <cell r="G7277" t="str">
            <v>INDEV</v>
          </cell>
          <cell r="L7277">
            <v>39699</v>
          </cell>
          <cell r="M7277">
            <v>3.04</v>
          </cell>
          <cell r="P7277">
            <v>2.1773684210526314</v>
          </cell>
        </row>
        <row r="7278">
          <cell r="A7278" t="str">
            <v>PEE-047-HC205-25KYY2</v>
          </cell>
          <cell r="G7278" t="str">
            <v>IPFAB</v>
          </cell>
          <cell r="L7278">
            <v>39196</v>
          </cell>
          <cell r="M7278">
            <v>3.0830000000000002</v>
          </cell>
          <cell r="P7278">
            <v>1.7</v>
          </cell>
        </row>
        <row r="7279">
          <cell r="A7279" t="str">
            <v>PEE-047-HC205-25MDBL</v>
          </cell>
          <cell r="G7279" t="str">
            <v>INDEV</v>
          </cell>
          <cell r="L7279">
            <v>39713</v>
          </cell>
          <cell r="M7279">
            <v>3.1150000000000002</v>
          </cell>
          <cell r="P7279">
            <v>1.6999999999999997</v>
          </cell>
        </row>
        <row r="7280">
          <cell r="A7280" t="str">
            <v>PEE-047-HC206-19DBL</v>
          </cell>
          <cell r="G7280" t="str">
            <v>IDESP</v>
          </cell>
          <cell r="L7280">
            <v>40779</v>
          </cell>
          <cell r="M7280">
            <v>4.21</v>
          </cell>
          <cell r="P7280">
            <v>8.01</v>
          </cell>
        </row>
        <row r="7281">
          <cell r="A7281" t="str">
            <v>PEE-047-HC206-30MDBL</v>
          </cell>
          <cell r="G7281" t="str">
            <v>INDEV</v>
          </cell>
          <cell r="L7281">
            <v>39715</v>
          </cell>
          <cell r="M7281">
            <v>3.0990000000000002</v>
          </cell>
          <cell r="P7281">
            <v>2.0899967731526297</v>
          </cell>
        </row>
        <row r="7282">
          <cell r="A7282" t="str">
            <v>PEE-047-HC207-23DBL</v>
          </cell>
          <cell r="G7282" t="str">
            <v>IDESP</v>
          </cell>
          <cell r="L7282">
            <v>40918</v>
          </cell>
          <cell r="M7282">
            <v>4.33</v>
          </cell>
          <cell r="P7282">
            <v>6.95</v>
          </cell>
        </row>
        <row r="7283">
          <cell r="A7283" t="str">
            <v>PEE-047-HC207-35KYY2</v>
          </cell>
          <cell r="G7283" t="str">
            <v>IPFAB</v>
          </cell>
          <cell r="L7283">
            <v>39196</v>
          </cell>
          <cell r="M7283">
            <v>3.0830000000000002</v>
          </cell>
          <cell r="P7283">
            <v>2.6</v>
          </cell>
        </row>
        <row r="7284">
          <cell r="A7284" t="str">
            <v>PEE-047-HC207-35MDBL</v>
          </cell>
          <cell r="G7284" t="str">
            <v>INDEV</v>
          </cell>
          <cell r="L7284">
            <v>40094</v>
          </cell>
          <cell r="M7284">
            <v>3.85</v>
          </cell>
          <cell r="P7284">
            <v>2.6</v>
          </cell>
        </row>
        <row r="7285">
          <cell r="A7285" t="str">
            <v>PEE-047-HC208-40KYY2</v>
          </cell>
          <cell r="G7285" t="str">
            <v>INDEV</v>
          </cell>
          <cell r="L7285">
            <v>40136</v>
          </cell>
          <cell r="M7285">
            <v>3.82</v>
          </cell>
          <cell r="P7285">
            <v>3.32</v>
          </cell>
        </row>
        <row r="7286">
          <cell r="A7286" t="str">
            <v>PEE-047-HC208-40MDBL</v>
          </cell>
          <cell r="G7286" t="str">
            <v>INDEV</v>
          </cell>
          <cell r="L7286">
            <v>39715</v>
          </cell>
          <cell r="M7286">
            <v>3.0990000000000002</v>
          </cell>
          <cell r="P7286">
            <v>3.4110680864795091</v>
          </cell>
        </row>
        <row r="7287">
          <cell r="A7287" t="str">
            <v>PEE-047-HC209-45KYY2</v>
          </cell>
          <cell r="G7287" t="str">
            <v>INDEV</v>
          </cell>
          <cell r="L7287">
            <v>40136</v>
          </cell>
          <cell r="M7287">
            <v>3.82</v>
          </cell>
          <cell r="P7287">
            <v>3.46</v>
          </cell>
        </row>
        <row r="7288">
          <cell r="A7288" t="str">
            <v>PEE-047-HC209-45MDBL</v>
          </cell>
          <cell r="G7288" t="str">
            <v>IDESP</v>
          </cell>
          <cell r="L7288">
            <v>39547</v>
          </cell>
          <cell r="M7288">
            <v>3.1589999999999998</v>
          </cell>
          <cell r="P7288">
            <v>3.46</v>
          </cell>
        </row>
        <row r="7289">
          <cell r="A7289" t="str">
            <v>PEE-047-HC210-50KYY2</v>
          </cell>
          <cell r="G7289" t="str">
            <v>INDEV</v>
          </cell>
          <cell r="L7289">
            <v>39962</v>
          </cell>
          <cell r="M7289">
            <v>3.76</v>
          </cell>
          <cell r="P7289">
            <v>3.6700000000000004</v>
          </cell>
        </row>
        <row r="7290">
          <cell r="A7290" t="str">
            <v>PEE-047-HC210-50MDBL</v>
          </cell>
          <cell r="G7290" t="str">
            <v>INDEV</v>
          </cell>
          <cell r="L7290">
            <v>39771</v>
          </cell>
          <cell r="M7290">
            <v>3.3210000000000002</v>
          </cell>
          <cell r="P7290">
            <v>3.424661246612466</v>
          </cell>
        </row>
        <row r="7291">
          <cell r="A7291" t="str">
            <v>PEE-047-HC212-60mDBL</v>
          </cell>
          <cell r="G7291" t="str">
            <v>INDEV</v>
          </cell>
          <cell r="L7291">
            <v>40267</v>
          </cell>
          <cell r="M7291">
            <v>3.89</v>
          </cell>
          <cell r="P7291">
            <v>9.1999999999999993</v>
          </cell>
        </row>
        <row r="7292">
          <cell r="A7292" t="str">
            <v>PEE-047-HCFS211-32SP</v>
          </cell>
          <cell r="G7292" t="str">
            <v xml:space="preserve">CR   </v>
          </cell>
          <cell r="L7292">
            <v>40428.376423611109</v>
          </cell>
          <cell r="M7292">
            <v>3.97</v>
          </cell>
          <cell r="P7292">
            <v>11</v>
          </cell>
        </row>
        <row r="7293">
          <cell r="A7293" t="str">
            <v>PEE-047-HCX05-25mDBL</v>
          </cell>
          <cell r="G7293" t="str">
            <v xml:space="preserve">CR   </v>
          </cell>
          <cell r="L7293">
            <v>40428.376423611109</v>
          </cell>
          <cell r="M7293">
            <v>3.97</v>
          </cell>
          <cell r="P7293">
            <v>2.6970000000000001</v>
          </cell>
        </row>
        <row r="7294">
          <cell r="A7294" t="str">
            <v>PEE-047-HCX07-35-TRL</v>
          </cell>
          <cell r="G7294" t="str">
            <v xml:space="preserve">CR   </v>
          </cell>
          <cell r="L7294">
            <v>38811</v>
          </cell>
          <cell r="M7294">
            <v>3.085</v>
          </cell>
          <cell r="P7294">
            <v>4.7819000000000003</v>
          </cell>
        </row>
        <row r="7295">
          <cell r="A7295" t="str">
            <v>PEE-047-HCX13-65MM</v>
          </cell>
          <cell r="G7295" t="str">
            <v xml:space="preserve">CR   </v>
          </cell>
          <cell r="L7295">
            <v>40428.376423611109</v>
          </cell>
          <cell r="M7295">
            <v>3.97</v>
          </cell>
          <cell r="P7295">
            <v>18.093</v>
          </cell>
        </row>
        <row r="7296">
          <cell r="A7296" t="str">
            <v>PEE-047-JR-3062-DBL</v>
          </cell>
          <cell r="G7296" t="str">
            <v>IPFAB</v>
          </cell>
          <cell r="L7296">
            <v>39321</v>
          </cell>
          <cell r="M7296">
            <v>3.17</v>
          </cell>
          <cell r="P7296">
            <v>6.2329999999999997</v>
          </cell>
        </row>
        <row r="7297">
          <cell r="A7297" t="str">
            <v>PEE-047-JRM-3530</v>
          </cell>
          <cell r="G7297" t="str">
            <v xml:space="preserve">CR   </v>
          </cell>
          <cell r="L7297">
            <v>38811</v>
          </cell>
          <cell r="M7297">
            <v>3.085</v>
          </cell>
          <cell r="P7297">
            <v>8.4764999999999997</v>
          </cell>
        </row>
        <row r="7298">
          <cell r="A7298" t="str">
            <v>PEE-047-KRB-205-PFL</v>
          </cell>
          <cell r="G7298" t="str">
            <v xml:space="preserve">CR   </v>
          </cell>
          <cell r="L7298">
            <v>38624</v>
          </cell>
          <cell r="M7298">
            <v>2.915</v>
          </cell>
          <cell r="P7298">
            <v>2.8597000000000001</v>
          </cell>
        </row>
        <row r="7299">
          <cell r="A7299" t="str">
            <v>PEE-047-LC-205-25MM</v>
          </cell>
          <cell r="G7299" t="str">
            <v>IDESP</v>
          </cell>
          <cell r="L7299">
            <v>40918</v>
          </cell>
          <cell r="M7299">
            <v>4.33</v>
          </cell>
          <cell r="P7299">
            <v>2.11</v>
          </cell>
        </row>
        <row r="7300">
          <cell r="A7300" t="str">
            <v>PEE-047-LC-206-18</v>
          </cell>
          <cell r="G7300" t="str">
            <v>IDESP</v>
          </cell>
          <cell r="L7300">
            <v>40918</v>
          </cell>
          <cell r="M7300">
            <v>4.33</v>
          </cell>
          <cell r="P7300">
            <v>2.2999999999999998</v>
          </cell>
        </row>
        <row r="7301">
          <cell r="A7301" t="str">
            <v>PEE-047-LC-206-30MM</v>
          </cell>
          <cell r="G7301" t="str">
            <v>IDESP</v>
          </cell>
          <cell r="L7301">
            <v>40918</v>
          </cell>
          <cell r="M7301">
            <v>4.33</v>
          </cell>
          <cell r="P7301">
            <v>3.01</v>
          </cell>
        </row>
        <row r="7302">
          <cell r="A7302" t="str">
            <v>PEE-047-LC-208-40MM</v>
          </cell>
          <cell r="G7302" t="str">
            <v>IDESP</v>
          </cell>
          <cell r="L7302">
            <v>40918</v>
          </cell>
          <cell r="M7302">
            <v>4.33</v>
          </cell>
          <cell r="P7302">
            <v>4.71</v>
          </cell>
        </row>
        <row r="7303">
          <cell r="A7303" t="str">
            <v>PEE-047-LC-211-32</v>
          </cell>
          <cell r="G7303" t="str">
            <v>IDESP</v>
          </cell>
          <cell r="L7303">
            <v>40918</v>
          </cell>
          <cell r="M7303">
            <v>4.33</v>
          </cell>
          <cell r="P7303">
            <v>5.92</v>
          </cell>
        </row>
        <row r="7304">
          <cell r="A7304" t="str">
            <v>PEE-047-LF-203-XH</v>
          </cell>
          <cell r="G7304" t="str">
            <v>INDEV</v>
          </cell>
          <cell r="L7304">
            <v>39938</v>
          </cell>
          <cell r="M7304">
            <v>3.71</v>
          </cell>
          <cell r="P7304">
            <v>0.99</v>
          </cell>
        </row>
        <row r="7305">
          <cell r="A7305" t="str">
            <v>PEE-047-LF-204-XH</v>
          </cell>
          <cell r="G7305" t="str">
            <v>INDEV</v>
          </cell>
          <cell r="L7305">
            <v>39147</v>
          </cell>
          <cell r="M7305">
            <v>3.1019999999999999</v>
          </cell>
          <cell r="P7305">
            <v>0.73214055448098003</v>
          </cell>
        </row>
        <row r="7306">
          <cell r="A7306" t="str">
            <v>PEE-047-LF-205-HMX</v>
          </cell>
          <cell r="G7306" t="str">
            <v>IPFAB</v>
          </cell>
          <cell r="L7306">
            <v>40381</v>
          </cell>
          <cell r="M7306">
            <v>3.95</v>
          </cell>
          <cell r="P7306">
            <v>0.77949999999999997</v>
          </cell>
        </row>
        <row r="7307">
          <cell r="A7307" t="str">
            <v>PEE-047-LF-206-XH</v>
          </cell>
          <cell r="G7307" t="str">
            <v>IDESP</v>
          </cell>
          <cell r="L7307">
            <v>40429</v>
          </cell>
          <cell r="M7307">
            <v>3.97</v>
          </cell>
          <cell r="P7307">
            <v>1.4</v>
          </cell>
        </row>
        <row r="7308">
          <cell r="A7308" t="str">
            <v>PEE-047-LF-207-H</v>
          </cell>
          <cell r="G7308" t="str">
            <v>IDESP</v>
          </cell>
          <cell r="L7308">
            <v>40429</v>
          </cell>
          <cell r="M7308">
            <v>3.97</v>
          </cell>
          <cell r="P7308">
            <v>1.78</v>
          </cell>
        </row>
        <row r="7309">
          <cell r="A7309" t="str">
            <v>PEE-047-LP-210-H</v>
          </cell>
          <cell r="G7309" t="str">
            <v>IDESP</v>
          </cell>
          <cell r="L7309">
            <v>39385</v>
          </cell>
          <cell r="M7309">
            <v>3.157</v>
          </cell>
          <cell r="P7309">
            <v>2.73</v>
          </cell>
        </row>
        <row r="7310">
          <cell r="A7310" t="str">
            <v>PEE-047-LP-211-H</v>
          </cell>
          <cell r="G7310" t="str">
            <v>IDESP</v>
          </cell>
          <cell r="L7310">
            <v>39385</v>
          </cell>
          <cell r="M7310">
            <v>3.157</v>
          </cell>
          <cell r="P7310">
            <v>3.17</v>
          </cell>
        </row>
        <row r="7311">
          <cell r="A7311" t="str">
            <v>PEE-047-LRC-19-LMX</v>
          </cell>
          <cell r="G7311" t="str">
            <v xml:space="preserve">CR   </v>
          </cell>
          <cell r="L7311">
            <v>38624</v>
          </cell>
          <cell r="M7311">
            <v>2.915</v>
          </cell>
          <cell r="P7311">
            <v>8.4664999999999999</v>
          </cell>
        </row>
        <row r="7312">
          <cell r="A7312" t="str">
            <v>PEE-047-LRC-19-SML</v>
          </cell>
          <cell r="G7312" t="str">
            <v xml:space="preserve">CR   </v>
          </cell>
          <cell r="L7312">
            <v>38624</v>
          </cell>
          <cell r="M7312">
            <v>2.915</v>
          </cell>
          <cell r="P7312">
            <v>5.0839999999999996</v>
          </cell>
        </row>
        <row r="7313">
          <cell r="A7313" t="str">
            <v>PEE-047-P-203-MX</v>
          </cell>
          <cell r="G7313" t="str">
            <v xml:space="preserve">CR   </v>
          </cell>
          <cell r="L7313">
            <v>38811</v>
          </cell>
          <cell r="M7313">
            <v>3.085</v>
          </cell>
          <cell r="P7313">
            <v>0.83550000000000002</v>
          </cell>
        </row>
        <row r="7314">
          <cell r="A7314" t="str">
            <v>PEE-047-P-204-MX</v>
          </cell>
          <cell r="G7314" t="str">
            <v>INDEV</v>
          </cell>
          <cell r="L7314">
            <v>39035</v>
          </cell>
          <cell r="M7314">
            <v>3.0760000000000001</v>
          </cell>
          <cell r="P7314">
            <v>0.69652145643693109</v>
          </cell>
        </row>
        <row r="7315">
          <cell r="A7315" t="str">
            <v>PEE-047-P-205-MX</v>
          </cell>
          <cell r="G7315" t="str">
            <v>INDEV</v>
          </cell>
          <cell r="L7315">
            <v>40037</v>
          </cell>
          <cell r="M7315">
            <v>3.84</v>
          </cell>
          <cell r="P7315">
            <v>0.6902604166666666</v>
          </cell>
        </row>
        <row r="7316">
          <cell r="A7316" t="str">
            <v>PEE-047-P-206-MX</v>
          </cell>
          <cell r="G7316" t="str">
            <v>IPFAB</v>
          </cell>
          <cell r="L7316">
            <v>41765</v>
          </cell>
          <cell r="M7316">
            <v>8.0500000000000007</v>
          </cell>
          <cell r="P7316">
            <v>0.45710000000000001</v>
          </cell>
        </row>
        <row r="7317">
          <cell r="A7317" t="str">
            <v>PEE-047-P-207-MX</v>
          </cell>
          <cell r="G7317" t="str">
            <v>INDEV</v>
          </cell>
          <cell r="L7317">
            <v>39232</v>
          </cell>
          <cell r="M7317">
            <v>3.081</v>
          </cell>
          <cell r="P7317">
            <v>1.3410580980201234</v>
          </cell>
        </row>
        <row r="7318">
          <cell r="A7318" t="str">
            <v>PEE-047-P-208-MX</v>
          </cell>
          <cell r="G7318" t="str">
            <v>IPFAB</v>
          </cell>
          <cell r="L7318">
            <v>39969</v>
          </cell>
          <cell r="M7318">
            <v>3.76</v>
          </cell>
          <cell r="P7318">
            <v>1.5589999999999999</v>
          </cell>
        </row>
        <row r="7319">
          <cell r="A7319" t="str">
            <v>PEE-047-P-209-MX</v>
          </cell>
          <cell r="G7319" t="str">
            <v>IPFAB</v>
          </cell>
          <cell r="L7319">
            <v>40245</v>
          </cell>
          <cell r="M7319">
            <v>3.88</v>
          </cell>
          <cell r="P7319">
            <v>1.7554000000000001</v>
          </cell>
        </row>
        <row r="7320">
          <cell r="A7320" t="str">
            <v>PEE-047-P-210-MX</v>
          </cell>
          <cell r="G7320" t="str">
            <v>INDEV</v>
          </cell>
          <cell r="L7320">
            <v>40037</v>
          </cell>
          <cell r="M7320">
            <v>3.84</v>
          </cell>
          <cell r="P7320">
            <v>1.9451041666666666</v>
          </cell>
        </row>
        <row r="7321">
          <cell r="A7321" t="str">
            <v>PEE-047-P-211-H</v>
          </cell>
          <cell r="G7321" t="str">
            <v>INDEV</v>
          </cell>
          <cell r="L7321">
            <v>40037</v>
          </cell>
          <cell r="M7321">
            <v>3.84</v>
          </cell>
          <cell r="P7321">
            <v>1.532421875</v>
          </cell>
        </row>
        <row r="7322">
          <cell r="A7322" t="str">
            <v>PEE-047-P-211-MX</v>
          </cell>
          <cell r="G7322" t="str">
            <v xml:space="preserve">CR   </v>
          </cell>
          <cell r="L7322">
            <v>37981</v>
          </cell>
          <cell r="M7322">
            <v>2.96</v>
          </cell>
          <cell r="P7322">
            <v>2.69</v>
          </cell>
        </row>
        <row r="7323">
          <cell r="A7323" t="str">
            <v>PEE-047-P-212-MX</v>
          </cell>
          <cell r="G7323" t="str">
            <v xml:space="preserve">INAC </v>
          </cell>
          <cell r="L7323">
            <v>40501</v>
          </cell>
          <cell r="M7323">
            <v>3.99</v>
          </cell>
          <cell r="P7323">
            <v>6.1402756892230572</v>
          </cell>
        </row>
        <row r="7324">
          <cell r="A7324" t="str">
            <v>PEE-047-P-213-MX</v>
          </cell>
          <cell r="G7324" t="str">
            <v xml:space="preserve">CR   </v>
          </cell>
          <cell r="L7324">
            <v>38811</v>
          </cell>
          <cell r="M7324">
            <v>3.085</v>
          </cell>
          <cell r="P7324">
            <v>3.3129</v>
          </cell>
        </row>
        <row r="7325">
          <cell r="A7325" t="str">
            <v>PEE-047-P-214-MX</v>
          </cell>
          <cell r="G7325" t="str">
            <v>IDESP</v>
          </cell>
          <cell r="L7325">
            <v>39337</v>
          </cell>
          <cell r="M7325">
            <v>3.1469999999999998</v>
          </cell>
          <cell r="P7325">
            <v>5.78</v>
          </cell>
        </row>
        <row r="7326">
          <cell r="A7326" t="str">
            <v>PEE-047-P-215-MX</v>
          </cell>
          <cell r="G7326" t="str">
            <v>IDESP</v>
          </cell>
          <cell r="L7326">
            <v>39533</v>
          </cell>
          <cell r="M7326">
            <v>3.1619999999999999</v>
          </cell>
          <cell r="P7326">
            <v>5.53</v>
          </cell>
        </row>
        <row r="7327">
          <cell r="A7327" t="str">
            <v>PEE-047-P-216-MX</v>
          </cell>
          <cell r="G7327" t="str">
            <v>IDESP</v>
          </cell>
          <cell r="L7327">
            <v>40918</v>
          </cell>
          <cell r="M7327">
            <v>4.33</v>
          </cell>
          <cell r="P7327">
            <v>38.03</v>
          </cell>
        </row>
        <row r="7328">
          <cell r="A7328" t="str">
            <v>PEE-047-P-217-MX</v>
          </cell>
          <cell r="G7328" t="str">
            <v xml:space="preserve">CR   </v>
          </cell>
          <cell r="L7328">
            <v>38811</v>
          </cell>
          <cell r="M7328">
            <v>3.085</v>
          </cell>
          <cell r="P7328">
            <v>8.8390000000000004</v>
          </cell>
        </row>
        <row r="7329">
          <cell r="A7329" t="str">
            <v>PEE-047-P-218-MX</v>
          </cell>
          <cell r="G7329" t="str">
            <v xml:space="preserve">INSI </v>
          </cell>
          <cell r="L7329">
            <v>40254</v>
          </cell>
          <cell r="M7329">
            <v>3.88</v>
          </cell>
          <cell r="P7329">
            <v>14.29</v>
          </cell>
        </row>
        <row r="7330">
          <cell r="A7330" t="str">
            <v>PEE-047-PA-204-HT</v>
          </cell>
          <cell r="G7330" t="str">
            <v xml:space="preserve">CR   </v>
          </cell>
          <cell r="L7330">
            <v>38811</v>
          </cell>
          <cell r="M7330">
            <v>3.085</v>
          </cell>
          <cell r="P7330">
            <v>1.3188</v>
          </cell>
        </row>
        <row r="7331">
          <cell r="A7331" t="str">
            <v>PEE-047-PA-205-HT</v>
          </cell>
          <cell r="G7331" t="str">
            <v>INDEV</v>
          </cell>
          <cell r="L7331">
            <v>40821</v>
          </cell>
          <cell r="M7331">
            <v>4.2300000000000004</v>
          </cell>
          <cell r="P7331">
            <v>1.0925295508274231</v>
          </cell>
        </row>
        <row r="7332">
          <cell r="A7332" t="str">
            <v>PEE-047-PA-206-HT</v>
          </cell>
          <cell r="G7332" t="str">
            <v xml:space="preserve">CR   </v>
          </cell>
          <cell r="L7332">
            <v>38811</v>
          </cell>
          <cell r="M7332">
            <v>3.085</v>
          </cell>
          <cell r="P7332">
            <v>1.8661000000000001</v>
          </cell>
        </row>
        <row r="7333">
          <cell r="A7333" t="str">
            <v>PEE-047-PA-207-HT</v>
          </cell>
          <cell r="G7333" t="str">
            <v>IDESP</v>
          </cell>
          <cell r="L7333">
            <v>41255</v>
          </cell>
          <cell r="M7333">
            <v>4.87</v>
          </cell>
          <cell r="P7333">
            <v>2.41</v>
          </cell>
        </row>
        <row r="7334">
          <cell r="A7334" t="str">
            <v>PEE-047-PA-208-HT</v>
          </cell>
          <cell r="G7334" t="str">
            <v>INDEV</v>
          </cell>
          <cell r="L7334">
            <v>39344</v>
          </cell>
          <cell r="M7334">
            <v>3.1360000000000001</v>
          </cell>
          <cell r="P7334">
            <v>2.068112244897959</v>
          </cell>
        </row>
        <row r="7335">
          <cell r="A7335" t="str">
            <v>PEE-047-PA-209-HT</v>
          </cell>
          <cell r="G7335" t="str">
            <v>INDEV</v>
          </cell>
          <cell r="L7335">
            <v>39035</v>
          </cell>
          <cell r="M7335">
            <v>3.0760000000000001</v>
          </cell>
          <cell r="P7335">
            <v>2.4899869960988297</v>
          </cell>
        </row>
        <row r="7336">
          <cell r="A7336" t="str">
            <v>PEE-047-PA-210-HT</v>
          </cell>
          <cell r="G7336" t="str">
            <v>INDEV</v>
          </cell>
          <cell r="L7336">
            <v>39035</v>
          </cell>
          <cell r="M7336">
            <v>3.0760000000000001</v>
          </cell>
          <cell r="P7336">
            <v>2.6617035110533158</v>
          </cell>
        </row>
        <row r="7337">
          <cell r="A7337" t="str">
            <v>PEE-047-PSB-206-MAMX</v>
          </cell>
          <cell r="G7337" t="str">
            <v xml:space="preserve">CR   </v>
          </cell>
          <cell r="L7337">
            <v>38624</v>
          </cell>
          <cell r="M7337">
            <v>2.915</v>
          </cell>
          <cell r="P7337">
            <v>1.3120000000000001</v>
          </cell>
        </row>
        <row r="7338">
          <cell r="A7338" t="str">
            <v>PEE-047-PSB-207-MAMX</v>
          </cell>
          <cell r="G7338" t="str">
            <v>INDEV</v>
          </cell>
          <cell r="L7338">
            <v>40037</v>
          </cell>
          <cell r="M7338">
            <v>3.84</v>
          </cell>
          <cell r="P7338">
            <v>1.5066927083333335</v>
          </cell>
        </row>
        <row r="7339">
          <cell r="A7339" t="str">
            <v>PEE-047-PSB-208-MAMX</v>
          </cell>
          <cell r="G7339" t="str">
            <v xml:space="preserve">CR   </v>
          </cell>
          <cell r="L7339">
            <v>38624</v>
          </cell>
          <cell r="M7339">
            <v>2.915</v>
          </cell>
          <cell r="P7339">
            <v>1.6519725557461407</v>
          </cell>
        </row>
        <row r="7340">
          <cell r="A7340" t="str">
            <v>PEE-047-PSB-209-MAMX</v>
          </cell>
          <cell r="G7340" t="str">
            <v>INDEV</v>
          </cell>
          <cell r="L7340">
            <v>39035</v>
          </cell>
          <cell r="M7340">
            <v>3.0760000000000001</v>
          </cell>
          <cell r="P7340">
            <v>1.7346879063719114</v>
          </cell>
        </row>
        <row r="7341">
          <cell r="A7341" t="str">
            <v>PEE-047-PW-205-MAMX</v>
          </cell>
          <cell r="G7341" t="str">
            <v xml:space="preserve">CR   </v>
          </cell>
          <cell r="L7341">
            <v>38624</v>
          </cell>
          <cell r="M7341">
            <v>2.915</v>
          </cell>
          <cell r="P7341">
            <v>0.83030000000000004</v>
          </cell>
        </row>
        <row r="7342">
          <cell r="A7342" t="str">
            <v>PEE-047-RCS-10-ML</v>
          </cell>
          <cell r="G7342" t="str">
            <v>INDEV</v>
          </cell>
          <cell r="L7342">
            <v>39955</v>
          </cell>
          <cell r="M7342">
            <v>3.75</v>
          </cell>
          <cell r="P7342">
            <v>2.4373866666666668</v>
          </cell>
        </row>
        <row r="7343">
          <cell r="A7343" t="str">
            <v>PEE-047-RCS-12-M</v>
          </cell>
          <cell r="G7343" t="str">
            <v xml:space="preserve">CR   </v>
          </cell>
          <cell r="L7343">
            <v>38624</v>
          </cell>
          <cell r="M7343">
            <v>2.915</v>
          </cell>
          <cell r="P7343">
            <v>0.70720000000000005</v>
          </cell>
        </row>
        <row r="7344">
          <cell r="A7344" t="str">
            <v>PEE-047-RCS-12-ML</v>
          </cell>
          <cell r="G7344" t="str">
            <v>IDESP</v>
          </cell>
          <cell r="L7344">
            <v>40918</v>
          </cell>
          <cell r="M7344">
            <v>4.33</v>
          </cell>
          <cell r="P7344">
            <v>4.09</v>
          </cell>
        </row>
        <row r="7345">
          <cell r="A7345" t="str">
            <v>PEE-047-RCS-16-M</v>
          </cell>
          <cell r="G7345" t="str">
            <v>IPFAP</v>
          </cell>
          <cell r="L7345">
            <v>42179</v>
          </cell>
          <cell r="M7345">
            <v>9.09</v>
          </cell>
          <cell r="P7345">
            <v>2.4941474147414744</v>
          </cell>
        </row>
        <row r="7346">
          <cell r="A7346" t="str">
            <v>PEE-047-RCS-16-ML</v>
          </cell>
          <cell r="G7346" t="str">
            <v>IPFAB</v>
          </cell>
          <cell r="L7346">
            <v>41668</v>
          </cell>
          <cell r="M7346">
            <v>8.02</v>
          </cell>
          <cell r="P7346">
            <v>4.29</v>
          </cell>
        </row>
        <row r="7347">
          <cell r="A7347" t="str">
            <v>PEE-047-RCS-19-LMX</v>
          </cell>
          <cell r="G7347" t="str">
            <v xml:space="preserve">CR   </v>
          </cell>
          <cell r="L7347">
            <v>38624</v>
          </cell>
          <cell r="M7347">
            <v>2.915</v>
          </cell>
          <cell r="P7347">
            <v>7.9539999999999997</v>
          </cell>
        </row>
        <row r="7348">
          <cell r="A7348" t="str">
            <v>PEE-047-RCS-20-ML</v>
          </cell>
          <cell r="G7348" t="str">
            <v>IDESP</v>
          </cell>
          <cell r="L7348">
            <v>39743</v>
          </cell>
          <cell r="M7348">
            <v>3.2109999999999999</v>
          </cell>
          <cell r="P7348">
            <v>3.83</v>
          </cell>
        </row>
        <row r="7349">
          <cell r="A7349" t="str">
            <v>PEE-047-RUB-4</v>
          </cell>
          <cell r="G7349" t="str">
            <v>IDESP</v>
          </cell>
          <cell r="L7349">
            <v>40779</v>
          </cell>
          <cell r="M7349">
            <v>4.21</v>
          </cell>
          <cell r="P7349">
            <v>0.81</v>
          </cell>
        </row>
        <row r="7350">
          <cell r="A7350" t="str">
            <v>PEE-047-RUB-5</v>
          </cell>
          <cell r="G7350" t="str">
            <v>IDESP</v>
          </cell>
          <cell r="L7350">
            <v>40779</v>
          </cell>
          <cell r="M7350">
            <v>4.21</v>
          </cell>
          <cell r="P7350">
            <v>0.5</v>
          </cell>
        </row>
        <row r="7351">
          <cell r="A7351" t="str">
            <v>PEE-047-RUB-6</v>
          </cell>
          <cell r="G7351" t="str">
            <v>IDESP</v>
          </cell>
          <cell r="L7351">
            <v>40779</v>
          </cell>
          <cell r="M7351">
            <v>4.21</v>
          </cell>
          <cell r="P7351">
            <v>1.04</v>
          </cell>
        </row>
        <row r="7352">
          <cell r="A7352" t="str">
            <v>PEE-047-RUB-7</v>
          </cell>
          <cell r="G7352" t="str">
            <v>IDESP</v>
          </cell>
          <cell r="L7352">
            <v>40779</v>
          </cell>
          <cell r="M7352">
            <v>4.21</v>
          </cell>
          <cell r="P7352">
            <v>1.28</v>
          </cell>
        </row>
        <row r="7353">
          <cell r="A7353" t="str">
            <v>PEE-047-SER-14</v>
          </cell>
          <cell r="G7353" t="str">
            <v>IDESP</v>
          </cell>
          <cell r="L7353">
            <v>39743</v>
          </cell>
          <cell r="M7353">
            <v>3.2109999999999999</v>
          </cell>
          <cell r="P7353">
            <v>2.54</v>
          </cell>
        </row>
        <row r="7354">
          <cell r="A7354" t="str">
            <v>PEE-047-SER-18-MX</v>
          </cell>
          <cell r="G7354" t="str">
            <v>IDESP</v>
          </cell>
          <cell r="L7354">
            <v>38922</v>
          </cell>
          <cell r="M7354">
            <v>3.0819999999999999</v>
          </cell>
          <cell r="P7354">
            <v>2.86</v>
          </cell>
        </row>
        <row r="7355">
          <cell r="A7355" t="str">
            <v>PEE-047-SER-208-24</v>
          </cell>
          <cell r="G7355" t="str">
            <v xml:space="preserve">CR   </v>
          </cell>
          <cell r="L7355">
            <v>40428.376423611109</v>
          </cell>
          <cell r="M7355">
            <v>3.97</v>
          </cell>
          <cell r="P7355">
            <v>5.6920000000000002</v>
          </cell>
        </row>
        <row r="7356">
          <cell r="A7356" t="str">
            <v>PEE-047-SER-208-40MM</v>
          </cell>
          <cell r="G7356" t="str">
            <v xml:space="preserve">CR   </v>
          </cell>
          <cell r="L7356">
            <v>40428.376423611109</v>
          </cell>
          <cell r="M7356">
            <v>3.97</v>
          </cell>
          <cell r="P7356">
            <v>5.39</v>
          </cell>
        </row>
        <row r="7357">
          <cell r="A7357" t="str">
            <v>PEE-047-SL209-45RG</v>
          </cell>
          <cell r="G7357" t="str">
            <v>IPFAB</v>
          </cell>
          <cell r="L7357">
            <v>40721</v>
          </cell>
          <cell r="M7357">
            <v>4.13</v>
          </cell>
          <cell r="P7357">
            <v>8.9433000000000007</v>
          </cell>
        </row>
        <row r="7358">
          <cell r="A7358" t="str">
            <v>PEE-047-SSUCF208-40m</v>
          </cell>
          <cell r="G7358" t="str">
            <v>IDESP</v>
          </cell>
          <cell r="L7358">
            <v>38737</v>
          </cell>
          <cell r="M7358">
            <v>3.0459999999999998</v>
          </cell>
          <cell r="P7358">
            <v>44.56</v>
          </cell>
        </row>
        <row r="7359">
          <cell r="A7359" t="str">
            <v>PEE-047-SUC206-30MM</v>
          </cell>
          <cell r="G7359" t="str">
            <v>INIMP</v>
          </cell>
          <cell r="L7359">
            <v>39092</v>
          </cell>
          <cell r="M7359">
            <v>3.0830000000000002</v>
          </cell>
          <cell r="P7359">
            <v>16.43</v>
          </cell>
        </row>
        <row r="7360">
          <cell r="A7360" t="str">
            <v>PEE-047-SUCF208-40mm</v>
          </cell>
          <cell r="G7360" t="str">
            <v>INDEV</v>
          </cell>
          <cell r="L7360">
            <v>38631</v>
          </cell>
          <cell r="M7360">
            <v>2.923</v>
          </cell>
          <cell r="P7360">
            <v>30.893944577488881</v>
          </cell>
        </row>
        <row r="7361">
          <cell r="A7361" t="str">
            <v>PEE-047-T-204</v>
          </cell>
          <cell r="G7361" t="str">
            <v xml:space="preserve">CR   </v>
          </cell>
          <cell r="L7361">
            <v>38811</v>
          </cell>
          <cell r="M7361">
            <v>3.085</v>
          </cell>
          <cell r="P7361">
            <v>1.3188</v>
          </cell>
        </row>
        <row r="7362">
          <cell r="A7362" t="str">
            <v>PEE-047-T-205</v>
          </cell>
          <cell r="G7362" t="str">
            <v>INDEV</v>
          </cell>
          <cell r="L7362">
            <v>41257</v>
          </cell>
          <cell r="M7362">
            <v>4.88</v>
          </cell>
          <cell r="P7362">
            <v>1.5704918032786885</v>
          </cell>
        </row>
        <row r="7363">
          <cell r="A7363" t="str">
            <v>PEE-047-T-206</v>
          </cell>
          <cell r="G7363" t="str">
            <v>IDESP</v>
          </cell>
          <cell r="L7363">
            <v>39895</v>
          </cell>
          <cell r="M7363">
            <v>3.657</v>
          </cell>
          <cell r="P7363">
            <v>2.35</v>
          </cell>
        </row>
        <row r="7364">
          <cell r="A7364" t="str">
            <v>PEE-047-T-207</v>
          </cell>
          <cell r="G7364" t="str">
            <v>INDEV</v>
          </cell>
          <cell r="L7364">
            <v>41471</v>
          </cell>
          <cell r="M7364">
            <v>5.43</v>
          </cell>
          <cell r="P7364">
            <v>2.93</v>
          </cell>
        </row>
        <row r="7365">
          <cell r="A7365" t="str">
            <v>PEE-047-T-208</v>
          </cell>
          <cell r="G7365" t="str">
            <v>INDEV</v>
          </cell>
          <cell r="L7365">
            <v>41281</v>
          </cell>
          <cell r="M7365">
            <v>4.93</v>
          </cell>
          <cell r="P7365">
            <v>3.72</v>
          </cell>
        </row>
        <row r="7366">
          <cell r="A7366" t="str">
            <v>PEE-047-T-209</v>
          </cell>
          <cell r="G7366" t="str">
            <v>IDESP</v>
          </cell>
          <cell r="L7366">
            <v>40429</v>
          </cell>
          <cell r="M7366">
            <v>3.97</v>
          </cell>
          <cell r="P7366">
            <v>4.24</v>
          </cell>
        </row>
        <row r="7367">
          <cell r="A7367" t="str">
            <v>PEE-047-T-210</v>
          </cell>
          <cell r="G7367" t="str">
            <v>IDESP</v>
          </cell>
          <cell r="L7367">
            <v>40429</v>
          </cell>
          <cell r="M7367">
            <v>3.97</v>
          </cell>
          <cell r="P7367">
            <v>4.6900000000000004</v>
          </cell>
        </row>
        <row r="7368">
          <cell r="A7368" t="str">
            <v>PEE-047-T-211</v>
          </cell>
          <cell r="G7368" t="str">
            <v xml:space="preserve">INSI </v>
          </cell>
          <cell r="L7368">
            <v>39665</v>
          </cell>
          <cell r="M7368">
            <v>3.044</v>
          </cell>
          <cell r="P7368">
            <v>3.9262000000000001</v>
          </cell>
        </row>
        <row r="7369">
          <cell r="A7369" t="str">
            <v>PEE-047-T-212</v>
          </cell>
          <cell r="G7369" t="str">
            <v xml:space="preserve">CR   </v>
          </cell>
          <cell r="L7369">
            <v>38624</v>
          </cell>
          <cell r="M7369">
            <v>2.915</v>
          </cell>
          <cell r="P7369">
            <v>4.7866999999999997</v>
          </cell>
        </row>
        <row r="7370">
          <cell r="A7370" t="str">
            <v>PEE-047-T-213</v>
          </cell>
          <cell r="G7370" t="str">
            <v>IPFAB</v>
          </cell>
          <cell r="L7370">
            <v>38642</v>
          </cell>
          <cell r="M7370">
            <v>2.9710000000000001</v>
          </cell>
          <cell r="P7370">
            <v>5.7270000000000003</v>
          </cell>
        </row>
        <row r="7371">
          <cell r="A7371" t="str">
            <v>PEE-047-T-213-M</v>
          </cell>
          <cell r="G7371" t="str">
            <v>IPFAB</v>
          </cell>
          <cell r="L7371">
            <v>38659</v>
          </cell>
          <cell r="M7371">
            <v>2.9860000000000002</v>
          </cell>
          <cell r="P7371">
            <v>5.7270000000000003</v>
          </cell>
        </row>
        <row r="7372">
          <cell r="A7372" t="str">
            <v>PEE-047-T-214</v>
          </cell>
          <cell r="G7372" t="str">
            <v xml:space="preserve">CR   </v>
          </cell>
          <cell r="L7372">
            <v>38624</v>
          </cell>
          <cell r="M7372">
            <v>2.915</v>
          </cell>
          <cell r="P7372">
            <v>6.5907</v>
          </cell>
        </row>
        <row r="7373">
          <cell r="A7373" t="str">
            <v>PEE-047-TS-1</v>
          </cell>
          <cell r="G7373" t="str">
            <v xml:space="preserve">CR   </v>
          </cell>
          <cell r="L7373">
            <v>38624</v>
          </cell>
          <cell r="M7373">
            <v>2.915</v>
          </cell>
          <cell r="P7373">
            <v>0.63549999999999995</v>
          </cell>
        </row>
        <row r="7374">
          <cell r="A7374" t="str">
            <v>PEE-047-UC-204-12</v>
          </cell>
          <cell r="G7374" t="str">
            <v xml:space="preserve">CR   </v>
          </cell>
          <cell r="L7374">
            <v>38811</v>
          </cell>
          <cell r="M7374">
            <v>3.085</v>
          </cell>
          <cell r="P7374">
            <v>1.2948999999999999</v>
          </cell>
        </row>
        <row r="7375">
          <cell r="A7375" t="str">
            <v>PEE-047-UC-204-12DBL</v>
          </cell>
          <cell r="G7375" t="str">
            <v>InRet</v>
          </cell>
          <cell r="L7375">
            <v>40939</v>
          </cell>
          <cell r="M7375">
            <v>4.3499999999999996</v>
          </cell>
          <cell r="P7375">
            <v>2.0365977011494252</v>
          </cell>
        </row>
        <row r="7376">
          <cell r="A7376" t="str">
            <v>PEE-047-UC-204-D1</v>
          </cell>
          <cell r="G7376" t="str">
            <v>IPFAB</v>
          </cell>
          <cell r="L7376">
            <v>40743</v>
          </cell>
          <cell r="M7376">
            <v>4.1500000000000004</v>
          </cell>
          <cell r="P7376">
            <v>2.1480000000000001</v>
          </cell>
        </row>
        <row r="7377">
          <cell r="A7377" t="str">
            <v>PEE-047-UC-204-TRL</v>
          </cell>
          <cell r="G7377" t="str">
            <v xml:space="preserve">CR   </v>
          </cell>
          <cell r="L7377">
            <v>38624</v>
          </cell>
          <cell r="M7377">
            <v>2.915</v>
          </cell>
          <cell r="P7377">
            <v>2.2652999999999999</v>
          </cell>
        </row>
        <row r="7378">
          <cell r="A7378" t="str">
            <v>PEE-047-UC-205-13</v>
          </cell>
          <cell r="G7378" t="str">
            <v xml:space="preserve">CR   </v>
          </cell>
          <cell r="L7378">
            <v>40428.376423611109</v>
          </cell>
          <cell r="M7378">
            <v>3.97</v>
          </cell>
          <cell r="P7378">
            <v>0.315</v>
          </cell>
        </row>
        <row r="7379">
          <cell r="A7379" t="str">
            <v>PEE-047-UC-205-16</v>
          </cell>
          <cell r="G7379" t="str">
            <v>IDESP</v>
          </cell>
          <cell r="L7379">
            <v>38863</v>
          </cell>
          <cell r="M7379">
            <v>3.0819999999999999</v>
          </cell>
          <cell r="P7379">
            <v>1.69</v>
          </cell>
        </row>
        <row r="7380">
          <cell r="A7380" t="str">
            <v>PEE-047-UC-205-16DB</v>
          </cell>
          <cell r="G7380" t="str">
            <v>IDESP</v>
          </cell>
          <cell r="L7380">
            <v>39519</v>
          </cell>
          <cell r="M7380">
            <v>3.1520000000000001</v>
          </cell>
          <cell r="P7380">
            <v>1.84</v>
          </cell>
        </row>
        <row r="7381">
          <cell r="A7381" t="str">
            <v>PEE-047-UC-205-25MM</v>
          </cell>
          <cell r="G7381" t="str">
            <v>IPFAP</v>
          </cell>
          <cell r="L7381">
            <v>41699</v>
          </cell>
          <cell r="M7381">
            <v>7.9</v>
          </cell>
          <cell r="P7381">
            <v>1.2791012658227849</v>
          </cell>
        </row>
        <row r="7382">
          <cell r="A7382" t="str">
            <v>PEE-047-UC-205-25YS</v>
          </cell>
          <cell r="G7382" t="str">
            <v xml:space="preserve">CR   </v>
          </cell>
          <cell r="L7382">
            <v>38624</v>
          </cell>
          <cell r="M7382">
            <v>2.915</v>
          </cell>
          <cell r="P7382">
            <v>2.5112999999999999</v>
          </cell>
        </row>
        <row r="7383">
          <cell r="A7383" t="str">
            <v>PEE-047-UC-205-DBL</v>
          </cell>
          <cell r="G7383" t="str">
            <v>INPE$</v>
          </cell>
          <cell r="L7383">
            <v>40644</v>
          </cell>
          <cell r="M7383">
            <v>4.08</v>
          </cell>
          <cell r="P7383">
            <v>1.8494117647058823</v>
          </cell>
        </row>
        <row r="7384">
          <cell r="A7384" t="str">
            <v>PEE-047-UC-205-PFT</v>
          </cell>
          <cell r="G7384" t="str">
            <v xml:space="preserve">CR   </v>
          </cell>
          <cell r="L7384">
            <v>38624</v>
          </cell>
          <cell r="M7384">
            <v>2.915</v>
          </cell>
          <cell r="P7384">
            <v>3.28</v>
          </cell>
        </row>
        <row r="7385">
          <cell r="A7385" t="str">
            <v>PEE-047-UC-205-SQZ</v>
          </cell>
          <cell r="G7385" t="str">
            <v xml:space="preserve">CR   </v>
          </cell>
          <cell r="L7385">
            <v>38624</v>
          </cell>
          <cell r="M7385">
            <v>2.915</v>
          </cell>
          <cell r="P7385">
            <v>3.7616999999999998</v>
          </cell>
        </row>
        <row r="7386">
          <cell r="A7386" t="str">
            <v>PEE-047-UC-205-TRL</v>
          </cell>
          <cell r="G7386" t="str">
            <v xml:space="preserve">INSI </v>
          </cell>
          <cell r="L7386">
            <v>39513</v>
          </cell>
          <cell r="M7386">
            <v>3.1520000000000001</v>
          </cell>
          <cell r="P7386">
            <v>2.35</v>
          </cell>
        </row>
        <row r="7387">
          <cell r="A7387" t="str">
            <v>PEE-047-UC-206-17</v>
          </cell>
          <cell r="G7387" t="str">
            <v xml:space="preserve">CR   </v>
          </cell>
          <cell r="L7387">
            <v>41908.495520833334</v>
          </cell>
          <cell r="M7387">
            <v>8.41</v>
          </cell>
          <cell r="P7387">
            <v>2.9890368608799047</v>
          </cell>
        </row>
        <row r="7388">
          <cell r="A7388" t="str">
            <v>PEE-047-UC-206-30MM</v>
          </cell>
          <cell r="G7388" t="str">
            <v>IPFAB</v>
          </cell>
          <cell r="L7388">
            <v>40281</v>
          </cell>
          <cell r="M7388">
            <v>3.89</v>
          </cell>
          <cell r="P7388">
            <v>1.8321339999999999</v>
          </cell>
        </row>
        <row r="7389">
          <cell r="A7389" t="str">
            <v>PEE-047-UC-206-DBL</v>
          </cell>
          <cell r="G7389" t="str">
            <v xml:space="preserve">CR   </v>
          </cell>
          <cell r="L7389">
            <v>38624</v>
          </cell>
          <cell r="M7389">
            <v>2.915</v>
          </cell>
          <cell r="P7389">
            <v>2.952</v>
          </cell>
        </row>
        <row r="7390">
          <cell r="A7390" t="str">
            <v>PEE-047-UC-206-TRL</v>
          </cell>
          <cell r="G7390" t="str">
            <v>IPFAB</v>
          </cell>
          <cell r="L7390">
            <v>38162</v>
          </cell>
          <cell r="M7390">
            <v>2.9430000000000001</v>
          </cell>
          <cell r="P7390">
            <v>2.98</v>
          </cell>
        </row>
        <row r="7391">
          <cell r="A7391" t="str">
            <v>PEE-047-UC-207-20</v>
          </cell>
          <cell r="G7391" t="str">
            <v xml:space="preserve">INSI </v>
          </cell>
          <cell r="L7391">
            <v>41004</v>
          </cell>
          <cell r="M7391">
            <v>4.4000000000000004</v>
          </cell>
          <cell r="P7391">
            <v>1.9773000000000001</v>
          </cell>
        </row>
        <row r="7392">
          <cell r="A7392" t="str">
            <v>PEE-047-UC-207-21</v>
          </cell>
          <cell r="G7392" t="str">
            <v xml:space="preserve">CR   </v>
          </cell>
          <cell r="L7392">
            <v>40428.376423611109</v>
          </cell>
          <cell r="M7392">
            <v>3.97</v>
          </cell>
          <cell r="P7392">
            <v>3.1669999999999998</v>
          </cell>
        </row>
        <row r="7393">
          <cell r="A7393" t="str">
            <v>PEE-047-UC-207-35MM</v>
          </cell>
          <cell r="G7393" t="str">
            <v>IDESP</v>
          </cell>
          <cell r="L7393">
            <v>39364</v>
          </cell>
          <cell r="M7393">
            <v>3.1589999999999998</v>
          </cell>
          <cell r="P7393">
            <v>2.39</v>
          </cell>
        </row>
        <row r="7394">
          <cell r="A7394" t="str">
            <v>PEE-047-UC-207-DBL</v>
          </cell>
          <cell r="G7394" t="str">
            <v>IDESP</v>
          </cell>
          <cell r="L7394">
            <v>39484</v>
          </cell>
          <cell r="M7394">
            <v>3.1640000000000001</v>
          </cell>
          <cell r="P7394">
            <v>2.4700000000000002</v>
          </cell>
        </row>
        <row r="7395">
          <cell r="A7395" t="str">
            <v>PEE-047-UC-207-TRL</v>
          </cell>
          <cell r="G7395" t="str">
            <v>IDESP</v>
          </cell>
          <cell r="L7395">
            <v>39349</v>
          </cell>
          <cell r="M7395">
            <v>3.145</v>
          </cell>
          <cell r="P7395">
            <v>2.4700000000000002</v>
          </cell>
        </row>
        <row r="7396">
          <cell r="A7396" t="str">
            <v>PEE-047-UC-208-24</v>
          </cell>
          <cell r="G7396" t="str">
            <v xml:space="preserve">CR   </v>
          </cell>
          <cell r="L7396">
            <v>40428.376423611109</v>
          </cell>
          <cell r="M7396">
            <v>3.97</v>
          </cell>
          <cell r="P7396">
            <v>5.625</v>
          </cell>
        </row>
        <row r="7397">
          <cell r="A7397" t="str">
            <v>PEE-047-UC-208-40DB</v>
          </cell>
          <cell r="G7397" t="str">
            <v>INDEV</v>
          </cell>
          <cell r="L7397">
            <v>38141</v>
          </cell>
          <cell r="M7397">
            <v>2.9409999999999998</v>
          </cell>
          <cell r="P7397">
            <v>4.161169670180211</v>
          </cell>
        </row>
        <row r="7398">
          <cell r="A7398" t="str">
            <v>PEE-047-UC-208-40MM</v>
          </cell>
          <cell r="G7398" t="str">
            <v>IDESP</v>
          </cell>
          <cell r="L7398">
            <v>39409</v>
          </cell>
          <cell r="M7398">
            <v>3.141</v>
          </cell>
          <cell r="P7398">
            <v>3.06</v>
          </cell>
        </row>
        <row r="7399">
          <cell r="A7399" t="str">
            <v>PEE-047-UC-208-TRL</v>
          </cell>
          <cell r="G7399" t="str">
            <v xml:space="preserve">CR   </v>
          </cell>
          <cell r="L7399">
            <v>37981</v>
          </cell>
          <cell r="M7399">
            <v>2.96</v>
          </cell>
          <cell r="P7399">
            <v>4.22</v>
          </cell>
        </row>
        <row r="7400">
          <cell r="A7400" t="str">
            <v>PEE-047-UC-209-45MM</v>
          </cell>
          <cell r="G7400" t="str">
            <v>IPFAB</v>
          </cell>
          <cell r="L7400">
            <v>39603</v>
          </cell>
          <cell r="M7400">
            <v>3.0680000000000001</v>
          </cell>
          <cell r="P7400">
            <v>3.17</v>
          </cell>
        </row>
        <row r="7401">
          <cell r="A7401" t="str">
            <v>PEE-047-UC-209-DBL</v>
          </cell>
          <cell r="G7401" t="str">
            <v xml:space="preserve">CR   </v>
          </cell>
          <cell r="L7401">
            <v>38811</v>
          </cell>
          <cell r="M7401">
            <v>3.085</v>
          </cell>
          <cell r="P7401">
            <v>4.5823</v>
          </cell>
        </row>
        <row r="7402">
          <cell r="A7402" t="str">
            <v>PEE-047-UC-209-TRL</v>
          </cell>
          <cell r="G7402" t="str">
            <v xml:space="preserve">CR   </v>
          </cell>
          <cell r="L7402">
            <v>38624</v>
          </cell>
          <cell r="M7402">
            <v>2.915</v>
          </cell>
          <cell r="P7402">
            <v>4.7765000000000004</v>
          </cell>
        </row>
        <row r="7403">
          <cell r="A7403" t="str">
            <v>PEE-047-UC-210-50MM</v>
          </cell>
          <cell r="G7403" t="str">
            <v xml:space="preserve">INSI </v>
          </cell>
          <cell r="L7403">
            <v>39513</v>
          </cell>
          <cell r="M7403">
            <v>3.1520000000000001</v>
          </cell>
          <cell r="P7403">
            <v>3.38</v>
          </cell>
        </row>
        <row r="7404">
          <cell r="A7404" t="str">
            <v>PEE-047-UC-210-DBL</v>
          </cell>
          <cell r="G7404" t="str">
            <v xml:space="preserve">INAC </v>
          </cell>
          <cell r="L7404">
            <v>40854</v>
          </cell>
          <cell r="M7404">
            <v>4.2699999999999996</v>
          </cell>
          <cell r="P7404">
            <v>3.038899297423888</v>
          </cell>
        </row>
        <row r="7405">
          <cell r="A7405" t="str">
            <v>PEE-047-UC-210-TRL</v>
          </cell>
          <cell r="G7405" t="str">
            <v xml:space="preserve">CR   </v>
          </cell>
          <cell r="L7405">
            <v>38624</v>
          </cell>
          <cell r="M7405">
            <v>2.915</v>
          </cell>
          <cell r="P7405">
            <v>5.5964999999999998</v>
          </cell>
        </row>
        <row r="7406">
          <cell r="A7406" t="str">
            <v>PEE-047-UC-211-32</v>
          </cell>
          <cell r="G7406" t="str">
            <v xml:space="preserve">CR   </v>
          </cell>
          <cell r="L7406">
            <v>40428.376423611109</v>
          </cell>
          <cell r="M7406">
            <v>3.97</v>
          </cell>
          <cell r="P7406">
            <v>9.68</v>
          </cell>
        </row>
        <row r="7407">
          <cell r="A7407" t="str">
            <v>PEE-047-UC-211-35</v>
          </cell>
          <cell r="G7407" t="str">
            <v>IPFAB</v>
          </cell>
          <cell r="L7407">
            <v>37971</v>
          </cell>
          <cell r="M7407">
            <v>2.9609999999999999</v>
          </cell>
          <cell r="P7407">
            <v>8.7799999999999994</v>
          </cell>
        </row>
        <row r="7408">
          <cell r="A7408" t="str">
            <v>PEE-047-UC-211-55MM</v>
          </cell>
          <cell r="G7408" t="str">
            <v>IDESP</v>
          </cell>
          <cell r="L7408">
            <v>39199</v>
          </cell>
          <cell r="M7408">
            <v>3.0880000000000001</v>
          </cell>
          <cell r="P7408">
            <v>6.38</v>
          </cell>
        </row>
        <row r="7409">
          <cell r="A7409" t="str">
            <v>PEE-047-UC-212-60MM</v>
          </cell>
          <cell r="G7409" t="str">
            <v>IPFAB</v>
          </cell>
          <cell r="L7409">
            <v>40389</v>
          </cell>
          <cell r="M7409">
            <v>3.96</v>
          </cell>
          <cell r="P7409">
            <v>14.41</v>
          </cell>
        </row>
        <row r="7410">
          <cell r="A7410" t="str">
            <v>PEE-047-UC-212-DBL</v>
          </cell>
          <cell r="G7410" t="str">
            <v>IDESP</v>
          </cell>
          <cell r="L7410">
            <v>39234</v>
          </cell>
          <cell r="M7410">
            <v>3.077</v>
          </cell>
          <cell r="P7410">
            <v>8.64</v>
          </cell>
        </row>
        <row r="7411">
          <cell r="A7411" t="str">
            <v>PEE-047-UC-213-D1</v>
          </cell>
          <cell r="G7411" t="str">
            <v xml:space="preserve">CR   </v>
          </cell>
          <cell r="L7411">
            <v>40428.376423611109</v>
          </cell>
          <cell r="M7411">
            <v>3.97</v>
          </cell>
          <cell r="P7411">
            <v>14.085000000000001</v>
          </cell>
        </row>
        <row r="7412">
          <cell r="A7412" t="str">
            <v>PEE-047-UC-214-70MM</v>
          </cell>
          <cell r="G7412" t="str">
            <v xml:space="preserve">CR   </v>
          </cell>
          <cell r="L7412">
            <v>40428.376423611109</v>
          </cell>
          <cell r="M7412">
            <v>3.97</v>
          </cell>
          <cell r="P7412">
            <v>14.098000000000001</v>
          </cell>
        </row>
        <row r="7413">
          <cell r="A7413" t="str">
            <v>PEE-047-UC-214-DBL</v>
          </cell>
          <cell r="G7413" t="str">
            <v xml:space="preserve">INSI </v>
          </cell>
          <cell r="L7413">
            <v>40129</v>
          </cell>
          <cell r="M7413">
            <v>3.82</v>
          </cell>
          <cell r="P7413">
            <v>13.198743</v>
          </cell>
        </row>
        <row r="7414">
          <cell r="A7414" t="str">
            <v>PEE-047-UC-215-DIW3</v>
          </cell>
          <cell r="G7414" t="str">
            <v xml:space="preserve">CR   </v>
          </cell>
          <cell r="L7414">
            <v>40428.376423611109</v>
          </cell>
          <cell r="M7414">
            <v>3.97</v>
          </cell>
          <cell r="P7414">
            <v>27.716999999999999</v>
          </cell>
        </row>
        <row r="7415">
          <cell r="A7415" t="str">
            <v>PEE-047-UC-216-D1</v>
          </cell>
          <cell r="G7415" t="str">
            <v xml:space="preserve">CR   </v>
          </cell>
          <cell r="L7415">
            <v>38624</v>
          </cell>
          <cell r="M7415">
            <v>2.915</v>
          </cell>
          <cell r="P7415">
            <v>23.206</v>
          </cell>
        </row>
        <row r="7416">
          <cell r="A7416" t="str">
            <v>PEE-047-UC-218</v>
          </cell>
          <cell r="G7416" t="str">
            <v xml:space="preserve">CR   </v>
          </cell>
          <cell r="L7416">
            <v>40428.376423611109</v>
          </cell>
          <cell r="M7416">
            <v>3.97</v>
          </cell>
          <cell r="P7416">
            <v>37.546999999999997</v>
          </cell>
        </row>
        <row r="7417">
          <cell r="A7417" t="str">
            <v>PEE-047-UC202-15MM</v>
          </cell>
          <cell r="G7417" t="str">
            <v>INDEV</v>
          </cell>
          <cell r="L7417">
            <v>40770</v>
          </cell>
          <cell r="M7417">
            <v>4.1900000000000004</v>
          </cell>
          <cell r="P7417">
            <v>2.0079952267303103</v>
          </cell>
        </row>
        <row r="7418">
          <cell r="A7418" t="str">
            <v>PEE-047-UC203-17MM</v>
          </cell>
          <cell r="G7418" t="str">
            <v xml:space="preserve">CR   </v>
          </cell>
          <cell r="L7418">
            <v>40428.376423611109</v>
          </cell>
          <cell r="M7418">
            <v>3.97</v>
          </cell>
          <cell r="P7418">
            <v>2.0259999999999998</v>
          </cell>
        </row>
        <row r="7419">
          <cell r="A7419" t="str">
            <v>PEE-047-UC204-20MDBL</v>
          </cell>
          <cell r="G7419" t="str">
            <v xml:space="preserve">INSI </v>
          </cell>
          <cell r="L7419">
            <v>39513</v>
          </cell>
          <cell r="M7419">
            <v>3.1520000000000001</v>
          </cell>
          <cell r="P7419">
            <v>1.8063</v>
          </cell>
        </row>
        <row r="7420">
          <cell r="A7420" t="str">
            <v>PEE-047-UC204-20MM</v>
          </cell>
          <cell r="G7420" t="str">
            <v xml:space="preserve">CR   </v>
          </cell>
          <cell r="L7420">
            <v>40428.376423611109</v>
          </cell>
          <cell r="M7420">
            <v>3.97</v>
          </cell>
          <cell r="P7420">
            <v>1.8149999999999999</v>
          </cell>
        </row>
        <row r="7421">
          <cell r="A7421" t="str">
            <v>PEE-047-UC205-25MMDB</v>
          </cell>
          <cell r="G7421" t="str">
            <v>IPFAB</v>
          </cell>
          <cell r="L7421">
            <v>40107</v>
          </cell>
          <cell r="M7421">
            <v>3.84</v>
          </cell>
          <cell r="P7421">
            <v>1.618385</v>
          </cell>
        </row>
        <row r="7422">
          <cell r="A7422" t="str">
            <v>PEE-047-UC206-30KYY2</v>
          </cell>
          <cell r="G7422" t="str">
            <v>IPFAB</v>
          </cell>
          <cell r="L7422">
            <v>39210</v>
          </cell>
          <cell r="M7422">
            <v>3.08</v>
          </cell>
          <cell r="P7422">
            <v>1.99</v>
          </cell>
        </row>
        <row r="7423">
          <cell r="A7423" t="str">
            <v>PEE-047-UC206-30MM</v>
          </cell>
          <cell r="G7423" t="str">
            <v xml:space="preserve">CR   </v>
          </cell>
          <cell r="L7423">
            <v>38811</v>
          </cell>
          <cell r="M7423">
            <v>3.085</v>
          </cell>
          <cell r="P7423">
            <v>2.2930999999999999</v>
          </cell>
        </row>
        <row r="7424">
          <cell r="A7424" t="str">
            <v>PEE-047-UC206-30MMDB</v>
          </cell>
          <cell r="G7424" t="str">
            <v>INDEV</v>
          </cell>
          <cell r="L7424">
            <v>39666</v>
          </cell>
          <cell r="M7424">
            <v>3.0419999999999998</v>
          </cell>
          <cell r="P7424">
            <v>1.9900065746219595</v>
          </cell>
        </row>
        <row r="7425">
          <cell r="A7425" t="str">
            <v>PEE-047-UC207-35KYY2</v>
          </cell>
          <cell r="G7425" t="str">
            <v>IPFAB</v>
          </cell>
          <cell r="L7425">
            <v>39210</v>
          </cell>
          <cell r="M7425">
            <v>3.08</v>
          </cell>
          <cell r="P7425">
            <v>2.4700000000000002</v>
          </cell>
        </row>
        <row r="7426">
          <cell r="A7426" t="str">
            <v>PEE-047-UC208-40KYY2</v>
          </cell>
          <cell r="G7426" t="str">
            <v>IPFAB</v>
          </cell>
          <cell r="L7426">
            <v>39196</v>
          </cell>
          <cell r="M7426">
            <v>3.0830000000000002</v>
          </cell>
          <cell r="P7426">
            <v>3.17</v>
          </cell>
        </row>
        <row r="7427">
          <cell r="A7427" t="str">
            <v>PEE-047-UC208-40MM</v>
          </cell>
          <cell r="G7427" t="str">
            <v xml:space="preserve">CR   </v>
          </cell>
          <cell r="L7427">
            <v>38624</v>
          </cell>
          <cell r="M7427">
            <v>2.915</v>
          </cell>
          <cell r="P7427">
            <v>3.7206999999999999</v>
          </cell>
        </row>
        <row r="7428">
          <cell r="A7428" t="str">
            <v>PEE-047-UC208-40MMDB</v>
          </cell>
          <cell r="G7428" t="str">
            <v>INDEV</v>
          </cell>
          <cell r="L7428">
            <v>39713</v>
          </cell>
          <cell r="M7428">
            <v>3.1150000000000002</v>
          </cell>
          <cell r="P7428">
            <v>3.1700160513643656</v>
          </cell>
        </row>
        <row r="7429">
          <cell r="A7429" t="str">
            <v>PEE-047-UC209-45KYY2</v>
          </cell>
          <cell r="G7429" t="str">
            <v>IPFAB</v>
          </cell>
          <cell r="L7429">
            <v>39196</v>
          </cell>
          <cell r="M7429">
            <v>3.0830000000000002</v>
          </cell>
          <cell r="P7429">
            <v>3.28</v>
          </cell>
        </row>
        <row r="7430">
          <cell r="A7430" t="str">
            <v>PEE-047-UC209-45MDBL</v>
          </cell>
          <cell r="G7430" t="str">
            <v>IDESP</v>
          </cell>
          <cell r="L7430">
            <v>39030</v>
          </cell>
          <cell r="M7430">
            <v>3.069</v>
          </cell>
          <cell r="P7430">
            <v>3.94</v>
          </cell>
        </row>
        <row r="7431">
          <cell r="A7431" t="str">
            <v>PEE-047-UC209-45MM</v>
          </cell>
          <cell r="G7431" t="str">
            <v>IPFAP</v>
          </cell>
          <cell r="L7431">
            <v>43017</v>
          </cell>
          <cell r="M7431">
            <v>17.75</v>
          </cell>
          <cell r="P7431">
            <v>8.4507042253521121</v>
          </cell>
        </row>
        <row r="7432">
          <cell r="A7432" t="str">
            <v>PEE-047-UC209-45MMDB</v>
          </cell>
          <cell r="G7432" t="str">
            <v>INDEV</v>
          </cell>
          <cell r="L7432">
            <v>40000</v>
          </cell>
          <cell r="M7432">
            <v>3.81</v>
          </cell>
          <cell r="P7432">
            <v>2.8590288713910756</v>
          </cell>
        </row>
        <row r="7433">
          <cell r="A7433" t="str">
            <v>PEE-047-UC210-50MM</v>
          </cell>
          <cell r="G7433" t="str">
            <v xml:space="preserve">CR   </v>
          </cell>
          <cell r="L7433">
            <v>38811</v>
          </cell>
          <cell r="M7433">
            <v>3.085</v>
          </cell>
          <cell r="P7433">
            <v>4.8898999999999999</v>
          </cell>
        </row>
        <row r="7434">
          <cell r="A7434" t="str">
            <v>PEE-047-UC210-50MMDB</v>
          </cell>
          <cell r="G7434" t="str">
            <v>INDEV</v>
          </cell>
          <cell r="L7434">
            <v>39771</v>
          </cell>
          <cell r="M7434">
            <v>3.3210000000000002</v>
          </cell>
          <cell r="P7434">
            <v>3.3429689852454079</v>
          </cell>
        </row>
        <row r="7435">
          <cell r="A7435" t="str">
            <v>PEE-047-UC211-55MDBL</v>
          </cell>
          <cell r="G7435" t="str">
            <v>IDESP</v>
          </cell>
          <cell r="L7435">
            <v>39199</v>
          </cell>
          <cell r="M7435">
            <v>3.0880000000000001</v>
          </cell>
          <cell r="P7435">
            <v>6.55</v>
          </cell>
        </row>
        <row r="7436">
          <cell r="A7436" t="str">
            <v>PEE-047-UC216-80MDBL</v>
          </cell>
          <cell r="G7436" t="str">
            <v>IDESP</v>
          </cell>
          <cell r="L7436">
            <v>39294</v>
          </cell>
          <cell r="M7436">
            <v>3.1240000000000001</v>
          </cell>
          <cell r="P7436">
            <v>21.6</v>
          </cell>
        </row>
        <row r="7437">
          <cell r="A7437" t="str">
            <v>PEE-047-UC217-85MDBL</v>
          </cell>
          <cell r="G7437" t="str">
            <v xml:space="preserve">CR   </v>
          </cell>
          <cell r="L7437">
            <v>40428.376423611109</v>
          </cell>
          <cell r="M7437">
            <v>3.97</v>
          </cell>
          <cell r="P7437">
            <v>26.411000000000001</v>
          </cell>
        </row>
        <row r="7438">
          <cell r="A7438" t="str">
            <v>PEE-047-UCF-205-25MM</v>
          </cell>
          <cell r="G7438" t="str">
            <v xml:space="preserve">CR   </v>
          </cell>
          <cell r="L7438">
            <v>40428.376423611109</v>
          </cell>
          <cell r="M7438">
            <v>3.97</v>
          </cell>
          <cell r="P7438">
            <v>2.1549999999999998</v>
          </cell>
        </row>
        <row r="7439">
          <cell r="A7439" t="str">
            <v>PEE-047-UCF-206-30MM</v>
          </cell>
          <cell r="G7439" t="str">
            <v>IPFAB</v>
          </cell>
          <cell r="L7439">
            <v>39906</v>
          </cell>
          <cell r="M7439">
            <v>3.7120000000000002</v>
          </cell>
          <cell r="P7439">
            <v>2.64</v>
          </cell>
        </row>
        <row r="7440">
          <cell r="A7440" t="str">
            <v>PEE-047-UCF-207-35MM</v>
          </cell>
          <cell r="G7440" t="str">
            <v>IPFAB</v>
          </cell>
          <cell r="L7440">
            <v>39135</v>
          </cell>
          <cell r="M7440">
            <v>3.1059999999999999</v>
          </cell>
          <cell r="P7440">
            <v>4.5027999999999997</v>
          </cell>
        </row>
        <row r="7441">
          <cell r="A7441" t="str">
            <v>PEE-047-UCF-208-40MM</v>
          </cell>
          <cell r="G7441" t="str">
            <v xml:space="preserve">CR   </v>
          </cell>
          <cell r="L7441">
            <v>38624</v>
          </cell>
          <cell r="M7441">
            <v>2.915</v>
          </cell>
          <cell r="P7441">
            <v>3.8641999999999999</v>
          </cell>
        </row>
        <row r="7442">
          <cell r="A7442" t="str">
            <v>PEE-047-UCF-209-45MM</v>
          </cell>
          <cell r="G7442" t="str">
            <v xml:space="preserve">CR   </v>
          </cell>
          <cell r="L7442">
            <v>38624</v>
          </cell>
          <cell r="M7442">
            <v>2.915</v>
          </cell>
          <cell r="P7442">
            <v>4.3460000000000001</v>
          </cell>
        </row>
        <row r="7443">
          <cell r="A7443" t="str">
            <v>PEE-047-UCF-210-50MM</v>
          </cell>
          <cell r="G7443" t="str">
            <v xml:space="preserve">CR   </v>
          </cell>
          <cell r="L7443">
            <v>40428.376423611109</v>
          </cell>
          <cell r="M7443">
            <v>3.97</v>
          </cell>
          <cell r="P7443">
            <v>5.758</v>
          </cell>
        </row>
        <row r="7444">
          <cell r="A7444" t="str">
            <v>PEE-047-UCF-212-60MM</v>
          </cell>
          <cell r="G7444" t="str">
            <v xml:space="preserve">CR   </v>
          </cell>
          <cell r="L7444">
            <v>38624</v>
          </cell>
          <cell r="M7444">
            <v>2.915</v>
          </cell>
          <cell r="P7444">
            <v>10.1578</v>
          </cell>
        </row>
        <row r="7445">
          <cell r="A7445" t="str">
            <v>PEE-047-UCFT-204-20M</v>
          </cell>
          <cell r="G7445" t="str">
            <v xml:space="preserve">CR   </v>
          </cell>
          <cell r="L7445">
            <v>40428.376423611109</v>
          </cell>
          <cell r="M7445">
            <v>3.97</v>
          </cell>
          <cell r="P7445">
            <v>1.1000000000000001</v>
          </cell>
        </row>
        <row r="7446">
          <cell r="A7446" t="str">
            <v>PEE-047-UCFT-205-25M</v>
          </cell>
          <cell r="G7446" t="str">
            <v xml:space="preserve">CR   </v>
          </cell>
          <cell r="L7446">
            <v>38811</v>
          </cell>
          <cell r="M7446">
            <v>3.085</v>
          </cell>
          <cell r="P7446">
            <v>2.7496</v>
          </cell>
        </row>
        <row r="7447">
          <cell r="A7447" t="str">
            <v>PEE-047-UCFT-206-30M</v>
          </cell>
          <cell r="G7447" t="str">
            <v>IPFAB</v>
          </cell>
          <cell r="L7447">
            <v>39906</v>
          </cell>
          <cell r="M7447">
            <v>3.7120000000000002</v>
          </cell>
          <cell r="P7447">
            <v>1</v>
          </cell>
        </row>
        <row r="7448">
          <cell r="A7448" t="str">
            <v>PEE-047-UCFT207-35MM</v>
          </cell>
          <cell r="G7448" t="str">
            <v>IPFAB</v>
          </cell>
          <cell r="L7448">
            <v>39906</v>
          </cell>
          <cell r="M7448">
            <v>3.7120000000000002</v>
          </cell>
          <cell r="P7448">
            <v>3</v>
          </cell>
        </row>
        <row r="7449">
          <cell r="A7449" t="str">
            <v>PEE-047-UCFT209-45MM</v>
          </cell>
          <cell r="G7449" t="str">
            <v xml:space="preserve">CR   </v>
          </cell>
          <cell r="L7449">
            <v>40428.376423611109</v>
          </cell>
          <cell r="M7449">
            <v>3.97</v>
          </cell>
          <cell r="P7449">
            <v>4.4290000000000003</v>
          </cell>
        </row>
        <row r="7450">
          <cell r="A7450" t="str">
            <v>PEE-047-UCL-204-20MM</v>
          </cell>
          <cell r="G7450" t="str">
            <v xml:space="preserve">CR   </v>
          </cell>
          <cell r="L7450">
            <v>37981</v>
          </cell>
          <cell r="M7450">
            <v>2.96</v>
          </cell>
          <cell r="P7450">
            <v>1.83</v>
          </cell>
        </row>
        <row r="7451">
          <cell r="A7451" t="str">
            <v>PEE-047-UCL-205-25MM</v>
          </cell>
          <cell r="G7451" t="str">
            <v xml:space="preserve">INAC </v>
          </cell>
          <cell r="L7451">
            <v>38119</v>
          </cell>
          <cell r="M7451">
            <v>2.907</v>
          </cell>
          <cell r="P7451">
            <v>2.9514963880288958</v>
          </cell>
        </row>
        <row r="7452">
          <cell r="A7452" t="str">
            <v>PEE-047-UCL-206-30MM</v>
          </cell>
          <cell r="G7452" t="str">
            <v xml:space="preserve">CR   </v>
          </cell>
          <cell r="L7452">
            <v>38624</v>
          </cell>
          <cell r="M7452">
            <v>2.915</v>
          </cell>
          <cell r="P7452">
            <v>2.706</v>
          </cell>
        </row>
        <row r="7453">
          <cell r="A7453" t="str">
            <v>PEE-047-UCL-207-35MM</v>
          </cell>
          <cell r="G7453" t="str">
            <v xml:space="preserve">CR   </v>
          </cell>
          <cell r="L7453">
            <v>37981</v>
          </cell>
          <cell r="M7453">
            <v>2.96</v>
          </cell>
          <cell r="P7453">
            <v>3.17</v>
          </cell>
        </row>
        <row r="7454">
          <cell r="A7454" t="str">
            <v>PEE-047-UCL-208-40MM</v>
          </cell>
          <cell r="G7454" t="str">
            <v xml:space="preserve">CR   </v>
          </cell>
          <cell r="L7454">
            <v>38624</v>
          </cell>
          <cell r="M7454">
            <v>2.915</v>
          </cell>
          <cell r="P7454">
            <v>3.8641999999999999</v>
          </cell>
        </row>
        <row r="7455">
          <cell r="A7455" t="str">
            <v>PEE-047-UCL-208-R</v>
          </cell>
          <cell r="G7455" t="str">
            <v xml:space="preserve">CR   </v>
          </cell>
          <cell r="L7455">
            <v>38624</v>
          </cell>
          <cell r="M7455">
            <v>2.915</v>
          </cell>
          <cell r="P7455">
            <v>3.9872999999999998</v>
          </cell>
        </row>
        <row r="7456">
          <cell r="A7456" t="str">
            <v>PEE-047-UCL-209-45MM</v>
          </cell>
          <cell r="G7456" t="str">
            <v xml:space="preserve">CR   </v>
          </cell>
          <cell r="L7456">
            <v>37981</v>
          </cell>
          <cell r="M7456">
            <v>2.96</v>
          </cell>
          <cell r="P7456">
            <v>4.24</v>
          </cell>
        </row>
        <row r="7457">
          <cell r="A7457" t="str">
            <v>PEE-047-UCL-210</v>
          </cell>
          <cell r="G7457" t="str">
            <v xml:space="preserve">CR   </v>
          </cell>
          <cell r="L7457">
            <v>38624</v>
          </cell>
          <cell r="M7457">
            <v>2.915</v>
          </cell>
          <cell r="P7457">
            <v>5.33</v>
          </cell>
        </row>
        <row r="7458">
          <cell r="A7458" t="str">
            <v>PEE-047-UCP-204-12</v>
          </cell>
          <cell r="G7458" t="str">
            <v xml:space="preserve">CR   </v>
          </cell>
          <cell r="L7458">
            <v>37981</v>
          </cell>
          <cell r="M7458">
            <v>2.96</v>
          </cell>
          <cell r="P7458">
            <v>1.83</v>
          </cell>
        </row>
        <row r="7459">
          <cell r="A7459" t="str">
            <v>PEE-047-UCP-204-20MM</v>
          </cell>
          <cell r="G7459" t="str">
            <v xml:space="preserve">CR   </v>
          </cell>
          <cell r="L7459">
            <v>38624</v>
          </cell>
          <cell r="M7459">
            <v>2.915</v>
          </cell>
          <cell r="P7459">
            <v>1.8756999999999999</v>
          </cell>
        </row>
        <row r="7460">
          <cell r="A7460" t="str">
            <v>PEE-047-UCP-205-13</v>
          </cell>
          <cell r="G7460" t="str">
            <v xml:space="preserve">CR   </v>
          </cell>
          <cell r="L7460">
            <v>38811</v>
          </cell>
          <cell r="M7460">
            <v>3.085</v>
          </cell>
          <cell r="P7460">
            <v>5.0435999999999996</v>
          </cell>
        </row>
        <row r="7461">
          <cell r="A7461" t="str">
            <v>PEE-047-UCP-205-25MM</v>
          </cell>
          <cell r="G7461" t="str">
            <v>INDEV</v>
          </cell>
          <cell r="L7461">
            <v>39966</v>
          </cell>
          <cell r="M7461">
            <v>3.76</v>
          </cell>
          <cell r="P7461">
            <v>2.0500000000000003</v>
          </cell>
        </row>
        <row r="7462">
          <cell r="A7462" t="str">
            <v>PEE-047-UCP-206-17</v>
          </cell>
          <cell r="G7462" t="str">
            <v xml:space="preserve">CR   </v>
          </cell>
          <cell r="L7462">
            <v>40428.376423611109</v>
          </cell>
          <cell r="M7462">
            <v>3.97</v>
          </cell>
          <cell r="P7462">
            <v>2.923</v>
          </cell>
        </row>
        <row r="7463">
          <cell r="A7463" t="str">
            <v>PEE-047-UCP-206-30MM</v>
          </cell>
          <cell r="G7463" t="str">
            <v xml:space="preserve">CR   </v>
          </cell>
          <cell r="L7463">
            <v>38811</v>
          </cell>
          <cell r="M7463">
            <v>3.085</v>
          </cell>
          <cell r="P7463">
            <v>2.6577000000000002</v>
          </cell>
        </row>
        <row r="7464">
          <cell r="A7464" t="str">
            <v>PEE-047-UCP-207-21</v>
          </cell>
          <cell r="G7464" t="str">
            <v xml:space="preserve">CR   </v>
          </cell>
          <cell r="L7464">
            <v>37981</v>
          </cell>
          <cell r="M7464">
            <v>2.96</v>
          </cell>
          <cell r="P7464">
            <v>3.17</v>
          </cell>
        </row>
        <row r="7465">
          <cell r="A7465" t="str">
            <v>PEE-047-UCP-207-35MM</v>
          </cell>
          <cell r="G7465" t="str">
            <v>IPFAB</v>
          </cell>
          <cell r="L7465">
            <v>39906</v>
          </cell>
          <cell r="M7465">
            <v>3.7120000000000002</v>
          </cell>
          <cell r="P7465">
            <v>3.51</v>
          </cell>
        </row>
        <row r="7466">
          <cell r="A7466" t="str">
            <v>PEE-047-UCP-208-40MM</v>
          </cell>
          <cell r="G7466" t="str">
            <v>IPFAB</v>
          </cell>
          <cell r="L7466">
            <v>39906</v>
          </cell>
          <cell r="M7466">
            <v>3.7120000000000002</v>
          </cell>
          <cell r="P7466">
            <v>4.5061999999999998</v>
          </cell>
        </row>
        <row r="7467">
          <cell r="A7467" t="str">
            <v>PEE-047-UCP-209-45MM</v>
          </cell>
          <cell r="G7467" t="str">
            <v xml:space="preserve">CR   </v>
          </cell>
          <cell r="L7467">
            <v>38624</v>
          </cell>
          <cell r="M7467">
            <v>2.915</v>
          </cell>
          <cell r="P7467">
            <v>4.3460000000000001</v>
          </cell>
        </row>
        <row r="7468">
          <cell r="A7468" t="str">
            <v>PEE-047-UCP-210-50MM</v>
          </cell>
          <cell r="G7468" t="str">
            <v>INDEV</v>
          </cell>
          <cell r="L7468">
            <v>38748</v>
          </cell>
          <cell r="M7468">
            <v>3.0609999999999999</v>
          </cell>
          <cell r="P7468">
            <v>5.2934335184580199</v>
          </cell>
        </row>
        <row r="7469">
          <cell r="A7469" t="str">
            <v>PEE-047-UCP-212</v>
          </cell>
          <cell r="G7469" t="str">
            <v xml:space="preserve">CR   </v>
          </cell>
          <cell r="L7469">
            <v>38624</v>
          </cell>
          <cell r="M7469">
            <v>2.915</v>
          </cell>
          <cell r="P7469">
            <v>10.1578</v>
          </cell>
        </row>
        <row r="7470">
          <cell r="A7470" t="str">
            <v>PEE-047-UCP-214-70</v>
          </cell>
          <cell r="G7470" t="str">
            <v xml:space="preserve">CR   </v>
          </cell>
          <cell r="L7470">
            <v>38811</v>
          </cell>
          <cell r="M7470">
            <v>3.085</v>
          </cell>
          <cell r="P7470">
            <v>11.531700000000001</v>
          </cell>
        </row>
        <row r="7471">
          <cell r="A7471" t="str">
            <v>PEE-047-UCT-207</v>
          </cell>
          <cell r="G7471" t="str">
            <v xml:space="preserve">CR   </v>
          </cell>
          <cell r="L7471">
            <v>38811</v>
          </cell>
          <cell r="M7471">
            <v>3.085</v>
          </cell>
          <cell r="P7471">
            <v>5.0838999999999999</v>
          </cell>
        </row>
        <row r="7472">
          <cell r="A7472" t="str">
            <v>PEE-047-UCX-10-50mm</v>
          </cell>
          <cell r="G7472" t="str">
            <v xml:space="preserve">CR   </v>
          </cell>
          <cell r="L7472">
            <v>38624</v>
          </cell>
          <cell r="M7472">
            <v>2.915</v>
          </cell>
          <cell r="P7472">
            <v>35.915999999999997</v>
          </cell>
        </row>
        <row r="7473">
          <cell r="A7473" t="str">
            <v>PEE-047-UCX-8-24MX</v>
          </cell>
          <cell r="G7473" t="str">
            <v xml:space="preserve">CR   </v>
          </cell>
          <cell r="L7473">
            <v>38624</v>
          </cell>
          <cell r="M7473">
            <v>2.915</v>
          </cell>
          <cell r="P7473">
            <v>7.1852</v>
          </cell>
        </row>
        <row r="7474">
          <cell r="A7474" t="str">
            <v>PEE-047-UCX05-25MDBL</v>
          </cell>
          <cell r="G7474" t="str">
            <v xml:space="preserve">CR   </v>
          </cell>
          <cell r="L7474">
            <v>40428.376423611109</v>
          </cell>
          <cell r="M7474">
            <v>3.97</v>
          </cell>
          <cell r="P7474">
            <v>2.6960000000000002</v>
          </cell>
        </row>
        <row r="7475">
          <cell r="A7475" t="str">
            <v>PEE-047-UEL-204-TRL</v>
          </cell>
          <cell r="G7475" t="str">
            <v xml:space="preserve">CR   </v>
          </cell>
          <cell r="L7475">
            <v>38624</v>
          </cell>
          <cell r="M7475">
            <v>2.915</v>
          </cell>
          <cell r="P7475">
            <v>2.4805000000000001</v>
          </cell>
        </row>
        <row r="7476">
          <cell r="A7476" t="str">
            <v>PEE-047-UEL-205-14TR</v>
          </cell>
          <cell r="G7476" t="str">
            <v>IDESP</v>
          </cell>
          <cell r="L7476">
            <v>39444</v>
          </cell>
          <cell r="M7476">
            <v>3.149</v>
          </cell>
          <cell r="P7476">
            <v>2.1</v>
          </cell>
        </row>
        <row r="7477">
          <cell r="A7477" t="str">
            <v>PEE-047-UEL-205-15TR</v>
          </cell>
          <cell r="G7477" t="str">
            <v>INDEV</v>
          </cell>
          <cell r="L7477">
            <v>39266</v>
          </cell>
          <cell r="M7477">
            <v>3.0910000000000002</v>
          </cell>
          <cell r="P7477">
            <v>2.4304432222581687</v>
          </cell>
        </row>
        <row r="7478">
          <cell r="A7478" t="str">
            <v>PEE-047-UEL-205-16DB</v>
          </cell>
          <cell r="G7478" t="str">
            <v xml:space="preserve">CR   </v>
          </cell>
          <cell r="L7478">
            <v>37981</v>
          </cell>
          <cell r="M7478">
            <v>2.96</v>
          </cell>
          <cell r="P7478">
            <v>2.4700000000000002</v>
          </cell>
        </row>
        <row r="7479">
          <cell r="A7479" t="str">
            <v>PEE-047-UEL-205-16TR</v>
          </cell>
          <cell r="G7479" t="str">
            <v xml:space="preserve">CR   </v>
          </cell>
          <cell r="L7479">
            <v>37981</v>
          </cell>
          <cell r="M7479">
            <v>2.96</v>
          </cell>
          <cell r="P7479">
            <v>2.4700000000000002</v>
          </cell>
        </row>
        <row r="7480">
          <cell r="A7480" t="str">
            <v>PEE-047-UEL-205-TRL</v>
          </cell>
          <cell r="G7480" t="str">
            <v xml:space="preserve">CR   </v>
          </cell>
          <cell r="L7480">
            <v>38811</v>
          </cell>
          <cell r="M7480">
            <v>3.085</v>
          </cell>
          <cell r="P7480">
            <v>2.4573</v>
          </cell>
        </row>
        <row r="7481">
          <cell r="A7481" t="str">
            <v>PEE-047-UEL-206-18TR</v>
          </cell>
          <cell r="G7481" t="str">
            <v xml:space="preserve">CR   </v>
          </cell>
          <cell r="L7481">
            <v>38811</v>
          </cell>
          <cell r="M7481">
            <v>3.085</v>
          </cell>
          <cell r="P7481">
            <v>3.2431999999999999</v>
          </cell>
        </row>
        <row r="7482">
          <cell r="A7482" t="str">
            <v>PEE-047-UEL-206-19DB</v>
          </cell>
          <cell r="G7482" t="str">
            <v xml:space="preserve">CR   </v>
          </cell>
          <cell r="L7482">
            <v>38811</v>
          </cell>
          <cell r="M7482">
            <v>3.085</v>
          </cell>
          <cell r="P7482">
            <v>3.2919</v>
          </cell>
        </row>
        <row r="7483">
          <cell r="A7483" t="str">
            <v>PEE-047-UEL-206-19TR</v>
          </cell>
          <cell r="G7483" t="str">
            <v xml:space="preserve">CR   </v>
          </cell>
          <cell r="L7483">
            <v>38624</v>
          </cell>
          <cell r="M7483">
            <v>2.915</v>
          </cell>
          <cell r="P7483">
            <v>3.3517000000000001</v>
          </cell>
        </row>
        <row r="7484">
          <cell r="A7484" t="str">
            <v>PEE-047-UEL-206-20TR</v>
          </cell>
          <cell r="G7484" t="str">
            <v xml:space="preserve">CR   </v>
          </cell>
          <cell r="L7484">
            <v>37981</v>
          </cell>
          <cell r="M7484">
            <v>2.96</v>
          </cell>
          <cell r="P7484">
            <v>3.67</v>
          </cell>
        </row>
        <row r="7485">
          <cell r="A7485" t="str">
            <v>PEE-047-UEL-206-DBL</v>
          </cell>
          <cell r="G7485" t="str">
            <v xml:space="preserve">CR   </v>
          </cell>
          <cell r="L7485">
            <v>38624</v>
          </cell>
          <cell r="M7485">
            <v>2.915</v>
          </cell>
          <cell r="P7485">
            <v>3.2185000000000001</v>
          </cell>
        </row>
        <row r="7486">
          <cell r="A7486" t="str">
            <v>PEE-047-UEL-206-TRL</v>
          </cell>
          <cell r="G7486" t="str">
            <v xml:space="preserve">INSI </v>
          </cell>
          <cell r="L7486">
            <v>38237</v>
          </cell>
          <cell r="M7486">
            <v>2.992</v>
          </cell>
          <cell r="P7486">
            <v>3.1006</v>
          </cell>
        </row>
        <row r="7487">
          <cell r="A7487" t="str">
            <v>PEE-047-UEL-207-22DB</v>
          </cell>
          <cell r="G7487" t="str">
            <v xml:space="preserve">CR   </v>
          </cell>
          <cell r="L7487">
            <v>38624</v>
          </cell>
          <cell r="M7487">
            <v>2.915</v>
          </cell>
          <cell r="P7487">
            <v>4.2538</v>
          </cell>
        </row>
        <row r="7488">
          <cell r="A7488" t="str">
            <v>PEE-047-UEL-207-23DB</v>
          </cell>
          <cell r="G7488" t="str">
            <v>INDEV</v>
          </cell>
          <cell r="L7488">
            <v>40112</v>
          </cell>
          <cell r="M7488">
            <v>3.83</v>
          </cell>
          <cell r="P7488">
            <v>3.8302088772845955</v>
          </cell>
        </row>
        <row r="7489">
          <cell r="A7489" t="str">
            <v>PEE-047-UEL-207-23TR</v>
          </cell>
          <cell r="G7489" t="str">
            <v xml:space="preserve">CR   </v>
          </cell>
          <cell r="L7489">
            <v>38811</v>
          </cell>
          <cell r="M7489">
            <v>3.085</v>
          </cell>
          <cell r="P7489">
            <v>3.8757999999999999</v>
          </cell>
        </row>
        <row r="7490">
          <cell r="A7490" t="str">
            <v>PEE-047-UEL-207-DBL</v>
          </cell>
          <cell r="G7490" t="str">
            <v xml:space="preserve">CR   </v>
          </cell>
          <cell r="L7490">
            <v>38811</v>
          </cell>
          <cell r="M7490">
            <v>3.085</v>
          </cell>
          <cell r="P7490">
            <v>3.4874000000000001</v>
          </cell>
        </row>
        <row r="7491">
          <cell r="A7491" t="str">
            <v>PEE-047-UEL-207-TRL</v>
          </cell>
          <cell r="G7491" t="str">
            <v>IPFAB</v>
          </cell>
          <cell r="L7491">
            <v>38098</v>
          </cell>
          <cell r="M7491">
            <v>2.8370000000000002</v>
          </cell>
          <cell r="P7491">
            <v>3.85</v>
          </cell>
        </row>
        <row r="7492">
          <cell r="A7492" t="str">
            <v>PEE-047-UEL-208-24TR</v>
          </cell>
          <cell r="G7492" t="str">
            <v xml:space="preserve">CR   </v>
          </cell>
          <cell r="L7492">
            <v>38811</v>
          </cell>
          <cell r="M7492">
            <v>3.085</v>
          </cell>
          <cell r="P7492">
            <v>4.7553999999999998</v>
          </cell>
        </row>
        <row r="7493">
          <cell r="A7493" t="str">
            <v>PEE-047-UEL-208-40MM</v>
          </cell>
          <cell r="G7493" t="str">
            <v>INIMP</v>
          </cell>
          <cell r="L7493">
            <v>37638</v>
          </cell>
          <cell r="M7493">
            <v>3.22</v>
          </cell>
          <cell r="P7493">
            <v>4.84</v>
          </cell>
        </row>
        <row r="7494">
          <cell r="A7494" t="str">
            <v>PEE-047-UEL-208-DBL</v>
          </cell>
          <cell r="G7494" t="str">
            <v xml:space="preserve">CR   </v>
          </cell>
          <cell r="L7494">
            <v>38811</v>
          </cell>
          <cell r="M7494">
            <v>3.085</v>
          </cell>
          <cell r="P7494">
            <v>4.8539000000000003</v>
          </cell>
        </row>
        <row r="7495">
          <cell r="A7495" t="str">
            <v>PEE-047-UEL-208-TRL</v>
          </cell>
          <cell r="G7495" t="str">
            <v>IPFAB</v>
          </cell>
          <cell r="L7495">
            <v>38030</v>
          </cell>
          <cell r="M7495">
            <v>2.9289999999999998</v>
          </cell>
          <cell r="P7495">
            <v>4.66</v>
          </cell>
        </row>
        <row r="7496">
          <cell r="A7496" t="str">
            <v>PEE-047-UEL-209-27DB</v>
          </cell>
          <cell r="G7496" t="str">
            <v xml:space="preserve">CR   </v>
          </cell>
          <cell r="L7496">
            <v>38624</v>
          </cell>
          <cell r="M7496">
            <v>2.915</v>
          </cell>
          <cell r="P7496">
            <v>5.6477000000000004</v>
          </cell>
        </row>
        <row r="7497">
          <cell r="A7497" t="str">
            <v>PEE-047-UEL-209-27TR</v>
          </cell>
          <cell r="G7497" t="str">
            <v xml:space="preserve">CR   </v>
          </cell>
          <cell r="L7497">
            <v>38624</v>
          </cell>
          <cell r="M7497">
            <v>2.915</v>
          </cell>
          <cell r="P7497">
            <v>5.6477000000000004</v>
          </cell>
        </row>
        <row r="7498">
          <cell r="A7498" t="str">
            <v>PEE-047-UEL-209-28TR</v>
          </cell>
          <cell r="G7498" t="str">
            <v xml:space="preserve">CR   </v>
          </cell>
          <cell r="L7498">
            <v>38811</v>
          </cell>
          <cell r="M7498">
            <v>3.085</v>
          </cell>
          <cell r="P7498">
            <v>5.4816000000000003</v>
          </cell>
        </row>
        <row r="7499">
          <cell r="A7499" t="str">
            <v>PEE-047-UEL-209-TRL</v>
          </cell>
          <cell r="G7499" t="str">
            <v xml:space="preserve">CR   </v>
          </cell>
          <cell r="L7499">
            <v>38811</v>
          </cell>
          <cell r="M7499">
            <v>3.085</v>
          </cell>
          <cell r="P7499">
            <v>5.2210000000000001</v>
          </cell>
        </row>
        <row r="7500">
          <cell r="A7500" t="str">
            <v>PEE-047-UEL-210-32TR</v>
          </cell>
          <cell r="G7500" t="str">
            <v xml:space="preserve">CR   </v>
          </cell>
          <cell r="L7500">
            <v>38624</v>
          </cell>
          <cell r="M7500">
            <v>2.915</v>
          </cell>
          <cell r="P7500">
            <v>6.3140000000000001</v>
          </cell>
        </row>
        <row r="7501">
          <cell r="A7501" t="str">
            <v>PEE-047-UEL-210-50MM</v>
          </cell>
          <cell r="G7501" t="str">
            <v xml:space="preserve">CR   </v>
          </cell>
          <cell r="L7501">
            <v>38624</v>
          </cell>
          <cell r="M7501">
            <v>2.915</v>
          </cell>
          <cell r="P7501">
            <v>5.8425000000000002</v>
          </cell>
        </row>
        <row r="7502">
          <cell r="A7502" t="str">
            <v>PEE-047-UEL-210-TRL</v>
          </cell>
          <cell r="G7502" t="str">
            <v>IPFAB</v>
          </cell>
          <cell r="L7502">
            <v>38098</v>
          </cell>
          <cell r="M7502">
            <v>2.8370000000000002</v>
          </cell>
          <cell r="P7502">
            <v>5.78</v>
          </cell>
        </row>
        <row r="7503">
          <cell r="A7503" t="str">
            <v>PEE-047-UEL-211-32TR</v>
          </cell>
          <cell r="G7503" t="str">
            <v xml:space="preserve">CR   </v>
          </cell>
          <cell r="L7503">
            <v>38811</v>
          </cell>
          <cell r="M7503">
            <v>3.085</v>
          </cell>
          <cell r="P7503">
            <v>8.1677999999999997</v>
          </cell>
        </row>
        <row r="7504">
          <cell r="A7504" t="str">
            <v>PEE-047-UEL-211-35DB</v>
          </cell>
          <cell r="G7504" t="str">
            <v xml:space="preserve">CR   </v>
          </cell>
          <cell r="L7504">
            <v>37981</v>
          </cell>
          <cell r="M7504">
            <v>2.96</v>
          </cell>
          <cell r="P7504">
            <v>8.2100000000000009</v>
          </cell>
        </row>
        <row r="7505">
          <cell r="A7505" t="str">
            <v>PEE-047-UEL-211-35TR</v>
          </cell>
          <cell r="G7505" t="str">
            <v xml:space="preserve">CR   </v>
          </cell>
          <cell r="L7505">
            <v>38811</v>
          </cell>
          <cell r="M7505">
            <v>3.085</v>
          </cell>
          <cell r="P7505">
            <v>7.7499000000000002</v>
          </cell>
        </row>
        <row r="7506">
          <cell r="A7506" t="str">
            <v>PEE-047-UEL-211-TRL</v>
          </cell>
          <cell r="G7506" t="str">
            <v xml:space="preserve">INSI </v>
          </cell>
          <cell r="L7506">
            <v>39513</v>
          </cell>
          <cell r="M7506">
            <v>3.1520000000000001</v>
          </cell>
          <cell r="P7506">
            <v>7.8422999999999998</v>
          </cell>
        </row>
        <row r="7507">
          <cell r="A7507" t="str">
            <v>PEE-047-UEL-212-39DB</v>
          </cell>
          <cell r="G7507" t="str">
            <v>INDEV</v>
          </cell>
          <cell r="L7507">
            <v>40037</v>
          </cell>
          <cell r="M7507">
            <v>3.84</v>
          </cell>
          <cell r="P7507">
            <v>9.5222395833333326</v>
          </cell>
        </row>
        <row r="7508">
          <cell r="A7508" t="str">
            <v>PEE-047-UEL-212-39TR</v>
          </cell>
          <cell r="G7508" t="str">
            <v>INDEV</v>
          </cell>
          <cell r="L7508">
            <v>38141</v>
          </cell>
          <cell r="M7508">
            <v>2.9409999999999998</v>
          </cell>
          <cell r="P7508">
            <v>10.136688201292079</v>
          </cell>
        </row>
        <row r="7509">
          <cell r="A7509" t="str">
            <v>PEE-047-UEL-212-60MM</v>
          </cell>
          <cell r="G7509" t="str">
            <v xml:space="preserve">CR   </v>
          </cell>
          <cell r="L7509">
            <v>38624</v>
          </cell>
          <cell r="M7509">
            <v>2.915</v>
          </cell>
          <cell r="P7509">
            <v>11.7362</v>
          </cell>
        </row>
        <row r="7510">
          <cell r="A7510" t="str">
            <v>PEE-047-UEL-212-TRL</v>
          </cell>
          <cell r="G7510" t="str">
            <v xml:space="preserve">CR   </v>
          </cell>
          <cell r="L7510">
            <v>37981</v>
          </cell>
          <cell r="M7510">
            <v>2.96</v>
          </cell>
          <cell r="P7510">
            <v>10.28</v>
          </cell>
        </row>
        <row r="7511">
          <cell r="A7511" t="str">
            <v>PEE-047-UEL-305-DBL</v>
          </cell>
          <cell r="G7511" t="str">
            <v xml:space="preserve">CR   </v>
          </cell>
          <cell r="L7511">
            <v>38624</v>
          </cell>
          <cell r="M7511">
            <v>2.915</v>
          </cell>
          <cell r="P7511">
            <v>3.5874999999999999</v>
          </cell>
        </row>
        <row r="7512">
          <cell r="A7512" t="str">
            <v>PEE-047-UEL-306-DBL</v>
          </cell>
          <cell r="G7512" t="str">
            <v xml:space="preserve">CR   </v>
          </cell>
          <cell r="L7512">
            <v>38811</v>
          </cell>
          <cell r="M7512">
            <v>3.085</v>
          </cell>
          <cell r="P7512">
            <v>4.0986000000000002</v>
          </cell>
        </row>
        <row r="7513">
          <cell r="A7513" t="str">
            <v>PEE-047-UEL-306-TRL</v>
          </cell>
          <cell r="G7513" t="str">
            <v xml:space="preserve">CR   </v>
          </cell>
          <cell r="L7513">
            <v>38811</v>
          </cell>
          <cell r="M7513">
            <v>3.085</v>
          </cell>
          <cell r="P7513">
            <v>3.7852000000000001</v>
          </cell>
        </row>
        <row r="7514">
          <cell r="A7514" t="str">
            <v>PEE-047-UEL-307-TRL</v>
          </cell>
          <cell r="G7514" t="str">
            <v xml:space="preserve">CR   </v>
          </cell>
          <cell r="L7514">
            <v>37981</v>
          </cell>
          <cell r="M7514">
            <v>2.96</v>
          </cell>
          <cell r="P7514">
            <v>4.76</v>
          </cell>
        </row>
        <row r="7515">
          <cell r="A7515" t="str">
            <v>PEE-047-UEL-308-24DB</v>
          </cell>
          <cell r="G7515" t="str">
            <v xml:space="preserve">CR   </v>
          </cell>
          <cell r="L7515">
            <v>37981</v>
          </cell>
          <cell r="M7515">
            <v>2.96</v>
          </cell>
          <cell r="P7515">
            <v>7.48</v>
          </cell>
        </row>
        <row r="7516">
          <cell r="A7516" t="str">
            <v>PEE-047-UEL-308-TRL</v>
          </cell>
          <cell r="G7516" t="str">
            <v>INDEV</v>
          </cell>
          <cell r="L7516">
            <v>40267</v>
          </cell>
          <cell r="M7516">
            <v>3.89</v>
          </cell>
          <cell r="P7516">
            <v>5.9495886889460152</v>
          </cell>
        </row>
        <row r="7517">
          <cell r="A7517" t="str">
            <v>PEE-047-UEL-309-*</v>
          </cell>
          <cell r="G7517" t="str">
            <v xml:space="preserve">CR   </v>
          </cell>
          <cell r="L7517">
            <v>38624</v>
          </cell>
          <cell r="M7517">
            <v>2.915</v>
          </cell>
          <cell r="P7517">
            <v>20.520499999999998</v>
          </cell>
        </row>
        <row r="7518">
          <cell r="A7518" t="str">
            <v>PEE-047-UEL-309-2"</v>
          </cell>
          <cell r="G7518" t="str">
            <v xml:space="preserve">CR   </v>
          </cell>
          <cell r="L7518">
            <v>37981</v>
          </cell>
          <cell r="M7518">
            <v>2.96</v>
          </cell>
          <cell r="P7518">
            <v>20.02</v>
          </cell>
        </row>
        <row r="7519">
          <cell r="A7519" t="str">
            <v>PEE-047-UEL-309-TRL</v>
          </cell>
          <cell r="G7519" t="str">
            <v xml:space="preserve">INAC </v>
          </cell>
          <cell r="L7519">
            <v>44491</v>
          </cell>
          <cell r="M7519">
            <v>104.75</v>
          </cell>
          <cell r="P7519">
            <v>44.009546539379478</v>
          </cell>
        </row>
        <row r="7520">
          <cell r="A7520" t="str">
            <v>PEE-047-UEL-310-32</v>
          </cell>
          <cell r="G7520" t="str">
            <v xml:space="preserve">CR   </v>
          </cell>
          <cell r="L7520">
            <v>38811</v>
          </cell>
          <cell r="M7520">
            <v>3.085</v>
          </cell>
          <cell r="P7520">
            <v>24.191299999999998</v>
          </cell>
        </row>
        <row r="7521">
          <cell r="A7521" t="str">
            <v>PEE-047-UEL-310-TRL</v>
          </cell>
          <cell r="G7521" t="str">
            <v>INDEV</v>
          </cell>
          <cell r="L7521">
            <v>41729</v>
          </cell>
          <cell r="M7521">
            <v>8.0500000000000007</v>
          </cell>
          <cell r="P7521">
            <v>5.4975652173913039</v>
          </cell>
        </row>
        <row r="7522">
          <cell r="A7522" t="str">
            <v>PEE-047-UEP-306-TRL</v>
          </cell>
          <cell r="G7522" t="str">
            <v xml:space="preserve">CR   </v>
          </cell>
          <cell r="L7522">
            <v>38624</v>
          </cell>
          <cell r="M7522">
            <v>2.915</v>
          </cell>
          <cell r="P7522">
            <v>5.9142000000000001</v>
          </cell>
        </row>
        <row r="7523">
          <cell r="A7523" t="str">
            <v>PEE-047-UK-205-M</v>
          </cell>
          <cell r="G7523" t="str">
            <v>IPFAB</v>
          </cell>
          <cell r="L7523">
            <v>38929</v>
          </cell>
          <cell r="M7523">
            <v>3.077</v>
          </cell>
          <cell r="P7523">
            <v>1.26</v>
          </cell>
        </row>
        <row r="7524">
          <cell r="A7524" t="str">
            <v>PEE-047-UK-206-M</v>
          </cell>
          <cell r="G7524" t="str">
            <v>IPFAB</v>
          </cell>
          <cell r="L7524">
            <v>38929</v>
          </cell>
          <cell r="M7524">
            <v>3.077</v>
          </cell>
          <cell r="P7524">
            <v>1.49</v>
          </cell>
        </row>
        <row r="7525">
          <cell r="A7525" t="str">
            <v>PEE-047-UK-207-M</v>
          </cell>
          <cell r="G7525" t="str">
            <v>IPFAB</v>
          </cell>
          <cell r="L7525">
            <v>38929</v>
          </cell>
          <cell r="M7525">
            <v>3.077</v>
          </cell>
          <cell r="P7525">
            <v>1.97</v>
          </cell>
        </row>
        <row r="7526">
          <cell r="A7526" t="str">
            <v>PEE-047-UK-208-M</v>
          </cell>
          <cell r="G7526" t="str">
            <v>IPFAB</v>
          </cell>
          <cell r="L7526">
            <v>38686</v>
          </cell>
          <cell r="M7526">
            <v>2.976</v>
          </cell>
          <cell r="P7526">
            <v>2.3250000000000002</v>
          </cell>
        </row>
        <row r="7527">
          <cell r="A7527" t="str">
            <v>PEE-047-UK-209-M</v>
          </cell>
          <cell r="G7527" t="str">
            <v>INDEV</v>
          </cell>
          <cell r="L7527">
            <v>39393</v>
          </cell>
          <cell r="M7527">
            <v>3.133</v>
          </cell>
          <cell r="P7527">
            <v>2.6654005745292051</v>
          </cell>
        </row>
        <row r="7528">
          <cell r="A7528" t="str">
            <v>PEE-047-UK-210-M</v>
          </cell>
          <cell r="G7528" t="str">
            <v>IPFAP</v>
          </cell>
          <cell r="L7528">
            <v>42676</v>
          </cell>
          <cell r="M7528">
            <v>15.34</v>
          </cell>
          <cell r="P7528">
            <v>0.68092568448500645</v>
          </cell>
        </row>
        <row r="7529">
          <cell r="A7529" t="str">
            <v>PEE-047-UK-211</v>
          </cell>
          <cell r="G7529" t="str">
            <v xml:space="preserve">INAC </v>
          </cell>
          <cell r="L7529">
            <v>38756</v>
          </cell>
          <cell r="M7529">
            <v>3.0739999999999998</v>
          </cell>
          <cell r="P7529">
            <v>5.9115159401431363</v>
          </cell>
        </row>
        <row r="7530">
          <cell r="A7530" t="str">
            <v>PEE-047-UK-211-M</v>
          </cell>
          <cell r="G7530" t="str">
            <v>IPFAB</v>
          </cell>
          <cell r="L7530">
            <v>38929</v>
          </cell>
          <cell r="M7530">
            <v>3.077</v>
          </cell>
          <cell r="P7530">
            <v>4.32</v>
          </cell>
        </row>
        <row r="7531">
          <cell r="A7531" t="str">
            <v>PEE-047-UK-212</v>
          </cell>
          <cell r="G7531" t="str">
            <v xml:space="preserve">CR   </v>
          </cell>
          <cell r="L7531">
            <v>38624</v>
          </cell>
          <cell r="M7531">
            <v>2.915</v>
          </cell>
          <cell r="P7531">
            <v>17.250699999999998</v>
          </cell>
        </row>
        <row r="7532">
          <cell r="A7532" t="str">
            <v>PEE-047-UK-212-M</v>
          </cell>
          <cell r="G7532" t="str">
            <v>INDEV</v>
          </cell>
          <cell r="L7532">
            <v>39393</v>
          </cell>
          <cell r="M7532">
            <v>3.133</v>
          </cell>
          <cell r="P7532">
            <v>5.2445579316948612</v>
          </cell>
        </row>
        <row r="7533">
          <cell r="A7533" t="str">
            <v>PEE-047-UK-213</v>
          </cell>
          <cell r="G7533" t="str">
            <v>IPFAB</v>
          </cell>
          <cell r="L7533">
            <v>38775</v>
          </cell>
          <cell r="M7533">
            <v>3.0750000000000002</v>
          </cell>
          <cell r="P7533">
            <v>22.963999999999999</v>
          </cell>
        </row>
        <row r="7534">
          <cell r="A7534" t="str">
            <v>PEE-047-UK-213-M</v>
          </cell>
          <cell r="G7534" t="str">
            <v>INDEV</v>
          </cell>
          <cell r="L7534">
            <v>41071</v>
          </cell>
          <cell r="M7534">
            <v>4.5</v>
          </cell>
          <cell r="P7534">
            <v>7.07</v>
          </cell>
        </row>
        <row r="7535">
          <cell r="A7535" t="str">
            <v>PEE-047-UK-216-M</v>
          </cell>
          <cell r="G7535" t="str">
            <v>IPFAB</v>
          </cell>
          <cell r="L7535">
            <v>38929</v>
          </cell>
          <cell r="M7535">
            <v>3.077</v>
          </cell>
          <cell r="P7535">
            <v>14.55</v>
          </cell>
        </row>
        <row r="7536">
          <cell r="A7536" t="str">
            <v>PEE-047-UK-217-M</v>
          </cell>
          <cell r="G7536" t="str">
            <v>IPFAB</v>
          </cell>
          <cell r="L7536">
            <v>38929</v>
          </cell>
          <cell r="M7536">
            <v>3.077</v>
          </cell>
          <cell r="P7536">
            <v>17.02</v>
          </cell>
        </row>
        <row r="7537">
          <cell r="A7537" t="str">
            <v>PEE-047-UK-218-M</v>
          </cell>
          <cell r="G7537" t="str">
            <v>IPFAB</v>
          </cell>
          <cell r="L7537">
            <v>38929</v>
          </cell>
          <cell r="M7537">
            <v>3.077</v>
          </cell>
          <cell r="P7537">
            <v>23.3</v>
          </cell>
        </row>
        <row r="7538">
          <cell r="A7538" t="str">
            <v>PEE-048-202-KRR3</v>
          </cell>
          <cell r="G7538" t="str">
            <v>IDESP</v>
          </cell>
          <cell r="L7538">
            <v>38737</v>
          </cell>
          <cell r="M7538">
            <v>3.0459999999999998</v>
          </cell>
          <cell r="P7538">
            <v>1.37</v>
          </cell>
        </row>
        <row r="7539">
          <cell r="A7539" t="str">
            <v>PEE-048-202-NPP9</v>
          </cell>
          <cell r="G7539" t="str">
            <v xml:space="preserve">CR   </v>
          </cell>
          <cell r="L7539">
            <v>38811</v>
          </cell>
          <cell r="M7539">
            <v>3.085</v>
          </cell>
          <cell r="P7539">
            <v>3.4222999999999999</v>
          </cell>
        </row>
        <row r="7540">
          <cell r="A7540" t="str">
            <v>PEE-048-203-JD</v>
          </cell>
          <cell r="G7540" t="str">
            <v>INDEV</v>
          </cell>
          <cell r="L7540">
            <v>39209</v>
          </cell>
          <cell r="M7540">
            <v>3.0830000000000002</v>
          </cell>
          <cell r="P7540">
            <v>0.71385014596172558</v>
          </cell>
        </row>
        <row r="7541">
          <cell r="A7541" t="str">
            <v>PEE-048-203-KR2F</v>
          </cell>
          <cell r="G7541" t="str">
            <v>IPFAB</v>
          </cell>
          <cell r="L7541">
            <v>38203</v>
          </cell>
          <cell r="M7541">
            <v>2.9969999999999999</v>
          </cell>
          <cell r="P7541">
            <v>0.85</v>
          </cell>
        </row>
        <row r="7542">
          <cell r="A7542" t="str">
            <v>PEE-048-203-KR3T</v>
          </cell>
          <cell r="G7542" t="str">
            <v xml:space="preserve">CR   </v>
          </cell>
          <cell r="L7542">
            <v>38624</v>
          </cell>
          <cell r="M7542">
            <v>2.915</v>
          </cell>
          <cell r="P7542">
            <v>0.87119999999999997</v>
          </cell>
        </row>
        <row r="7543">
          <cell r="A7543" t="str">
            <v>PEE-048-203-KRR3</v>
          </cell>
          <cell r="G7543" t="str">
            <v xml:space="preserve">INAC </v>
          </cell>
          <cell r="L7543">
            <v>43172</v>
          </cell>
          <cell r="M7543">
            <v>20.54</v>
          </cell>
          <cell r="P7543">
            <v>4.0408958130477117</v>
          </cell>
        </row>
        <row r="7544">
          <cell r="A7544" t="str">
            <v>PEE-048-203-KRR3-HT</v>
          </cell>
          <cell r="G7544" t="str">
            <v>IPFAB</v>
          </cell>
          <cell r="L7544">
            <v>39000</v>
          </cell>
          <cell r="M7544">
            <v>3.1059999999999999</v>
          </cell>
          <cell r="P7544">
            <v>1.3788</v>
          </cell>
        </row>
        <row r="7545">
          <cell r="A7545" t="str">
            <v>PEE-048-203-KRR5</v>
          </cell>
          <cell r="G7545" t="str">
            <v>INDEV</v>
          </cell>
          <cell r="L7545">
            <v>40589</v>
          </cell>
          <cell r="M7545">
            <v>4.05</v>
          </cell>
          <cell r="P7545">
            <v>1.18</v>
          </cell>
        </row>
        <row r="7546">
          <cell r="A7546" t="str">
            <v>PEE-048-204-JY3</v>
          </cell>
          <cell r="G7546" t="str">
            <v>IPFAB</v>
          </cell>
          <cell r="L7546">
            <v>41859</v>
          </cell>
          <cell r="M7546">
            <v>8.27</v>
          </cell>
          <cell r="P7546">
            <v>3.33</v>
          </cell>
        </row>
        <row r="7547">
          <cell r="A7547" t="str">
            <v>PEE-048-204-KPP3</v>
          </cell>
          <cell r="G7547" t="str">
            <v xml:space="preserve">CR   </v>
          </cell>
          <cell r="L7547">
            <v>38624</v>
          </cell>
          <cell r="M7547">
            <v>2.915</v>
          </cell>
          <cell r="P7547">
            <v>4.4996999999999998</v>
          </cell>
        </row>
        <row r="7548">
          <cell r="A7548" t="str">
            <v>PEE-048-204-KRB2</v>
          </cell>
          <cell r="G7548" t="str">
            <v xml:space="preserve">CR   </v>
          </cell>
          <cell r="L7548">
            <v>38811</v>
          </cell>
          <cell r="M7548">
            <v>3.085</v>
          </cell>
          <cell r="P7548">
            <v>0.77011345218800642</v>
          </cell>
        </row>
        <row r="7549">
          <cell r="A7549" t="str">
            <v>PEE-048-204-KRR2-NR</v>
          </cell>
          <cell r="G7549" t="str">
            <v>IDESP</v>
          </cell>
          <cell r="L7549">
            <v>39364</v>
          </cell>
          <cell r="M7549">
            <v>3.1589999999999998</v>
          </cell>
          <cell r="P7549">
            <v>2.02</v>
          </cell>
        </row>
        <row r="7550">
          <cell r="A7550" t="str">
            <v>PEE-048-204-RR6</v>
          </cell>
          <cell r="G7550" t="str">
            <v xml:space="preserve">CR   </v>
          </cell>
          <cell r="L7550">
            <v>38624</v>
          </cell>
          <cell r="M7550">
            <v>2.915</v>
          </cell>
          <cell r="P7550">
            <v>2.5931999999999999</v>
          </cell>
        </row>
        <row r="7551">
          <cell r="A7551" t="str">
            <v>PEE-048-204-RY2</v>
          </cell>
          <cell r="G7551" t="str">
            <v xml:space="preserve">CR   </v>
          </cell>
          <cell r="L7551">
            <v>38811</v>
          </cell>
          <cell r="M7551">
            <v>3.085</v>
          </cell>
          <cell r="P7551">
            <v>1.3783000000000001</v>
          </cell>
        </row>
        <row r="7552">
          <cell r="A7552" t="str">
            <v>PEE-048-205-GP</v>
          </cell>
          <cell r="G7552" t="str">
            <v>INDEV</v>
          </cell>
          <cell r="L7552">
            <v>39962</v>
          </cell>
          <cell r="M7552">
            <v>3.76</v>
          </cell>
          <cell r="P7552">
            <v>1.3565159574468086</v>
          </cell>
        </row>
        <row r="7553">
          <cell r="A7553" t="str">
            <v>PEE-048-205-KRB2</v>
          </cell>
          <cell r="G7553" t="str">
            <v xml:space="preserve">CR   </v>
          </cell>
          <cell r="L7553">
            <v>38811</v>
          </cell>
          <cell r="M7553">
            <v>3.085</v>
          </cell>
          <cell r="P7553">
            <v>1.2214</v>
          </cell>
        </row>
        <row r="7554">
          <cell r="A7554" t="str">
            <v>PEE-048-205-KRR2</v>
          </cell>
          <cell r="G7554" t="str">
            <v xml:space="preserve">CR   </v>
          </cell>
          <cell r="L7554">
            <v>38811</v>
          </cell>
          <cell r="M7554">
            <v>3.085</v>
          </cell>
          <cell r="P7554">
            <v>2.4060000000000001</v>
          </cell>
        </row>
        <row r="7555">
          <cell r="A7555" t="str">
            <v>PEE-048-205-KRR2-M</v>
          </cell>
          <cell r="G7555" t="str">
            <v>IPFAB</v>
          </cell>
          <cell r="L7555">
            <v>38902</v>
          </cell>
          <cell r="M7555">
            <v>3.085</v>
          </cell>
          <cell r="P7555">
            <v>1.226</v>
          </cell>
        </row>
        <row r="7556">
          <cell r="A7556" t="str">
            <v>PEE-048-205-KRRB2-M</v>
          </cell>
          <cell r="G7556" t="str">
            <v xml:space="preserve">INAC </v>
          </cell>
          <cell r="L7556">
            <v>42660</v>
          </cell>
          <cell r="M7556">
            <v>15.39</v>
          </cell>
          <cell r="P7556">
            <v>4.6803118908382064</v>
          </cell>
        </row>
        <row r="7557">
          <cell r="A7557" t="str">
            <v>PEE-048-205-KRSR</v>
          </cell>
          <cell r="G7557" t="str">
            <v>IPFAB</v>
          </cell>
          <cell r="L7557">
            <v>37880</v>
          </cell>
          <cell r="M7557">
            <v>2.89</v>
          </cell>
          <cell r="P7557">
            <v>3.5293999999999999</v>
          </cell>
        </row>
        <row r="7558">
          <cell r="A7558" t="str">
            <v>PEE-048-205-KYY3</v>
          </cell>
          <cell r="G7558" t="str">
            <v>IDESP</v>
          </cell>
          <cell r="L7558">
            <v>40918</v>
          </cell>
          <cell r="M7558">
            <v>4.33</v>
          </cell>
          <cell r="P7558">
            <v>5.95</v>
          </cell>
        </row>
        <row r="7559">
          <cell r="A7559" t="str">
            <v>PEE-048-205-PP10</v>
          </cell>
          <cell r="G7559" t="str">
            <v xml:space="preserve">CR   </v>
          </cell>
          <cell r="L7559">
            <v>38811</v>
          </cell>
          <cell r="M7559">
            <v>3.085</v>
          </cell>
          <cell r="P7559">
            <v>2.5973000000000002</v>
          </cell>
        </row>
        <row r="7560">
          <cell r="A7560" t="str">
            <v>PEE-048-205-PP12</v>
          </cell>
          <cell r="G7560" t="str">
            <v>IDESP</v>
          </cell>
          <cell r="L7560">
            <v>40779</v>
          </cell>
          <cell r="M7560">
            <v>4.21</v>
          </cell>
          <cell r="P7560">
            <v>12.82</v>
          </cell>
        </row>
        <row r="7561">
          <cell r="A7561" t="str">
            <v>PEE-048-205-PP8</v>
          </cell>
          <cell r="G7561" t="str">
            <v xml:space="preserve">CR   </v>
          </cell>
          <cell r="L7561">
            <v>38811</v>
          </cell>
          <cell r="M7561">
            <v>3.085</v>
          </cell>
          <cell r="P7561">
            <v>2.5973000000000002</v>
          </cell>
        </row>
        <row r="7562">
          <cell r="A7562" t="str">
            <v>PEE-048-205-PP9</v>
          </cell>
          <cell r="G7562" t="str">
            <v xml:space="preserve">CR   </v>
          </cell>
          <cell r="L7562">
            <v>38811</v>
          </cell>
          <cell r="M7562">
            <v>3.085</v>
          </cell>
          <cell r="P7562">
            <v>5.0435999999999996</v>
          </cell>
        </row>
        <row r="7563">
          <cell r="A7563" t="str">
            <v>PEE-048-205-RB2</v>
          </cell>
          <cell r="G7563" t="str">
            <v>INDEV</v>
          </cell>
          <cell r="L7563">
            <v>37868</v>
          </cell>
          <cell r="M7563">
            <v>2.98</v>
          </cell>
          <cell r="P7563">
            <v>3.4228187919463084</v>
          </cell>
        </row>
        <row r="7564">
          <cell r="A7564" t="str">
            <v>PEE-048-206-K14</v>
          </cell>
          <cell r="G7564" t="str">
            <v>IDESP</v>
          </cell>
          <cell r="L7564">
            <v>39177</v>
          </cell>
          <cell r="M7564">
            <v>3.1</v>
          </cell>
          <cell r="P7564">
            <v>2.99</v>
          </cell>
        </row>
        <row r="7565">
          <cell r="A7565" t="str">
            <v>PEE-048-206-KPP25</v>
          </cell>
          <cell r="G7565" t="str">
            <v>IDESP</v>
          </cell>
          <cell r="L7565">
            <v>38898</v>
          </cell>
          <cell r="M7565">
            <v>3.0880000000000001</v>
          </cell>
          <cell r="P7565">
            <v>2.06</v>
          </cell>
        </row>
        <row r="7566">
          <cell r="A7566" t="str">
            <v>PEE-048-206-KRR6</v>
          </cell>
          <cell r="G7566" t="str">
            <v xml:space="preserve">CR   </v>
          </cell>
          <cell r="L7566">
            <v>38811</v>
          </cell>
          <cell r="M7566">
            <v>3.085</v>
          </cell>
          <cell r="P7566">
            <v>5.3125</v>
          </cell>
        </row>
        <row r="7567">
          <cell r="A7567" t="str">
            <v>PEE-048-207-KB12</v>
          </cell>
          <cell r="G7567" t="str">
            <v>INDEV</v>
          </cell>
          <cell r="L7567">
            <v>38288</v>
          </cell>
          <cell r="M7567">
            <v>2.972</v>
          </cell>
          <cell r="P7567">
            <v>4.3129205921938087</v>
          </cell>
        </row>
        <row r="7568">
          <cell r="A7568" t="str">
            <v>PEE-048-207-KRRB12</v>
          </cell>
          <cell r="G7568" t="str">
            <v>IDESP</v>
          </cell>
          <cell r="L7568">
            <v>40080</v>
          </cell>
          <cell r="M7568">
            <v>3.85</v>
          </cell>
          <cell r="P7568">
            <v>3.75</v>
          </cell>
        </row>
        <row r="7569">
          <cell r="A7569" t="str">
            <v>PEE-048-207KRRB9</v>
          </cell>
          <cell r="G7569" t="str">
            <v xml:space="preserve">CR   </v>
          </cell>
          <cell r="L7569">
            <v>38811</v>
          </cell>
          <cell r="M7569">
            <v>3.085</v>
          </cell>
          <cell r="P7569">
            <v>4.9329000000000001</v>
          </cell>
        </row>
        <row r="7570">
          <cell r="A7570" t="str">
            <v>PEE-048-207KYYB2</v>
          </cell>
          <cell r="G7570" t="str">
            <v>INDEV</v>
          </cell>
          <cell r="L7570">
            <v>40207</v>
          </cell>
          <cell r="M7570">
            <v>3.84</v>
          </cell>
          <cell r="P7570">
            <v>2.9989583333333334</v>
          </cell>
        </row>
        <row r="7571">
          <cell r="A7571" t="str">
            <v>PEE-048-210-PP20</v>
          </cell>
          <cell r="G7571" t="str">
            <v xml:space="preserve">INSI </v>
          </cell>
          <cell r="L7571">
            <v>41004</v>
          </cell>
          <cell r="M7571">
            <v>4.4000000000000004</v>
          </cell>
          <cell r="P7571">
            <v>5.7039999999999997</v>
          </cell>
        </row>
        <row r="7572">
          <cell r="A7572" t="str">
            <v>PEE-048-274844-R91</v>
          </cell>
          <cell r="G7572" t="str">
            <v xml:space="preserve">CR   </v>
          </cell>
          <cell r="L7572">
            <v>38624</v>
          </cell>
          <cell r="M7572">
            <v>2.915</v>
          </cell>
          <cell r="P7572">
            <v>2.665</v>
          </cell>
        </row>
        <row r="7573">
          <cell r="A7573" t="str">
            <v>PEE-048-4870-SPRO</v>
          </cell>
          <cell r="G7573" t="str">
            <v xml:space="preserve">CR   </v>
          </cell>
          <cell r="L7573">
            <v>38624</v>
          </cell>
          <cell r="M7573">
            <v>2.915</v>
          </cell>
          <cell r="P7573">
            <v>7.5132000000000003</v>
          </cell>
        </row>
        <row r="7574">
          <cell r="A7574" t="str">
            <v>PEE-048-5203-KYY2</v>
          </cell>
          <cell r="G7574" t="str">
            <v xml:space="preserve">INAC </v>
          </cell>
          <cell r="L7574">
            <v>42695</v>
          </cell>
          <cell r="M7574">
            <v>15.68</v>
          </cell>
          <cell r="P7574">
            <v>9.1035714285714295</v>
          </cell>
        </row>
        <row r="7575">
          <cell r="A7575" t="str">
            <v>PEE-048-5203-KYY3</v>
          </cell>
          <cell r="G7575" t="str">
            <v>INDEV</v>
          </cell>
          <cell r="L7575">
            <v>38170</v>
          </cell>
          <cell r="M7575">
            <v>2.952</v>
          </cell>
          <cell r="P7575">
            <v>2.9579945799457992</v>
          </cell>
        </row>
        <row r="7576">
          <cell r="A7576" t="str">
            <v>PEE-048-5206-KYY3</v>
          </cell>
          <cell r="G7576" t="str">
            <v>INDEV</v>
          </cell>
          <cell r="L7576">
            <v>41774</v>
          </cell>
          <cell r="M7576">
            <v>8.07</v>
          </cell>
          <cell r="P7576">
            <v>2.4579925650557617</v>
          </cell>
        </row>
        <row r="7577">
          <cell r="A7577" t="str">
            <v>PEE-048-5209-2RST-B</v>
          </cell>
          <cell r="G7577" t="str">
            <v>IPFAB</v>
          </cell>
          <cell r="L7577">
            <v>39259</v>
          </cell>
          <cell r="M7577">
            <v>3.0840000000000001</v>
          </cell>
          <cell r="P7577">
            <v>12.88</v>
          </cell>
        </row>
        <row r="7578">
          <cell r="A7578" t="str">
            <v>PEE-048-559205-R91</v>
          </cell>
          <cell r="G7578" t="str">
            <v xml:space="preserve">CR   </v>
          </cell>
          <cell r="L7578">
            <v>38811</v>
          </cell>
          <cell r="M7578">
            <v>3.085</v>
          </cell>
          <cell r="P7578">
            <v>3.0402999999999998</v>
          </cell>
        </row>
        <row r="7579">
          <cell r="A7579" t="str">
            <v>PEE-048-6203-2RLD-7M</v>
          </cell>
          <cell r="G7579" t="str">
            <v>INDEV</v>
          </cell>
          <cell r="L7579">
            <v>40589</v>
          </cell>
          <cell r="M7579">
            <v>4.05</v>
          </cell>
          <cell r="P7579">
            <v>5.5439999999999996</v>
          </cell>
        </row>
        <row r="7580">
          <cell r="A7580" t="str">
            <v>PEE-048-AA21480</v>
          </cell>
          <cell r="G7580" t="str">
            <v>INPE$</v>
          </cell>
          <cell r="L7580">
            <v>39875</v>
          </cell>
          <cell r="M7580">
            <v>3.601</v>
          </cell>
          <cell r="P7580">
            <v>1.6814773673979448</v>
          </cell>
        </row>
        <row r="7581">
          <cell r="A7581" t="str">
            <v>PEE-048-AE46606</v>
          </cell>
          <cell r="G7581" t="str">
            <v>IPFAB</v>
          </cell>
          <cell r="L7581">
            <v>39338</v>
          </cell>
          <cell r="M7581">
            <v>3.137</v>
          </cell>
          <cell r="P7581">
            <v>4.3600000000000003</v>
          </cell>
        </row>
        <row r="7582">
          <cell r="A7582" t="str">
            <v>PEE-048-AG-1235-20MM</v>
          </cell>
          <cell r="G7582" t="str">
            <v xml:space="preserve">CR   </v>
          </cell>
          <cell r="L7582">
            <v>38811</v>
          </cell>
          <cell r="M7582">
            <v>3.085</v>
          </cell>
          <cell r="P7582">
            <v>4.0974000000000004</v>
          </cell>
        </row>
        <row r="7583">
          <cell r="A7583" t="str">
            <v>PEE-048-AG-1235-25MM</v>
          </cell>
          <cell r="G7583" t="str">
            <v xml:space="preserve">CR   </v>
          </cell>
          <cell r="L7583">
            <v>38624</v>
          </cell>
          <cell r="M7583">
            <v>2.915</v>
          </cell>
          <cell r="P7583">
            <v>4.1718000000000002</v>
          </cell>
        </row>
        <row r="7584">
          <cell r="A7584" t="str">
            <v>PEE-048-AG-1235-B</v>
          </cell>
          <cell r="G7584" t="str">
            <v xml:space="preserve">INSI </v>
          </cell>
          <cell r="L7584">
            <v>40715</v>
          </cell>
          <cell r="M7584">
            <v>4.13</v>
          </cell>
          <cell r="P7584">
            <v>1.4260999999999999</v>
          </cell>
        </row>
        <row r="7585">
          <cell r="A7585" t="str">
            <v>PEE-048-AG-2550</v>
          </cell>
          <cell r="G7585" t="str">
            <v>IPFAB</v>
          </cell>
          <cell r="L7585">
            <v>38891</v>
          </cell>
          <cell r="M7585">
            <v>3.0779999999999998</v>
          </cell>
          <cell r="P7585">
            <v>6.83</v>
          </cell>
        </row>
        <row r="7586">
          <cell r="A7586" t="str">
            <v>PEE-048-AG-2565-2AF</v>
          </cell>
          <cell r="G7586" t="str">
            <v xml:space="preserve">INSI </v>
          </cell>
          <cell r="L7586">
            <v>41327</v>
          </cell>
          <cell r="M7586">
            <v>5.03</v>
          </cell>
          <cell r="P7586">
            <v>3.476</v>
          </cell>
        </row>
        <row r="7587">
          <cell r="A7587" t="str">
            <v>PEE-048-AG-2565-2AT</v>
          </cell>
          <cell r="G7587" t="str">
            <v xml:space="preserve">CR   </v>
          </cell>
          <cell r="L7587">
            <v>37981</v>
          </cell>
          <cell r="M7587">
            <v>2.96</v>
          </cell>
          <cell r="P7587">
            <v>4.3899999999999997</v>
          </cell>
        </row>
        <row r="7588">
          <cell r="A7588" t="str">
            <v>PEE-048-AG-2565-6303</v>
          </cell>
          <cell r="G7588" t="str">
            <v xml:space="preserve">INAC </v>
          </cell>
          <cell r="L7588">
            <v>38643</v>
          </cell>
          <cell r="M7588">
            <v>2.9689999999999999</v>
          </cell>
          <cell r="P7588">
            <v>20.20882452004042</v>
          </cell>
        </row>
        <row r="7589">
          <cell r="A7589" t="str">
            <v>PEE-048-AG-2565-ASF</v>
          </cell>
          <cell r="G7589" t="str">
            <v xml:space="preserve">CR   </v>
          </cell>
          <cell r="L7589">
            <v>38624</v>
          </cell>
          <cell r="M7589">
            <v>2.915</v>
          </cell>
          <cell r="P7589">
            <v>3.504322469982847</v>
          </cell>
        </row>
        <row r="7590">
          <cell r="A7590" t="str">
            <v>PEE-048-AG-2565-CH</v>
          </cell>
          <cell r="G7590" t="str">
            <v>INDEV</v>
          </cell>
          <cell r="L7590">
            <v>40288</v>
          </cell>
          <cell r="M7590">
            <v>3.89</v>
          </cell>
          <cell r="P7590">
            <v>4.9632133676092538</v>
          </cell>
        </row>
        <row r="7591">
          <cell r="A7591" t="str">
            <v>PEE-048-AG-2565-SIF</v>
          </cell>
          <cell r="G7591" t="str">
            <v>INDEV</v>
          </cell>
          <cell r="L7591">
            <v>38278</v>
          </cell>
          <cell r="M7591">
            <v>2.9649999999999999</v>
          </cell>
          <cell r="P7591">
            <v>2.9342327150084317</v>
          </cell>
        </row>
        <row r="7592">
          <cell r="A7592" t="str">
            <v>PEE-048-AG-3565-CH</v>
          </cell>
          <cell r="G7592" t="str">
            <v>INDEV</v>
          </cell>
          <cell r="L7592">
            <v>41718</v>
          </cell>
          <cell r="M7592">
            <v>7.94</v>
          </cell>
          <cell r="P7592">
            <v>10.764005037783376</v>
          </cell>
        </row>
        <row r="7593">
          <cell r="A7593" t="str">
            <v>PEE-048-AN102010</v>
          </cell>
          <cell r="G7593" t="str">
            <v>INPE$</v>
          </cell>
          <cell r="L7593">
            <v>39875</v>
          </cell>
          <cell r="M7593">
            <v>3.601</v>
          </cell>
          <cell r="P7593">
            <v>4.7917245209663983</v>
          </cell>
        </row>
        <row r="7594">
          <cell r="A7594" t="str">
            <v>PEE-048-AN212132</v>
          </cell>
          <cell r="G7594" t="str">
            <v>IPFAP</v>
          </cell>
          <cell r="L7594">
            <v>42065</v>
          </cell>
          <cell r="M7594">
            <v>8.76</v>
          </cell>
          <cell r="P7594">
            <v>2.8228995433789956</v>
          </cell>
        </row>
        <row r="7595">
          <cell r="A7595" t="str">
            <v>PEE-048-AN281357</v>
          </cell>
          <cell r="G7595" t="str">
            <v>INPE$</v>
          </cell>
          <cell r="L7595">
            <v>39875</v>
          </cell>
          <cell r="M7595">
            <v>3.601</v>
          </cell>
          <cell r="P7595">
            <v>1.0302693696195502</v>
          </cell>
        </row>
        <row r="7596">
          <cell r="A7596" t="str">
            <v>PEE-048-BB-203-KR2F</v>
          </cell>
          <cell r="G7596" t="str">
            <v>IDESP</v>
          </cell>
          <cell r="L7596">
            <v>38982</v>
          </cell>
          <cell r="M7596">
            <v>3.0990000000000002</v>
          </cell>
          <cell r="P7596">
            <v>0.87</v>
          </cell>
        </row>
        <row r="7597">
          <cell r="A7597" t="str">
            <v>PEE-048-BB203-KRR2FD</v>
          </cell>
          <cell r="G7597" t="str">
            <v>IDESP</v>
          </cell>
          <cell r="L7597">
            <v>40298</v>
          </cell>
          <cell r="M7597">
            <v>3.9</v>
          </cell>
          <cell r="P7597">
            <v>0.98</v>
          </cell>
        </row>
        <row r="7598">
          <cell r="A7598" t="str">
            <v>PEE-048-CSK-25</v>
          </cell>
          <cell r="G7598" t="str">
            <v>INIMP</v>
          </cell>
          <cell r="L7598">
            <v>38537</v>
          </cell>
          <cell r="M7598">
            <v>2.8860000000000001</v>
          </cell>
          <cell r="P7598">
            <v>1.8</v>
          </cell>
        </row>
        <row r="7599">
          <cell r="A7599" t="str">
            <v>PEE-048-CSK-25PP</v>
          </cell>
          <cell r="G7599" t="str">
            <v>IPFAB</v>
          </cell>
          <cell r="L7599">
            <v>38965</v>
          </cell>
          <cell r="M7599">
            <v>3.0939999999999999</v>
          </cell>
          <cell r="P7599">
            <v>3.7229999999999999</v>
          </cell>
        </row>
        <row r="7600">
          <cell r="A7600" t="str">
            <v>PEE-048-DF-109-LLPK</v>
          </cell>
          <cell r="G7600" t="str">
            <v xml:space="preserve">CR   </v>
          </cell>
          <cell r="L7600">
            <v>38624</v>
          </cell>
          <cell r="M7600">
            <v>2.915</v>
          </cell>
          <cell r="P7600">
            <v>5.5964999999999998</v>
          </cell>
        </row>
        <row r="7601">
          <cell r="A7601" t="str">
            <v>PEE-048-EJE-5203-16M</v>
          </cell>
          <cell r="G7601" t="str">
            <v xml:space="preserve">CR   </v>
          </cell>
          <cell r="L7601">
            <v>38811</v>
          </cell>
          <cell r="M7601">
            <v>3.085</v>
          </cell>
          <cell r="P7601">
            <v>5.2449000000000003</v>
          </cell>
        </row>
        <row r="7602">
          <cell r="A7602" t="str">
            <v>PEE-048-EJE-5203-17M</v>
          </cell>
          <cell r="G7602" t="str">
            <v xml:space="preserve">CR   </v>
          </cell>
          <cell r="L7602">
            <v>38624</v>
          </cell>
          <cell r="M7602">
            <v>2.915</v>
          </cell>
          <cell r="P7602">
            <v>5.3402000000000003</v>
          </cell>
        </row>
        <row r="7603">
          <cell r="A7603" t="str">
            <v>PEE-048-FBU-208-UC40</v>
          </cell>
          <cell r="G7603" t="str">
            <v xml:space="preserve">CR   </v>
          </cell>
          <cell r="L7603">
            <v>38624</v>
          </cell>
          <cell r="M7603">
            <v>2.915</v>
          </cell>
          <cell r="P7603">
            <v>6.3856999999999999</v>
          </cell>
        </row>
        <row r="7604">
          <cell r="A7604" t="str">
            <v>PEE-048-FC-210-H</v>
          </cell>
          <cell r="G7604" t="str">
            <v>INDEV</v>
          </cell>
          <cell r="L7604">
            <v>40309</v>
          </cell>
          <cell r="M7604">
            <v>3.91</v>
          </cell>
          <cell r="P7604">
            <v>5.5498721227621477</v>
          </cell>
        </row>
        <row r="7605">
          <cell r="A7605" t="str">
            <v>PEE-048-FC-211-H</v>
          </cell>
          <cell r="G7605" t="str">
            <v xml:space="preserve">CR   </v>
          </cell>
          <cell r="L7605">
            <v>38811</v>
          </cell>
          <cell r="M7605">
            <v>3.085</v>
          </cell>
          <cell r="P7605">
            <v>6.2178000000000004</v>
          </cell>
        </row>
        <row r="7606">
          <cell r="A7606" t="str">
            <v>PEE-048-FC-5209-HK</v>
          </cell>
          <cell r="G7606" t="str">
            <v>IPFAB</v>
          </cell>
          <cell r="L7606">
            <v>39408</v>
          </cell>
          <cell r="M7606">
            <v>3.1389999999999998</v>
          </cell>
          <cell r="P7606">
            <v>19.54</v>
          </cell>
        </row>
        <row r="7607">
          <cell r="A7607" t="str">
            <v>PEE-048-FD-209-11/8</v>
          </cell>
          <cell r="G7607" t="str">
            <v xml:space="preserve">CR   </v>
          </cell>
          <cell r="L7607">
            <v>38811</v>
          </cell>
          <cell r="M7607">
            <v>3.085</v>
          </cell>
          <cell r="P7607">
            <v>9.6341999999999999</v>
          </cell>
        </row>
        <row r="7608">
          <cell r="A7608" t="str">
            <v>PEE-048-FD-2091-1/8</v>
          </cell>
          <cell r="G7608" t="str">
            <v xml:space="preserve">CR   </v>
          </cell>
          <cell r="L7608">
            <v>38624</v>
          </cell>
          <cell r="M7608">
            <v>2.915</v>
          </cell>
          <cell r="P7608">
            <v>10.260199999999999</v>
          </cell>
        </row>
        <row r="7609">
          <cell r="A7609" t="str">
            <v>PEE-048-FD-211-2316</v>
          </cell>
          <cell r="G7609" t="str">
            <v xml:space="preserve">CR   </v>
          </cell>
          <cell r="L7609">
            <v>38811</v>
          </cell>
          <cell r="M7609">
            <v>3.085</v>
          </cell>
          <cell r="P7609">
            <v>14.6678</v>
          </cell>
        </row>
        <row r="7610">
          <cell r="A7610" t="str">
            <v>PEE-048-FDC-209-45MM</v>
          </cell>
          <cell r="G7610" t="str">
            <v xml:space="preserve">CR   </v>
          </cell>
          <cell r="L7610">
            <v>38624</v>
          </cell>
          <cell r="M7610">
            <v>2.915</v>
          </cell>
          <cell r="P7610">
            <v>1.0249999999999999</v>
          </cell>
        </row>
        <row r="7611">
          <cell r="A7611" t="str">
            <v>PEE-048-FH-201-8GO</v>
          </cell>
          <cell r="G7611" t="str">
            <v xml:space="preserve">CR   </v>
          </cell>
          <cell r="L7611">
            <v>40428.376423611109</v>
          </cell>
          <cell r="M7611">
            <v>3.97</v>
          </cell>
          <cell r="P7611">
            <v>1.86</v>
          </cell>
        </row>
        <row r="7612">
          <cell r="A7612" t="str">
            <v>PEE-048-FHF-201-TJD8</v>
          </cell>
          <cell r="G7612" t="str">
            <v xml:space="preserve">CR   </v>
          </cell>
          <cell r="L7612">
            <v>38624</v>
          </cell>
          <cell r="M7612">
            <v>2.915</v>
          </cell>
          <cell r="P7612">
            <v>3.7105000000000001</v>
          </cell>
        </row>
        <row r="7613">
          <cell r="A7613" t="str">
            <v>PEE-048-FHP-206-19IL</v>
          </cell>
          <cell r="G7613" t="str">
            <v xml:space="preserve">CR   </v>
          </cell>
          <cell r="L7613">
            <v>38811</v>
          </cell>
          <cell r="M7613">
            <v>3.085</v>
          </cell>
          <cell r="P7613">
            <v>6.5838999999999999</v>
          </cell>
        </row>
        <row r="7614">
          <cell r="A7614" t="str">
            <v>PEE-048-FHR-205-25MM</v>
          </cell>
          <cell r="G7614" t="str">
            <v>INDEV</v>
          </cell>
          <cell r="L7614">
            <v>39919</v>
          </cell>
          <cell r="M7614">
            <v>3.677</v>
          </cell>
          <cell r="P7614">
            <v>1.5397062822953496</v>
          </cell>
        </row>
        <row r="7615">
          <cell r="A7615" t="str">
            <v>PEE-048-FHR-206-18</v>
          </cell>
          <cell r="G7615" t="str">
            <v xml:space="preserve">CR   </v>
          </cell>
          <cell r="L7615">
            <v>40428.376423611109</v>
          </cell>
          <cell r="M7615">
            <v>3.97</v>
          </cell>
          <cell r="P7615">
            <v>3.5990000000000002</v>
          </cell>
        </row>
        <row r="7616">
          <cell r="A7616" t="str">
            <v>PEE-048-FHR-206-20</v>
          </cell>
          <cell r="G7616" t="str">
            <v xml:space="preserve">CR   </v>
          </cell>
          <cell r="L7616">
            <v>40428.376423611109</v>
          </cell>
          <cell r="M7616">
            <v>3.97</v>
          </cell>
          <cell r="P7616">
            <v>2.4209999999999998</v>
          </cell>
        </row>
        <row r="7617">
          <cell r="A7617" t="str">
            <v>PEE-048-FHR-206-30MM</v>
          </cell>
          <cell r="G7617" t="str">
            <v xml:space="preserve">CR   </v>
          </cell>
          <cell r="L7617">
            <v>40428.376423611109</v>
          </cell>
          <cell r="M7617">
            <v>3.97</v>
          </cell>
          <cell r="P7617">
            <v>2.3010000000000002</v>
          </cell>
        </row>
        <row r="7618">
          <cell r="A7618" t="str">
            <v>PEE-048-FHR-208-24</v>
          </cell>
          <cell r="G7618" t="str">
            <v>INDEV</v>
          </cell>
          <cell r="L7618">
            <v>41681</v>
          </cell>
          <cell r="M7618">
            <v>7.84</v>
          </cell>
          <cell r="P7618">
            <v>3.4520025510204082</v>
          </cell>
        </row>
        <row r="7619">
          <cell r="A7619" t="str">
            <v>PEE-048-FHR-208-40MM</v>
          </cell>
          <cell r="G7619" t="str">
            <v>IDESP</v>
          </cell>
          <cell r="L7619">
            <v>39444</v>
          </cell>
          <cell r="M7619">
            <v>3.149</v>
          </cell>
          <cell r="P7619">
            <v>3.22</v>
          </cell>
        </row>
        <row r="7620">
          <cell r="A7620" t="str">
            <v>PEE-048-FHR-209-28</v>
          </cell>
          <cell r="G7620" t="str">
            <v xml:space="preserve">CR   </v>
          </cell>
          <cell r="L7620">
            <v>40428.376423611109</v>
          </cell>
          <cell r="M7620">
            <v>3.97</v>
          </cell>
          <cell r="P7620">
            <v>5.28</v>
          </cell>
        </row>
        <row r="7621">
          <cell r="A7621" t="str">
            <v>PEE-048-FHR-210-50MM</v>
          </cell>
          <cell r="G7621" t="str">
            <v xml:space="preserve">CR   </v>
          </cell>
          <cell r="L7621">
            <v>40428.376423611109</v>
          </cell>
          <cell r="M7621">
            <v>3.97</v>
          </cell>
          <cell r="P7621">
            <v>6.2119999999999997</v>
          </cell>
        </row>
        <row r="7622">
          <cell r="A7622" t="str">
            <v>PEE-048-FHR-211-55MM</v>
          </cell>
          <cell r="G7622" t="str">
            <v xml:space="preserve">CR   </v>
          </cell>
          <cell r="L7622">
            <v>40428.376423611109</v>
          </cell>
          <cell r="M7622">
            <v>3.97</v>
          </cell>
          <cell r="P7622">
            <v>8.3160000000000007</v>
          </cell>
        </row>
        <row r="7623">
          <cell r="A7623" t="str">
            <v>PEE-048-FHRL-BB9105</v>
          </cell>
          <cell r="G7623" t="str">
            <v>IDESP</v>
          </cell>
          <cell r="L7623">
            <v>40918</v>
          </cell>
          <cell r="M7623">
            <v>4.33</v>
          </cell>
          <cell r="P7623">
            <v>4.28</v>
          </cell>
        </row>
        <row r="7624">
          <cell r="A7624" t="str">
            <v>PEE-048-FHS-204-2FM</v>
          </cell>
          <cell r="G7624" t="str">
            <v xml:space="preserve">CR   </v>
          </cell>
          <cell r="L7624">
            <v>38624</v>
          </cell>
          <cell r="M7624">
            <v>2.915</v>
          </cell>
          <cell r="P7624">
            <v>1.6092</v>
          </cell>
        </row>
        <row r="7625">
          <cell r="A7625" t="str">
            <v>PEE-048-FHS-205-15*</v>
          </cell>
          <cell r="G7625" t="str">
            <v xml:space="preserve">CR   </v>
          </cell>
          <cell r="L7625">
            <v>38624</v>
          </cell>
          <cell r="M7625">
            <v>2.915</v>
          </cell>
          <cell r="P7625">
            <v>2.2242000000000002</v>
          </cell>
        </row>
        <row r="7626">
          <cell r="A7626" t="str">
            <v>PEE-048-FHS-205-16</v>
          </cell>
          <cell r="G7626" t="str">
            <v>VPRet</v>
          </cell>
          <cell r="L7626">
            <v>42160</v>
          </cell>
          <cell r="M7626">
            <v>9.0399999999999991</v>
          </cell>
          <cell r="P7626">
            <v>2.0325000000000002</v>
          </cell>
        </row>
        <row r="7627">
          <cell r="A7627" t="str">
            <v>PEE-048-FHS-205-2FM</v>
          </cell>
          <cell r="G7627" t="str">
            <v xml:space="preserve">CR   </v>
          </cell>
          <cell r="L7627">
            <v>38624</v>
          </cell>
          <cell r="M7627">
            <v>2.915</v>
          </cell>
          <cell r="P7627">
            <v>1.804</v>
          </cell>
        </row>
        <row r="7628">
          <cell r="A7628" t="str">
            <v>PEE-048-FHS-205-R25</v>
          </cell>
          <cell r="G7628" t="str">
            <v xml:space="preserve">INSI </v>
          </cell>
          <cell r="L7628">
            <v>41873</v>
          </cell>
          <cell r="M7628">
            <v>8.36</v>
          </cell>
          <cell r="P7628">
            <v>2.0325000000000002</v>
          </cell>
        </row>
        <row r="7629">
          <cell r="A7629" t="str">
            <v>PEE-048-FHS-207-35</v>
          </cell>
          <cell r="G7629" t="str">
            <v>IDESP</v>
          </cell>
          <cell r="L7629">
            <v>39671</v>
          </cell>
          <cell r="M7629">
            <v>3.052</v>
          </cell>
          <cell r="P7629">
            <v>2.73</v>
          </cell>
        </row>
        <row r="7630">
          <cell r="A7630" t="str">
            <v>PEE-048-FHS-208-40MM</v>
          </cell>
          <cell r="G7630" t="str">
            <v>IPFAB</v>
          </cell>
          <cell r="L7630">
            <v>38019</v>
          </cell>
          <cell r="M7630">
            <v>2.9279999999999999</v>
          </cell>
          <cell r="P7630">
            <v>3.74</v>
          </cell>
        </row>
        <row r="7631">
          <cell r="A7631" t="str">
            <v>PEE-048-FHSR-208-40m</v>
          </cell>
          <cell r="G7631" t="str">
            <v xml:space="preserve">CR   </v>
          </cell>
          <cell r="L7631">
            <v>40428.376423611109</v>
          </cell>
          <cell r="M7631">
            <v>3.97</v>
          </cell>
          <cell r="P7631">
            <v>3.5859999999999999</v>
          </cell>
        </row>
        <row r="7632">
          <cell r="A7632" t="str">
            <v>PEE-048-G-206-KPB4</v>
          </cell>
          <cell r="G7632" t="str">
            <v xml:space="preserve">CR   </v>
          </cell>
          <cell r="L7632">
            <v>38811</v>
          </cell>
          <cell r="M7632">
            <v>3.085</v>
          </cell>
          <cell r="P7632">
            <v>2.9878</v>
          </cell>
        </row>
        <row r="7633">
          <cell r="A7633" t="str">
            <v>PEE-048-G-207-KB12</v>
          </cell>
          <cell r="G7633" t="str">
            <v xml:space="preserve">CR   </v>
          </cell>
          <cell r="L7633">
            <v>38811</v>
          </cell>
          <cell r="M7633">
            <v>3.085</v>
          </cell>
          <cell r="P7633">
            <v>6.8859000000000004</v>
          </cell>
        </row>
        <row r="7634">
          <cell r="A7634" t="str">
            <v>PEE-048-G-207-KPB2</v>
          </cell>
          <cell r="G7634" t="str">
            <v xml:space="preserve">CR   </v>
          </cell>
          <cell r="L7634">
            <v>38811</v>
          </cell>
          <cell r="M7634">
            <v>3.085</v>
          </cell>
          <cell r="P7634">
            <v>5.7304000000000004</v>
          </cell>
        </row>
        <row r="7635">
          <cell r="A7635" t="str">
            <v>PEE-048-G-210-KPB2</v>
          </cell>
          <cell r="G7635" t="str">
            <v>INDEV</v>
          </cell>
          <cell r="L7635">
            <v>39577</v>
          </cell>
          <cell r="M7635">
            <v>3.177</v>
          </cell>
          <cell r="P7635">
            <v>5.749984261882279</v>
          </cell>
        </row>
        <row r="7636">
          <cell r="A7636" t="str">
            <v>PEE-048-G-5209-KPPB</v>
          </cell>
          <cell r="G7636" t="str">
            <v xml:space="preserve">INSI </v>
          </cell>
          <cell r="L7636">
            <v>38182</v>
          </cell>
          <cell r="M7636">
            <v>2.948</v>
          </cell>
          <cell r="P7636">
            <v>12.8</v>
          </cell>
        </row>
        <row r="7637">
          <cell r="A7637" t="str">
            <v>PEE-048-G-5209KYYB2</v>
          </cell>
          <cell r="G7637" t="str">
            <v xml:space="preserve">INAC </v>
          </cell>
          <cell r="L7637">
            <v>42697</v>
          </cell>
          <cell r="M7637">
            <v>15.62</v>
          </cell>
          <cell r="P7637">
            <v>44.225352112676056</v>
          </cell>
        </row>
        <row r="7638">
          <cell r="A7638" t="str">
            <v>PEE-048-GR-208-DBSQ</v>
          </cell>
          <cell r="G7638" t="str">
            <v>IPFAB</v>
          </cell>
          <cell r="L7638">
            <v>40200</v>
          </cell>
          <cell r="M7638">
            <v>3.83</v>
          </cell>
          <cell r="P7638">
            <v>8.3485999999999994</v>
          </cell>
        </row>
        <row r="7639">
          <cell r="A7639" t="str">
            <v>PEE-048-GR-210-DBSQ</v>
          </cell>
          <cell r="G7639" t="str">
            <v>InRet</v>
          </cell>
          <cell r="L7639">
            <v>40119</v>
          </cell>
          <cell r="M7639">
            <v>3.83</v>
          </cell>
          <cell r="P7639">
            <v>8.0516187989556141</v>
          </cell>
        </row>
        <row r="7640">
          <cell r="A7640" t="str">
            <v>PEE-048-GR-212-DBSQ</v>
          </cell>
          <cell r="G7640" t="str">
            <v>InRet</v>
          </cell>
          <cell r="L7640">
            <v>40119</v>
          </cell>
          <cell r="M7640">
            <v>3.83</v>
          </cell>
          <cell r="P7640">
            <v>7.4125326370757181</v>
          </cell>
        </row>
        <row r="7641">
          <cell r="A7641" t="str">
            <v>PEE-048-GW-208-PB17</v>
          </cell>
          <cell r="G7641" t="str">
            <v xml:space="preserve">INSI </v>
          </cell>
          <cell r="L7641">
            <v>40821</v>
          </cell>
          <cell r="M7641">
            <v>4.2300000000000004</v>
          </cell>
          <cell r="P7641">
            <v>6.5235000000000003</v>
          </cell>
        </row>
        <row r="7642">
          <cell r="A7642" t="str">
            <v>PEE-048-GW-208-PPB2</v>
          </cell>
          <cell r="G7642" t="str">
            <v>INDEV</v>
          </cell>
          <cell r="L7642">
            <v>39490</v>
          </cell>
          <cell r="M7642">
            <v>3.1680000000000001</v>
          </cell>
          <cell r="P7642">
            <v>4.1100063131313131</v>
          </cell>
        </row>
        <row r="7643">
          <cell r="A7643" t="str">
            <v>PEE-048-GW-208-PPB8</v>
          </cell>
          <cell r="G7643" t="str">
            <v>INDEV</v>
          </cell>
          <cell r="L7643">
            <v>41443</v>
          </cell>
          <cell r="M7643">
            <v>5.34</v>
          </cell>
          <cell r="P7643">
            <v>5.61870786516854</v>
          </cell>
        </row>
        <row r="7644">
          <cell r="A7644" t="str">
            <v>PEE-048-GW-209-PPB8</v>
          </cell>
          <cell r="G7644" t="str">
            <v>IDESP</v>
          </cell>
          <cell r="L7644">
            <v>40918</v>
          </cell>
          <cell r="M7644">
            <v>4.33</v>
          </cell>
          <cell r="P7644">
            <v>15.38</v>
          </cell>
        </row>
        <row r="7645">
          <cell r="A7645" t="str">
            <v>PEE-048-HC-209-DBL</v>
          </cell>
          <cell r="G7645" t="str">
            <v xml:space="preserve">CR   </v>
          </cell>
          <cell r="L7645">
            <v>38811</v>
          </cell>
          <cell r="M7645">
            <v>3.085</v>
          </cell>
          <cell r="P7645">
            <v>4.1192000000000002</v>
          </cell>
        </row>
        <row r="7646">
          <cell r="A7646" t="str">
            <v>PEE-048-HC-210-DBL</v>
          </cell>
          <cell r="G7646" t="str">
            <v>INDEV</v>
          </cell>
          <cell r="L7646">
            <v>39248</v>
          </cell>
          <cell r="M7646">
            <v>3.0720000000000001</v>
          </cell>
          <cell r="P7646">
            <v>3.7130208333333332</v>
          </cell>
        </row>
        <row r="7647">
          <cell r="A7647" t="str">
            <v>PEE-048-J-91-B</v>
          </cell>
          <cell r="G7647" t="str">
            <v>INDEV</v>
          </cell>
          <cell r="L7647">
            <v>39309</v>
          </cell>
          <cell r="M7647">
            <v>3.1469999999999998</v>
          </cell>
          <cell r="P7647">
            <v>2.7645694312043219</v>
          </cell>
        </row>
        <row r="7648">
          <cell r="A7648" t="str">
            <v>PEE-048-JD9338</v>
          </cell>
          <cell r="G7648" t="str">
            <v>IPFAB</v>
          </cell>
          <cell r="L7648">
            <v>38888</v>
          </cell>
          <cell r="M7648">
            <v>3.0790000000000002</v>
          </cell>
          <cell r="P7648">
            <v>5.3125</v>
          </cell>
        </row>
        <row r="7649">
          <cell r="A7649" t="str">
            <v>PEE-048-LCR-16-L</v>
          </cell>
          <cell r="G7649" t="str">
            <v>INDEV</v>
          </cell>
          <cell r="L7649">
            <v>40317</v>
          </cell>
          <cell r="M7649">
            <v>3.92</v>
          </cell>
          <cell r="P7649">
            <v>5.295918367346939</v>
          </cell>
        </row>
        <row r="7650">
          <cell r="A7650" t="str">
            <v>PEE-048-LRC-12-RL</v>
          </cell>
          <cell r="G7650" t="str">
            <v xml:space="preserve">CR   </v>
          </cell>
          <cell r="L7650">
            <v>38624</v>
          </cell>
          <cell r="M7650">
            <v>2.915</v>
          </cell>
          <cell r="P7650">
            <v>2.5625</v>
          </cell>
        </row>
        <row r="7651">
          <cell r="A7651" t="str">
            <v>PEE-048-NE-45-KP21</v>
          </cell>
          <cell r="G7651" t="str">
            <v>INDEV</v>
          </cell>
          <cell r="L7651">
            <v>40273</v>
          </cell>
          <cell r="M7651">
            <v>3.89</v>
          </cell>
          <cell r="P7651">
            <v>22.167892030848325</v>
          </cell>
        </row>
        <row r="7652">
          <cell r="A7652" t="str">
            <v>PEE-048-NE-45-KPB2</v>
          </cell>
          <cell r="G7652" t="str">
            <v xml:space="preserve">CR   </v>
          </cell>
          <cell r="L7652">
            <v>37981</v>
          </cell>
          <cell r="M7652">
            <v>2.96</v>
          </cell>
          <cell r="P7652">
            <v>22.02</v>
          </cell>
        </row>
        <row r="7653">
          <cell r="A7653" t="str">
            <v>PEE-048-NE-50-KP21</v>
          </cell>
          <cell r="G7653" t="str">
            <v xml:space="preserve">CR   </v>
          </cell>
          <cell r="L7653">
            <v>38811</v>
          </cell>
          <cell r="M7653">
            <v>3.085</v>
          </cell>
          <cell r="P7653">
            <v>23.174600000000002</v>
          </cell>
        </row>
        <row r="7654">
          <cell r="A7654" t="str">
            <v>PEE-048-P-203-PP10</v>
          </cell>
          <cell r="G7654" t="str">
            <v xml:space="preserve">CR   </v>
          </cell>
          <cell r="L7654">
            <v>38624</v>
          </cell>
          <cell r="M7654">
            <v>2.915</v>
          </cell>
          <cell r="P7654">
            <v>0.92249999999999999</v>
          </cell>
        </row>
        <row r="7655">
          <cell r="A7655" t="str">
            <v>PEE-048-PAS-210</v>
          </cell>
          <cell r="G7655" t="str">
            <v xml:space="preserve">CR   </v>
          </cell>
          <cell r="L7655">
            <v>38811</v>
          </cell>
          <cell r="M7655">
            <v>3.085</v>
          </cell>
          <cell r="P7655">
            <v>4.1978999999999997</v>
          </cell>
        </row>
        <row r="7656">
          <cell r="A7656" t="str">
            <v>PEE-048-RCO-25</v>
          </cell>
          <cell r="G7656" t="str">
            <v xml:space="preserve">CR   </v>
          </cell>
          <cell r="L7656">
            <v>38624</v>
          </cell>
          <cell r="M7656">
            <v>2.915</v>
          </cell>
          <cell r="P7656">
            <v>5.6477000000000004</v>
          </cell>
        </row>
        <row r="7657">
          <cell r="A7657" t="str">
            <v>PEE-048-RCR-16-L</v>
          </cell>
          <cell r="G7657" t="str">
            <v>INDEV</v>
          </cell>
          <cell r="L7657">
            <v>39955</v>
          </cell>
          <cell r="M7657">
            <v>3.75</v>
          </cell>
          <cell r="P7657">
            <v>2.1050133333333334</v>
          </cell>
        </row>
        <row r="7658">
          <cell r="A7658" t="str">
            <v>PEE-048-RCS-10-LMX</v>
          </cell>
          <cell r="G7658" t="str">
            <v xml:space="preserve">CR   </v>
          </cell>
          <cell r="L7658">
            <v>38624</v>
          </cell>
          <cell r="M7658">
            <v>2.915</v>
          </cell>
          <cell r="P7658">
            <v>5.6477000000000004</v>
          </cell>
        </row>
        <row r="7659">
          <cell r="A7659" t="str">
            <v>PEE-048-RCS-12-FZLM</v>
          </cell>
          <cell r="G7659" t="str">
            <v xml:space="preserve">CR   </v>
          </cell>
          <cell r="L7659">
            <v>38624</v>
          </cell>
          <cell r="M7659">
            <v>2.915</v>
          </cell>
          <cell r="P7659">
            <v>5.3535506003430537</v>
          </cell>
        </row>
        <row r="7660">
          <cell r="A7660" t="str">
            <v>PEE-048-RCS-12-LMX</v>
          </cell>
          <cell r="G7660" t="str">
            <v xml:space="preserve">CR   </v>
          </cell>
          <cell r="L7660">
            <v>38624</v>
          </cell>
          <cell r="M7660">
            <v>2.915</v>
          </cell>
          <cell r="P7660">
            <v>3.0032000000000001</v>
          </cell>
        </row>
        <row r="7661">
          <cell r="A7661" t="str">
            <v>PEE-048-RCS-14-FZLM</v>
          </cell>
          <cell r="G7661" t="str">
            <v xml:space="preserve">CR   </v>
          </cell>
          <cell r="L7661">
            <v>38624</v>
          </cell>
          <cell r="M7661">
            <v>2.915</v>
          </cell>
          <cell r="P7661">
            <v>6.4165000000000001</v>
          </cell>
        </row>
        <row r="7662">
          <cell r="A7662" t="str">
            <v>PEE-048-RCS-14-LMX</v>
          </cell>
          <cell r="G7662" t="str">
            <v xml:space="preserve">CR   </v>
          </cell>
          <cell r="L7662">
            <v>38624</v>
          </cell>
          <cell r="M7662">
            <v>2.915</v>
          </cell>
          <cell r="P7662">
            <v>5.0225</v>
          </cell>
        </row>
        <row r="7663">
          <cell r="A7663" t="str">
            <v>PEE-048-RCS-16-FZLM</v>
          </cell>
          <cell r="G7663" t="str">
            <v xml:space="preserve">CR   </v>
          </cell>
          <cell r="L7663">
            <v>38624</v>
          </cell>
          <cell r="M7663">
            <v>2.915</v>
          </cell>
          <cell r="P7663">
            <v>5.6477000000000004</v>
          </cell>
        </row>
        <row r="7664">
          <cell r="A7664" t="str">
            <v>PEE-048-RCS-16-LMX</v>
          </cell>
          <cell r="G7664" t="str">
            <v xml:space="preserve">CR   </v>
          </cell>
          <cell r="L7664">
            <v>38624</v>
          </cell>
          <cell r="M7664">
            <v>2.915</v>
          </cell>
          <cell r="P7664">
            <v>3.0648</v>
          </cell>
        </row>
        <row r="7665">
          <cell r="A7665" t="str">
            <v>PEE-048-RCS-19-ML</v>
          </cell>
          <cell r="G7665" t="str">
            <v>INDEV</v>
          </cell>
          <cell r="L7665">
            <v>40317</v>
          </cell>
          <cell r="M7665">
            <v>3.92</v>
          </cell>
          <cell r="P7665">
            <v>3.7602040816326534</v>
          </cell>
        </row>
        <row r="7666">
          <cell r="A7666" t="str">
            <v>PEE-048-RUE-203-KTJD</v>
          </cell>
          <cell r="G7666" t="str">
            <v xml:space="preserve">INAC </v>
          </cell>
          <cell r="L7666">
            <v>39608</v>
          </cell>
          <cell r="M7666">
            <v>3.0680000000000001</v>
          </cell>
          <cell r="P7666">
            <v>12.408735332464145</v>
          </cell>
        </row>
        <row r="7667">
          <cell r="A7667" t="str">
            <v>PEE-048-RUE-5203-JD</v>
          </cell>
          <cell r="G7667" t="str">
            <v>INDEV</v>
          </cell>
          <cell r="L7667">
            <v>40002</v>
          </cell>
          <cell r="M7667">
            <v>3.82</v>
          </cell>
          <cell r="P7667">
            <v>23.366151832460734</v>
          </cell>
        </row>
        <row r="7668">
          <cell r="A7668" t="str">
            <v>PEE-048-S-205-KRR2</v>
          </cell>
          <cell r="G7668" t="str">
            <v>INDEV</v>
          </cell>
          <cell r="L7668">
            <v>41057</v>
          </cell>
          <cell r="M7668">
            <v>4.49</v>
          </cell>
          <cell r="P7668">
            <v>3.6920935412026727</v>
          </cell>
        </row>
        <row r="7669">
          <cell r="A7669" t="str">
            <v>PEE-048-SBX-1706</v>
          </cell>
          <cell r="G7669" t="str">
            <v>INDEV</v>
          </cell>
          <cell r="L7669">
            <v>39415</v>
          </cell>
          <cell r="M7669">
            <v>3.149</v>
          </cell>
          <cell r="P7669">
            <v>5.7161003493172435</v>
          </cell>
        </row>
        <row r="7670">
          <cell r="A7670" t="str">
            <v>PEE-048-SBX-209</v>
          </cell>
          <cell r="G7670" t="str">
            <v>InRet</v>
          </cell>
          <cell r="L7670">
            <v>40296</v>
          </cell>
          <cell r="M7670">
            <v>3.89</v>
          </cell>
          <cell r="P7670">
            <v>3.2236503856041128</v>
          </cell>
        </row>
        <row r="7671">
          <cell r="A7671" t="str">
            <v>PEE-048-SBX62092RSTK</v>
          </cell>
          <cell r="G7671" t="str">
            <v>IPFAB</v>
          </cell>
          <cell r="L7671">
            <v>40315</v>
          </cell>
          <cell r="M7671">
            <v>3.92</v>
          </cell>
          <cell r="P7671">
            <v>3.68</v>
          </cell>
        </row>
        <row r="7672">
          <cell r="A7672" t="str">
            <v>PEE-048-SER-10-MX</v>
          </cell>
          <cell r="G7672" t="str">
            <v xml:space="preserve">CR   </v>
          </cell>
          <cell r="L7672">
            <v>40428.376423611109</v>
          </cell>
          <cell r="M7672">
            <v>3.97</v>
          </cell>
          <cell r="P7672">
            <v>2.7719999999999998</v>
          </cell>
        </row>
        <row r="7673">
          <cell r="A7673" t="str">
            <v>PEE-048-SER-12-MX</v>
          </cell>
          <cell r="G7673" t="str">
            <v xml:space="preserve">CR   </v>
          </cell>
          <cell r="L7673">
            <v>40428.376423611109</v>
          </cell>
          <cell r="M7673">
            <v>3.97</v>
          </cell>
          <cell r="P7673">
            <v>2.7719999999999998</v>
          </cell>
        </row>
        <row r="7674">
          <cell r="A7674" t="str">
            <v>PEE-048-SER-15-MX</v>
          </cell>
          <cell r="G7674" t="str">
            <v xml:space="preserve">CR   </v>
          </cell>
          <cell r="L7674">
            <v>40428.376423611109</v>
          </cell>
          <cell r="M7674">
            <v>3.97</v>
          </cell>
          <cell r="P7674">
            <v>2.7170000000000001</v>
          </cell>
        </row>
        <row r="7675">
          <cell r="A7675" t="str">
            <v>PEE-048-SER-16-MX</v>
          </cell>
          <cell r="G7675" t="str">
            <v>IDESP</v>
          </cell>
          <cell r="L7675">
            <v>39743</v>
          </cell>
          <cell r="M7675">
            <v>3.2109999999999999</v>
          </cell>
          <cell r="P7675">
            <v>2.54</v>
          </cell>
        </row>
        <row r="7676">
          <cell r="A7676" t="str">
            <v>PEE-048-SER-19</v>
          </cell>
          <cell r="G7676" t="str">
            <v xml:space="preserve">CR   </v>
          </cell>
          <cell r="L7676">
            <v>40428.376423611109</v>
          </cell>
          <cell r="M7676">
            <v>3.97</v>
          </cell>
          <cell r="P7676">
            <v>1.8879999999999999</v>
          </cell>
        </row>
        <row r="7677">
          <cell r="A7677" t="str">
            <v>PEE-048-SER-20-MX</v>
          </cell>
          <cell r="G7677" t="str">
            <v>IDESP</v>
          </cell>
          <cell r="L7677">
            <v>40779</v>
          </cell>
          <cell r="M7677">
            <v>4.21</v>
          </cell>
          <cell r="P7677">
            <v>7.52</v>
          </cell>
        </row>
        <row r="7678">
          <cell r="A7678" t="str">
            <v>PEE-048-SER-22-MX</v>
          </cell>
          <cell r="G7678" t="str">
            <v xml:space="preserve">CR   </v>
          </cell>
          <cell r="L7678">
            <v>40428.376423611109</v>
          </cell>
          <cell r="M7678">
            <v>3.97</v>
          </cell>
          <cell r="P7678">
            <v>3.1669999999999998</v>
          </cell>
        </row>
        <row r="7679">
          <cell r="A7679" t="str">
            <v>PEE-048-SER-23</v>
          </cell>
          <cell r="G7679" t="str">
            <v xml:space="preserve">CR   </v>
          </cell>
          <cell r="L7679">
            <v>40428.376423611109</v>
          </cell>
          <cell r="M7679">
            <v>3.97</v>
          </cell>
          <cell r="P7679">
            <v>4.0810000000000004</v>
          </cell>
        </row>
        <row r="7680">
          <cell r="A7680" t="str">
            <v>PEE-048-SER-25-MX</v>
          </cell>
          <cell r="G7680" t="str">
            <v xml:space="preserve">CR   </v>
          </cell>
          <cell r="L7680">
            <v>38624</v>
          </cell>
          <cell r="M7680">
            <v>2.915</v>
          </cell>
          <cell r="P7680">
            <v>2.9725000000000001</v>
          </cell>
        </row>
        <row r="7681">
          <cell r="A7681" t="str">
            <v>PEE-048-SER-25MM</v>
          </cell>
          <cell r="G7681" t="str">
            <v xml:space="preserve">CR   </v>
          </cell>
          <cell r="L7681">
            <v>40428.376423611109</v>
          </cell>
          <cell r="M7681">
            <v>3.97</v>
          </cell>
          <cell r="P7681">
            <v>1.915</v>
          </cell>
        </row>
        <row r="7682">
          <cell r="A7682" t="str">
            <v>PEE-048-SER-26-MX</v>
          </cell>
          <cell r="G7682" t="str">
            <v xml:space="preserve">CR   </v>
          </cell>
          <cell r="L7682">
            <v>40428.376423611109</v>
          </cell>
          <cell r="M7682">
            <v>3.97</v>
          </cell>
          <cell r="P7682">
            <v>6.1050000000000004</v>
          </cell>
        </row>
        <row r="7683">
          <cell r="A7683" t="str">
            <v>PEE-048-SER-27-MX</v>
          </cell>
          <cell r="G7683" t="str">
            <v xml:space="preserve">CR   </v>
          </cell>
          <cell r="L7683">
            <v>40428.376423611109</v>
          </cell>
          <cell r="M7683">
            <v>3.97</v>
          </cell>
          <cell r="P7683">
            <v>5.5880000000000001</v>
          </cell>
        </row>
        <row r="7684">
          <cell r="A7684" t="str">
            <v>PEE-048-SER-28-MX</v>
          </cell>
          <cell r="G7684" t="str">
            <v xml:space="preserve">CR   </v>
          </cell>
          <cell r="L7684">
            <v>40428.376423611109</v>
          </cell>
          <cell r="M7684">
            <v>3.97</v>
          </cell>
          <cell r="P7684">
            <v>5.5880000000000001</v>
          </cell>
        </row>
        <row r="7685">
          <cell r="A7685" t="str">
            <v>PEE-048-SER-30-MM</v>
          </cell>
          <cell r="G7685" t="str">
            <v xml:space="preserve">CR   </v>
          </cell>
          <cell r="L7685">
            <v>40428.376423611109</v>
          </cell>
          <cell r="M7685">
            <v>3.97</v>
          </cell>
          <cell r="P7685">
            <v>2.4359999999999999</v>
          </cell>
        </row>
        <row r="7686">
          <cell r="A7686" t="str">
            <v>PEE-048-SER-30-MX</v>
          </cell>
          <cell r="G7686" t="str">
            <v>INDEV</v>
          </cell>
          <cell r="L7686">
            <v>41711</v>
          </cell>
          <cell r="M7686">
            <v>7.9</v>
          </cell>
          <cell r="P7686">
            <v>7.4029999999999996</v>
          </cell>
        </row>
        <row r="7687">
          <cell r="A7687" t="str">
            <v>PEE-048-SER-31-MX</v>
          </cell>
          <cell r="G7687" t="str">
            <v xml:space="preserve">CR   </v>
          </cell>
          <cell r="L7687">
            <v>40428.376423611109</v>
          </cell>
          <cell r="M7687">
            <v>3.97</v>
          </cell>
          <cell r="P7687">
            <v>6.7759999999999998</v>
          </cell>
        </row>
        <row r="7688">
          <cell r="A7688" t="str">
            <v>PEE-048-SER-32-MX</v>
          </cell>
          <cell r="G7688" t="str">
            <v xml:space="preserve">CR   </v>
          </cell>
          <cell r="L7688">
            <v>40428.376423611109</v>
          </cell>
          <cell r="M7688">
            <v>3.97</v>
          </cell>
          <cell r="P7688">
            <v>6.8540000000000001</v>
          </cell>
        </row>
        <row r="7689">
          <cell r="A7689" t="str">
            <v>PEE-048-SER-35</v>
          </cell>
          <cell r="G7689" t="str">
            <v>INDEV</v>
          </cell>
          <cell r="L7689">
            <v>41613</v>
          </cell>
          <cell r="M7689">
            <v>6.2</v>
          </cell>
          <cell r="P7689">
            <v>3.6869999999999998</v>
          </cell>
        </row>
        <row r="7690">
          <cell r="A7690" t="str">
            <v>PEE-048-SER-35MM</v>
          </cell>
          <cell r="G7690" t="str">
            <v xml:space="preserve">CR   </v>
          </cell>
          <cell r="L7690">
            <v>40428.376423611109</v>
          </cell>
          <cell r="M7690">
            <v>3.97</v>
          </cell>
          <cell r="P7690">
            <v>2.3370000000000002</v>
          </cell>
        </row>
        <row r="7691">
          <cell r="A7691" t="str">
            <v>PEE-048-SER-47</v>
          </cell>
          <cell r="G7691" t="str">
            <v xml:space="preserve">CR   </v>
          </cell>
          <cell r="L7691">
            <v>40428.376423611109</v>
          </cell>
          <cell r="M7691">
            <v>3.97</v>
          </cell>
          <cell r="P7691">
            <v>28.076000000000001</v>
          </cell>
        </row>
        <row r="7692">
          <cell r="A7692" t="str">
            <v>PEE-048-SER-55-MX</v>
          </cell>
          <cell r="G7692" t="str">
            <v xml:space="preserve">CR   </v>
          </cell>
          <cell r="L7692">
            <v>40428.376423611109</v>
          </cell>
          <cell r="M7692">
            <v>3.97</v>
          </cell>
          <cell r="P7692">
            <v>36.843000000000004</v>
          </cell>
        </row>
        <row r="7693">
          <cell r="A7693" t="str">
            <v>PEE-048-SER-8-MX</v>
          </cell>
          <cell r="G7693" t="str">
            <v xml:space="preserve">CR   </v>
          </cell>
          <cell r="L7693">
            <v>40428.376423611109</v>
          </cell>
          <cell r="M7693">
            <v>3.97</v>
          </cell>
          <cell r="P7693">
            <v>2.8490000000000002</v>
          </cell>
        </row>
        <row r="7694">
          <cell r="A7694" t="str">
            <v>PEE-048-SS-205-KRB2</v>
          </cell>
          <cell r="G7694" t="str">
            <v xml:space="preserve">CR   </v>
          </cell>
          <cell r="L7694">
            <v>38624</v>
          </cell>
          <cell r="M7694">
            <v>2.915</v>
          </cell>
          <cell r="P7694">
            <v>2.3677999999999999</v>
          </cell>
        </row>
        <row r="7695">
          <cell r="A7695" t="str">
            <v>PEE-048-SS-205-KRR2</v>
          </cell>
          <cell r="G7695" t="str">
            <v xml:space="preserve">CR   </v>
          </cell>
          <cell r="L7695">
            <v>38624</v>
          </cell>
          <cell r="M7695">
            <v>2.915</v>
          </cell>
          <cell r="P7695">
            <v>2.3677999999999999</v>
          </cell>
        </row>
        <row r="7696">
          <cell r="A7696" t="str">
            <v>PEE-048-ST-491-A</v>
          </cell>
          <cell r="G7696" t="str">
            <v xml:space="preserve">CR   </v>
          </cell>
          <cell r="L7696">
            <v>38811</v>
          </cell>
          <cell r="M7696">
            <v>3.085</v>
          </cell>
          <cell r="P7696">
            <v>8.4861000000000004</v>
          </cell>
        </row>
        <row r="7697">
          <cell r="A7697" t="str">
            <v>PEE-048-ST-491-B</v>
          </cell>
          <cell r="G7697" t="str">
            <v xml:space="preserve">CR   </v>
          </cell>
          <cell r="L7697">
            <v>38811</v>
          </cell>
          <cell r="M7697">
            <v>3.085</v>
          </cell>
          <cell r="P7697">
            <v>9.6341999999999999</v>
          </cell>
        </row>
        <row r="7698">
          <cell r="A7698" t="str">
            <v>PEE-048-TRL-205-KRB2</v>
          </cell>
          <cell r="G7698" t="str">
            <v xml:space="preserve">CR   </v>
          </cell>
          <cell r="L7698">
            <v>38624</v>
          </cell>
          <cell r="M7698">
            <v>2.915</v>
          </cell>
          <cell r="P7698">
            <v>2.3677999999999999</v>
          </cell>
        </row>
        <row r="7699">
          <cell r="A7699" t="str">
            <v>PEE-048-TRL-205-KRR2</v>
          </cell>
          <cell r="G7699" t="str">
            <v xml:space="preserve">CR   </v>
          </cell>
          <cell r="L7699">
            <v>38624</v>
          </cell>
          <cell r="M7699">
            <v>2.915</v>
          </cell>
          <cell r="P7699">
            <v>2.3677999999999999</v>
          </cell>
        </row>
        <row r="7700">
          <cell r="A7700" t="str">
            <v>PEE-048-UC-206-20DB</v>
          </cell>
          <cell r="G7700" t="str">
            <v>INDEV</v>
          </cell>
          <cell r="L7700">
            <v>41852</v>
          </cell>
          <cell r="M7700">
            <v>8.2200000000000006</v>
          </cell>
          <cell r="P7700">
            <v>6.669999999999999</v>
          </cell>
        </row>
        <row r="7701">
          <cell r="A7701" t="str">
            <v>PEE-048-UEL-205-16D*</v>
          </cell>
          <cell r="G7701" t="str">
            <v xml:space="preserve">CR   </v>
          </cell>
          <cell r="L7701">
            <v>38624</v>
          </cell>
          <cell r="M7701">
            <v>2.915</v>
          </cell>
          <cell r="P7701">
            <v>2.5318000000000001</v>
          </cell>
        </row>
        <row r="7702">
          <cell r="A7702" t="str">
            <v>PEE-048-UEL-206-20D*</v>
          </cell>
          <cell r="G7702" t="str">
            <v xml:space="preserve">CR   </v>
          </cell>
          <cell r="L7702">
            <v>38624</v>
          </cell>
          <cell r="M7702">
            <v>2.915</v>
          </cell>
          <cell r="P7702">
            <v>3.7925</v>
          </cell>
        </row>
        <row r="7703">
          <cell r="A7703" t="str">
            <v>PEE-048-UEL-208-TRSL</v>
          </cell>
          <cell r="G7703" t="str">
            <v xml:space="preserve">CR   </v>
          </cell>
          <cell r="L7703">
            <v>38624</v>
          </cell>
          <cell r="M7703">
            <v>2.915</v>
          </cell>
          <cell r="P7703">
            <v>5.0839999999999996</v>
          </cell>
        </row>
        <row r="7704">
          <cell r="A7704" t="str">
            <v>PEE-048-UEL-209-26DB</v>
          </cell>
          <cell r="G7704" t="str">
            <v xml:space="preserve">CR   </v>
          </cell>
          <cell r="L7704">
            <v>38811</v>
          </cell>
          <cell r="M7704">
            <v>3.085</v>
          </cell>
          <cell r="P7704">
            <v>5.5469999999999997</v>
          </cell>
        </row>
        <row r="7705">
          <cell r="A7705" t="str">
            <v>PEE-048-UEL-209-DBL</v>
          </cell>
          <cell r="G7705" t="str">
            <v xml:space="preserve">CR   </v>
          </cell>
          <cell r="L7705">
            <v>38624</v>
          </cell>
          <cell r="M7705">
            <v>2.915</v>
          </cell>
          <cell r="P7705">
            <v>5.6477000000000004</v>
          </cell>
        </row>
        <row r="7706">
          <cell r="A7706" t="str">
            <v>PEE-048-UEL-210-DBL</v>
          </cell>
          <cell r="G7706" t="str">
            <v xml:space="preserve">CR   </v>
          </cell>
          <cell r="L7706">
            <v>38624</v>
          </cell>
          <cell r="M7706">
            <v>2.915</v>
          </cell>
          <cell r="P7706">
            <v>6.3140000000000001</v>
          </cell>
        </row>
        <row r="7707">
          <cell r="A7707" t="str">
            <v>PEE-048-UEL-210-TRSL</v>
          </cell>
          <cell r="G7707" t="str">
            <v xml:space="preserve">CR   </v>
          </cell>
          <cell r="L7707">
            <v>38624</v>
          </cell>
          <cell r="M7707">
            <v>2.915</v>
          </cell>
          <cell r="P7707">
            <v>6.2218</v>
          </cell>
        </row>
        <row r="7708">
          <cell r="A7708" t="str">
            <v>PEE-048-UEL-211-TRSL</v>
          </cell>
          <cell r="G7708" t="str">
            <v xml:space="preserve">CR   </v>
          </cell>
          <cell r="L7708">
            <v>38624</v>
          </cell>
          <cell r="M7708">
            <v>2.915</v>
          </cell>
          <cell r="P7708">
            <v>8.3640000000000008</v>
          </cell>
        </row>
        <row r="7709">
          <cell r="A7709" t="str">
            <v>PEE-048-UEL-212-TRSL</v>
          </cell>
          <cell r="G7709" t="str">
            <v xml:space="preserve">CR   </v>
          </cell>
          <cell r="L7709">
            <v>38624</v>
          </cell>
          <cell r="M7709">
            <v>2.915</v>
          </cell>
          <cell r="P7709">
            <v>11.439</v>
          </cell>
        </row>
        <row r="7710">
          <cell r="A7710" t="str">
            <v>PEE-048-UK-208</v>
          </cell>
          <cell r="G7710" t="str">
            <v xml:space="preserve">CR   </v>
          </cell>
          <cell r="L7710">
            <v>38624</v>
          </cell>
          <cell r="M7710">
            <v>2.915</v>
          </cell>
          <cell r="P7710">
            <v>3.0032000000000001</v>
          </cell>
        </row>
        <row r="7711">
          <cell r="A7711" t="str">
            <v>PEE-048-UK-210</v>
          </cell>
          <cell r="G7711" t="str">
            <v xml:space="preserve">CR   </v>
          </cell>
          <cell r="L7711">
            <v>38624</v>
          </cell>
          <cell r="M7711">
            <v>2.915</v>
          </cell>
          <cell r="P7711">
            <v>11.705500000000001</v>
          </cell>
        </row>
        <row r="7712">
          <cell r="A7712" t="str">
            <v>PEE-048-UK-211-TRL</v>
          </cell>
          <cell r="G7712" t="str">
            <v xml:space="preserve">CR   </v>
          </cell>
          <cell r="L7712">
            <v>38624</v>
          </cell>
          <cell r="M7712">
            <v>2.915</v>
          </cell>
          <cell r="P7712">
            <v>9.4403000000000006</v>
          </cell>
        </row>
        <row r="7713">
          <cell r="A7713" t="str">
            <v>PEE-048-W-208-KRB6</v>
          </cell>
          <cell r="G7713" t="str">
            <v>IDESP</v>
          </cell>
          <cell r="L7713">
            <v>39024</v>
          </cell>
          <cell r="M7713">
            <v>3.0830000000000002</v>
          </cell>
          <cell r="P7713">
            <v>5.84</v>
          </cell>
        </row>
        <row r="7714">
          <cell r="A7714" t="str">
            <v>PEE-048-W-208-PP21</v>
          </cell>
          <cell r="G7714" t="str">
            <v xml:space="preserve">CR   </v>
          </cell>
          <cell r="L7714">
            <v>38811</v>
          </cell>
          <cell r="M7714">
            <v>3.085</v>
          </cell>
          <cell r="P7714">
            <v>4.2851999999999997</v>
          </cell>
        </row>
        <row r="7715">
          <cell r="A7715" t="str">
            <v>PEE-048-W-208-PP21-N</v>
          </cell>
          <cell r="G7715" t="str">
            <v>IDESP</v>
          </cell>
          <cell r="L7715">
            <v>40154</v>
          </cell>
          <cell r="M7715">
            <v>3.82</v>
          </cell>
          <cell r="P7715">
            <v>4.3600000000000003</v>
          </cell>
        </row>
        <row r="7716">
          <cell r="A7716" t="str">
            <v>PEE-048-W-208-PP5</v>
          </cell>
          <cell r="G7716" t="str">
            <v>INDEV</v>
          </cell>
          <cell r="L7716">
            <v>39393</v>
          </cell>
          <cell r="M7716">
            <v>3.133</v>
          </cell>
          <cell r="P7716">
            <v>4.879955314395148</v>
          </cell>
        </row>
        <row r="7717">
          <cell r="A7717" t="str">
            <v>PEE-048-W-208-PP8</v>
          </cell>
          <cell r="G7717" t="str">
            <v xml:space="preserve">CR   </v>
          </cell>
          <cell r="L7717">
            <v>38624</v>
          </cell>
          <cell r="M7717">
            <v>2.915</v>
          </cell>
          <cell r="P7717">
            <v>5.1352000000000002</v>
          </cell>
        </row>
        <row r="7718">
          <cell r="A7718" t="str">
            <v>PEE-048-W-208-PPB5</v>
          </cell>
          <cell r="G7718" t="str">
            <v>INDEV</v>
          </cell>
          <cell r="L7718">
            <v>41065</v>
          </cell>
          <cell r="M7718">
            <v>4.49</v>
          </cell>
          <cell r="P7718">
            <v>5.5469933184855229</v>
          </cell>
        </row>
        <row r="7719">
          <cell r="A7719" t="str">
            <v>PEE-048-W-209-PPB2</v>
          </cell>
          <cell r="G7719" t="str">
            <v xml:space="preserve">CR   </v>
          </cell>
          <cell r="L7719">
            <v>38811</v>
          </cell>
          <cell r="M7719">
            <v>3.085</v>
          </cell>
          <cell r="P7719">
            <v>4.7618</v>
          </cell>
        </row>
        <row r="7720">
          <cell r="A7720" t="str">
            <v>PEE-048-W-211-PPB3</v>
          </cell>
          <cell r="G7720" t="str">
            <v xml:space="preserve">CR   </v>
          </cell>
          <cell r="L7720">
            <v>38811</v>
          </cell>
          <cell r="M7720">
            <v>3.085</v>
          </cell>
          <cell r="P7720">
            <v>8.4161000000000001</v>
          </cell>
        </row>
        <row r="7721">
          <cell r="A7721" t="str">
            <v>PEE-048-W-211-PPB4</v>
          </cell>
          <cell r="G7721" t="str">
            <v>IPFAP</v>
          </cell>
          <cell r="L7721">
            <v>42845</v>
          </cell>
          <cell r="M7721">
            <v>15.75</v>
          </cell>
          <cell r="P7721">
            <v>14.667803174603174</v>
          </cell>
        </row>
        <row r="7722">
          <cell r="A7722" t="str">
            <v>PEE-048-W208KRRB6</v>
          </cell>
          <cell r="G7722" t="str">
            <v>IDESP</v>
          </cell>
          <cell r="L7722">
            <v>39630</v>
          </cell>
          <cell r="M7722">
            <v>3.0249999999999999</v>
          </cell>
          <cell r="P7722">
            <v>6.49</v>
          </cell>
        </row>
        <row r="7723">
          <cell r="A7723" t="str">
            <v>PEE-048-WP836A-J91-2</v>
          </cell>
          <cell r="G7723" t="str">
            <v>INDEV</v>
          </cell>
          <cell r="L7723">
            <v>40072</v>
          </cell>
          <cell r="M7723">
            <v>3.85</v>
          </cell>
          <cell r="P7723">
            <v>2.8</v>
          </cell>
        </row>
        <row r="7724">
          <cell r="A7724" t="str">
            <v>PEE-048-Z-9504-2RST</v>
          </cell>
          <cell r="G7724" t="str">
            <v>IDESP</v>
          </cell>
          <cell r="L7724">
            <v>40779</v>
          </cell>
          <cell r="M7724">
            <v>4.21</v>
          </cell>
          <cell r="P7724">
            <v>1.75</v>
          </cell>
        </row>
        <row r="7725">
          <cell r="A7725" t="str">
            <v>PEE-050-12649-610</v>
          </cell>
          <cell r="G7725" t="str">
            <v xml:space="preserve">CR   </v>
          </cell>
          <cell r="L7725">
            <v>38811</v>
          </cell>
          <cell r="M7725">
            <v>3.085</v>
          </cell>
          <cell r="P7725">
            <v>1.2734000000000001</v>
          </cell>
        </row>
        <row r="7726">
          <cell r="A7726" t="str">
            <v>PEE-050-15245-EX</v>
          </cell>
          <cell r="G7726" t="str">
            <v>IDESP</v>
          </cell>
          <cell r="L7726">
            <v>39413</v>
          </cell>
          <cell r="M7726">
            <v>3.1429999999999998</v>
          </cell>
          <cell r="P7726">
            <v>0.74</v>
          </cell>
        </row>
        <row r="7727">
          <cell r="A7727" t="str">
            <v>PEE-050-18590-520</v>
          </cell>
          <cell r="G7727" t="str">
            <v xml:space="preserve">CR   </v>
          </cell>
          <cell r="L7727">
            <v>38811</v>
          </cell>
          <cell r="M7727">
            <v>3.085</v>
          </cell>
          <cell r="P7727">
            <v>1.9599</v>
          </cell>
        </row>
        <row r="7728">
          <cell r="A7728" t="str">
            <v>PEE-050-18790-20</v>
          </cell>
          <cell r="G7728" t="str">
            <v xml:space="preserve">CR   </v>
          </cell>
          <cell r="L7728">
            <v>38624</v>
          </cell>
          <cell r="M7728">
            <v>2.915</v>
          </cell>
          <cell r="P7728">
            <v>2.7675000000000001</v>
          </cell>
        </row>
        <row r="7729">
          <cell r="A7729" t="str">
            <v>PEE-050-25577-523</v>
          </cell>
          <cell r="G7729" t="str">
            <v xml:space="preserve">CR   </v>
          </cell>
          <cell r="L7729">
            <v>38811</v>
          </cell>
          <cell r="M7729">
            <v>3.085</v>
          </cell>
          <cell r="P7729">
            <v>2.1190000000000002</v>
          </cell>
        </row>
        <row r="7730">
          <cell r="A7730" t="str">
            <v>PEE-050-25580-520</v>
          </cell>
          <cell r="G7730" t="str">
            <v>INDEV</v>
          </cell>
          <cell r="L7730">
            <v>39029</v>
          </cell>
          <cell r="M7730">
            <v>3.077</v>
          </cell>
          <cell r="P7730">
            <v>2.3843028924276894</v>
          </cell>
        </row>
        <row r="7731">
          <cell r="A7731" t="str">
            <v>PEE-050-25590-520</v>
          </cell>
          <cell r="G7731" t="str">
            <v>INDEV</v>
          </cell>
          <cell r="L7731">
            <v>40267</v>
          </cell>
          <cell r="M7731">
            <v>3.89</v>
          </cell>
          <cell r="P7731">
            <v>3.6170951156812334</v>
          </cell>
        </row>
        <row r="7732">
          <cell r="A7732" t="str">
            <v>PEE-050-25590-521</v>
          </cell>
          <cell r="G7732" t="str">
            <v xml:space="preserve">CR   </v>
          </cell>
          <cell r="L7732">
            <v>37981</v>
          </cell>
          <cell r="M7732">
            <v>2.96</v>
          </cell>
          <cell r="P7732">
            <v>2.62</v>
          </cell>
        </row>
        <row r="7733">
          <cell r="A7733" t="str">
            <v>PEE-050-25590-523</v>
          </cell>
          <cell r="G7733" t="str">
            <v xml:space="preserve">CR   </v>
          </cell>
          <cell r="L7733">
            <v>38811</v>
          </cell>
          <cell r="M7733">
            <v>3.085</v>
          </cell>
          <cell r="P7733">
            <v>2.9449000000000001</v>
          </cell>
        </row>
        <row r="7734">
          <cell r="A7734" t="str">
            <v>PEE-050-25877-821</v>
          </cell>
          <cell r="G7734" t="str">
            <v xml:space="preserve">CR   </v>
          </cell>
          <cell r="L7734">
            <v>38811</v>
          </cell>
          <cell r="M7734">
            <v>3.085</v>
          </cell>
          <cell r="P7734">
            <v>2.2284999999999999</v>
          </cell>
        </row>
        <row r="7735">
          <cell r="A7735" t="str">
            <v>PEE-050-26823-EX</v>
          </cell>
          <cell r="G7735" t="str">
            <v>IDESP</v>
          </cell>
          <cell r="L7735">
            <v>39349</v>
          </cell>
          <cell r="M7735">
            <v>3.145</v>
          </cell>
          <cell r="P7735">
            <v>1.2</v>
          </cell>
        </row>
        <row r="7736">
          <cell r="A7736" t="str">
            <v>PEE-050-29685-20</v>
          </cell>
          <cell r="G7736" t="str">
            <v xml:space="preserve">CR   </v>
          </cell>
          <cell r="L7736">
            <v>38811</v>
          </cell>
          <cell r="M7736">
            <v>3.085</v>
          </cell>
          <cell r="P7736">
            <v>3.7208000000000001</v>
          </cell>
        </row>
        <row r="7737">
          <cell r="A7737" t="str">
            <v>PEE-050-300849-811</v>
          </cell>
          <cell r="G7737" t="str">
            <v>INDEV</v>
          </cell>
          <cell r="L7737">
            <v>40037</v>
          </cell>
          <cell r="M7737">
            <v>3.84</v>
          </cell>
          <cell r="P7737">
            <v>1.8304947916666667</v>
          </cell>
        </row>
        <row r="7738">
          <cell r="A7738" t="str">
            <v>PEE-050-30208-RX</v>
          </cell>
          <cell r="G7738" t="str">
            <v xml:space="preserve">CR   </v>
          </cell>
          <cell r="L7738">
            <v>38811</v>
          </cell>
          <cell r="M7738">
            <v>3.085</v>
          </cell>
          <cell r="P7738">
            <v>1.9884999999999999</v>
          </cell>
        </row>
        <row r="7739">
          <cell r="A7739" t="str">
            <v>PEE-050-30210-A</v>
          </cell>
          <cell r="G7739" t="str">
            <v xml:space="preserve">INAC </v>
          </cell>
          <cell r="L7739">
            <v>38495</v>
          </cell>
          <cell r="M7739">
            <v>2.887</v>
          </cell>
          <cell r="P7739">
            <v>2.563214409421545</v>
          </cell>
        </row>
        <row r="7740">
          <cell r="A7740" t="str">
            <v>PEE-050-30210-RX</v>
          </cell>
          <cell r="G7740" t="str">
            <v xml:space="preserve">CR   </v>
          </cell>
          <cell r="L7740">
            <v>38811</v>
          </cell>
          <cell r="M7740">
            <v>3.085</v>
          </cell>
          <cell r="P7740">
            <v>2.5950000000000002</v>
          </cell>
        </row>
        <row r="7741">
          <cell r="A7741" t="str">
            <v>PEE-050-30211-RX</v>
          </cell>
          <cell r="G7741" t="str">
            <v xml:space="preserve">CR   </v>
          </cell>
          <cell r="L7741">
            <v>38811</v>
          </cell>
          <cell r="M7741">
            <v>3.085</v>
          </cell>
          <cell r="P7741">
            <v>3.5411000000000001</v>
          </cell>
        </row>
        <row r="7742">
          <cell r="A7742" t="str">
            <v>PEE-050-30212-RX</v>
          </cell>
          <cell r="G7742" t="str">
            <v xml:space="preserve">CR   </v>
          </cell>
          <cell r="L7742">
            <v>38811</v>
          </cell>
          <cell r="M7742">
            <v>3.085</v>
          </cell>
          <cell r="P7742">
            <v>2.7101000000000002</v>
          </cell>
        </row>
        <row r="7743">
          <cell r="A7743" t="str">
            <v>PEE-050-31310-X</v>
          </cell>
          <cell r="G7743" t="str">
            <v xml:space="preserve">CR   </v>
          </cell>
          <cell r="L7743">
            <v>40428.376423611109</v>
          </cell>
          <cell r="M7743">
            <v>3.97</v>
          </cell>
          <cell r="P7743">
            <v>6.3029999999999999</v>
          </cell>
        </row>
        <row r="7744">
          <cell r="A7744" t="str">
            <v>PEE-050-32004-RX</v>
          </cell>
          <cell r="G7744" t="str">
            <v xml:space="preserve">CR   </v>
          </cell>
          <cell r="L7744">
            <v>38811</v>
          </cell>
          <cell r="M7744">
            <v>3.085</v>
          </cell>
          <cell r="P7744">
            <v>1.1375</v>
          </cell>
        </row>
        <row r="7745">
          <cell r="A7745" t="str">
            <v>PEE-050-32207-RX</v>
          </cell>
          <cell r="G7745" t="str">
            <v xml:space="preserve">INAC </v>
          </cell>
          <cell r="L7745">
            <v>38478</v>
          </cell>
          <cell r="M7745">
            <v>2.8969999999999998</v>
          </cell>
          <cell r="P7745">
            <v>2.7511218501898518</v>
          </cell>
        </row>
        <row r="7746">
          <cell r="A7746" t="str">
            <v>PEE-050-32211-RX</v>
          </cell>
          <cell r="G7746" t="str">
            <v xml:space="preserve">INAC </v>
          </cell>
          <cell r="L7746">
            <v>38478</v>
          </cell>
          <cell r="M7746">
            <v>2.8969999999999998</v>
          </cell>
          <cell r="P7746">
            <v>5.6023472557818437</v>
          </cell>
        </row>
        <row r="7747">
          <cell r="A7747" t="str">
            <v>PEE-050-32213-RX</v>
          </cell>
          <cell r="G7747" t="str">
            <v xml:space="preserve">CR   </v>
          </cell>
          <cell r="L7747">
            <v>38811</v>
          </cell>
          <cell r="M7747">
            <v>3.085</v>
          </cell>
          <cell r="P7747">
            <v>6.2819000000000003</v>
          </cell>
        </row>
        <row r="7748">
          <cell r="A7748" t="str">
            <v>PEE-050-32216-RX</v>
          </cell>
          <cell r="G7748" t="str">
            <v>IPFAB</v>
          </cell>
          <cell r="L7748">
            <v>38224</v>
          </cell>
          <cell r="M7748">
            <v>2.992</v>
          </cell>
          <cell r="P7748">
            <v>1</v>
          </cell>
        </row>
        <row r="7749">
          <cell r="A7749" t="str">
            <v>PEE-050-32218-RX</v>
          </cell>
          <cell r="G7749" t="str">
            <v xml:space="preserve">INAC </v>
          </cell>
          <cell r="L7749">
            <v>38070</v>
          </cell>
          <cell r="M7749">
            <v>2.8730000000000002</v>
          </cell>
          <cell r="P7749">
            <v>16.813783501566306</v>
          </cell>
        </row>
        <row r="7750">
          <cell r="A7750" t="str">
            <v>PEE-050-32307</v>
          </cell>
          <cell r="G7750" t="str">
            <v xml:space="preserve">CR   </v>
          </cell>
          <cell r="L7750">
            <v>40428.376423611109</v>
          </cell>
          <cell r="M7750">
            <v>3.97</v>
          </cell>
          <cell r="P7750">
            <v>2.577</v>
          </cell>
        </row>
        <row r="7751">
          <cell r="A7751" t="str">
            <v>PEE-050-32308</v>
          </cell>
          <cell r="G7751" t="str">
            <v>INDEV</v>
          </cell>
          <cell r="L7751">
            <v>41288</v>
          </cell>
          <cell r="M7751">
            <v>4.95</v>
          </cell>
          <cell r="P7751">
            <v>8.1656565656565654</v>
          </cell>
        </row>
        <row r="7752">
          <cell r="A7752" t="str">
            <v>PEE-050-32315</v>
          </cell>
          <cell r="G7752" t="str">
            <v xml:space="preserve">CR   </v>
          </cell>
          <cell r="L7752">
            <v>40428.376423611109</v>
          </cell>
          <cell r="M7752">
            <v>3.97</v>
          </cell>
          <cell r="P7752">
            <v>13.89</v>
          </cell>
        </row>
        <row r="7753">
          <cell r="A7753" t="str">
            <v>PEE-050-33019</v>
          </cell>
          <cell r="G7753" t="str">
            <v xml:space="preserve">CR   </v>
          </cell>
          <cell r="L7753">
            <v>40428.376423611109</v>
          </cell>
          <cell r="M7753">
            <v>3.97</v>
          </cell>
          <cell r="P7753">
            <v>7.6109999999999998</v>
          </cell>
        </row>
        <row r="7754">
          <cell r="A7754" t="str">
            <v>PEE-050-33110</v>
          </cell>
          <cell r="G7754" t="str">
            <v xml:space="preserve">INAC </v>
          </cell>
          <cell r="L7754">
            <v>42227</v>
          </cell>
          <cell r="M7754">
            <v>9.25</v>
          </cell>
          <cell r="P7754">
            <v>20.54054054054054</v>
          </cell>
        </row>
        <row r="7755">
          <cell r="A7755" t="str">
            <v>PEE-050-33208</v>
          </cell>
          <cell r="G7755" t="str">
            <v xml:space="preserve">CR   </v>
          </cell>
          <cell r="L7755">
            <v>40428.376423611109</v>
          </cell>
          <cell r="M7755">
            <v>3.97</v>
          </cell>
          <cell r="P7755">
            <v>3.1339999999999999</v>
          </cell>
        </row>
        <row r="7756">
          <cell r="A7756" t="str">
            <v>PEE-050-33213</v>
          </cell>
          <cell r="G7756" t="str">
            <v xml:space="preserve">CR   </v>
          </cell>
          <cell r="L7756">
            <v>40428.376423611109</v>
          </cell>
          <cell r="M7756">
            <v>3.97</v>
          </cell>
          <cell r="P7756">
            <v>5.9020000000000001</v>
          </cell>
        </row>
        <row r="7757">
          <cell r="A7757" t="str">
            <v>PEE-050-33215</v>
          </cell>
          <cell r="G7757" t="str">
            <v xml:space="preserve">CR   </v>
          </cell>
          <cell r="L7757">
            <v>40428.376423611109</v>
          </cell>
          <cell r="M7757">
            <v>3.97</v>
          </cell>
          <cell r="P7757">
            <v>7.718</v>
          </cell>
        </row>
        <row r="7758">
          <cell r="A7758" t="str">
            <v>PEE-050-382A-MX</v>
          </cell>
          <cell r="G7758" t="str">
            <v xml:space="preserve">CR   </v>
          </cell>
          <cell r="L7758">
            <v>40428.376423611109</v>
          </cell>
          <cell r="M7758">
            <v>3.97</v>
          </cell>
          <cell r="P7758">
            <v>0.75900000000000001</v>
          </cell>
        </row>
        <row r="7759">
          <cell r="A7759" t="str">
            <v>PEE-050-387A-MX</v>
          </cell>
          <cell r="G7759" t="str">
            <v xml:space="preserve">CR   </v>
          </cell>
          <cell r="L7759">
            <v>40428.376423611109</v>
          </cell>
          <cell r="M7759">
            <v>3.97</v>
          </cell>
          <cell r="P7759">
            <v>1.873</v>
          </cell>
        </row>
        <row r="7760">
          <cell r="A7760" t="str">
            <v>PEE-050-3982-20</v>
          </cell>
          <cell r="G7760" t="str">
            <v xml:space="preserve">CR   </v>
          </cell>
          <cell r="L7760">
            <v>40428.376423611109</v>
          </cell>
          <cell r="M7760">
            <v>3.97</v>
          </cell>
          <cell r="P7760">
            <v>3.798</v>
          </cell>
        </row>
        <row r="7761">
          <cell r="A7761" t="str">
            <v>PEE-050-3984-20</v>
          </cell>
          <cell r="G7761" t="str">
            <v xml:space="preserve">CR   </v>
          </cell>
          <cell r="L7761">
            <v>40428.376423611109</v>
          </cell>
          <cell r="M7761">
            <v>3.97</v>
          </cell>
          <cell r="P7761">
            <v>3.798</v>
          </cell>
        </row>
        <row r="7762">
          <cell r="A7762" t="str">
            <v>PEE-050-5134</v>
          </cell>
          <cell r="G7762" t="str">
            <v>IPFAB</v>
          </cell>
          <cell r="L7762">
            <v>39660</v>
          </cell>
          <cell r="M7762">
            <v>3.0259999999999998</v>
          </cell>
          <cell r="P7762">
            <v>6.9</v>
          </cell>
        </row>
        <row r="7763">
          <cell r="A7763" t="str">
            <v>PEE-050-575-572</v>
          </cell>
          <cell r="G7763" t="str">
            <v xml:space="preserve">CR   </v>
          </cell>
          <cell r="L7763">
            <v>38811</v>
          </cell>
          <cell r="M7763">
            <v>3.085</v>
          </cell>
          <cell r="P7763">
            <v>8.4164999999999992</v>
          </cell>
        </row>
        <row r="7764">
          <cell r="A7764" t="str">
            <v>PEE-050-580-572</v>
          </cell>
          <cell r="G7764" t="str">
            <v xml:space="preserve">CR   </v>
          </cell>
          <cell r="L7764">
            <v>38624</v>
          </cell>
          <cell r="M7764">
            <v>2.915</v>
          </cell>
          <cell r="P7764">
            <v>9.1839999999999993</v>
          </cell>
        </row>
        <row r="7765">
          <cell r="A7765" t="str">
            <v>PEE-050-6019</v>
          </cell>
          <cell r="G7765" t="str">
            <v xml:space="preserve">CR   </v>
          </cell>
          <cell r="L7765">
            <v>40428.376423611109</v>
          </cell>
          <cell r="M7765">
            <v>3.97</v>
          </cell>
          <cell r="P7765">
            <v>8.1170000000000009</v>
          </cell>
        </row>
        <row r="7766">
          <cell r="A7766" t="str">
            <v>PEE-050-84548/10</v>
          </cell>
          <cell r="G7766" t="str">
            <v xml:space="preserve">INAC </v>
          </cell>
          <cell r="L7766">
            <v>40303</v>
          </cell>
          <cell r="M7766">
            <v>3.9</v>
          </cell>
          <cell r="P7766">
            <v>3.4871794871794872</v>
          </cell>
        </row>
        <row r="7767">
          <cell r="A7767" t="str">
            <v>PEE-050-88649-610</v>
          </cell>
          <cell r="G7767" t="str">
            <v xml:space="preserve">CR   </v>
          </cell>
          <cell r="L7767">
            <v>38624</v>
          </cell>
          <cell r="M7767">
            <v>2.915</v>
          </cell>
          <cell r="P7767">
            <v>2.214</v>
          </cell>
        </row>
        <row r="7768">
          <cell r="A7768" t="str">
            <v>PEE-050-A-368-362A</v>
          </cell>
          <cell r="G7768" t="str">
            <v xml:space="preserve">CR   </v>
          </cell>
          <cell r="L7768">
            <v>38811</v>
          </cell>
          <cell r="M7768">
            <v>3.085</v>
          </cell>
          <cell r="P7768">
            <v>2.6263999999999998</v>
          </cell>
        </row>
        <row r="7769">
          <cell r="A7769" t="str">
            <v>PEE-050-A-387-382A</v>
          </cell>
          <cell r="G7769" t="str">
            <v xml:space="preserve">CR   </v>
          </cell>
          <cell r="L7769">
            <v>37981</v>
          </cell>
          <cell r="M7769">
            <v>2.96</v>
          </cell>
          <cell r="P7769">
            <v>2.81</v>
          </cell>
        </row>
        <row r="7770">
          <cell r="A7770" t="str">
            <v>PEE-050-HM-212049-01</v>
          </cell>
          <cell r="G7770" t="str">
            <v>INDEV</v>
          </cell>
          <cell r="L7770">
            <v>39016</v>
          </cell>
          <cell r="M7770">
            <v>3.093</v>
          </cell>
          <cell r="P7770">
            <v>5.9349822179114131</v>
          </cell>
        </row>
        <row r="7771">
          <cell r="A7771" t="str">
            <v>PEE-050-HM-218210</v>
          </cell>
          <cell r="G7771" t="str">
            <v xml:space="preserve">CR   </v>
          </cell>
          <cell r="L7771">
            <v>38811</v>
          </cell>
          <cell r="M7771">
            <v>3.085</v>
          </cell>
          <cell r="P7771">
            <v>2.2650999999999999</v>
          </cell>
        </row>
        <row r="7772">
          <cell r="A7772" t="str">
            <v>PEE-050-HM-31594-520</v>
          </cell>
          <cell r="G7772" t="str">
            <v xml:space="preserve">CR   </v>
          </cell>
          <cell r="L7772">
            <v>38624</v>
          </cell>
          <cell r="M7772">
            <v>2.915</v>
          </cell>
          <cell r="P7772">
            <v>3.198</v>
          </cell>
        </row>
        <row r="7773">
          <cell r="A7773" t="str">
            <v>PEE-050-HM-518410</v>
          </cell>
          <cell r="G7773" t="str">
            <v>INDEV</v>
          </cell>
          <cell r="L7773">
            <v>40736</v>
          </cell>
          <cell r="M7773">
            <v>4.1500000000000004</v>
          </cell>
          <cell r="P7773">
            <v>2.63</v>
          </cell>
        </row>
        <row r="7774">
          <cell r="A7774" t="str">
            <v>PEE-050-HM-518445</v>
          </cell>
          <cell r="G7774" t="str">
            <v>IPFAB</v>
          </cell>
          <cell r="L7774">
            <v>39975</v>
          </cell>
          <cell r="M7774">
            <v>3.77</v>
          </cell>
          <cell r="P7774">
            <v>4.83</v>
          </cell>
        </row>
        <row r="7775">
          <cell r="A7775" t="str">
            <v>PEE-050-HM-518445-41</v>
          </cell>
          <cell r="G7775" t="str">
            <v>IPFAB</v>
          </cell>
          <cell r="L7775">
            <v>39804</v>
          </cell>
          <cell r="M7775">
            <v>3.4159999999999999</v>
          </cell>
          <cell r="P7775">
            <v>8.9328000000000003</v>
          </cell>
        </row>
        <row r="7776">
          <cell r="A7776" t="str">
            <v>PEE-050-HM-86649-610</v>
          </cell>
          <cell r="G7776" t="str">
            <v>INDEV</v>
          </cell>
          <cell r="L7776">
            <v>38888</v>
          </cell>
          <cell r="M7776">
            <v>3.0790000000000002</v>
          </cell>
          <cell r="P7776">
            <v>3.3614810003247806</v>
          </cell>
        </row>
        <row r="7777">
          <cell r="A7777" t="str">
            <v>PEE-050-HM-88048-010</v>
          </cell>
          <cell r="G7777" t="str">
            <v xml:space="preserve">CR   </v>
          </cell>
          <cell r="L7777">
            <v>38811</v>
          </cell>
          <cell r="M7777">
            <v>3.085</v>
          </cell>
          <cell r="P7777">
            <v>2.3279999999999998</v>
          </cell>
        </row>
        <row r="7778">
          <cell r="A7778" t="str">
            <v>PEE-050-HMP-518445-4</v>
          </cell>
          <cell r="G7778" t="str">
            <v xml:space="preserve">CR   </v>
          </cell>
          <cell r="L7778">
            <v>38624</v>
          </cell>
          <cell r="M7778">
            <v>2.915</v>
          </cell>
          <cell r="P7778">
            <v>8.0564999999999998</v>
          </cell>
        </row>
        <row r="7779">
          <cell r="A7779" t="str">
            <v>PEE-050-L-44643-610</v>
          </cell>
          <cell r="G7779" t="str">
            <v>IPFAB</v>
          </cell>
          <cell r="L7779">
            <v>40072</v>
          </cell>
          <cell r="M7779">
            <v>3.85</v>
          </cell>
          <cell r="P7779">
            <v>1.0744</v>
          </cell>
        </row>
        <row r="7780">
          <cell r="A7780" t="str">
            <v>PEE-050-L-45449-410</v>
          </cell>
          <cell r="G7780" t="str">
            <v xml:space="preserve">CR   </v>
          </cell>
          <cell r="L7780">
            <v>38811</v>
          </cell>
          <cell r="M7780">
            <v>3.085</v>
          </cell>
          <cell r="P7780">
            <v>1.2746</v>
          </cell>
        </row>
        <row r="7781">
          <cell r="A7781" t="str">
            <v>PEE-050-L-501349-314</v>
          </cell>
          <cell r="G7781" t="str">
            <v xml:space="preserve">CR   </v>
          </cell>
          <cell r="L7781">
            <v>38811</v>
          </cell>
          <cell r="M7781">
            <v>3.085</v>
          </cell>
          <cell r="P7781">
            <v>4.5419</v>
          </cell>
        </row>
        <row r="7782">
          <cell r="A7782" t="str">
            <v>PEE-050-LM-102910-EX</v>
          </cell>
          <cell r="G7782" t="str">
            <v>IDESP</v>
          </cell>
          <cell r="L7782">
            <v>39413</v>
          </cell>
          <cell r="M7782">
            <v>3.1429999999999998</v>
          </cell>
          <cell r="P7782">
            <v>0.95</v>
          </cell>
        </row>
        <row r="7783">
          <cell r="A7783" t="str">
            <v>PEE-050-LM-102949-91</v>
          </cell>
          <cell r="G7783" t="str">
            <v xml:space="preserve">CR   </v>
          </cell>
          <cell r="L7783">
            <v>38811</v>
          </cell>
          <cell r="M7783">
            <v>3.085</v>
          </cell>
          <cell r="P7783">
            <v>1.9200999999999999</v>
          </cell>
        </row>
        <row r="7784">
          <cell r="A7784" t="str">
            <v>PEE-050-LM-104949-91</v>
          </cell>
          <cell r="G7784" t="str">
            <v xml:space="preserve">CR   </v>
          </cell>
          <cell r="L7784">
            <v>37981</v>
          </cell>
          <cell r="M7784">
            <v>2.96</v>
          </cell>
          <cell r="P7784">
            <v>2.42</v>
          </cell>
        </row>
        <row r="7785">
          <cell r="A7785" t="str">
            <v>PEE-050-LM-11749-710</v>
          </cell>
          <cell r="G7785" t="str">
            <v xml:space="preserve">CR   </v>
          </cell>
          <cell r="L7785">
            <v>38811</v>
          </cell>
          <cell r="M7785">
            <v>3.085</v>
          </cell>
          <cell r="P7785">
            <v>1.0545</v>
          </cell>
        </row>
        <row r="7786">
          <cell r="A7786" t="str">
            <v>PEE-050-LM-11949-910</v>
          </cell>
          <cell r="G7786" t="str">
            <v>INDEV</v>
          </cell>
          <cell r="L7786">
            <v>38817</v>
          </cell>
          <cell r="M7786">
            <v>3.081</v>
          </cell>
          <cell r="P7786">
            <v>0.93184031158714709</v>
          </cell>
        </row>
        <row r="7787">
          <cell r="A7787" t="str">
            <v>PEE-050-LM-12749-710</v>
          </cell>
          <cell r="G7787" t="str">
            <v xml:space="preserve">CR   </v>
          </cell>
          <cell r="L7787">
            <v>38811</v>
          </cell>
          <cell r="M7787">
            <v>3.085</v>
          </cell>
          <cell r="P7787">
            <v>1.3729</v>
          </cell>
        </row>
        <row r="7788">
          <cell r="A7788" t="str">
            <v>PEE-050-LM-218248-21</v>
          </cell>
          <cell r="G7788" t="str">
            <v xml:space="preserve">CR   </v>
          </cell>
          <cell r="L7788">
            <v>38811</v>
          </cell>
          <cell r="M7788">
            <v>3.085</v>
          </cell>
          <cell r="P7788">
            <v>8.0838999999999999</v>
          </cell>
        </row>
        <row r="7789">
          <cell r="A7789" t="str">
            <v>PEE-050-LM-29749-710</v>
          </cell>
          <cell r="G7789" t="str">
            <v xml:space="preserve">CR   </v>
          </cell>
          <cell r="L7789">
            <v>38811</v>
          </cell>
          <cell r="M7789">
            <v>3.085</v>
          </cell>
          <cell r="P7789">
            <v>1.7410000000000001</v>
          </cell>
        </row>
        <row r="7790">
          <cell r="A7790" t="str">
            <v>PEE-050-LM-44643-610</v>
          </cell>
          <cell r="G7790" t="str">
            <v xml:space="preserve">CR   </v>
          </cell>
          <cell r="L7790">
            <v>38624</v>
          </cell>
          <cell r="M7790">
            <v>2.915</v>
          </cell>
          <cell r="P7790">
            <v>1.1377999999999999</v>
          </cell>
        </row>
        <row r="7791">
          <cell r="A7791" t="str">
            <v>PEE-050-LM-44649-610</v>
          </cell>
          <cell r="G7791" t="str">
            <v xml:space="preserve">CR   </v>
          </cell>
          <cell r="L7791">
            <v>38811</v>
          </cell>
          <cell r="M7791">
            <v>3.085</v>
          </cell>
          <cell r="P7791">
            <v>0.9849</v>
          </cell>
        </row>
        <row r="7792">
          <cell r="A7792" t="str">
            <v>PEE-050-LM-48548-510</v>
          </cell>
          <cell r="G7792" t="str">
            <v xml:space="preserve">CR   </v>
          </cell>
          <cell r="L7792">
            <v>38624</v>
          </cell>
          <cell r="M7792">
            <v>2.915</v>
          </cell>
          <cell r="P7792">
            <v>1.3734999999999999</v>
          </cell>
        </row>
        <row r="7793">
          <cell r="A7793" t="str">
            <v>PEE-050-LM-501310-EX</v>
          </cell>
          <cell r="G7793" t="str">
            <v>IDESP</v>
          </cell>
          <cell r="L7793">
            <v>39413</v>
          </cell>
          <cell r="M7793">
            <v>3.1429999999999998</v>
          </cell>
          <cell r="P7793">
            <v>0.84</v>
          </cell>
        </row>
        <row r="7794">
          <cell r="A7794" t="str">
            <v>PEE-050-LM-501349-31</v>
          </cell>
          <cell r="G7794" t="str">
            <v xml:space="preserve">CR   </v>
          </cell>
          <cell r="L7794">
            <v>37981</v>
          </cell>
          <cell r="M7794">
            <v>2.96</v>
          </cell>
          <cell r="P7794">
            <v>1.65</v>
          </cell>
        </row>
        <row r="7795">
          <cell r="A7795" t="str">
            <v>PEE-050-LM-67048-010</v>
          </cell>
          <cell r="G7795" t="str">
            <v xml:space="preserve">CR   </v>
          </cell>
          <cell r="L7795">
            <v>37981</v>
          </cell>
          <cell r="M7795">
            <v>2.96</v>
          </cell>
          <cell r="P7795">
            <v>1.3</v>
          </cell>
        </row>
        <row r="7796">
          <cell r="A7796" t="str">
            <v>PEE-050-LM-68149-110</v>
          </cell>
          <cell r="G7796" t="str">
            <v>IPFAB</v>
          </cell>
          <cell r="L7796">
            <v>39924</v>
          </cell>
          <cell r="M7796">
            <v>3.6890000000000001</v>
          </cell>
          <cell r="P7796">
            <v>1.65</v>
          </cell>
        </row>
        <row r="7797">
          <cell r="A7797" t="str">
            <v>PEE-050-LM-68149-111</v>
          </cell>
          <cell r="G7797" t="str">
            <v>INDEV</v>
          </cell>
          <cell r="L7797">
            <v>40450</v>
          </cell>
          <cell r="M7797">
            <v>3.99</v>
          </cell>
          <cell r="P7797">
            <v>1.2746115288220552</v>
          </cell>
        </row>
        <row r="7798">
          <cell r="A7798" t="str">
            <v>PEE-050-O-2872-2820</v>
          </cell>
          <cell r="G7798" t="str">
            <v xml:space="preserve">CR   </v>
          </cell>
          <cell r="L7798">
            <v>38811</v>
          </cell>
          <cell r="M7798">
            <v>3.085</v>
          </cell>
          <cell r="P7798">
            <v>3.1636000000000002</v>
          </cell>
        </row>
        <row r="7799">
          <cell r="A7799" t="str">
            <v>PEE-050-O-9067-9195</v>
          </cell>
          <cell r="G7799" t="str">
            <v xml:space="preserve">CR   </v>
          </cell>
          <cell r="L7799">
            <v>38811</v>
          </cell>
          <cell r="M7799">
            <v>3.085</v>
          </cell>
          <cell r="P7799">
            <v>1.9698</v>
          </cell>
        </row>
        <row r="7800">
          <cell r="A7800" t="str">
            <v>PEE-050-T-749-742</v>
          </cell>
          <cell r="G7800" t="str">
            <v xml:space="preserve">CR   </v>
          </cell>
          <cell r="L7800">
            <v>37981</v>
          </cell>
          <cell r="M7800">
            <v>2.96</v>
          </cell>
          <cell r="P7800">
            <v>9.5299999999999994</v>
          </cell>
        </row>
        <row r="7801">
          <cell r="A7801" t="str">
            <v>PEE-051-H-205</v>
          </cell>
          <cell r="G7801" t="str">
            <v>IPFAB</v>
          </cell>
          <cell r="L7801">
            <v>38888</v>
          </cell>
          <cell r="M7801">
            <v>3.0790000000000002</v>
          </cell>
          <cell r="P7801">
            <v>0.49</v>
          </cell>
        </row>
        <row r="7802">
          <cell r="A7802" t="str">
            <v>PEE-051-H-206</v>
          </cell>
          <cell r="G7802" t="str">
            <v>IPFAB</v>
          </cell>
          <cell r="L7802">
            <v>38846</v>
          </cell>
          <cell r="M7802">
            <v>3.04</v>
          </cell>
          <cell r="P7802">
            <v>0.70630000000000004</v>
          </cell>
        </row>
        <row r="7803">
          <cell r="A7803" t="str">
            <v>PEE-051-H-207</v>
          </cell>
          <cell r="G7803" t="str">
            <v>IPFAP</v>
          </cell>
          <cell r="L7803">
            <v>42103</v>
          </cell>
          <cell r="M7803">
            <v>8.8699999999999992</v>
          </cell>
          <cell r="P7803">
            <v>0.33341600901916574</v>
          </cell>
        </row>
        <row r="7804">
          <cell r="A7804" t="str">
            <v>PEE-051-H-208</v>
          </cell>
          <cell r="G7804" t="str">
            <v>IPFAB</v>
          </cell>
          <cell r="L7804">
            <v>38888</v>
          </cell>
          <cell r="M7804">
            <v>3.0790000000000002</v>
          </cell>
          <cell r="P7804">
            <v>0.71</v>
          </cell>
        </row>
        <row r="7805">
          <cell r="A7805" t="str">
            <v>PEE-051-H-209</v>
          </cell>
          <cell r="G7805" t="str">
            <v>IPFAP</v>
          </cell>
          <cell r="L7805">
            <v>41214</v>
          </cell>
          <cell r="M7805">
            <v>4.7699999999999996</v>
          </cell>
          <cell r="P7805">
            <v>0.8</v>
          </cell>
        </row>
        <row r="7806">
          <cell r="A7806" t="str">
            <v>PEE-051-H-210</v>
          </cell>
          <cell r="G7806" t="str">
            <v>INDEV</v>
          </cell>
          <cell r="L7806">
            <v>40191</v>
          </cell>
          <cell r="M7806">
            <v>3.82</v>
          </cell>
          <cell r="P7806">
            <v>0.96</v>
          </cell>
        </row>
        <row r="7807">
          <cell r="A7807" t="str">
            <v>PEE-051-H-211</v>
          </cell>
          <cell r="G7807" t="str">
            <v>INDEV</v>
          </cell>
          <cell r="L7807">
            <v>39902</v>
          </cell>
          <cell r="M7807">
            <v>3.7160000000000002</v>
          </cell>
          <cell r="P7807">
            <v>1.1938105489773951</v>
          </cell>
        </row>
        <row r="7808">
          <cell r="A7808" t="str">
            <v>PEE-051-H-212</v>
          </cell>
          <cell r="G7808" t="str">
            <v>INDEV</v>
          </cell>
          <cell r="L7808">
            <v>39902</v>
          </cell>
          <cell r="M7808">
            <v>3.7160000000000002</v>
          </cell>
          <cell r="P7808">
            <v>0.95285252960172218</v>
          </cell>
        </row>
        <row r="7809">
          <cell r="A7809" t="str">
            <v>PEE-051-H-213</v>
          </cell>
          <cell r="G7809" t="str">
            <v>INDEV</v>
          </cell>
          <cell r="L7809">
            <v>41577</v>
          </cell>
          <cell r="M7809">
            <v>5.89</v>
          </cell>
          <cell r="P7809">
            <v>0.74753820033955853</v>
          </cell>
        </row>
        <row r="7810">
          <cell r="A7810" t="str">
            <v>PEE-051-H-214</v>
          </cell>
          <cell r="G7810" t="str">
            <v>IPFAB</v>
          </cell>
          <cell r="L7810">
            <v>38888</v>
          </cell>
          <cell r="M7810">
            <v>3.0790000000000002</v>
          </cell>
          <cell r="P7810">
            <v>1.76</v>
          </cell>
        </row>
        <row r="7811">
          <cell r="A7811" t="str">
            <v>PEE-051-H-215</v>
          </cell>
          <cell r="G7811" t="str">
            <v>IPFAB</v>
          </cell>
          <cell r="L7811">
            <v>38846</v>
          </cell>
          <cell r="M7811">
            <v>3.04</v>
          </cell>
          <cell r="P7811">
            <v>2.7010000000000001</v>
          </cell>
        </row>
        <row r="7812">
          <cell r="A7812" t="str">
            <v>PEE-051-H-216</v>
          </cell>
          <cell r="G7812" t="str">
            <v>INDEV</v>
          </cell>
          <cell r="L7812">
            <v>38978</v>
          </cell>
          <cell r="M7812">
            <v>3.0979999999999999</v>
          </cell>
          <cell r="P7812">
            <v>2.4349903163331179</v>
          </cell>
        </row>
        <row r="7813">
          <cell r="A7813" t="str">
            <v>PEE-051-H-217</v>
          </cell>
          <cell r="G7813" t="str">
            <v>IPFAB</v>
          </cell>
          <cell r="L7813">
            <v>38888</v>
          </cell>
          <cell r="M7813">
            <v>3.0790000000000002</v>
          </cell>
          <cell r="P7813">
            <v>3.04</v>
          </cell>
        </row>
        <row r="7814">
          <cell r="A7814" t="str">
            <v>PEE-051-H-218</v>
          </cell>
          <cell r="G7814" t="str">
            <v>IPFAB</v>
          </cell>
          <cell r="L7814">
            <v>38888</v>
          </cell>
          <cell r="M7814">
            <v>3.0790000000000002</v>
          </cell>
          <cell r="P7814">
            <v>3.67</v>
          </cell>
        </row>
        <row r="7815">
          <cell r="A7815" t="str">
            <v>PEE-052-BM-1212-FB</v>
          </cell>
          <cell r="G7815" t="str">
            <v xml:space="preserve">CR   </v>
          </cell>
          <cell r="L7815">
            <v>38624</v>
          </cell>
          <cell r="M7815">
            <v>2.915</v>
          </cell>
          <cell r="P7815">
            <v>0.55349999999999999</v>
          </cell>
        </row>
        <row r="7816">
          <cell r="A7816" t="str">
            <v>PEE-052-BM-1615-FB24</v>
          </cell>
          <cell r="G7816" t="str">
            <v xml:space="preserve">CR   </v>
          </cell>
          <cell r="L7816">
            <v>38624</v>
          </cell>
          <cell r="M7816">
            <v>2.915</v>
          </cell>
          <cell r="P7816">
            <v>1.4350000000000001</v>
          </cell>
        </row>
        <row r="7817">
          <cell r="A7817" t="str">
            <v>PEE-052-BM-2515-FB</v>
          </cell>
          <cell r="G7817" t="str">
            <v xml:space="preserve">CR   </v>
          </cell>
          <cell r="L7817">
            <v>38624</v>
          </cell>
          <cell r="M7817">
            <v>2.915</v>
          </cell>
          <cell r="P7817">
            <v>0.76870000000000005</v>
          </cell>
        </row>
        <row r="7818">
          <cell r="A7818" t="str">
            <v>PEE-052-BM-2530-FB</v>
          </cell>
          <cell r="G7818" t="str">
            <v xml:space="preserve">CR   </v>
          </cell>
          <cell r="L7818">
            <v>38624</v>
          </cell>
          <cell r="M7818">
            <v>2.915</v>
          </cell>
          <cell r="P7818">
            <v>1.1685000000000001</v>
          </cell>
        </row>
        <row r="7819">
          <cell r="A7819" t="str">
            <v>PEE-052-BM-2830-FB</v>
          </cell>
          <cell r="G7819" t="str">
            <v xml:space="preserve">CR   </v>
          </cell>
          <cell r="L7819">
            <v>38624</v>
          </cell>
          <cell r="M7819">
            <v>2.915</v>
          </cell>
          <cell r="P7819">
            <v>1.3120000000000001</v>
          </cell>
        </row>
        <row r="7820">
          <cell r="A7820" t="str">
            <v>PEE-052-BM-3835-FB</v>
          </cell>
          <cell r="G7820" t="str">
            <v xml:space="preserve">CR   </v>
          </cell>
          <cell r="L7820">
            <v>38624</v>
          </cell>
          <cell r="M7820">
            <v>2.915</v>
          </cell>
          <cell r="P7820">
            <v>2.0499999999999998</v>
          </cell>
        </row>
        <row r="7821">
          <cell r="A7821" t="str">
            <v>PEE-052-IR-35-40-30</v>
          </cell>
          <cell r="G7821" t="str">
            <v xml:space="preserve">INAC </v>
          </cell>
          <cell r="L7821">
            <v>38765</v>
          </cell>
          <cell r="M7821">
            <v>3.0670000000000002</v>
          </cell>
          <cell r="P7821">
            <v>6.3873492011737847</v>
          </cell>
        </row>
        <row r="7822">
          <cell r="A7822" t="str">
            <v>PEE-052-WM-25-FBA</v>
          </cell>
          <cell r="G7822" t="str">
            <v xml:space="preserve">CR   </v>
          </cell>
          <cell r="L7822">
            <v>38624</v>
          </cell>
          <cell r="M7822">
            <v>2.915</v>
          </cell>
          <cell r="P7822">
            <v>0.96350000000000002</v>
          </cell>
        </row>
        <row r="7823">
          <cell r="A7823" t="str">
            <v>PEE-052-WM-35-FBA</v>
          </cell>
          <cell r="G7823" t="str">
            <v xml:space="preserve">CR   </v>
          </cell>
          <cell r="L7823">
            <v>38624</v>
          </cell>
          <cell r="M7823">
            <v>2.915</v>
          </cell>
          <cell r="P7823">
            <v>1.353</v>
          </cell>
        </row>
        <row r="7824">
          <cell r="A7824" t="str">
            <v>PEE-052-WM-50-FBA</v>
          </cell>
          <cell r="G7824" t="str">
            <v xml:space="preserve">CR   </v>
          </cell>
          <cell r="L7824">
            <v>38624</v>
          </cell>
          <cell r="M7824">
            <v>2.915</v>
          </cell>
          <cell r="P7824">
            <v>3.2286999999999999</v>
          </cell>
        </row>
        <row r="7825">
          <cell r="A7825" t="str">
            <v>PEE-053-104949-M</v>
          </cell>
          <cell r="G7825" t="str">
            <v xml:space="preserve">INSI </v>
          </cell>
          <cell r="L7825">
            <v>39513</v>
          </cell>
          <cell r="M7825">
            <v>3.1520000000000001</v>
          </cell>
          <cell r="P7825">
            <v>1.1559999999999999</v>
          </cell>
        </row>
        <row r="7826">
          <cell r="A7826" t="str">
            <v>PEE-053-13600LA</v>
          </cell>
          <cell r="G7826" t="str">
            <v>IDESP</v>
          </cell>
          <cell r="L7826">
            <v>39464</v>
          </cell>
          <cell r="M7826">
            <v>3.1459999999999999</v>
          </cell>
          <cell r="P7826">
            <v>2.95</v>
          </cell>
        </row>
        <row r="7827">
          <cell r="A7827" t="str">
            <v>PEE-053-575</v>
          </cell>
          <cell r="G7827" t="str">
            <v>INDEV</v>
          </cell>
          <cell r="L7827">
            <v>41057</v>
          </cell>
          <cell r="M7827">
            <v>4.49</v>
          </cell>
          <cell r="P7827">
            <v>4.59</v>
          </cell>
        </row>
        <row r="7828">
          <cell r="A7828" t="str">
            <v>PEE-053-740</v>
          </cell>
          <cell r="G7828" t="str">
            <v>IPFAB</v>
          </cell>
          <cell r="L7828">
            <v>39027</v>
          </cell>
          <cell r="M7828">
            <v>3.0830000000000002</v>
          </cell>
          <cell r="P7828">
            <v>7.5</v>
          </cell>
        </row>
        <row r="7829">
          <cell r="A7829" t="str">
            <v>PEE-053-759</v>
          </cell>
          <cell r="G7829" t="str">
            <v>IPFAB</v>
          </cell>
          <cell r="L7829">
            <v>39027</v>
          </cell>
          <cell r="M7829">
            <v>3.0830000000000002</v>
          </cell>
          <cell r="P7829">
            <v>7.82</v>
          </cell>
        </row>
        <row r="7830">
          <cell r="A7830" t="str">
            <v>PEE-053-HM-218248</v>
          </cell>
          <cell r="G7830" t="str">
            <v>IDESP</v>
          </cell>
          <cell r="L7830">
            <v>39204</v>
          </cell>
          <cell r="M7830">
            <v>3.09</v>
          </cell>
          <cell r="P7830">
            <v>5</v>
          </cell>
        </row>
        <row r="7831">
          <cell r="A7831" t="str">
            <v>PEE-053-JRME-3062</v>
          </cell>
          <cell r="G7831" t="str">
            <v xml:space="preserve">CR   </v>
          </cell>
          <cell r="L7831">
            <v>38811</v>
          </cell>
          <cell r="M7831">
            <v>3.085</v>
          </cell>
          <cell r="P7831">
            <v>1.2382</v>
          </cell>
        </row>
        <row r="7832">
          <cell r="A7832" t="str">
            <v>PEE-053-JRME-3062CON</v>
          </cell>
          <cell r="G7832" t="str">
            <v xml:space="preserve">INSI </v>
          </cell>
          <cell r="L7832">
            <v>43339</v>
          </cell>
          <cell r="M7832">
            <v>31.4</v>
          </cell>
          <cell r="P7832">
            <v>1.2382</v>
          </cell>
        </row>
        <row r="7833">
          <cell r="A7833" t="str">
            <v>PEE-053-L-44643</v>
          </cell>
          <cell r="G7833" t="str">
            <v>INDEV</v>
          </cell>
          <cell r="L7833">
            <v>40072</v>
          </cell>
          <cell r="M7833">
            <v>3.85</v>
          </cell>
          <cell r="P7833">
            <v>0.89999999999999991</v>
          </cell>
        </row>
        <row r="7834">
          <cell r="A7834" t="str">
            <v>PEE-053-L68149</v>
          </cell>
          <cell r="G7834" t="str">
            <v>IDESP</v>
          </cell>
          <cell r="L7834">
            <v>38076</v>
          </cell>
          <cell r="M7834">
            <v>2.871</v>
          </cell>
          <cell r="P7834">
            <v>0.71</v>
          </cell>
        </row>
        <row r="7835">
          <cell r="A7835" t="str">
            <v>PEE-053-LM-11749</v>
          </cell>
          <cell r="G7835" t="str">
            <v>IDESP</v>
          </cell>
          <cell r="L7835">
            <v>38863</v>
          </cell>
          <cell r="M7835">
            <v>3.0819999999999999</v>
          </cell>
          <cell r="P7835">
            <v>0.77</v>
          </cell>
        </row>
        <row r="7836">
          <cell r="A7836" t="str">
            <v>PEE-053-LM-12749</v>
          </cell>
          <cell r="G7836" t="str">
            <v>IDESP</v>
          </cell>
          <cell r="L7836">
            <v>39204</v>
          </cell>
          <cell r="M7836">
            <v>3.09</v>
          </cell>
          <cell r="P7836">
            <v>0.75</v>
          </cell>
        </row>
        <row r="7837">
          <cell r="A7837" t="str">
            <v>PEE-053-LM-48548</v>
          </cell>
          <cell r="G7837" t="str">
            <v>IDESP</v>
          </cell>
          <cell r="L7837">
            <v>39204</v>
          </cell>
          <cell r="M7837">
            <v>3.09</v>
          </cell>
          <cell r="P7837">
            <v>0.8</v>
          </cell>
        </row>
        <row r="7838">
          <cell r="A7838" t="str">
            <v>PEE-053-LM-501349</v>
          </cell>
          <cell r="G7838" t="str">
            <v>IDESP</v>
          </cell>
          <cell r="L7838">
            <v>39204</v>
          </cell>
          <cell r="M7838">
            <v>3.09</v>
          </cell>
          <cell r="P7838">
            <v>1.17</v>
          </cell>
        </row>
        <row r="7839">
          <cell r="A7839" t="str">
            <v>PEE-053-LM-67048</v>
          </cell>
          <cell r="G7839" t="str">
            <v>IDESP</v>
          </cell>
          <cell r="L7839">
            <v>38657</v>
          </cell>
          <cell r="M7839">
            <v>3.0019999999999998</v>
          </cell>
          <cell r="P7839">
            <v>0.9</v>
          </cell>
        </row>
        <row r="7840">
          <cell r="A7840" t="str">
            <v>PEE-053-LM104949</v>
          </cell>
          <cell r="G7840" t="str">
            <v xml:space="preserve">CR   </v>
          </cell>
          <cell r="L7840">
            <v>38811</v>
          </cell>
          <cell r="M7840">
            <v>3.085</v>
          </cell>
          <cell r="P7840">
            <v>1.7433000000000001</v>
          </cell>
        </row>
        <row r="7841">
          <cell r="A7841" t="str">
            <v>PEE-053-LM67000LA</v>
          </cell>
          <cell r="G7841" t="str">
            <v>IDESP</v>
          </cell>
          <cell r="L7841">
            <v>39464</v>
          </cell>
          <cell r="M7841">
            <v>3.1459999999999999</v>
          </cell>
          <cell r="P7841">
            <v>0.73</v>
          </cell>
        </row>
        <row r="7842">
          <cell r="A7842" t="str">
            <v>PEE-053-X-104949</v>
          </cell>
          <cell r="G7842" t="str">
            <v>INDEV</v>
          </cell>
          <cell r="L7842">
            <v>38888</v>
          </cell>
          <cell r="M7842">
            <v>3.0790000000000002</v>
          </cell>
          <cell r="P7842">
            <v>1.1986683988307891</v>
          </cell>
        </row>
        <row r="7843">
          <cell r="A7843" t="str">
            <v>PEE-053-X-30203-MX</v>
          </cell>
          <cell r="G7843" t="str">
            <v xml:space="preserve">CR   </v>
          </cell>
          <cell r="L7843">
            <v>40428.376423611109</v>
          </cell>
          <cell r="M7843">
            <v>3.97</v>
          </cell>
          <cell r="P7843">
            <v>0.73099999999999998</v>
          </cell>
        </row>
        <row r="7844">
          <cell r="A7844" t="str">
            <v>PEE-053-X-30204-MX</v>
          </cell>
          <cell r="G7844" t="str">
            <v xml:space="preserve">CR   </v>
          </cell>
          <cell r="L7844">
            <v>40428.376423611109</v>
          </cell>
          <cell r="M7844">
            <v>3.97</v>
          </cell>
          <cell r="P7844">
            <v>0.72599999999999998</v>
          </cell>
        </row>
        <row r="7845">
          <cell r="A7845" t="str">
            <v>PEE-053-X-30205-MX</v>
          </cell>
          <cell r="G7845" t="str">
            <v xml:space="preserve">CR   </v>
          </cell>
          <cell r="L7845">
            <v>40428.376423611109</v>
          </cell>
          <cell r="M7845">
            <v>3.97</v>
          </cell>
          <cell r="P7845">
            <v>0.65400000000000003</v>
          </cell>
        </row>
        <row r="7846">
          <cell r="A7846" t="str">
            <v>PEE-053-X-30206-E</v>
          </cell>
          <cell r="G7846" t="str">
            <v>INIMP</v>
          </cell>
          <cell r="L7846">
            <v>38190</v>
          </cell>
          <cell r="M7846">
            <v>2.9529999999999998</v>
          </cell>
          <cell r="P7846">
            <v>1.23</v>
          </cell>
        </row>
        <row r="7847">
          <cell r="A7847" t="str">
            <v>PEE-053-X-30206-MX</v>
          </cell>
          <cell r="G7847" t="str">
            <v>IDESP</v>
          </cell>
          <cell r="L7847">
            <v>40241</v>
          </cell>
          <cell r="M7847">
            <v>3.88</v>
          </cell>
          <cell r="P7847">
            <v>1.25</v>
          </cell>
        </row>
        <row r="7848">
          <cell r="A7848" t="str">
            <v>PEE-053-X-30207-MX</v>
          </cell>
          <cell r="G7848" t="str">
            <v>IDESP</v>
          </cell>
          <cell r="L7848">
            <v>40429</v>
          </cell>
          <cell r="M7848">
            <v>3.97</v>
          </cell>
          <cell r="P7848">
            <v>1.62</v>
          </cell>
        </row>
        <row r="7849">
          <cell r="A7849" t="str">
            <v>PEE-053-X-30208-MX</v>
          </cell>
          <cell r="G7849" t="str">
            <v>IDESP</v>
          </cell>
          <cell r="L7849">
            <v>40429</v>
          </cell>
          <cell r="M7849">
            <v>3.97</v>
          </cell>
          <cell r="P7849">
            <v>1.91</v>
          </cell>
        </row>
        <row r="7850">
          <cell r="A7850" t="str">
            <v>PEE-053-X-30209-MX</v>
          </cell>
          <cell r="G7850" t="str">
            <v xml:space="preserve">CR   </v>
          </cell>
          <cell r="L7850">
            <v>40428.376423611109</v>
          </cell>
          <cell r="M7850">
            <v>3.97</v>
          </cell>
          <cell r="P7850">
            <v>2.2770000000000001</v>
          </cell>
        </row>
        <row r="7851">
          <cell r="A7851" t="str">
            <v>PEE-053-X-30210-MX</v>
          </cell>
          <cell r="G7851" t="str">
            <v>IDESP</v>
          </cell>
          <cell r="L7851">
            <v>40429</v>
          </cell>
          <cell r="M7851">
            <v>3.97</v>
          </cell>
          <cell r="P7851">
            <v>2.29</v>
          </cell>
        </row>
        <row r="7852">
          <cell r="A7852" t="str">
            <v>PEE-053-X-30211-MX</v>
          </cell>
          <cell r="G7852" t="str">
            <v xml:space="preserve">CR   </v>
          </cell>
          <cell r="L7852">
            <v>40428.376423611109</v>
          </cell>
          <cell r="M7852">
            <v>3.97</v>
          </cell>
          <cell r="P7852">
            <v>1.355</v>
          </cell>
        </row>
        <row r="7853">
          <cell r="A7853" t="str">
            <v>PEE-053-X-30212-MX</v>
          </cell>
          <cell r="G7853" t="str">
            <v xml:space="preserve">INSI </v>
          </cell>
          <cell r="L7853">
            <v>40511</v>
          </cell>
          <cell r="M7853">
            <v>4</v>
          </cell>
          <cell r="P7853">
            <v>1.4115</v>
          </cell>
        </row>
        <row r="7854">
          <cell r="A7854" t="str">
            <v>PEE-053-X-30213-MX</v>
          </cell>
          <cell r="G7854" t="str">
            <v>INDEV</v>
          </cell>
          <cell r="L7854">
            <v>40647</v>
          </cell>
          <cell r="M7854">
            <v>4.08</v>
          </cell>
          <cell r="P7854">
            <v>7.5490196078431371</v>
          </cell>
        </row>
        <row r="7855">
          <cell r="A7855" t="str">
            <v>PEE-053-X-30216-RM</v>
          </cell>
          <cell r="G7855" t="str">
            <v xml:space="preserve">CR   </v>
          </cell>
          <cell r="L7855">
            <v>40428.376423611109</v>
          </cell>
          <cell r="M7855">
            <v>3.97</v>
          </cell>
          <cell r="P7855">
            <v>4.5209999999999999</v>
          </cell>
        </row>
        <row r="7856">
          <cell r="A7856" t="str">
            <v>PEE-053-X-30308-MX</v>
          </cell>
          <cell r="G7856" t="str">
            <v xml:space="preserve">CR   </v>
          </cell>
          <cell r="L7856">
            <v>38811</v>
          </cell>
          <cell r="M7856">
            <v>3.085</v>
          </cell>
          <cell r="P7856">
            <v>2.2143999999999999</v>
          </cell>
        </row>
        <row r="7857">
          <cell r="A7857" t="str">
            <v>PEE-053-X-30310-RM</v>
          </cell>
          <cell r="G7857" t="str">
            <v xml:space="preserve">CR   </v>
          </cell>
          <cell r="L7857">
            <v>38811</v>
          </cell>
          <cell r="M7857">
            <v>3.085</v>
          </cell>
          <cell r="P7857">
            <v>2.3628</v>
          </cell>
        </row>
        <row r="7858">
          <cell r="A7858" t="str">
            <v>PEE-053-X-320-32X</v>
          </cell>
          <cell r="G7858" t="str">
            <v>IDESP</v>
          </cell>
          <cell r="L7858">
            <v>38686</v>
          </cell>
          <cell r="M7858">
            <v>2.976</v>
          </cell>
          <cell r="P7858">
            <v>1.34</v>
          </cell>
        </row>
        <row r="7859">
          <cell r="A7859" t="str">
            <v>PEE-053-X-32005-MX</v>
          </cell>
          <cell r="G7859" t="str">
            <v>IDESP</v>
          </cell>
          <cell r="L7859">
            <v>38852</v>
          </cell>
          <cell r="M7859">
            <v>3.036</v>
          </cell>
          <cell r="P7859">
            <v>1</v>
          </cell>
        </row>
        <row r="7860">
          <cell r="A7860" t="str">
            <v>PEE-053-X-32006-RM</v>
          </cell>
          <cell r="G7860" t="str">
            <v xml:space="preserve">CR   </v>
          </cell>
          <cell r="L7860">
            <v>38811</v>
          </cell>
          <cell r="M7860">
            <v>3.085</v>
          </cell>
          <cell r="P7860">
            <v>0.88570000000000004</v>
          </cell>
        </row>
        <row r="7861">
          <cell r="A7861" t="str">
            <v>PEE-053-X-32010</v>
          </cell>
          <cell r="G7861" t="str">
            <v xml:space="preserve">CR   </v>
          </cell>
          <cell r="L7861">
            <v>40428.376423611109</v>
          </cell>
          <cell r="M7861">
            <v>3.97</v>
          </cell>
          <cell r="P7861">
            <v>1.6970000000000001</v>
          </cell>
        </row>
        <row r="7862">
          <cell r="A7862" t="str">
            <v>PEE-053-X-32011-M</v>
          </cell>
          <cell r="G7862" t="str">
            <v xml:space="preserve">CR   </v>
          </cell>
          <cell r="L7862">
            <v>40428.376423611109</v>
          </cell>
          <cell r="M7862">
            <v>3.97</v>
          </cell>
          <cell r="P7862">
            <v>2.468</v>
          </cell>
        </row>
        <row r="7863">
          <cell r="A7863" t="str">
            <v>PEE-053-X-32205-MX</v>
          </cell>
          <cell r="G7863" t="str">
            <v>IPFAB</v>
          </cell>
          <cell r="L7863">
            <v>38642</v>
          </cell>
          <cell r="M7863">
            <v>2.9710000000000001</v>
          </cell>
          <cell r="P7863">
            <v>0.74399999999999999</v>
          </cell>
        </row>
        <row r="7864">
          <cell r="A7864" t="str">
            <v>PEE-053-X-32205-RM</v>
          </cell>
          <cell r="G7864" t="str">
            <v xml:space="preserve">CR   </v>
          </cell>
          <cell r="L7864">
            <v>40428.376423611109</v>
          </cell>
          <cell r="M7864">
            <v>3.97</v>
          </cell>
          <cell r="P7864">
            <v>0.78600000000000003</v>
          </cell>
        </row>
        <row r="7865">
          <cell r="A7865" t="str">
            <v>PEE-053-X-32206-RM</v>
          </cell>
          <cell r="G7865" t="str">
            <v>IPFAB</v>
          </cell>
          <cell r="L7865">
            <v>41211</v>
          </cell>
          <cell r="M7865">
            <v>4.76</v>
          </cell>
          <cell r="P7865">
            <v>3.5440999999999998</v>
          </cell>
        </row>
        <row r="7866">
          <cell r="A7866" t="str">
            <v>PEE-053-X-32207-MX</v>
          </cell>
          <cell r="G7866" t="str">
            <v>INDEV</v>
          </cell>
          <cell r="L7866">
            <v>39902</v>
          </cell>
          <cell r="M7866">
            <v>3.7160000000000002</v>
          </cell>
          <cell r="P7866">
            <v>1.1899892357373518</v>
          </cell>
        </row>
        <row r="7867">
          <cell r="A7867" t="str">
            <v>PEE-053-X-32207-RX</v>
          </cell>
          <cell r="G7867" t="str">
            <v xml:space="preserve">CR   </v>
          </cell>
          <cell r="L7867">
            <v>38811</v>
          </cell>
          <cell r="M7867">
            <v>3.085</v>
          </cell>
          <cell r="P7867">
            <v>1.1156999999999999</v>
          </cell>
        </row>
        <row r="7868">
          <cell r="A7868" t="str">
            <v>PEE-053-X-32208-MX</v>
          </cell>
          <cell r="G7868" t="str">
            <v xml:space="preserve">CR   </v>
          </cell>
          <cell r="L7868">
            <v>38811</v>
          </cell>
          <cell r="M7868">
            <v>3.085</v>
          </cell>
          <cell r="P7868">
            <v>1.444</v>
          </cell>
        </row>
        <row r="7869">
          <cell r="A7869" t="str">
            <v>PEE-053-X-32209-MX</v>
          </cell>
          <cell r="G7869" t="str">
            <v>INDEV</v>
          </cell>
          <cell r="L7869">
            <v>40856</v>
          </cell>
          <cell r="M7869">
            <v>4.28</v>
          </cell>
          <cell r="P7869">
            <v>5.3878504672897192</v>
          </cell>
        </row>
        <row r="7870">
          <cell r="A7870" t="str">
            <v>PEE-053-X-32210-MX</v>
          </cell>
          <cell r="G7870" t="str">
            <v xml:space="preserve">CR   </v>
          </cell>
          <cell r="L7870">
            <v>40428.376423611109</v>
          </cell>
          <cell r="M7870">
            <v>3.97</v>
          </cell>
          <cell r="P7870">
            <v>1.7170000000000001</v>
          </cell>
        </row>
        <row r="7871">
          <cell r="A7871" t="str">
            <v>PEE-053-X-32211-MX</v>
          </cell>
          <cell r="G7871" t="str">
            <v xml:space="preserve">CR   </v>
          </cell>
          <cell r="L7871">
            <v>40428.376423611109</v>
          </cell>
          <cell r="M7871">
            <v>3.97</v>
          </cell>
          <cell r="P7871">
            <v>4.2679999999999998</v>
          </cell>
        </row>
        <row r="7872">
          <cell r="A7872" t="str">
            <v>PEE-053-X-32212-MX</v>
          </cell>
          <cell r="G7872" t="str">
            <v>IPFAB</v>
          </cell>
          <cell r="L7872">
            <v>39548</v>
          </cell>
          <cell r="M7872">
            <v>3.1589999999999998</v>
          </cell>
          <cell r="P7872">
            <v>2.339823</v>
          </cell>
        </row>
        <row r="7873">
          <cell r="A7873" t="str">
            <v>PEE-053-X-32213-MX</v>
          </cell>
          <cell r="G7873" t="str">
            <v>IDESP</v>
          </cell>
          <cell r="L7873">
            <v>39366</v>
          </cell>
          <cell r="M7873">
            <v>3.1560000000000001</v>
          </cell>
          <cell r="P7873">
            <v>2.4900000000000002</v>
          </cell>
        </row>
        <row r="7874">
          <cell r="A7874" t="str">
            <v>PEE-053-X-32214-MX</v>
          </cell>
          <cell r="G7874" t="str">
            <v xml:space="preserve">CR   </v>
          </cell>
          <cell r="L7874">
            <v>40428.376423611109</v>
          </cell>
          <cell r="M7874">
            <v>3.97</v>
          </cell>
          <cell r="P7874">
            <v>3.0030000000000001</v>
          </cell>
        </row>
        <row r="7875">
          <cell r="A7875" t="str">
            <v>PEE-053-X-32215-RM</v>
          </cell>
          <cell r="G7875" t="str">
            <v xml:space="preserve">CR   </v>
          </cell>
          <cell r="L7875">
            <v>38811</v>
          </cell>
          <cell r="M7875">
            <v>3.085</v>
          </cell>
          <cell r="P7875">
            <v>3.1503999999999999</v>
          </cell>
        </row>
        <row r="7876">
          <cell r="A7876" t="str">
            <v>PEE-053-X-32216-MX</v>
          </cell>
          <cell r="G7876" t="str">
            <v>INDEV</v>
          </cell>
          <cell r="L7876">
            <v>40267</v>
          </cell>
          <cell r="M7876">
            <v>3.89</v>
          </cell>
          <cell r="P7876">
            <v>3.5958354755784061</v>
          </cell>
        </row>
        <row r="7877">
          <cell r="A7877" t="str">
            <v>PEE-053-X-32217-MX</v>
          </cell>
          <cell r="G7877" t="str">
            <v>INDEV</v>
          </cell>
          <cell r="L7877">
            <v>40736</v>
          </cell>
          <cell r="M7877">
            <v>4.1500000000000004</v>
          </cell>
          <cell r="P7877">
            <v>6.1419999999999995</v>
          </cell>
        </row>
        <row r="7878">
          <cell r="A7878" t="str">
            <v>PEE-053-X-32217-RM</v>
          </cell>
          <cell r="G7878" t="str">
            <v>IPFAB</v>
          </cell>
          <cell r="L7878">
            <v>39133</v>
          </cell>
          <cell r="M7878">
            <v>3.1030000000000002</v>
          </cell>
          <cell r="P7878">
            <v>5.3545999999999996</v>
          </cell>
        </row>
        <row r="7879">
          <cell r="A7879" t="str">
            <v>PEE-053-X-32218-MX</v>
          </cell>
          <cell r="G7879" t="str">
            <v xml:space="preserve">CR   </v>
          </cell>
          <cell r="L7879">
            <v>40428.376423611109</v>
          </cell>
          <cell r="M7879">
            <v>3.97</v>
          </cell>
          <cell r="P7879">
            <v>6.9189999999999996</v>
          </cell>
        </row>
        <row r="7880">
          <cell r="A7880" t="str">
            <v>PEE-053-X-32218-RM</v>
          </cell>
          <cell r="G7880" t="str">
            <v xml:space="preserve">CR   </v>
          </cell>
          <cell r="L7880">
            <v>38811</v>
          </cell>
          <cell r="M7880">
            <v>3.085</v>
          </cell>
          <cell r="P7880">
            <v>6.7999000000000001</v>
          </cell>
        </row>
        <row r="7881">
          <cell r="A7881" t="str">
            <v>PEE-053-X-32308-RM</v>
          </cell>
          <cell r="G7881" t="str">
            <v>IPFAB</v>
          </cell>
          <cell r="L7881">
            <v>38544</v>
          </cell>
          <cell r="M7881">
            <v>2.8690000000000002</v>
          </cell>
          <cell r="P7881">
            <v>2.1669999999999998</v>
          </cell>
        </row>
        <row r="7882">
          <cell r="A7882" t="str">
            <v>PEE-053-X-32309-M</v>
          </cell>
          <cell r="G7882" t="str">
            <v>INDEV</v>
          </cell>
          <cell r="L7882">
            <v>40736</v>
          </cell>
          <cell r="M7882">
            <v>4.1500000000000004</v>
          </cell>
          <cell r="P7882">
            <v>3.1299999999999994</v>
          </cell>
        </row>
        <row r="7883">
          <cell r="A7883" t="str">
            <v>PEE-053-X-33110-RM</v>
          </cell>
          <cell r="G7883" t="str">
            <v xml:space="preserve">CR   </v>
          </cell>
          <cell r="L7883">
            <v>40428.376423611109</v>
          </cell>
          <cell r="M7883">
            <v>3.97</v>
          </cell>
          <cell r="P7883">
            <v>3.371</v>
          </cell>
        </row>
        <row r="7884">
          <cell r="A7884" t="str">
            <v>PEE-053-X-68149</v>
          </cell>
          <cell r="G7884" t="str">
            <v xml:space="preserve">CR   </v>
          </cell>
          <cell r="L7884">
            <v>40428.376423611109</v>
          </cell>
          <cell r="M7884">
            <v>3.97</v>
          </cell>
          <cell r="P7884">
            <v>0.73399999999999999</v>
          </cell>
        </row>
        <row r="7885">
          <cell r="A7885" t="str">
            <v>PEE-053-X-86649-M</v>
          </cell>
          <cell r="G7885" t="str">
            <v xml:space="preserve">CR   </v>
          </cell>
          <cell r="L7885">
            <v>40428.376423611109</v>
          </cell>
          <cell r="M7885">
            <v>3.97</v>
          </cell>
          <cell r="P7885">
            <v>1.4810000000000001</v>
          </cell>
        </row>
        <row r="7886">
          <cell r="A7886" t="str">
            <v>PEE-054-104911-M</v>
          </cell>
          <cell r="G7886" t="str">
            <v>IPFAB</v>
          </cell>
          <cell r="L7886">
            <v>38895</v>
          </cell>
          <cell r="M7886">
            <v>3.0859999999999999</v>
          </cell>
          <cell r="P7886">
            <v>0.48899999999999999</v>
          </cell>
        </row>
        <row r="7887">
          <cell r="A7887" t="str">
            <v>PEE-054-13620</v>
          </cell>
          <cell r="G7887" t="str">
            <v>IDESP</v>
          </cell>
          <cell r="L7887">
            <v>39464</v>
          </cell>
          <cell r="M7887">
            <v>3.1459999999999999</v>
          </cell>
          <cell r="P7887">
            <v>2.2999999999999998</v>
          </cell>
        </row>
        <row r="7888">
          <cell r="A7888" t="str">
            <v>PEE-054-25523</v>
          </cell>
          <cell r="G7888" t="str">
            <v>IPFAB</v>
          </cell>
          <cell r="L7888">
            <v>41288</v>
          </cell>
          <cell r="M7888">
            <v>4.95</v>
          </cell>
          <cell r="P7888">
            <v>0.20200000000000001</v>
          </cell>
        </row>
        <row r="7889">
          <cell r="A7889" t="str">
            <v>PEE-054-572</v>
          </cell>
          <cell r="G7889" t="str">
            <v>INDEV</v>
          </cell>
          <cell r="L7889">
            <v>41057</v>
          </cell>
          <cell r="M7889">
            <v>4.49</v>
          </cell>
          <cell r="P7889">
            <v>1.97</v>
          </cell>
        </row>
        <row r="7890">
          <cell r="A7890" t="str">
            <v>PEE-054-742</v>
          </cell>
          <cell r="G7890" t="str">
            <v>IPFAB</v>
          </cell>
          <cell r="L7890">
            <v>39027</v>
          </cell>
          <cell r="M7890">
            <v>3.0830000000000002</v>
          </cell>
          <cell r="P7890">
            <v>3.21</v>
          </cell>
        </row>
        <row r="7891">
          <cell r="A7891" t="str">
            <v>PEE-054-752</v>
          </cell>
          <cell r="G7891" t="str">
            <v>IPFAB</v>
          </cell>
          <cell r="L7891">
            <v>39036</v>
          </cell>
          <cell r="M7891">
            <v>3.0720000000000001</v>
          </cell>
          <cell r="P7891">
            <v>3.35</v>
          </cell>
        </row>
        <row r="7892">
          <cell r="A7892" t="str">
            <v>PEE-054-JRME-3062CUP</v>
          </cell>
          <cell r="G7892" t="str">
            <v>IPFAB</v>
          </cell>
          <cell r="L7892">
            <v>38915</v>
          </cell>
          <cell r="M7892">
            <v>3.0830000000000002</v>
          </cell>
          <cell r="P7892">
            <v>3.9361999999999999</v>
          </cell>
        </row>
        <row r="7893">
          <cell r="A7893" t="str">
            <v>PEE-054-L-44610</v>
          </cell>
          <cell r="G7893" t="str">
            <v>INDEV</v>
          </cell>
          <cell r="L7893">
            <v>40072</v>
          </cell>
          <cell r="M7893">
            <v>3.85</v>
          </cell>
          <cell r="P7893">
            <v>0.43</v>
          </cell>
        </row>
        <row r="7894">
          <cell r="A7894" t="str">
            <v>PEE-054-L-45410</v>
          </cell>
          <cell r="G7894" t="str">
            <v>IDESP</v>
          </cell>
          <cell r="L7894">
            <v>39378</v>
          </cell>
          <cell r="M7894">
            <v>3.169</v>
          </cell>
          <cell r="P7894">
            <v>0.37</v>
          </cell>
        </row>
        <row r="7895">
          <cell r="A7895" t="str">
            <v>PEE-054-L-45449</v>
          </cell>
          <cell r="G7895" t="str">
            <v>IDESP</v>
          </cell>
          <cell r="L7895">
            <v>39405</v>
          </cell>
          <cell r="M7895">
            <v>3.1320000000000001</v>
          </cell>
          <cell r="P7895">
            <v>0.95</v>
          </cell>
        </row>
        <row r="7896">
          <cell r="A7896" t="str">
            <v>PEE-054-L68111</v>
          </cell>
          <cell r="G7896" t="str">
            <v>IDESP</v>
          </cell>
          <cell r="L7896">
            <v>38100</v>
          </cell>
          <cell r="M7896">
            <v>2.867</v>
          </cell>
          <cell r="P7896">
            <v>0.23</v>
          </cell>
        </row>
        <row r="7897">
          <cell r="A7897" t="str">
            <v>PEE-054-LM-11710</v>
          </cell>
          <cell r="G7897" t="str">
            <v>IDESP</v>
          </cell>
          <cell r="L7897">
            <v>39408</v>
          </cell>
          <cell r="M7897">
            <v>3.1389999999999998</v>
          </cell>
          <cell r="P7897">
            <v>0.35</v>
          </cell>
        </row>
        <row r="7898">
          <cell r="A7898" t="str">
            <v>PEE-054-LM-12710</v>
          </cell>
          <cell r="G7898" t="str">
            <v>IDESP</v>
          </cell>
          <cell r="L7898">
            <v>38924</v>
          </cell>
          <cell r="M7898">
            <v>3.0779999999999998</v>
          </cell>
          <cell r="P7898">
            <v>0.33</v>
          </cell>
        </row>
        <row r="7899">
          <cell r="A7899" t="str">
            <v>PEE-054-LM-48510</v>
          </cell>
          <cell r="G7899" t="str">
            <v>IDESP</v>
          </cell>
          <cell r="L7899">
            <v>38924</v>
          </cell>
          <cell r="M7899">
            <v>3.0779999999999998</v>
          </cell>
          <cell r="P7899">
            <v>0.35</v>
          </cell>
        </row>
        <row r="7900">
          <cell r="A7900" t="str">
            <v>PEE-054-LM-501310</v>
          </cell>
          <cell r="G7900" t="str">
            <v>IDESP</v>
          </cell>
          <cell r="L7900">
            <v>38924</v>
          </cell>
          <cell r="M7900">
            <v>3.0779999999999998</v>
          </cell>
          <cell r="P7900">
            <v>0.5</v>
          </cell>
        </row>
        <row r="7901">
          <cell r="A7901" t="str">
            <v>PEE-054-LM-501314</v>
          </cell>
          <cell r="G7901" t="str">
            <v>IDESP</v>
          </cell>
          <cell r="L7901">
            <v>38924</v>
          </cell>
          <cell r="M7901">
            <v>3.0779999999999998</v>
          </cell>
          <cell r="P7901">
            <v>0.57999999999999996</v>
          </cell>
        </row>
        <row r="7902">
          <cell r="A7902" t="str">
            <v>PEE-054-LM-67010</v>
          </cell>
          <cell r="G7902" t="str">
            <v xml:space="preserve">CR   </v>
          </cell>
          <cell r="L7902">
            <v>38811</v>
          </cell>
          <cell r="M7902">
            <v>3.085</v>
          </cell>
          <cell r="P7902">
            <v>0.34849999999999998</v>
          </cell>
        </row>
        <row r="7903">
          <cell r="A7903" t="str">
            <v>PEE-054-LM104911</v>
          </cell>
          <cell r="G7903" t="str">
            <v xml:space="preserve">CR   </v>
          </cell>
          <cell r="L7903">
            <v>38811</v>
          </cell>
          <cell r="M7903">
            <v>3.085</v>
          </cell>
          <cell r="P7903">
            <v>0.76719999999999999</v>
          </cell>
        </row>
        <row r="7904">
          <cell r="A7904" t="str">
            <v>PEE-054-LM67010</v>
          </cell>
          <cell r="G7904" t="str">
            <v>IDESP</v>
          </cell>
          <cell r="L7904">
            <v>39464</v>
          </cell>
          <cell r="M7904">
            <v>3.1459999999999999</v>
          </cell>
          <cell r="P7904">
            <v>0.46</v>
          </cell>
        </row>
        <row r="7905">
          <cell r="A7905" t="str">
            <v>PEE-054-Y-104911</v>
          </cell>
          <cell r="G7905" t="str">
            <v xml:space="preserve">CR   </v>
          </cell>
          <cell r="L7905">
            <v>40428.376423611109</v>
          </cell>
          <cell r="M7905">
            <v>3.97</v>
          </cell>
          <cell r="P7905">
            <v>0.438</v>
          </cell>
        </row>
        <row r="7906">
          <cell r="A7906" t="str">
            <v>PEE-054-Y-30203-MX</v>
          </cell>
          <cell r="G7906" t="str">
            <v xml:space="preserve">CR   </v>
          </cell>
          <cell r="L7906">
            <v>40428.376423611109</v>
          </cell>
          <cell r="M7906">
            <v>3.97</v>
          </cell>
          <cell r="P7906">
            <v>0.313</v>
          </cell>
        </row>
        <row r="7907">
          <cell r="A7907" t="str">
            <v>PEE-054-Y-30204-MX</v>
          </cell>
          <cell r="G7907" t="str">
            <v xml:space="preserve">CR   </v>
          </cell>
          <cell r="L7907">
            <v>40428.376423611109</v>
          </cell>
          <cell r="M7907">
            <v>3.97</v>
          </cell>
          <cell r="P7907">
            <v>0.30299999999999999</v>
          </cell>
        </row>
        <row r="7908">
          <cell r="A7908" t="str">
            <v>PEE-054-Y-30205-MX</v>
          </cell>
          <cell r="G7908" t="str">
            <v xml:space="preserve">CR   </v>
          </cell>
          <cell r="L7908">
            <v>40428.376423611109</v>
          </cell>
          <cell r="M7908">
            <v>3.97</v>
          </cell>
          <cell r="P7908">
            <v>0.27500000000000002</v>
          </cell>
        </row>
        <row r="7909">
          <cell r="A7909" t="str">
            <v>PEE-054-Y-30206-MX</v>
          </cell>
          <cell r="G7909" t="str">
            <v>IDESP</v>
          </cell>
          <cell r="L7909">
            <v>40212</v>
          </cell>
          <cell r="M7909">
            <v>3.85</v>
          </cell>
          <cell r="P7909">
            <v>0.53</v>
          </cell>
        </row>
        <row r="7910">
          <cell r="A7910" t="str">
            <v>PEE-054-Y-30207-MX</v>
          </cell>
          <cell r="G7910" t="str">
            <v>IDESP</v>
          </cell>
          <cell r="L7910">
            <v>40422</v>
          </cell>
          <cell r="M7910">
            <v>3.97</v>
          </cell>
          <cell r="P7910">
            <v>0.7</v>
          </cell>
        </row>
        <row r="7911">
          <cell r="A7911" t="str">
            <v>PEE-054-Y-30208-MX</v>
          </cell>
          <cell r="G7911" t="str">
            <v>IDESP</v>
          </cell>
          <cell r="L7911">
            <v>40459</v>
          </cell>
          <cell r="M7911">
            <v>3.98</v>
          </cell>
          <cell r="P7911">
            <v>0.8</v>
          </cell>
        </row>
        <row r="7912">
          <cell r="A7912" t="str">
            <v>PEE-054-Y-30209-MX</v>
          </cell>
          <cell r="G7912" t="str">
            <v xml:space="preserve">CR   </v>
          </cell>
          <cell r="L7912">
            <v>40428.376423611109</v>
          </cell>
          <cell r="M7912">
            <v>3.97</v>
          </cell>
          <cell r="P7912">
            <v>0.96799999999999997</v>
          </cell>
        </row>
        <row r="7913">
          <cell r="A7913" t="str">
            <v>PEE-054-Y-30210-MX</v>
          </cell>
          <cell r="G7913" t="str">
            <v>IDESP</v>
          </cell>
          <cell r="L7913">
            <v>40672</v>
          </cell>
          <cell r="M7913">
            <v>4.1100000000000003</v>
          </cell>
          <cell r="P7913">
            <v>0.98</v>
          </cell>
        </row>
        <row r="7914">
          <cell r="A7914" t="str">
            <v>PEE-054-Y-30211-MX</v>
          </cell>
          <cell r="G7914" t="str">
            <v>INDEV</v>
          </cell>
          <cell r="L7914">
            <v>40267</v>
          </cell>
          <cell r="M7914">
            <v>3.89</v>
          </cell>
          <cell r="P7914">
            <v>0.51408740359897176</v>
          </cell>
        </row>
        <row r="7915">
          <cell r="A7915" t="str">
            <v>PEE-054-Y-30212-MX</v>
          </cell>
          <cell r="G7915" t="str">
            <v>INDEV</v>
          </cell>
          <cell r="L7915">
            <v>39776</v>
          </cell>
          <cell r="M7915">
            <v>3.3330000000000002</v>
          </cell>
          <cell r="P7915">
            <v>0.72601260126012601</v>
          </cell>
        </row>
        <row r="7916">
          <cell r="A7916" t="str">
            <v>PEE-054-Y-30213-MX</v>
          </cell>
          <cell r="G7916" t="str">
            <v>INDEV</v>
          </cell>
          <cell r="L7916">
            <v>40647</v>
          </cell>
          <cell r="M7916">
            <v>4.08</v>
          </cell>
          <cell r="P7916">
            <v>3.2254901960784315</v>
          </cell>
        </row>
        <row r="7917">
          <cell r="A7917" t="str">
            <v>PEE-054-Y-30216-RM</v>
          </cell>
          <cell r="G7917" t="str">
            <v xml:space="preserve">CR   </v>
          </cell>
          <cell r="L7917">
            <v>40428.376423611109</v>
          </cell>
          <cell r="M7917">
            <v>3.97</v>
          </cell>
          <cell r="P7917">
            <v>1.744</v>
          </cell>
        </row>
        <row r="7918">
          <cell r="A7918" t="str">
            <v>PEE-054-Y-30308-MX</v>
          </cell>
          <cell r="G7918" t="str">
            <v xml:space="preserve">CR   </v>
          </cell>
          <cell r="L7918">
            <v>38811</v>
          </cell>
          <cell r="M7918">
            <v>3.085</v>
          </cell>
          <cell r="P7918">
            <v>0.92889999999999995</v>
          </cell>
        </row>
        <row r="7919">
          <cell r="A7919" t="str">
            <v>PEE-054-Y-30310-RM</v>
          </cell>
          <cell r="G7919" t="str">
            <v xml:space="preserve">CR   </v>
          </cell>
          <cell r="L7919">
            <v>38811</v>
          </cell>
          <cell r="M7919">
            <v>3.085</v>
          </cell>
          <cell r="P7919">
            <v>0.90920000000000001</v>
          </cell>
        </row>
        <row r="7920">
          <cell r="A7920" t="str">
            <v>PEE-054-Y-32005-MX</v>
          </cell>
          <cell r="G7920" t="str">
            <v>IDESP</v>
          </cell>
          <cell r="L7920">
            <v>38985</v>
          </cell>
          <cell r="M7920">
            <v>3.0990000000000002</v>
          </cell>
          <cell r="P7920">
            <v>0.43</v>
          </cell>
        </row>
        <row r="7921">
          <cell r="A7921" t="str">
            <v>PEE-054-Y-32006-RM</v>
          </cell>
          <cell r="G7921" t="str">
            <v xml:space="preserve">CR   </v>
          </cell>
          <cell r="L7921">
            <v>38811</v>
          </cell>
          <cell r="M7921">
            <v>3.085</v>
          </cell>
          <cell r="P7921">
            <v>0.35759999999999997</v>
          </cell>
        </row>
        <row r="7922">
          <cell r="A7922" t="str">
            <v>PEE-054-Y-32010</v>
          </cell>
          <cell r="G7922" t="str">
            <v xml:space="preserve">INSI </v>
          </cell>
          <cell r="L7922">
            <v>41667</v>
          </cell>
          <cell r="M7922">
            <v>8.02</v>
          </cell>
          <cell r="P7922">
            <v>0.72899999999999998</v>
          </cell>
        </row>
        <row r="7923">
          <cell r="A7923" t="str">
            <v>PEE-054-Y-32011-M</v>
          </cell>
          <cell r="G7923" t="str">
            <v xml:space="preserve">CR   </v>
          </cell>
          <cell r="L7923">
            <v>40428.376423611109</v>
          </cell>
          <cell r="M7923">
            <v>3.97</v>
          </cell>
          <cell r="P7923">
            <v>1.0580000000000001</v>
          </cell>
        </row>
        <row r="7924">
          <cell r="A7924" t="str">
            <v>PEE-054-Y-32205-MX</v>
          </cell>
          <cell r="G7924" t="str">
            <v xml:space="preserve">CR   </v>
          </cell>
          <cell r="L7924">
            <v>40428.376423611109</v>
          </cell>
          <cell r="M7924">
            <v>3.97</v>
          </cell>
          <cell r="P7924">
            <v>0.376</v>
          </cell>
        </row>
        <row r="7925">
          <cell r="A7925" t="str">
            <v>PEE-054-Y-32205-RM</v>
          </cell>
          <cell r="G7925" t="str">
            <v>INSI$</v>
          </cell>
          <cell r="L7925">
            <v>40990</v>
          </cell>
          <cell r="M7925">
            <v>4.38</v>
          </cell>
          <cell r="P7925">
            <v>0.30600456621004568</v>
          </cell>
        </row>
        <row r="7926">
          <cell r="A7926" t="str">
            <v>PEE-054-Y-32206-RM</v>
          </cell>
          <cell r="G7926" t="str">
            <v>INDEV</v>
          </cell>
          <cell r="L7926">
            <v>40856</v>
          </cell>
          <cell r="M7926">
            <v>4.28</v>
          </cell>
          <cell r="P7926">
            <v>1.6915887850467288</v>
          </cell>
        </row>
        <row r="7927">
          <cell r="A7927" t="str">
            <v>PEE-054-Y-32207-MX</v>
          </cell>
          <cell r="G7927" t="str">
            <v>INDEV</v>
          </cell>
          <cell r="L7927">
            <v>39902</v>
          </cell>
          <cell r="M7927">
            <v>3.7160000000000002</v>
          </cell>
          <cell r="P7927">
            <v>0.51001076426264802</v>
          </cell>
        </row>
        <row r="7928">
          <cell r="A7928" t="str">
            <v>PEE-054-Y-32207-RX</v>
          </cell>
          <cell r="G7928" t="str">
            <v xml:space="preserve">CR   </v>
          </cell>
          <cell r="L7928">
            <v>38811</v>
          </cell>
          <cell r="M7928">
            <v>3.085</v>
          </cell>
          <cell r="P7928">
            <v>0.47920000000000001</v>
          </cell>
        </row>
        <row r="7929">
          <cell r="A7929" t="str">
            <v>PEE-054-Y-32208-MX</v>
          </cell>
          <cell r="G7929" t="str">
            <v xml:space="preserve">CR   </v>
          </cell>
          <cell r="L7929">
            <v>40428.376423611109</v>
          </cell>
          <cell r="M7929">
            <v>3.97</v>
          </cell>
          <cell r="P7929">
            <v>0.69</v>
          </cell>
        </row>
        <row r="7930">
          <cell r="A7930" t="str">
            <v>PEE-054-Y-32209-MX</v>
          </cell>
          <cell r="G7930" t="str">
            <v>INDEV</v>
          </cell>
          <cell r="L7930">
            <v>40856</v>
          </cell>
          <cell r="M7930">
            <v>4.28</v>
          </cell>
          <cell r="P7930">
            <v>2.3130841121495327</v>
          </cell>
        </row>
        <row r="7931">
          <cell r="A7931" t="str">
            <v>PEE-054-Y-32210-MX</v>
          </cell>
          <cell r="G7931" t="str">
            <v xml:space="preserve">CR   </v>
          </cell>
          <cell r="L7931">
            <v>38811</v>
          </cell>
          <cell r="M7931">
            <v>3.085</v>
          </cell>
          <cell r="P7931">
            <v>0.65680000000000005</v>
          </cell>
        </row>
        <row r="7932">
          <cell r="A7932" t="str">
            <v>PEE-054-Y-32211-MX</v>
          </cell>
          <cell r="G7932" t="str">
            <v xml:space="preserve">CR   </v>
          </cell>
          <cell r="L7932">
            <v>40428.376423611109</v>
          </cell>
          <cell r="M7932">
            <v>3.97</v>
          </cell>
          <cell r="P7932">
            <v>1.8260000000000001</v>
          </cell>
        </row>
        <row r="7933">
          <cell r="A7933" t="str">
            <v>PEE-054-Y-32212-MX</v>
          </cell>
          <cell r="G7933" t="str">
            <v>IDESP</v>
          </cell>
          <cell r="L7933">
            <v>39442</v>
          </cell>
          <cell r="M7933">
            <v>3.141</v>
          </cell>
          <cell r="P7933">
            <v>1.01</v>
          </cell>
        </row>
        <row r="7934">
          <cell r="A7934" t="str">
            <v>PEE-054-Y-32213-MX</v>
          </cell>
          <cell r="G7934" t="str">
            <v xml:space="preserve">CR   </v>
          </cell>
          <cell r="L7934">
            <v>40428.376423611109</v>
          </cell>
          <cell r="M7934">
            <v>3.97</v>
          </cell>
          <cell r="P7934">
            <v>1.1439999999999999</v>
          </cell>
        </row>
        <row r="7935">
          <cell r="A7935" t="str">
            <v>PEE-054-Y-32214-MX</v>
          </cell>
          <cell r="G7935" t="str">
            <v xml:space="preserve">CR   </v>
          </cell>
          <cell r="L7935">
            <v>40428.376423611109</v>
          </cell>
          <cell r="M7935">
            <v>3.97</v>
          </cell>
          <cell r="P7935">
            <v>1.2869999999999999</v>
          </cell>
        </row>
        <row r="7936">
          <cell r="A7936" t="str">
            <v>PEE-054-Y-32215-RM</v>
          </cell>
          <cell r="G7936" t="str">
            <v xml:space="preserve">CR   </v>
          </cell>
          <cell r="L7936">
            <v>38811</v>
          </cell>
          <cell r="M7936">
            <v>3.085</v>
          </cell>
          <cell r="P7936">
            <v>1.4965999999999999</v>
          </cell>
        </row>
        <row r="7937">
          <cell r="A7937" t="str">
            <v>PEE-054-Y-32216-MX</v>
          </cell>
          <cell r="G7937" t="str">
            <v xml:space="preserve">CR   </v>
          </cell>
          <cell r="L7937">
            <v>40428.376423611109</v>
          </cell>
          <cell r="M7937">
            <v>3.97</v>
          </cell>
          <cell r="P7937">
            <v>1.669</v>
          </cell>
        </row>
        <row r="7938">
          <cell r="A7938" t="str">
            <v>PEE-054-Y-32217-MX</v>
          </cell>
          <cell r="G7938" t="str">
            <v>INDEV</v>
          </cell>
          <cell r="L7938">
            <v>40736</v>
          </cell>
          <cell r="M7938">
            <v>4.1500000000000004</v>
          </cell>
          <cell r="P7938">
            <v>2.6320000000000001</v>
          </cell>
        </row>
        <row r="7939">
          <cell r="A7939" t="str">
            <v>PEE-054-Y-32217-RM</v>
          </cell>
          <cell r="G7939" t="str">
            <v xml:space="preserve">CR   </v>
          </cell>
          <cell r="L7939">
            <v>38811</v>
          </cell>
          <cell r="M7939">
            <v>3.085</v>
          </cell>
          <cell r="P7939">
            <v>2.2606999999999999</v>
          </cell>
        </row>
        <row r="7940">
          <cell r="A7940" t="str">
            <v>PEE-054-Y-32218-MX</v>
          </cell>
          <cell r="G7940" t="str">
            <v xml:space="preserve">CR   </v>
          </cell>
          <cell r="L7940">
            <v>40428.376423611109</v>
          </cell>
          <cell r="M7940">
            <v>3.97</v>
          </cell>
          <cell r="P7940">
            <v>2.97</v>
          </cell>
        </row>
        <row r="7941">
          <cell r="A7941" t="str">
            <v>PEE-054-Y-32218-RM</v>
          </cell>
          <cell r="G7941" t="str">
            <v xml:space="preserve">CR   </v>
          </cell>
          <cell r="L7941">
            <v>38811</v>
          </cell>
          <cell r="M7941">
            <v>3.085</v>
          </cell>
          <cell r="P7941">
            <v>2.7584</v>
          </cell>
        </row>
        <row r="7942">
          <cell r="A7942" t="str">
            <v>PEE-054-Y-32308-RM</v>
          </cell>
          <cell r="G7942" t="str">
            <v>IPFAB</v>
          </cell>
          <cell r="L7942">
            <v>38495</v>
          </cell>
          <cell r="M7942">
            <v>2.887</v>
          </cell>
          <cell r="P7942">
            <v>0.92220000000000002</v>
          </cell>
        </row>
        <row r="7943">
          <cell r="A7943" t="str">
            <v>PEE-054-Y-32309</v>
          </cell>
          <cell r="G7943" t="str">
            <v>IPFAB</v>
          </cell>
          <cell r="L7943">
            <v>38642</v>
          </cell>
          <cell r="M7943">
            <v>2.9710000000000001</v>
          </cell>
          <cell r="P7943">
            <v>1.22</v>
          </cell>
        </row>
        <row r="7944">
          <cell r="A7944" t="str">
            <v>PEE-054-Y-32309-M</v>
          </cell>
          <cell r="G7944" t="str">
            <v xml:space="preserve">CR   </v>
          </cell>
          <cell r="L7944">
            <v>40428.376423611109</v>
          </cell>
          <cell r="M7944">
            <v>3.97</v>
          </cell>
          <cell r="P7944">
            <v>1.3420000000000001</v>
          </cell>
        </row>
        <row r="7945">
          <cell r="A7945" t="str">
            <v>PEE-054-Y-33110-RM</v>
          </cell>
          <cell r="G7945" t="str">
            <v xml:space="preserve">CR   </v>
          </cell>
          <cell r="L7945">
            <v>40428.376423611109</v>
          </cell>
          <cell r="M7945">
            <v>3.97</v>
          </cell>
          <cell r="P7945">
            <v>1.4450000000000001</v>
          </cell>
        </row>
        <row r="7946">
          <cell r="A7946" t="str">
            <v>PEE-054-Y-68110</v>
          </cell>
          <cell r="G7946" t="str">
            <v xml:space="preserve">CR   </v>
          </cell>
          <cell r="L7946">
            <v>40428.376423611109</v>
          </cell>
          <cell r="M7946">
            <v>3.97</v>
          </cell>
          <cell r="P7946">
            <v>0.32300000000000001</v>
          </cell>
        </row>
        <row r="7947">
          <cell r="A7947" t="str">
            <v>PEE-054-Y-86610-M</v>
          </cell>
          <cell r="G7947" t="str">
            <v xml:space="preserve">CR   </v>
          </cell>
          <cell r="L7947">
            <v>40428.376423611109</v>
          </cell>
          <cell r="M7947">
            <v>3.97</v>
          </cell>
          <cell r="P7947">
            <v>0.63400000000000001</v>
          </cell>
        </row>
        <row r="7948">
          <cell r="A7948" t="str">
            <v>PEE-055-GU-2565</v>
          </cell>
          <cell r="G7948" t="str">
            <v>INDEV</v>
          </cell>
          <cell r="L7948">
            <v>40288</v>
          </cell>
          <cell r="M7948">
            <v>3.89</v>
          </cell>
          <cell r="P7948">
            <v>0.14598971722365037</v>
          </cell>
        </row>
        <row r="7949">
          <cell r="A7949" t="str">
            <v>PEE-056-ENG-2550</v>
          </cell>
          <cell r="G7949" t="str">
            <v xml:space="preserve">INAC </v>
          </cell>
          <cell r="L7949">
            <v>38891</v>
          </cell>
          <cell r="M7949">
            <v>3.0779999999999998</v>
          </cell>
          <cell r="P7949">
            <v>5.1669915529564658</v>
          </cell>
        </row>
        <row r="7950">
          <cell r="A7950" t="str">
            <v>PEE-056-ENG-3565</v>
          </cell>
          <cell r="G7950" t="str">
            <v>IPFAP</v>
          </cell>
          <cell r="L7950">
            <v>41976</v>
          </cell>
          <cell r="M7950">
            <v>8.5500000000000007</v>
          </cell>
          <cell r="P7950">
            <v>11.16259649122807</v>
          </cell>
        </row>
        <row r="7951">
          <cell r="A7951" t="str">
            <v>PEE-056-ENG2565-6303</v>
          </cell>
          <cell r="G7951" t="str">
            <v>IPFAB</v>
          </cell>
          <cell r="L7951">
            <v>38644</v>
          </cell>
          <cell r="M7951">
            <v>2.9689999999999999</v>
          </cell>
          <cell r="P7951">
            <v>20.2088</v>
          </cell>
        </row>
        <row r="7952">
          <cell r="A7952" t="str">
            <v>PEE-056-ENGRANAJE-AF</v>
          </cell>
          <cell r="G7952" t="str">
            <v xml:space="preserve">CR   </v>
          </cell>
          <cell r="L7952">
            <v>38811</v>
          </cell>
          <cell r="M7952">
            <v>3.085</v>
          </cell>
          <cell r="P7952">
            <v>3.5057999999999998</v>
          </cell>
        </row>
        <row r="7953">
          <cell r="A7953" t="str">
            <v>PEE-057-1211</v>
          </cell>
          <cell r="G7953" t="str">
            <v>INDEV</v>
          </cell>
          <cell r="L7953">
            <v>40736</v>
          </cell>
          <cell r="M7953">
            <v>4.1500000000000004</v>
          </cell>
          <cell r="P7953">
            <v>2.2078072289156623</v>
          </cell>
        </row>
        <row r="7954">
          <cell r="A7954" t="str">
            <v>PEE-057-1211-K</v>
          </cell>
          <cell r="G7954" t="str">
            <v>INDEV</v>
          </cell>
          <cell r="L7954">
            <v>40736</v>
          </cell>
          <cell r="M7954">
            <v>4.1500000000000004</v>
          </cell>
          <cell r="P7954">
            <v>3.4987951807228912</v>
          </cell>
        </row>
        <row r="7955">
          <cell r="A7955" t="str">
            <v>PEE-057-1213</v>
          </cell>
          <cell r="G7955" t="str">
            <v xml:space="preserve">CR   </v>
          </cell>
          <cell r="L7955">
            <v>38811</v>
          </cell>
          <cell r="M7955">
            <v>3.085</v>
          </cell>
          <cell r="P7955">
            <v>4.7717999999999998</v>
          </cell>
        </row>
        <row r="7956">
          <cell r="A7956" t="str">
            <v>PEE-057-1308-K</v>
          </cell>
          <cell r="G7956" t="str">
            <v xml:space="preserve">CR   </v>
          </cell>
          <cell r="L7956">
            <v>38811</v>
          </cell>
          <cell r="M7956">
            <v>3.085</v>
          </cell>
          <cell r="P7956">
            <v>3.6141000000000001</v>
          </cell>
        </row>
        <row r="7957">
          <cell r="A7957" t="str">
            <v>PEE-058-32007-MX</v>
          </cell>
          <cell r="G7957" t="str">
            <v xml:space="preserve">CR   </v>
          </cell>
          <cell r="L7957">
            <v>38811</v>
          </cell>
          <cell r="M7957">
            <v>3.085</v>
          </cell>
          <cell r="P7957">
            <v>2.9348999999999998</v>
          </cell>
        </row>
        <row r="7958">
          <cell r="A7958" t="str">
            <v>PEE-058-32013-RX</v>
          </cell>
          <cell r="G7958" t="str">
            <v xml:space="preserve">CR   </v>
          </cell>
          <cell r="L7958">
            <v>40428.376423611109</v>
          </cell>
          <cell r="M7958">
            <v>3.97</v>
          </cell>
          <cell r="P7958">
            <v>3.82</v>
          </cell>
        </row>
        <row r="7959">
          <cell r="A7959" t="str">
            <v>PEE-058-32018-C</v>
          </cell>
          <cell r="G7959" t="str">
            <v>IPFAB</v>
          </cell>
          <cell r="L7959">
            <v>39773</v>
          </cell>
          <cell r="M7959">
            <v>3.3290000000000002</v>
          </cell>
          <cell r="P7959">
            <v>1</v>
          </cell>
        </row>
        <row r="7960">
          <cell r="A7960" t="str">
            <v>PEE-EMQ-6004-2RLD-C0</v>
          </cell>
          <cell r="G7960" t="str">
            <v>INPEE</v>
          </cell>
          <cell r="L7960">
            <v>39182</v>
          </cell>
          <cell r="M7960">
            <v>3.097</v>
          </cell>
          <cell r="P7960">
            <v>0.59</v>
          </cell>
        </row>
        <row r="7961">
          <cell r="A7961" t="str">
            <v>PEE-EMQ-6005-2RLD-C0</v>
          </cell>
          <cell r="G7961" t="str">
            <v>INPEE</v>
          </cell>
          <cell r="L7961">
            <v>38968</v>
          </cell>
          <cell r="M7961">
            <v>3.0990000000000002</v>
          </cell>
          <cell r="P7961">
            <v>0.61</v>
          </cell>
        </row>
        <row r="7962">
          <cell r="A7962" t="str">
            <v>PEE-EMQ-6006-D-C0</v>
          </cell>
          <cell r="G7962" t="str">
            <v>INPEE</v>
          </cell>
          <cell r="L7962">
            <v>39392</v>
          </cell>
          <cell r="M7962">
            <v>3.133</v>
          </cell>
          <cell r="P7962">
            <v>0.70399999999999996</v>
          </cell>
        </row>
        <row r="7963">
          <cell r="A7963" t="str">
            <v>PEE-EMQ-6201-2RLD-C0</v>
          </cell>
          <cell r="G7963" t="str">
            <v xml:space="preserve">CR   </v>
          </cell>
          <cell r="L7963">
            <v>40428.376423611109</v>
          </cell>
          <cell r="M7963">
            <v>3.97</v>
          </cell>
          <cell r="P7963">
            <v>0.74099999999999999</v>
          </cell>
        </row>
        <row r="7964">
          <cell r="A7964" t="str">
            <v>PEE-EMQ-6201-2RLD-C3</v>
          </cell>
          <cell r="G7964" t="str">
            <v>INPEE</v>
          </cell>
          <cell r="L7964">
            <v>39262</v>
          </cell>
          <cell r="M7964">
            <v>3.09</v>
          </cell>
          <cell r="P7964">
            <v>0.43</v>
          </cell>
        </row>
        <row r="7965">
          <cell r="A7965" t="str">
            <v>PEE-EMQ-6201-D-C0</v>
          </cell>
          <cell r="G7965" t="str">
            <v xml:space="preserve">CR   </v>
          </cell>
          <cell r="L7965">
            <v>38811</v>
          </cell>
          <cell r="M7965">
            <v>3.085</v>
          </cell>
          <cell r="P7965">
            <v>0.61070000000000002</v>
          </cell>
        </row>
        <row r="7966">
          <cell r="A7966" t="str">
            <v>PEE-EMQ-6202-2RLD-C0</v>
          </cell>
          <cell r="G7966" t="str">
            <v>IPFAB</v>
          </cell>
          <cell r="L7966">
            <v>39105</v>
          </cell>
          <cell r="M7966">
            <v>3.0960000000000001</v>
          </cell>
          <cell r="P7966">
            <v>0.70720000000000005</v>
          </cell>
        </row>
        <row r="7967">
          <cell r="A7967" t="str">
            <v>PEE-EMQ-6202-2RLD-C3</v>
          </cell>
          <cell r="G7967" t="str">
            <v xml:space="preserve">CR   </v>
          </cell>
          <cell r="L7967">
            <v>38624</v>
          </cell>
          <cell r="M7967">
            <v>2.915</v>
          </cell>
          <cell r="P7967">
            <v>0.70720000000000005</v>
          </cell>
        </row>
        <row r="7968">
          <cell r="A7968" t="str">
            <v>PEE-EMQ-6202-D-C0</v>
          </cell>
          <cell r="G7968" t="str">
            <v xml:space="preserve">CR   </v>
          </cell>
          <cell r="L7968">
            <v>38811</v>
          </cell>
          <cell r="M7968">
            <v>3.085</v>
          </cell>
          <cell r="P7968">
            <v>0.60399999999999998</v>
          </cell>
        </row>
        <row r="7969">
          <cell r="A7969" t="str">
            <v>PEE-EMQ-6203-2RLD-C0</v>
          </cell>
          <cell r="G7969" t="str">
            <v>INPEE</v>
          </cell>
          <cell r="L7969">
            <v>39035</v>
          </cell>
          <cell r="M7969">
            <v>3.0760000000000001</v>
          </cell>
          <cell r="P7969">
            <v>0.43</v>
          </cell>
        </row>
        <row r="7970">
          <cell r="A7970" t="str">
            <v>PEE-EMQ-6203-2RLD-C3</v>
          </cell>
          <cell r="G7970" t="str">
            <v>INDEV</v>
          </cell>
          <cell r="L7970">
            <v>39661</v>
          </cell>
          <cell r="M7970">
            <v>3.044</v>
          </cell>
          <cell r="P7970">
            <v>0.47963206307490142</v>
          </cell>
        </row>
        <row r="7971">
          <cell r="A7971" t="str">
            <v>PEE-EMQ-6203-2RS-C3</v>
          </cell>
          <cell r="G7971" t="str">
            <v>INPEE</v>
          </cell>
          <cell r="L7971">
            <v>38729</v>
          </cell>
          <cell r="M7971">
            <v>3.0510000000000002</v>
          </cell>
          <cell r="P7971">
            <v>0.55000000000000004</v>
          </cell>
        </row>
        <row r="7972">
          <cell r="A7972" t="str">
            <v>PEE-EMQ-6203-2RSC0-M</v>
          </cell>
          <cell r="G7972" t="str">
            <v>INPEE</v>
          </cell>
          <cell r="L7972">
            <v>38895</v>
          </cell>
          <cell r="M7972">
            <v>3.0859999999999999</v>
          </cell>
          <cell r="P7972">
            <v>0.41</v>
          </cell>
        </row>
        <row r="7973">
          <cell r="A7973" t="str">
            <v>PEE-EMQ-6203-2RSC3-M</v>
          </cell>
          <cell r="G7973" t="str">
            <v>INPEE</v>
          </cell>
          <cell r="L7973">
            <v>38895</v>
          </cell>
          <cell r="M7973">
            <v>3.0859999999999999</v>
          </cell>
          <cell r="P7973">
            <v>0.41</v>
          </cell>
        </row>
        <row r="7974">
          <cell r="A7974" t="str">
            <v>PEE-EMQ-6203-2RST-C0</v>
          </cell>
          <cell r="G7974" t="str">
            <v xml:space="preserve">CR   </v>
          </cell>
          <cell r="L7974">
            <v>38811</v>
          </cell>
          <cell r="M7974">
            <v>3.085</v>
          </cell>
          <cell r="P7974">
            <v>0.6169</v>
          </cell>
        </row>
        <row r="7975">
          <cell r="A7975" t="str">
            <v>PEE-EMQ-6203-D-C0</v>
          </cell>
          <cell r="G7975" t="str">
            <v>INPEE</v>
          </cell>
          <cell r="L7975">
            <v>38265</v>
          </cell>
          <cell r="M7975">
            <v>2.968</v>
          </cell>
          <cell r="P7975">
            <v>0.6</v>
          </cell>
        </row>
        <row r="7976">
          <cell r="A7976" t="str">
            <v>PEE-EMQ-6203-D-C3</v>
          </cell>
          <cell r="G7976" t="str">
            <v>INPEE</v>
          </cell>
          <cell r="L7976">
            <v>39330</v>
          </cell>
          <cell r="M7976">
            <v>3.165</v>
          </cell>
          <cell r="P7976">
            <v>0.35</v>
          </cell>
        </row>
        <row r="7977">
          <cell r="A7977" t="str">
            <v>PEE-EMQ-6203-D-C3-M</v>
          </cell>
          <cell r="G7977" t="str">
            <v>INPE$</v>
          </cell>
          <cell r="L7977">
            <v>39514</v>
          </cell>
          <cell r="M7977">
            <v>3.1539999999999999</v>
          </cell>
          <cell r="P7977">
            <v>0.45973367152821815</v>
          </cell>
        </row>
        <row r="7978">
          <cell r="A7978" t="str">
            <v>PEE-EMQ-6203-D-C3-RM</v>
          </cell>
          <cell r="G7978" t="str">
            <v>INPEE</v>
          </cell>
          <cell r="L7978">
            <v>38708</v>
          </cell>
          <cell r="M7978">
            <v>3.0329999999999999</v>
          </cell>
          <cell r="P7978">
            <v>0.47</v>
          </cell>
        </row>
        <row r="7979">
          <cell r="A7979" t="str">
            <v>PEE-EMQ-6203-ZZ-C3</v>
          </cell>
          <cell r="G7979" t="str">
            <v>INPE$</v>
          </cell>
          <cell r="L7979">
            <v>39717</v>
          </cell>
          <cell r="M7979">
            <v>3.113</v>
          </cell>
          <cell r="P7979">
            <v>0.74526180533247666</v>
          </cell>
        </row>
        <row r="7980">
          <cell r="A7980" t="str">
            <v>PEE-EMQ-6204-1RS-C3</v>
          </cell>
          <cell r="G7980" t="str">
            <v>INPEE</v>
          </cell>
          <cell r="L7980">
            <v>38966</v>
          </cell>
          <cell r="M7980">
            <v>3.0979999999999999</v>
          </cell>
          <cell r="P7980">
            <v>0.55000000000000004</v>
          </cell>
        </row>
        <row r="7981">
          <cell r="A7981" t="str">
            <v>PEE-EMQ-6204-1RSC0-M</v>
          </cell>
          <cell r="G7981" t="str">
            <v>INPEE</v>
          </cell>
          <cell r="L7981">
            <v>38931</v>
          </cell>
          <cell r="M7981">
            <v>3.0710000000000002</v>
          </cell>
          <cell r="P7981">
            <v>0.68</v>
          </cell>
        </row>
        <row r="7982">
          <cell r="A7982" t="str">
            <v>PEE-EMQ-6204-2RLD-C2</v>
          </cell>
          <cell r="G7982" t="str">
            <v>INPEE</v>
          </cell>
          <cell r="L7982">
            <v>37832</v>
          </cell>
          <cell r="M7982">
            <v>2.8450000000000002</v>
          </cell>
          <cell r="P7982">
            <v>0.72</v>
          </cell>
        </row>
        <row r="7983">
          <cell r="A7983" t="str">
            <v>PEE-EMQ-6204-2RLD-C3</v>
          </cell>
          <cell r="G7983" t="str">
            <v xml:space="preserve">CR   </v>
          </cell>
          <cell r="L7983">
            <v>38624</v>
          </cell>
          <cell r="M7983">
            <v>2.915</v>
          </cell>
          <cell r="P7983">
            <v>0.78920000000000001</v>
          </cell>
        </row>
        <row r="7984">
          <cell r="A7984" t="str">
            <v>PEE-EMQ-6204-2RSC3-M</v>
          </cell>
          <cell r="G7984" t="str">
            <v>INPEE</v>
          </cell>
          <cell r="L7984">
            <v>39028</v>
          </cell>
          <cell r="M7984">
            <v>3.0830000000000002</v>
          </cell>
          <cell r="P7984">
            <v>0.75</v>
          </cell>
        </row>
        <row r="7985">
          <cell r="A7985" t="str">
            <v>PEE-EMQ-6204-2RST-C2</v>
          </cell>
          <cell r="G7985" t="str">
            <v>INPEE</v>
          </cell>
          <cell r="L7985">
            <v>37865</v>
          </cell>
          <cell r="M7985">
            <v>2.956</v>
          </cell>
          <cell r="P7985">
            <v>0.81</v>
          </cell>
        </row>
        <row r="7986">
          <cell r="A7986" t="str">
            <v>PEE-EMQ-6204-D-C0-M</v>
          </cell>
          <cell r="G7986" t="str">
            <v>INPEE</v>
          </cell>
          <cell r="L7986">
            <v>39113</v>
          </cell>
          <cell r="M7986">
            <v>3.1070000000000002</v>
          </cell>
          <cell r="P7986">
            <v>0.63</v>
          </cell>
        </row>
        <row r="7987">
          <cell r="A7987" t="str">
            <v>PEE-EMQ-6204-D-C3</v>
          </cell>
          <cell r="G7987" t="str">
            <v>INPEE</v>
          </cell>
          <cell r="L7987">
            <v>38229</v>
          </cell>
          <cell r="M7987">
            <v>3.008</v>
          </cell>
          <cell r="P7987">
            <v>0.9</v>
          </cell>
        </row>
        <row r="7988">
          <cell r="A7988" t="str">
            <v>PEE-EMQ-6204-D-C3-M</v>
          </cell>
          <cell r="G7988" t="str">
            <v>INPEE</v>
          </cell>
          <cell r="L7988">
            <v>39029</v>
          </cell>
          <cell r="M7988">
            <v>3.077</v>
          </cell>
          <cell r="P7988">
            <v>0.66</v>
          </cell>
        </row>
        <row r="7989">
          <cell r="A7989" t="str">
            <v>PEE-EMQ-6204-N</v>
          </cell>
          <cell r="G7989" t="str">
            <v xml:space="preserve">CR   </v>
          </cell>
          <cell r="L7989">
            <v>40428.376423611109</v>
          </cell>
          <cell r="M7989">
            <v>3.97</v>
          </cell>
          <cell r="P7989">
            <v>0.97399999999999998</v>
          </cell>
        </row>
        <row r="7990">
          <cell r="A7990" t="str">
            <v>PEE-EMQ-6205-2RLD-C0</v>
          </cell>
          <cell r="G7990" t="str">
            <v>INPEE</v>
          </cell>
          <cell r="L7990">
            <v>37860</v>
          </cell>
          <cell r="M7990">
            <v>2.94</v>
          </cell>
          <cell r="P7990">
            <v>0.96</v>
          </cell>
        </row>
        <row r="7991">
          <cell r="A7991" t="str">
            <v>PEE-EMQ-6205-2RSC3</v>
          </cell>
          <cell r="G7991" t="str">
            <v>INDEV</v>
          </cell>
          <cell r="L7991">
            <v>39590</v>
          </cell>
          <cell r="M7991">
            <v>3.133</v>
          </cell>
          <cell r="P7991">
            <v>0.81541653367379507</v>
          </cell>
        </row>
        <row r="7992">
          <cell r="A7992" t="str">
            <v>PEE-EMQ-6205-2RST-C0</v>
          </cell>
          <cell r="G7992" t="str">
            <v>INPEE</v>
          </cell>
          <cell r="L7992">
            <v>37865</v>
          </cell>
          <cell r="M7992">
            <v>2.956</v>
          </cell>
          <cell r="P7992">
            <v>1.05</v>
          </cell>
        </row>
        <row r="7993">
          <cell r="A7993" t="str">
            <v>PEE-EMQ-6205-D-C0</v>
          </cell>
          <cell r="G7993" t="str">
            <v>INPEE</v>
          </cell>
          <cell r="L7993">
            <v>37855</v>
          </cell>
          <cell r="M7993">
            <v>2.95</v>
          </cell>
          <cell r="P7993">
            <v>0.87</v>
          </cell>
        </row>
        <row r="7994">
          <cell r="A7994" t="str">
            <v>PEE-EMQ-6205-D-C3</v>
          </cell>
          <cell r="G7994" t="str">
            <v>INPEE</v>
          </cell>
          <cell r="L7994">
            <v>39162</v>
          </cell>
          <cell r="M7994">
            <v>3.0990000000000002</v>
          </cell>
          <cell r="P7994">
            <v>0.77</v>
          </cell>
        </row>
        <row r="7995">
          <cell r="A7995" t="str">
            <v>PEE-EMQ-6205-D-C3-M</v>
          </cell>
          <cell r="G7995" t="str">
            <v>INPEE</v>
          </cell>
          <cell r="L7995">
            <v>39162</v>
          </cell>
          <cell r="M7995">
            <v>3.0990000000000002</v>
          </cell>
          <cell r="P7995">
            <v>0.77</v>
          </cell>
        </row>
        <row r="7996">
          <cell r="A7996" t="str">
            <v>PEE-EMQ-6206-D-C3-M</v>
          </cell>
          <cell r="G7996" t="str">
            <v>INPEE</v>
          </cell>
          <cell r="L7996">
            <v>39472</v>
          </cell>
          <cell r="M7996">
            <v>3.153</v>
          </cell>
          <cell r="P7996">
            <v>0.88</v>
          </cell>
        </row>
        <row r="7997">
          <cell r="A7997" t="str">
            <v>PEE-EMQ-6304-D-C3</v>
          </cell>
          <cell r="G7997" t="str">
            <v>INPE$</v>
          </cell>
          <cell r="L7997">
            <v>39514</v>
          </cell>
          <cell r="M7997">
            <v>3.1539999999999999</v>
          </cell>
          <cell r="P7997">
            <v>0.72923272035510456</v>
          </cell>
        </row>
        <row r="7998">
          <cell r="A7998" t="str">
            <v>PEE-HS*-6204-2RLD-C3</v>
          </cell>
          <cell r="G7998" t="str">
            <v>INPE$</v>
          </cell>
          <cell r="L7998">
            <v>40611</v>
          </cell>
          <cell r="M7998">
            <v>4.0599999999999996</v>
          </cell>
          <cell r="P7998">
            <v>1.2463793103448277</v>
          </cell>
        </row>
        <row r="7999">
          <cell r="A7999" t="str">
            <v>PEE-HS--203-KRR2-C0</v>
          </cell>
          <cell r="G7999" t="str">
            <v>INDEV</v>
          </cell>
          <cell r="L7999">
            <v>38979</v>
          </cell>
          <cell r="M7999">
            <v>3.0979999999999999</v>
          </cell>
          <cell r="P7999">
            <v>1.0197869593285991</v>
          </cell>
        </row>
        <row r="8000">
          <cell r="A8000" t="str">
            <v>PEE-HS--6004-2RLD-C0</v>
          </cell>
          <cell r="G8000" t="str">
            <v>IPFAB</v>
          </cell>
          <cell r="L8000">
            <v>38313</v>
          </cell>
          <cell r="M8000">
            <v>2.9449999999999998</v>
          </cell>
          <cell r="P8000">
            <v>0.60740000000000005</v>
          </cell>
        </row>
        <row r="8001">
          <cell r="A8001" t="str">
            <v>PEE-HS--6004-2RLD-C3</v>
          </cell>
          <cell r="G8001" t="str">
            <v>INDEV</v>
          </cell>
          <cell r="L8001">
            <v>41144</v>
          </cell>
          <cell r="M8001">
            <v>4.63</v>
          </cell>
          <cell r="P8001">
            <v>0.76025917926565878</v>
          </cell>
        </row>
        <row r="8002">
          <cell r="A8002" t="str">
            <v>PEE-HS--6004-D-C0</v>
          </cell>
          <cell r="G8002" t="str">
            <v>IPFAB</v>
          </cell>
          <cell r="L8002">
            <v>43173</v>
          </cell>
          <cell r="M8002">
            <v>20.53</v>
          </cell>
          <cell r="P8002">
            <v>0.87</v>
          </cell>
        </row>
        <row r="8003">
          <cell r="A8003" t="str">
            <v>PEE-HS--6004-D-C3</v>
          </cell>
          <cell r="G8003" t="str">
            <v>INPEE</v>
          </cell>
          <cell r="L8003">
            <v>38077</v>
          </cell>
          <cell r="M8003">
            <v>2.86</v>
          </cell>
          <cell r="P8003">
            <v>0.7</v>
          </cell>
        </row>
        <row r="8004">
          <cell r="A8004" t="str">
            <v>PEE-HS--6005-2RLD-C0</v>
          </cell>
          <cell r="G8004" t="str">
            <v>INPEE</v>
          </cell>
          <cell r="L8004">
            <v>38968</v>
          </cell>
          <cell r="M8004">
            <v>3.0990000000000002</v>
          </cell>
          <cell r="P8004">
            <v>0.61</v>
          </cell>
        </row>
        <row r="8005">
          <cell r="A8005" t="str">
            <v>PEE-HS--6005-2RLD-C3</v>
          </cell>
          <cell r="G8005" t="str">
            <v>IPFAB</v>
          </cell>
          <cell r="L8005">
            <v>40394</v>
          </cell>
          <cell r="M8005">
            <v>3.96</v>
          </cell>
          <cell r="P8005">
            <v>0.15659999999999999</v>
          </cell>
        </row>
        <row r="8006">
          <cell r="A8006" t="str">
            <v>PEE-HS--6005-D-C0</v>
          </cell>
          <cell r="G8006" t="str">
            <v>INPEE</v>
          </cell>
          <cell r="L8006">
            <v>38194</v>
          </cell>
          <cell r="M8006">
            <v>2.9670000000000001</v>
          </cell>
          <cell r="P8006">
            <v>1.07</v>
          </cell>
        </row>
        <row r="8007">
          <cell r="A8007" t="str">
            <v>PEE-HS--6005-ZZ-C0</v>
          </cell>
          <cell r="G8007" t="str">
            <v>INPEE</v>
          </cell>
          <cell r="L8007">
            <v>38806</v>
          </cell>
          <cell r="M8007">
            <v>3.08</v>
          </cell>
          <cell r="P8007">
            <v>0.6</v>
          </cell>
        </row>
        <row r="8008">
          <cell r="A8008" t="str">
            <v>PEE-HS--6005-ZZ-C3</v>
          </cell>
          <cell r="G8008" t="str">
            <v xml:space="preserve">CR   </v>
          </cell>
          <cell r="L8008">
            <v>40428.376423611109</v>
          </cell>
          <cell r="M8008">
            <v>3.97</v>
          </cell>
          <cell r="P8008">
            <v>0.96299999999999997</v>
          </cell>
        </row>
        <row r="8009">
          <cell r="A8009" t="str">
            <v>PEE-HS--6006-2RLD-C0</v>
          </cell>
          <cell r="G8009" t="str">
            <v>IPFAB</v>
          </cell>
          <cell r="L8009">
            <v>39211</v>
          </cell>
          <cell r="M8009">
            <v>3.08</v>
          </cell>
          <cell r="P8009">
            <v>1.4212</v>
          </cell>
        </row>
        <row r="8010">
          <cell r="A8010" t="str">
            <v>PEE-HS--6006-2RLD-C3</v>
          </cell>
          <cell r="G8010" t="str">
            <v xml:space="preserve">CR   </v>
          </cell>
          <cell r="L8010">
            <v>38811</v>
          </cell>
          <cell r="M8010">
            <v>3.085</v>
          </cell>
          <cell r="P8010">
            <v>1.96</v>
          </cell>
        </row>
        <row r="8011">
          <cell r="A8011" t="str">
            <v>PEE-HS--6006-D-C0</v>
          </cell>
          <cell r="G8011" t="str">
            <v>INPEE</v>
          </cell>
          <cell r="L8011">
            <v>39392</v>
          </cell>
          <cell r="M8011">
            <v>3.133</v>
          </cell>
          <cell r="P8011">
            <v>0.70399999999999996</v>
          </cell>
        </row>
        <row r="8012">
          <cell r="A8012" t="str">
            <v>PEE-HS--6006-D-C3</v>
          </cell>
          <cell r="G8012" t="str">
            <v>INPEE</v>
          </cell>
          <cell r="L8012">
            <v>37889</v>
          </cell>
          <cell r="M8012">
            <v>2.89</v>
          </cell>
          <cell r="P8012">
            <v>0.83</v>
          </cell>
        </row>
        <row r="8013">
          <cell r="A8013" t="str">
            <v>PEE-HS--6006-D-C3-M</v>
          </cell>
          <cell r="G8013" t="str">
            <v>INPE$</v>
          </cell>
          <cell r="L8013">
            <v>39673</v>
          </cell>
          <cell r="M8013">
            <v>3.036</v>
          </cell>
          <cell r="P8013">
            <v>0.91567852437417652</v>
          </cell>
        </row>
        <row r="8014">
          <cell r="A8014" t="str">
            <v>PEE-HS--6007-2RLD-C0</v>
          </cell>
          <cell r="G8014" t="str">
            <v>INDEV</v>
          </cell>
          <cell r="L8014">
            <v>41057</v>
          </cell>
          <cell r="M8014">
            <v>4.49</v>
          </cell>
          <cell r="P8014">
            <v>1.2431625835189311</v>
          </cell>
        </row>
        <row r="8015">
          <cell r="A8015" t="str">
            <v>PEE-HS--6007-2RLD-C3</v>
          </cell>
          <cell r="G8015" t="str">
            <v xml:space="preserve">CR   </v>
          </cell>
          <cell r="L8015">
            <v>38811</v>
          </cell>
          <cell r="M8015">
            <v>3.085</v>
          </cell>
          <cell r="P8015">
            <v>2.1711</v>
          </cell>
        </row>
        <row r="8016">
          <cell r="A8016" t="str">
            <v>PEE-HS--6007-D-C0</v>
          </cell>
          <cell r="G8016" t="str">
            <v xml:space="preserve">CR   </v>
          </cell>
          <cell r="L8016">
            <v>40428.376423611109</v>
          </cell>
          <cell r="M8016">
            <v>3.97</v>
          </cell>
          <cell r="P8016">
            <v>1.345</v>
          </cell>
        </row>
        <row r="8017">
          <cell r="A8017" t="str">
            <v>PEE-HS--6008-2RLD-C0</v>
          </cell>
          <cell r="G8017" t="str">
            <v xml:space="preserve">CR   </v>
          </cell>
          <cell r="L8017">
            <v>38811</v>
          </cell>
          <cell r="M8017">
            <v>3.085</v>
          </cell>
          <cell r="P8017">
            <v>2.3992</v>
          </cell>
        </row>
        <row r="8018">
          <cell r="A8018" t="str">
            <v>PEE-HS--6008-D-C0</v>
          </cell>
          <cell r="G8018" t="str">
            <v>INPEE</v>
          </cell>
          <cell r="L8018">
            <v>39273</v>
          </cell>
          <cell r="M8018">
            <v>3.1030000000000002</v>
          </cell>
          <cell r="P8018">
            <v>1.1499999999999999</v>
          </cell>
        </row>
        <row r="8019">
          <cell r="A8019" t="str">
            <v>PEE-HS--6201-2RLD-C0</v>
          </cell>
          <cell r="G8019" t="str">
            <v>INPEE</v>
          </cell>
          <cell r="L8019">
            <v>39399</v>
          </cell>
          <cell r="M8019">
            <v>3.1320000000000001</v>
          </cell>
          <cell r="P8019">
            <v>0.5</v>
          </cell>
        </row>
        <row r="8020">
          <cell r="A8020" t="str">
            <v>PEE-HS--6201-2RLD-C3</v>
          </cell>
          <cell r="G8020" t="str">
            <v xml:space="preserve">CR   </v>
          </cell>
          <cell r="L8020">
            <v>40428.376423611109</v>
          </cell>
          <cell r="M8020">
            <v>3.97</v>
          </cell>
          <cell r="P8020">
            <v>0.70099999999999996</v>
          </cell>
        </row>
        <row r="8021">
          <cell r="A8021" t="str">
            <v>PEE-HS--6201-2RSC0-M</v>
          </cell>
          <cell r="G8021" t="str">
            <v>INPEE</v>
          </cell>
          <cell r="L8021">
            <v>38512</v>
          </cell>
          <cell r="M8021">
            <v>2.8959999999999999</v>
          </cell>
          <cell r="P8021">
            <v>0.39</v>
          </cell>
        </row>
        <row r="8022">
          <cell r="A8022" t="str">
            <v>PEE-HS--6201-2Z-C0</v>
          </cell>
          <cell r="G8022" t="str">
            <v>INPEE</v>
          </cell>
          <cell r="L8022">
            <v>38512</v>
          </cell>
          <cell r="M8022">
            <v>2.8959999999999999</v>
          </cell>
          <cell r="P8022">
            <v>0.6</v>
          </cell>
        </row>
        <row r="8023">
          <cell r="A8023" t="str">
            <v>PEE-HS--6201-D-C0</v>
          </cell>
          <cell r="G8023" t="str">
            <v>INPEE</v>
          </cell>
          <cell r="L8023">
            <v>38107</v>
          </cell>
          <cell r="M8023">
            <v>2.8580000000000001</v>
          </cell>
          <cell r="P8023">
            <v>0.57999999999999996</v>
          </cell>
        </row>
        <row r="8024">
          <cell r="A8024" t="str">
            <v>PEE-HS--6201-D-C3</v>
          </cell>
          <cell r="G8024" t="str">
            <v>INPE$</v>
          </cell>
          <cell r="L8024">
            <v>39514</v>
          </cell>
          <cell r="M8024">
            <v>3.1539999999999999</v>
          </cell>
          <cell r="P8024">
            <v>0.43436905516804064</v>
          </cell>
        </row>
        <row r="8025">
          <cell r="A8025" t="str">
            <v>PEE-HS--6202-2RLD-C0</v>
          </cell>
          <cell r="G8025" t="str">
            <v>IPFAP</v>
          </cell>
          <cell r="L8025">
            <v>41929</v>
          </cell>
          <cell r="M8025">
            <v>8.4700000000000006</v>
          </cell>
          <cell r="P8025">
            <v>0.29445100354191261</v>
          </cell>
        </row>
        <row r="8026">
          <cell r="A8026" t="str">
            <v>PEE-HS--6202-2RLD-C3</v>
          </cell>
          <cell r="G8026" t="str">
            <v xml:space="preserve">INAC </v>
          </cell>
          <cell r="L8026">
            <v>42667</v>
          </cell>
          <cell r="M8026">
            <v>15.41</v>
          </cell>
          <cell r="P8026">
            <v>0.55029201817001949</v>
          </cell>
        </row>
        <row r="8027">
          <cell r="A8027" t="str">
            <v>PEE-HS--6202-2RSC3-M</v>
          </cell>
          <cell r="G8027" t="str">
            <v xml:space="preserve">CR   </v>
          </cell>
          <cell r="L8027">
            <v>40428.376423611109</v>
          </cell>
          <cell r="M8027">
            <v>3.97</v>
          </cell>
          <cell r="P8027">
            <v>0.52800000000000002</v>
          </cell>
        </row>
        <row r="8028">
          <cell r="A8028" t="str">
            <v>PEE-HS--6202-D-C0</v>
          </cell>
          <cell r="G8028" t="str">
            <v>INPE$</v>
          </cell>
          <cell r="L8028">
            <v>40883</v>
          </cell>
          <cell r="M8028">
            <v>4.3</v>
          </cell>
          <cell r="P8028">
            <v>0.60399999999999998</v>
          </cell>
        </row>
        <row r="8029">
          <cell r="A8029" t="str">
            <v>PEE-HS--6202-D-C3</v>
          </cell>
          <cell r="G8029" t="str">
            <v>INPE$</v>
          </cell>
          <cell r="L8029">
            <v>40883</v>
          </cell>
          <cell r="M8029">
            <v>4.3</v>
          </cell>
          <cell r="P8029">
            <v>0.59106976744186046</v>
          </cell>
        </row>
        <row r="8030">
          <cell r="A8030" t="str">
            <v>PEE-HS--6203-2RLD-C0</v>
          </cell>
          <cell r="G8030" t="str">
            <v>IPFAP</v>
          </cell>
          <cell r="L8030">
            <v>41309</v>
          </cell>
          <cell r="M8030">
            <v>4.99</v>
          </cell>
          <cell r="P8030">
            <v>0.77673346693386769</v>
          </cell>
        </row>
        <row r="8031">
          <cell r="A8031" t="str">
            <v>PEE-HS--6203-2RLD-C3</v>
          </cell>
          <cell r="G8031" t="str">
            <v>IPFAP</v>
          </cell>
          <cell r="L8031">
            <v>41515</v>
          </cell>
          <cell r="M8031">
            <v>5.65</v>
          </cell>
          <cell r="P8031">
            <v>0.35221238938053095</v>
          </cell>
        </row>
        <row r="8032">
          <cell r="A8032" t="str">
            <v>PEE-HS--6203-2RSC0-M</v>
          </cell>
          <cell r="G8032" t="str">
            <v>INPEE</v>
          </cell>
          <cell r="L8032">
            <v>38988</v>
          </cell>
          <cell r="M8032">
            <v>3.1019999999999999</v>
          </cell>
          <cell r="P8032">
            <v>0.41</v>
          </cell>
        </row>
        <row r="8033">
          <cell r="A8033" t="str">
            <v>PEE-HS--6203-2RSC3-M</v>
          </cell>
          <cell r="G8033" t="str">
            <v>INPEE</v>
          </cell>
          <cell r="L8033">
            <v>39028</v>
          </cell>
          <cell r="M8033">
            <v>3.0830000000000002</v>
          </cell>
          <cell r="P8033">
            <v>0.43</v>
          </cell>
        </row>
        <row r="8034">
          <cell r="A8034" t="str">
            <v>PEE-HS--6203-2RST-C0</v>
          </cell>
          <cell r="G8034" t="str">
            <v>INPE$</v>
          </cell>
          <cell r="L8034">
            <v>39618</v>
          </cell>
          <cell r="M8034">
            <v>3.0350000000000001</v>
          </cell>
          <cell r="P8034">
            <v>0.49752883031301481</v>
          </cell>
        </row>
        <row r="8035">
          <cell r="A8035" t="str">
            <v>PEE-HS--6203-2RST-C3</v>
          </cell>
          <cell r="G8035" t="str">
            <v>INPEE</v>
          </cell>
          <cell r="L8035">
            <v>39351</v>
          </cell>
          <cell r="M8035">
            <v>3.1469999999999998</v>
          </cell>
          <cell r="P8035">
            <v>0.49</v>
          </cell>
        </row>
        <row r="8036">
          <cell r="A8036" t="str">
            <v>PEE-HS--6203-D-C0</v>
          </cell>
          <cell r="G8036" t="str">
            <v>IPFAB</v>
          </cell>
          <cell r="L8036">
            <v>41046</v>
          </cell>
          <cell r="M8036">
            <v>4.47</v>
          </cell>
          <cell r="P8036">
            <v>0.63090000000000002</v>
          </cell>
        </row>
        <row r="8037">
          <cell r="A8037" t="str">
            <v>PEE-HS--6203-D-C0-M</v>
          </cell>
          <cell r="G8037" t="str">
            <v xml:space="preserve">CR   </v>
          </cell>
          <cell r="L8037">
            <v>40428.376423611109</v>
          </cell>
          <cell r="M8037">
            <v>3.97</v>
          </cell>
          <cell r="P8037">
            <v>0.40300000000000002</v>
          </cell>
        </row>
        <row r="8038">
          <cell r="A8038" t="str">
            <v>PEE-HS--6203-D-C3</v>
          </cell>
          <cell r="G8038" t="str">
            <v>INPE$</v>
          </cell>
          <cell r="L8038">
            <v>39787</v>
          </cell>
          <cell r="M8038">
            <v>3.4430000000000001</v>
          </cell>
          <cell r="P8038">
            <v>0.7319198373511473</v>
          </cell>
        </row>
        <row r="8039">
          <cell r="A8039" t="str">
            <v>PEE-HS--6203-D-C3-M</v>
          </cell>
          <cell r="G8039" t="str">
            <v>INPE$</v>
          </cell>
          <cell r="L8039">
            <v>39514</v>
          </cell>
          <cell r="M8039">
            <v>3.1539999999999999</v>
          </cell>
          <cell r="P8039">
            <v>0.45973367152821815</v>
          </cell>
        </row>
        <row r="8040">
          <cell r="A8040" t="str">
            <v>PEE-HS--6203-D-C3-RM</v>
          </cell>
          <cell r="G8040" t="str">
            <v>INPEE</v>
          </cell>
          <cell r="L8040">
            <v>38723</v>
          </cell>
          <cell r="M8040">
            <v>3.05</v>
          </cell>
          <cell r="P8040">
            <v>0.49</v>
          </cell>
        </row>
        <row r="8041">
          <cell r="A8041" t="str">
            <v>PEE-HS--6203-ZZ-C3</v>
          </cell>
          <cell r="G8041" t="str">
            <v>INDEV</v>
          </cell>
          <cell r="L8041">
            <v>40773</v>
          </cell>
          <cell r="M8041">
            <v>4.1900000000000004</v>
          </cell>
          <cell r="P8041">
            <v>0.77899761336515505</v>
          </cell>
        </row>
        <row r="8042">
          <cell r="A8042" t="str">
            <v>PEE-HS--6204-1RSC0-M</v>
          </cell>
          <cell r="G8042" t="str">
            <v>INPEE</v>
          </cell>
          <cell r="L8042">
            <v>38931</v>
          </cell>
          <cell r="M8042">
            <v>3.0710000000000002</v>
          </cell>
          <cell r="P8042">
            <v>0.68</v>
          </cell>
        </row>
        <row r="8043">
          <cell r="A8043" t="str">
            <v>PEE-HS--6204-2RLD-C0</v>
          </cell>
          <cell r="G8043" t="str">
            <v xml:space="preserve">CR   </v>
          </cell>
          <cell r="L8043">
            <v>38624</v>
          </cell>
          <cell r="M8043">
            <v>2.915</v>
          </cell>
          <cell r="P8043">
            <v>1.0249999999999999</v>
          </cell>
        </row>
        <row r="8044">
          <cell r="A8044" t="str">
            <v>PEE-HS--6204-2RLD-C2</v>
          </cell>
          <cell r="G8044" t="str">
            <v>INPEE</v>
          </cell>
          <cell r="L8044">
            <v>38189</v>
          </cell>
          <cell r="M8044">
            <v>2.9489999999999998</v>
          </cell>
          <cell r="P8044">
            <v>1</v>
          </cell>
        </row>
        <row r="8045">
          <cell r="A8045" t="str">
            <v>PEE-HS--6204-2RLD-C3</v>
          </cell>
          <cell r="G8045" t="str">
            <v>IPFAP</v>
          </cell>
          <cell r="L8045">
            <v>41026</v>
          </cell>
          <cell r="M8045">
            <v>4.43</v>
          </cell>
          <cell r="P8045">
            <v>1.1942212189616253</v>
          </cell>
        </row>
        <row r="8046">
          <cell r="A8046" t="str">
            <v>PEE-HS--6204-2RSC3-M</v>
          </cell>
          <cell r="G8046" t="str">
            <v>INPEE</v>
          </cell>
          <cell r="L8046">
            <v>39244</v>
          </cell>
          <cell r="M8046">
            <v>3.0760000000000001</v>
          </cell>
          <cell r="P8046">
            <v>0.68</v>
          </cell>
        </row>
        <row r="8047">
          <cell r="A8047" t="str">
            <v>PEE-HS--6204-2RST-C0</v>
          </cell>
          <cell r="G8047" t="str">
            <v>INPEE</v>
          </cell>
          <cell r="L8047">
            <v>38988</v>
          </cell>
          <cell r="M8047">
            <v>3.1019999999999999</v>
          </cell>
          <cell r="P8047">
            <v>0.77</v>
          </cell>
        </row>
        <row r="8048">
          <cell r="A8048" t="str">
            <v>PEE-HS--6204-2RST-C2</v>
          </cell>
          <cell r="G8048" t="str">
            <v xml:space="preserve">CR   </v>
          </cell>
          <cell r="L8048">
            <v>38624</v>
          </cell>
          <cell r="M8048">
            <v>2.915</v>
          </cell>
          <cell r="P8048">
            <v>0.83030000000000004</v>
          </cell>
        </row>
        <row r="8049">
          <cell r="A8049" t="str">
            <v>PEE-HS--6204-2RST-C3</v>
          </cell>
          <cell r="G8049" t="str">
            <v>INPEE</v>
          </cell>
          <cell r="L8049">
            <v>38475</v>
          </cell>
          <cell r="M8049">
            <v>2.9</v>
          </cell>
          <cell r="P8049">
            <v>1.08</v>
          </cell>
        </row>
        <row r="8050">
          <cell r="A8050" t="str">
            <v>PEE-HS--6204-2RSTC3M</v>
          </cell>
          <cell r="G8050" t="str">
            <v>INPEE</v>
          </cell>
          <cell r="L8050">
            <v>38953</v>
          </cell>
          <cell r="M8050">
            <v>3.0859999999999999</v>
          </cell>
          <cell r="P8050">
            <v>0.77</v>
          </cell>
        </row>
        <row r="8051">
          <cell r="A8051" t="str">
            <v>PEE-HS--6204-D-C0</v>
          </cell>
          <cell r="G8051" t="str">
            <v xml:space="preserve">CR   </v>
          </cell>
          <cell r="L8051">
            <v>40428.376423611109</v>
          </cell>
          <cell r="M8051">
            <v>3.97</v>
          </cell>
          <cell r="P8051">
            <v>1.0049999999999999</v>
          </cell>
        </row>
        <row r="8052">
          <cell r="A8052" t="str">
            <v>PEE-HS--6204-D-C0-M</v>
          </cell>
          <cell r="G8052" t="str">
            <v>INPEE</v>
          </cell>
          <cell r="L8052">
            <v>39010</v>
          </cell>
          <cell r="M8052">
            <v>3.089</v>
          </cell>
          <cell r="P8052">
            <v>0.64</v>
          </cell>
        </row>
        <row r="8053">
          <cell r="A8053" t="str">
            <v>PEE-HS--6204-D-C2</v>
          </cell>
          <cell r="G8053" t="str">
            <v xml:space="preserve">CR   </v>
          </cell>
          <cell r="L8053">
            <v>38624</v>
          </cell>
          <cell r="M8053">
            <v>2.915</v>
          </cell>
          <cell r="P8053">
            <v>0.69699999999999995</v>
          </cell>
        </row>
        <row r="8054">
          <cell r="A8054" t="str">
            <v>PEE-HS--6204-D-C3</v>
          </cell>
          <cell r="G8054" t="str">
            <v>IPFAB</v>
          </cell>
          <cell r="L8054">
            <v>40550</v>
          </cell>
          <cell r="M8054">
            <v>4.01</v>
          </cell>
          <cell r="P8054">
            <v>1.0049999999999999</v>
          </cell>
        </row>
        <row r="8055">
          <cell r="A8055" t="str">
            <v>PEE-HS--6204-D-C3-M</v>
          </cell>
          <cell r="G8055" t="str">
            <v>INPEE</v>
          </cell>
          <cell r="L8055">
            <v>39029</v>
          </cell>
          <cell r="M8055">
            <v>3.077</v>
          </cell>
          <cell r="P8055">
            <v>0.66</v>
          </cell>
        </row>
        <row r="8056">
          <cell r="A8056" t="str">
            <v>PEE-HS--6205-2RLD-C0</v>
          </cell>
          <cell r="G8056" t="str">
            <v xml:space="preserve">CR   </v>
          </cell>
          <cell r="L8056">
            <v>38624</v>
          </cell>
          <cell r="M8056">
            <v>2.915</v>
          </cell>
          <cell r="P8056">
            <v>1.2813000000000001</v>
          </cell>
        </row>
        <row r="8057">
          <cell r="A8057" t="str">
            <v>PEE-HS--6205-2RLD-C3</v>
          </cell>
          <cell r="G8057" t="str">
            <v>IPFAB</v>
          </cell>
          <cell r="L8057">
            <v>40521</v>
          </cell>
          <cell r="M8057">
            <v>4</v>
          </cell>
          <cell r="P8057">
            <v>1.36</v>
          </cell>
        </row>
        <row r="8058">
          <cell r="A8058" t="str">
            <v>PEE-HS--6205-2RSC3-M</v>
          </cell>
          <cell r="G8058" t="str">
            <v>INPEE</v>
          </cell>
          <cell r="L8058">
            <v>38953</v>
          </cell>
          <cell r="M8058">
            <v>3.0859999999999999</v>
          </cell>
          <cell r="P8058">
            <v>0.93</v>
          </cell>
        </row>
        <row r="8059">
          <cell r="A8059" t="str">
            <v>PEE-HS--6205-2RSC3M</v>
          </cell>
          <cell r="G8059" t="str">
            <v>INPEE</v>
          </cell>
          <cell r="L8059">
            <v>38824</v>
          </cell>
          <cell r="M8059">
            <v>3.07</v>
          </cell>
          <cell r="P8059">
            <v>0.93</v>
          </cell>
        </row>
        <row r="8060">
          <cell r="A8060" t="str">
            <v>PEE-HS--6205-2RST-C0</v>
          </cell>
          <cell r="G8060" t="str">
            <v xml:space="preserve">INSI </v>
          </cell>
          <cell r="L8060">
            <v>40388</v>
          </cell>
          <cell r="M8060">
            <v>3.95</v>
          </cell>
          <cell r="P8060">
            <v>1.0126999999999999</v>
          </cell>
        </row>
        <row r="8061">
          <cell r="A8061" t="str">
            <v>PEE-HS--6205-D-C0</v>
          </cell>
          <cell r="G8061" t="str">
            <v>INPEE</v>
          </cell>
          <cell r="L8061">
            <v>38663</v>
          </cell>
          <cell r="M8061">
            <v>2.9820000000000002</v>
          </cell>
          <cell r="P8061">
            <v>0.46</v>
          </cell>
        </row>
        <row r="8062">
          <cell r="A8062" t="str">
            <v>PEE-HS--6205-D-C2</v>
          </cell>
          <cell r="G8062" t="str">
            <v>INPEE</v>
          </cell>
          <cell r="L8062">
            <v>37921</v>
          </cell>
          <cell r="M8062">
            <v>2.84</v>
          </cell>
          <cell r="P8062">
            <v>0.87</v>
          </cell>
        </row>
        <row r="8063">
          <cell r="A8063" t="str">
            <v>PEE-HS--6205-D-C3</v>
          </cell>
          <cell r="G8063" t="str">
            <v>INPEE</v>
          </cell>
          <cell r="L8063">
            <v>39379</v>
          </cell>
          <cell r="M8063">
            <v>3.173</v>
          </cell>
          <cell r="P8063">
            <v>0.77</v>
          </cell>
        </row>
        <row r="8064">
          <cell r="A8064" t="str">
            <v>PEE-HS--6205-D-C3-M</v>
          </cell>
          <cell r="G8064" t="str">
            <v>IPFAB</v>
          </cell>
          <cell r="L8064">
            <v>40427</v>
          </cell>
          <cell r="M8064">
            <v>3.97</v>
          </cell>
          <cell r="P8064">
            <v>1.0092000000000001</v>
          </cell>
        </row>
        <row r="8065">
          <cell r="A8065" t="str">
            <v>PEE-HS--6205-ZZ-C3</v>
          </cell>
          <cell r="G8065" t="str">
            <v xml:space="preserve">CR   </v>
          </cell>
          <cell r="L8065">
            <v>40428.376423611109</v>
          </cell>
          <cell r="M8065">
            <v>3.97</v>
          </cell>
          <cell r="P8065">
            <v>0.95699999999999996</v>
          </cell>
        </row>
        <row r="8066">
          <cell r="A8066" t="str">
            <v>PEE-HS--6206-1RLD-C0</v>
          </cell>
          <cell r="G8066" t="str">
            <v xml:space="preserve">CR   </v>
          </cell>
          <cell r="L8066">
            <v>38811</v>
          </cell>
          <cell r="M8066">
            <v>3.085</v>
          </cell>
          <cell r="P8066">
            <v>1.4319999999999999</v>
          </cell>
        </row>
        <row r="8067">
          <cell r="A8067" t="str">
            <v>PEE-HS--6206-1RLD-C3</v>
          </cell>
          <cell r="G8067" t="str">
            <v>IPFAB</v>
          </cell>
          <cell r="L8067">
            <v>40017</v>
          </cell>
          <cell r="M8067">
            <v>3.82</v>
          </cell>
          <cell r="P8067">
            <v>0.26178000000000001</v>
          </cell>
        </row>
        <row r="8068">
          <cell r="A8068" t="str">
            <v>PEE-HS--6206-2RLD-C0</v>
          </cell>
          <cell r="G8068" t="str">
            <v xml:space="preserve">CR   </v>
          </cell>
          <cell r="L8068">
            <v>38811</v>
          </cell>
          <cell r="M8068">
            <v>3.085</v>
          </cell>
          <cell r="P8068">
            <v>1.5101</v>
          </cell>
        </row>
        <row r="8069">
          <cell r="A8069" t="str">
            <v>PEE-HS--6206-2RLD-C2</v>
          </cell>
          <cell r="G8069" t="str">
            <v>INPEE</v>
          </cell>
          <cell r="L8069">
            <v>38195</v>
          </cell>
          <cell r="M8069">
            <v>2.9769999999999999</v>
          </cell>
          <cell r="P8069">
            <v>1.5</v>
          </cell>
        </row>
        <row r="8070">
          <cell r="A8070" t="str">
            <v>PEE-HS--6206-2RLD-C3</v>
          </cell>
          <cell r="G8070" t="str">
            <v xml:space="preserve">INSI </v>
          </cell>
          <cell r="L8070">
            <v>41067</v>
          </cell>
          <cell r="M8070">
            <v>4.5</v>
          </cell>
          <cell r="P8070">
            <v>1.1511</v>
          </cell>
        </row>
        <row r="8071">
          <cell r="A8071" t="str">
            <v>PEE-HS--6206-D-C0</v>
          </cell>
          <cell r="G8071" t="str">
            <v xml:space="preserve">INSI </v>
          </cell>
          <cell r="L8071">
            <v>41856</v>
          </cell>
          <cell r="M8071">
            <v>8.24</v>
          </cell>
          <cell r="P8071">
            <v>1.04</v>
          </cell>
        </row>
        <row r="8072">
          <cell r="A8072" t="str">
            <v>PEE-HS--6206-D-C0-M</v>
          </cell>
          <cell r="G8072" t="str">
            <v>INPEE</v>
          </cell>
          <cell r="L8072">
            <v>39262</v>
          </cell>
          <cell r="M8072">
            <v>3.09</v>
          </cell>
          <cell r="P8072">
            <v>0.88</v>
          </cell>
        </row>
        <row r="8073">
          <cell r="A8073" t="str">
            <v>PEE-HS--6206-D-C2</v>
          </cell>
          <cell r="G8073" t="str">
            <v>INPEE</v>
          </cell>
          <cell r="L8073">
            <v>37921</v>
          </cell>
          <cell r="M8073">
            <v>2.84</v>
          </cell>
          <cell r="P8073">
            <v>0.98</v>
          </cell>
        </row>
        <row r="8074">
          <cell r="A8074" t="str">
            <v>PEE-HS--6206-D-C3</v>
          </cell>
          <cell r="G8074" t="str">
            <v>INPE$</v>
          </cell>
          <cell r="L8074">
            <v>40693</v>
          </cell>
          <cell r="M8074">
            <v>4.12</v>
          </cell>
          <cell r="P8074">
            <v>1.1137621359223302</v>
          </cell>
        </row>
        <row r="8075">
          <cell r="A8075" t="str">
            <v>PEE-HS--6206-D-C3-M</v>
          </cell>
          <cell r="G8075" t="str">
            <v>INPEE</v>
          </cell>
          <cell r="L8075">
            <v>39416</v>
          </cell>
          <cell r="M8075">
            <v>3.1480000000000001</v>
          </cell>
          <cell r="P8075">
            <v>0.88</v>
          </cell>
        </row>
        <row r="8076">
          <cell r="A8076" t="str">
            <v>PEE-HS--6206-RLD-C3</v>
          </cell>
          <cell r="G8076" t="str">
            <v>INPE$</v>
          </cell>
          <cell r="L8076">
            <v>39673</v>
          </cell>
          <cell r="M8076">
            <v>3.036</v>
          </cell>
          <cell r="P8076">
            <v>0.91096837944664022</v>
          </cell>
        </row>
        <row r="8077">
          <cell r="A8077" t="str">
            <v>PEE-HS--6207-2RLD-C0</v>
          </cell>
          <cell r="G8077" t="str">
            <v xml:space="preserve">INAC </v>
          </cell>
          <cell r="L8077">
            <v>39135</v>
          </cell>
          <cell r="M8077">
            <v>3.1059999999999999</v>
          </cell>
          <cell r="P8077">
            <v>0.40888602704443017</v>
          </cell>
        </row>
        <row r="8078">
          <cell r="A8078" t="str">
            <v>PEE-HS--6207-D-C0</v>
          </cell>
          <cell r="G8078" t="str">
            <v>INPEE</v>
          </cell>
          <cell r="L8078">
            <v>39421</v>
          </cell>
          <cell r="M8078">
            <v>3.1360000000000001</v>
          </cell>
          <cell r="P8078">
            <v>1.26</v>
          </cell>
        </row>
        <row r="8079">
          <cell r="A8079" t="str">
            <v>PEE-HS--6207-D-C3</v>
          </cell>
          <cell r="G8079" t="str">
            <v>INPEE</v>
          </cell>
          <cell r="L8079">
            <v>38188</v>
          </cell>
          <cell r="M8079">
            <v>2.948</v>
          </cell>
          <cell r="P8079">
            <v>2.1</v>
          </cell>
        </row>
        <row r="8080">
          <cell r="A8080" t="str">
            <v>PEE-HS--6208-2RLD-C0</v>
          </cell>
          <cell r="G8080" t="str">
            <v xml:space="preserve">CR   </v>
          </cell>
          <cell r="L8080">
            <v>40428.376423611109</v>
          </cell>
          <cell r="M8080">
            <v>3.97</v>
          </cell>
          <cell r="P8080">
            <v>1.323</v>
          </cell>
        </row>
        <row r="8081">
          <cell r="A8081" t="str">
            <v>PEE-HS--6208-2RLD-C3</v>
          </cell>
          <cell r="G8081" t="str">
            <v xml:space="preserve">INSI </v>
          </cell>
          <cell r="L8081">
            <v>41753</v>
          </cell>
          <cell r="M8081">
            <v>8.0500000000000007</v>
          </cell>
          <cell r="P8081">
            <v>0.1242</v>
          </cell>
        </row>
        <row r="8082">
          <cell r="A8082" t="str">
            <v>PEE-HS--6208-D-C0</v>
          </cell>
          <cell r="G8082" t="str">
            <v xml:space="preserve">CR   </v>
          </cell>
          <cell r="L8082">
            <v>40428.376423611109</v>
          </cell>
          <cell r="M8082">
            <v>3.97</v>
          </cell>
          <cell r="P8082">
            <v>1.518</v>
          </cell>
        </row>
        <row r="8083">
          <cell r="A8083" t="str">
            <v>PEE-HS--6208-D-C2</v>
          </cell>
          <cell r="G8083" t="str">
            <v>INPEE</v>
          </cell>
          <cell r="L8083">
            <v>38770</v>
          </cell>
          <cell r="M8083">
            <v>3.07</v>
          </cell>
          <cell r="P8083">
            <v>1.39</v>
          </cell>
        </row>
        <row r="8084">
          <cell r="A8084" t="str">
            <v>PEE-HS--6208-D-C3</v>
          </cell>
          <cell r="G8084" t="str">
            <v>IPFAB</v>
          </cell>
          <cell r="L8084">
            <v>40828</v>
          </cell>
          <cell r="M8084">
            <v>4.24</v>
          </cell>
          <cell r="P8084">
            <v>1.5</v>
          </cell>
        </row>
        <row r="8085">
          <cell r="A8085" t="str">
            <v>PEE-HS--6304-2RLD-C3</v>
          </cell>
          <cell r="G8085" t="str">
            <v xml:space="preserve">CR   </v>
          </cell>
          <cell r="L8085">
            <v>40428.376423611109</v>
          </cell>
          <cell r="M8085">
            <v>3.97</v>
          </cell>
          <cell r="P8085">
            <v>1.4279999999999999</v>
          </cell>
        </row>
        <row r="8086">
          <cell r="A8086" t="str">
            <v>PEE-HS--6304-D-C3</v>
          </cell>
          <cell r="G8086" t="str">
            <v xml:space="preserve">CR   </v>
          </cell>
          <cell r="L8086">
            <v>40428.376423611109</v>
          </cell>
          <cell r="M8086">
            <v>3.97</v>
          </cell>
          <cell r="P8086">
            <v>1.284</v>
          </cell>
        </row>
        <row r="8087">
          <cell r="A8087" t="str">
            <v>PEE-HS--6304-N</v>
          </cell>
          <cell r="G8087" t="str">
            <v xml:space="preserve">CR   </v>
          </cell>
          <cell r="L8087">
            <v>40428.376423611109</v>
          </cell>
          <cell r="M8087">
            <v>3.97</v>
          </cell>
          <cell r="P8087">
            <v>1.611</v>
          </cell>
        </row>
        <row r="8088">
          <cell r="A8088" t="str">
            <v>PEE-HS--6305-2RLD-C0</v>
          </cell>
          <cell r="G8088" t="str">
            <v>IPFAP</v>
          </cell>
          <cell r="L8088">
            <v>41158</v>
          </cell>
          <cell r="M8088">
            <v>4.66</v>
          </cell>
          <cell r="P8088">
            <v>0.99723175965665234</v>
          </cell>
        </row>
        <row r="8089">
          <cell r="A8089" t="str">
            <v>PEE-HS--6305-2RLD-C3</v>
          </cell>
          <cell r="G8089" t="str">
            <v>IPFAP</v>
          </cell>
          <cell r="L8089">
            <v>41158</v>
          </cell>
          <cell r="M8089">
            <v>4.66</v>
          </cell>
          <cell r="P8089">
            <v>0.13519313304721028</v>
          </cell>
        </row>
        <row r="8090">
          <cell r="A8090" t="str">
            <v>PEE-HS--6305-D-C0</v>
          </cell>
          <cell r="G8090" t="str">
            <v xml:space="preserve">CR   </v>
          </cell>
          <cell r="L8090">
            <v>40428.376423611109</v>
          </cell>
          <cell r="M8090">
            <v>3.97</v>
          </cell>
          <cell r="P8090">
            <v>1.165</v>
          </cell>
        </row>
        <row r="8091">
          <cell r="A8091" t="str">
            <v>PEE-HS--6305-D-C3</v>
          </cell>
          <cell r="G8091" t="str">
            <v xml:space="preserve">CR   </v>
          </cell>
          <cell r="L8091">
            <v>40428.376423611109</v>
          </cell>
          <cell r="M8091">
            <v>3.97</v>
          </cell>
          <cell r="P8091">
            <v>1.6619999999999999</v>
          </cell>
        </row>
        <row r="8092">
          <cell r="A8092" t="str">
            <v>PEE-HS--6305-N</v>
          </cell>
          <cell r="G8092" t="str">
            <v>IPFAB</v>
          </cell>
          <cell r="L8092">
            <v>39147</v>
          </cell>
          <cell r="M8092">
            <v>3.1019999999999999</v>
          </cell>
          <cell r="P8092">
            <v>1.9686999999999999</v>
          </cell>
        </row>
        <row r="8093">
          <cell r="A8093" t="str">
            <v>PEE-HS--6306-2RLD-C0</v>
          </cell>
          <cell r="G8093" t="str">
            <v>INDEV</v>
          </cell>
          <cell r="L8093">
            <v>41187</v>
          </cell>
          <cell r="M8093">
            <v>4.72</v>
          </cell>
          <cell r="P8093">
            <v>1.0373940677966103</v>
          </cell>
        </row>
        <row r="8094">
          <cell r="A8094" t="str">
            <v>PEE-HS--6306-D-C0</v>
          </cell>
          <cell r="G8094" t="str">
            <v>INDEV</v>
          </cell>
          <cell r="L8094">
            <v>40647</v>
          </cell>
          <cell r="M8094">
            <v>4.08</v>
          </cell>
          <cell r="P8094">
            <v>4.3921568627450984</v>
          </cell>
        </row>
        <row r="8095">
          <cell r="A8095" t="str">
            <v>PEE-HS--6306-D-C2</v>
          </cell>
          <cell r="G8095" t="str">
            <v xml:space="preserve">CR   </v>
          </cell>
          <cell r="L8095">
            <v>40428.376423611109</v>
          </cell>
          <cell r="M8095">
            <v>3.97</v>
          </cell>
          <cell r="P8095">
            <v>1.024</v>
          </cell>
        </row>
        <row r="8096">
          <cell r="A8096" t="str">
            <v>PEE-HS--6306-N</v>
          </cell>
          <cell r="G8096" t="str">
            <v>IPFAB</v>
          </cell>
          <cell r="L8096">
            <v>39147</v>
          </cell>
          <cell r="M8096">
            <v>3.1019999999999999</v>
          </cell>
          <cell r="P8096">
            <v>2.6057999999999999</v>
          </cell>
        </row>
        <row r="8097">
          <cell r="A8097" t="str">
            <v>PEE-HS--6307-2RLD-C0</v>
          </cell>
          <cell r="G8097" t="str">
            <v xml:space="preserve">CR   </v>
          </cell>
          <cell r="L8097">
            <v>38811</v>
          </cell>
          <cell r="M8097">
            <v>3.085</v>
          </cell>
          <cell r="P8097">
            <v>3.1556999999999999</v>
          </cell>
        </row>
        <row r="8098">
          <cell r="A8098" t="str">
            <v>PEE-HS--6307-D-C0</v>
          </cell>
          <cell r="G8098" t="str">
            <v>INPEE</v>
          </cell>
          <cell r="L8098">
            <v>39010</v>
          </cell>
          <cell r="M8098">
            <v>3.089</v>
          </cell>
          <cell r="P8098">
            <v>2</v>
          </cell>
        </row>
        <row r="8099">
          <cell r="A8099" t="str">
            <v>PEE-HS--6307-D-C2</v>
          </cell>
          <cell r="G8099" t="str">
            <v>INPEE</v>
          </cell>
          <cell r="L8099">
            <v>38988</v>
          </cell>
          <cell r="M8099">
            <v>3.1019999999999999</v>
          </cell>
          <cell r="P8099">
            <v>1.92</v>
          </cell>
        </row>
        <row r="8100">
          <cell r="A8100" t="str">
            <v>PEE-S---203-KRR2-C0</v>
          </cell>
          <cell r="G8100" t="str">
            <v>INPEE</v>
          </cell>
          <cell r="L8100">
            <v>38723</v>
          </cell>
          <cell r="M8100">
            <v>3.05</v>
          </cell>
          <cell r="P8100">
            <v>0.97</v>
          </cell>
        </row>
        <row r="8101">
          <cell r="A8101" t="str">
            <v>PEE-S---6004-2RLD-C0</v>
          </cell>
          <cell r="G8101" t="str">
            <v xml:space="preserve">CR   </v>
          </cell>
          <cell r="L8101">
            <v>38624</v>
          </cell>
          <cell r="M8101">
            <v>2.915</v>
          </cell>
          <cell r="P8101">
            <v>0.64570000000000005</v>
          </cell>
        </row>
        <row r="8102">
          <cell r="A8102" t="str">
            <v>PEE-S---6004-2RLD-C3</v>
          </cell>
          <cell r="G8102" t="str">
            <v>IPFAB</v>
          </cell>
          <cell r="L8102">
            <v>38155</v>
          </cell>
          <cell r="M8102">
            <v>2.9550000000000001</v>
          </cell>
          <cell r="P8102">
            <v>1</v>
          </cell>
        </row>
        <row r="8103">
          <cell r="A8103" t="str">
            <v>PEE-S---6004-D-C0</v>
          </cell>
          <cell r="G8103" t="str">
            <v xml:space="preserve">CR   </v>
          </cell>
          <cell r="L8103">
            <v>38811</v>
          </cell>
          <cell r="M8103">
            <v>3.085</v>
          </cell>
          <cell r="P8103">
            <v>0.89890000000000003</v>
          </cell>
        </row>
        <row r="8104">
          <cell r="A8104" t="str">
            <v>PEE-S---6004-D-C3</v>
          </cell>
          <cell r="G8104" t="str">
            <v>INPEE</v>
          </cell>
          <cell r="L8104">
            <v>38077</v>
          </cell>
          <cell r="M8104">
            <v>2.86</v>
          </cell>
          <cell r="P8104">
            <v>0.7</v>
          </cell>
        </row>
        <row r="8105">
          <cell r="A8105" t="str">
            <v>PEE-S---6005-2RLD-C0</v>
          </cell>
          <cell r="G8105" t="str">
            <v>IPFAB</v>
          </cell>
          <cell r="L8105">
            <v>41557</v>
          </cell>
          <cell r="M8105">
            <v>5.82</v>
          </cell>
          <cell r="P8105">
            <v>0.61</v>
          </cell>
        </row>
        <row r="8106">
          <cell r="A8106" t="str">
            <v>PEE-S---6005-2RLD-C3</v>
          </cell>
          <cell r="G8106" t="str">
            <v>IPFAP</v>
          </cell>
          <cell r="L8106">
            <v>41129</v>
          </cell>
          <cell r="M8106">
            <v>4.6100000000000003</v>
          </cell>
          <cell r="P8106">
            <v>0.13449023861171366</v>
          </cell>
        </row>
        <row r="8107">
          <cell r="A8107" t="str">
            <v>PEE-S---6005-2RSC3-M</v>
          </cell>
          <cell r="G8107" t="str">
            <v>INDEV</v>
          </cell>
          <cell r="L8107">
            <v>40072</v>
          </cell>
          <cell r="M8107">
            <v>3.85</v>
          </cell>
          <cell r="P8107">
            <v>0.5984155844155844</v>
          </cell>
        </row>
        <row r="8108">
          <cell r="A8108" t="str">
            <v>PEE-S---6005-D-C0</v>
          </cell>
          <cell r="G8108" t="str">
            <v>INPEE</v>
          </cell>
          <cell r="L8108">
            <v>38309</v>
          </cell>
          <cell r="M8108">
            <v>2.9340000000000002</v>
          </cell>
          <cell r="P8108">
            <v>1.07</v>
          </cell>
        </row>
        <row r="8109">
          <cell r="A8109" t="str">
            <v>PEE-S---6005-D-C3</v>
          </cell>
          <cell r="G8109" t="str">
            <v>IPFAP</v>
          </cell>
          <cell r="L8109">
            <v>41002</v>
          </cell>
          <cell r="M8109">
            <v>4.3899999999999997</v>
          </cell>
          <cell r="P8109">
            <v>0.91</v>
          </cell>
        </row>
        <row r="8110">
          <cell r="A8110" t="str">
            <v>PEE-S---6005-D-C3-M</v>
          </cell>
          <cell r="G8110" t="str">
            <v xml:space="preserve">CR   </v>
          </cell>
          <cell r="L8110">
            <v>40428.376423611109</v>
          </cell>
          <cell r="M8110">
            <v>3.97</v>
          </cell>
          <cell r="P8110">
            <v>0.501</v>
          </cell>
        </row>
        <row r="8111">
          <cell r="A8111" t="str">
            <v>PEE-S---6005-ZZ-C0</v>
          </cell>
          <cell r="G8111" t="str">
            <v>INDEV</v>
          </cell>
          <cell r="L8111">
            <v>39134</v>
          </cell>
          <cell r="M8111">
            <v>3.1040000000000001</v>
          </cell>
          <cell r="P8111">
            <v>0.59536082474226804</v>
          </cell>
        </row>
        <row r="8112">
          <cell r="A8112" t="str">
            <v>PEE-S---6006-2RLD-C3</v>
          </cell>
          <cell r="G8112" t="str">
            <v>INPEE</v>
          </cell>
          <cell r="L8112">
            <v>39315</v>
          </cell>
          <cell r="M8112">
            <v>3.1560000000000001</v>
          </cell>
          <cell r="P8112">
            <v>0.77</v>
          </cell>
        </row>
        <row r="8113">
          <cell r="A8113" t="str">
            <v>PEE-S---6006-D-C0</v>
          </cell>
          <cell r="G8113" t="str">
            <v>INPEE</v>
          </cell>
          <cell r="L8113">
            <v>39315</v>
          </cell>
          <cell r="M8113">
            <v>3.1560000000000001</v>
          </cell>
          <cell r="P8113">
            <v>0.7</v>
          </cell>
        </row>
        <row r="8114">
          <cell r="A8114" t="str">
            <v>PEE-S---6006-D-C3</v>
          </cell>
          <cell r="G8114" t="str">
            <v>INPEE</v>
          </cell>
          <cell r="L8114">
            <v>37889</v>
          </cell>
          <cell r="M8114">
            <v>2.89</v>
          </cell>
          <cell r="P8114">
            <v>0.83</v>
          </cell>
        </row>
        <row r="8115">
          <cell r="A8115" t="str">
            <v>PEE-S---6006-D-C3-M</v>
          </cell>
          <cell r="G8115" t="str">
            <v>INPEE</v>
          </cell>
          <cell r="L8115">
            <v>39262</v>
          </cell>
          <cell r="M8115">
            <v>3.09</v>
          </cell>
          <cell r="P8115">
            <v>0.65</v>
          </cell>
        </row>
        <row r="8116">
          <cell r="A8116" t="str">
            <v>PEE-S---6007-2RLD-C0</v>
          </cell>
          <cell r="G8116" t="str">
            <v>INDEV</v>
          </cell>
          <cell r="L8116">
            <v>39265</v>
          </cell>
          <cell r="M8116">
            <v>3.093</v>
          </cell>
          <cell r="P8116">
            <v>0.83727772389266086</v>
          </cell>
        </row>
        <row r="8117">
          <cell r="A8117" t="str">
            <v>PEE-S---6007-D-C3</v>
          </cell>
          <cell r="G8117" t="str">
            <v>INPE$</v>
          </cell>
          <cell r="L8117">
            <v>39514</v>
          </cell>
          <cell r="M8117">
            <v>3.1539999999999999</v>
          </cell>
          <cell r="P8117">
            <v>0.77679137603043757</v>
          </cell>
        </row>
        <row r="8118">
          <cell r="A8118" t="str">
            <v>PEE-S---6008-D-C0</v>
          </cell>
          <cell r="G8118" t="str">
            <v>INPEE</v>
          </cell>
          <cell r="L8118">
            <v>38077</v>
          </cell>
          <cell r="M8118">
            <v>2.86</v>
          </cell>
          <cell r="P8118">
            <v>1.78</v>
          </cell>
        </row>
        <row r="8119">
          <cell r="A8119" t="str">
            <v>PEE-S---6201-2RLD-C0</v>
          </cell>
          <cell r="G8119" t="str">
            <v xml:space="preserve">CR   </v>
          </cell>
          <cell r="L8119">
            <v>40428.376423611109</v>
          </cell>
          <cell r="M8119">
            <v>3.97</v>
          </cell>
          <cell r="P8119">
            <v>0.72899999999999998</v>
          </cell>
        </row>
        <row r="8120">
          <cell r="A8120" t="str">
            <v>PEE-S---6201-2RLD-C3</v>
          </cell>
          <cell r="G8120" t="str">
            <v xml:space="preserve">CR   </v>
          </cell>
          <cell r="L8120">
            <v>40428.376423611109</v>
          </cell>
          <cell r="M8120">
            <v>3.97</v>
          </cell>
          <cell r="P8120">
            <v>0.70099999999999996</v>
          </cell>
        </row>
        <row r="8121">
          <cell r="A8121" t="str">
            <v>PEE-S---6201-2RSC0-M</v>
          </cell>
          <cell r="G8121" t="str">
            <v>INPEE</v>
          </cell>
          <cell r="L8121">
            <v>38512</v>
          </cell>
          <cell r="M8121">
            <v>2.8959999999999999</v>
          </cell>
          <cell r="P8121">
            <v>0.39</v>
          </cell>
        </row>
        <row r="8122">
          <cell r="A8122" t="str">
            <v>PEE-S---6201-D-C0</v>
          </cell>
          <cell r="G8122" t="str">
            <v xml:space="preserve">INAC </v>
          </cell>
          <cell r="L8122">
            <v>41032</v>
          </cell>
          <cell r="M8122">
            <v>4.4400000000000004</v>
          </cell>
          <cell r="P8122">
            <v>0.5</v>
          </cell>
        </row>
        <row r="8123">
          <cell r="A8123" t="str">
            <v>PEE-S---6201-D-C3</v>
          </cell>
          <cell r="G8123" t="str">
            <v>INPE$</v>
          </cell>
          <cell r="L8123">
            <v>39514</v>
          </cell>
          <cell r="M8123">
            <v>3.1539999999999999</v>
          </cell>
          <cell r="P8123">
            <v>0.43436905516804064</v>
          </cell>
        </row>
        <row r="8124">
          <cell r="A8124" t="str">
            <v>PEE-S---6202-2RLD-C0</v>
          </cell>
          <cell r="G8124" t="str">
            <v>INPEE</v>
          </cell>
          <cell r="L8124">
            <v>38940</v>
          </cell>
          <cell r="M8124">
            <v>3.069</v>
          </cell>
          <cell r="P8124">
            <v>0.45</v>
          </cell>
        </row>
        <row r="8125">
          <cell r="A8125" t="str">
            <v>PEE-S---6202-2RLD-C3</v>
          </cell>
          <cell r="G8125" t="str">
            <v>INPEE</v>
          </cell>
          <cell r="L8125">
            <v>38194</v>
          </cell>
          <cell r="M8125">
            <v>2.9670000000000001</v>
          </cell>
          <cell r="P8125">
            <v>0.69</v>
          </cell>
        </row>
        <row r="8126">
          <cell r="A8126" t="str">
            <v>PEE-S---6202-2RSC3-M</v>
          </cell>
          <cell r="G8126" t="str">
            <v>INPEE</v>
          </cell>
          <cell r="L8126">
            <v>39155</v>
          </cell>
          <cell r="M8126">
            <v>3.101</v>
          </cell>
          <cell r="P8126">
            <v>0.48</v>
          </cell>
        </row>
        <row r="8127">
          <cell r="A8127" t="str">
            <v>PEE-S---6202-D-C0</v>
          </cell>
          <cell r="G8127" t="str">
            <v>INPEE</v>
          </cell>
          <cell r="L8127">
            <v>38188</v>
          </cell>
          <cell r="M8127">
            <v>2.948</v>
          </cell>
          <cell r="P8127">
            <v>0.6</v>
          </cell>
        </row>
        <row r="8128">
          <cell r="A8128" t="str">
            <v>PEE-S---6203-1RST</v>
          </cell>
          <cell r="G8128" t="str">
            <v>INDEV</v>
          </cell>
          <cell r="L8128">
            <v>40635</v>
          </cell>
          <cell r="M8128">
            <v>4.07</v>
          </cell>
          <cell r="P8128">
            <v>1.2285012285012284</v>
          </cell>
        </row>
        <row r="8129">
          <cell r="A8129" t="str">
            <v>PEE-S---6203-2RLD-C0</v>
          </cell>
          <cell r="G8129" t="str">
            <v>IPFAP</v>
          </cell>
          <cell r="L8129">
            <v>41515</v>
          </cell>
          <cell r="M8129">
            <v>5.65</v>
          </cell>
          <cell r="P8129">
            <v>0.43</v>
          </cell>
        </row>
        <row r="8130">
          <cell r="A8130" t="str">
            <v>PEE-S---6203-2RLD-C3</v>
          </cell>
          <cell r="G8130" t="str">
            <v>IPFAB</v>
          </cell>
          <cell r="L8130">
            <v>41127</v>
          </cell>
          <cell r="M8130">
            <v>4.5999999999999996</v>
          </cell>
          <cell r="P8130">
            <v>0.45</v>
          </cell>
        </row>
        <row r="8131">
          <cell r="A8131" t="str">
            <v>PEE-S---6203-2RLDC3M</v>
          </cell>
          <cell r="G8131" t="str">
            <v>IPFAB</v>
          </cell>
          <cell r="L8131">
            <v>40429</v>
          </cell>
          <cell r="M8131">
            <v>3.97</v>
          </cell>
          <cell r="P8131">
            <v>0.378</v>
          </cell>
        </row>
        <row r="8132">
          <cell r="A8132" t="str">
            <v>PEE-S---6203-2RSC0-M</v>
          </cell>
          <cell r="G8132" t="str">
            <v>INPEE</v>
          </cell>
          <cell r="L8132">
            <v>38895</v>
          </cell>
          <cell r="M8132">
            <v>3.0859999999999999</v>
          </cell>
          <cell r="P8132">
            <v>0.41</v>
          </cell>
        </row>
        <row r="8133">
          <cell r="A8133" t="str">
            <v>PEE-S---6203-2RSC3-M</v>
          </cell>
          <cell r="G8133" t="str">
            <v>INPEE</v>
          </cell>
          <cell r="L8133">
            <v>39028</v>
          </cell>
          <cell r="M8133">
            <v>3.0830000000000002</v>
          </cell>
          <cell r="P8133">
            <v>0.43</v>
          </cell>
        </row>
        <row r="8134">
          <cell r="A8134" t="str">
            <v>PEE-S---6203-2RST-C0</v>
          </cell>
          <cell r="G8134" t="str">
            <v>IPFAB</v>
          </cell>
          <cell r="L8134">
            <v>39559</v>
          </cell>
          <cell r="M8134">
            <v>3.17</v>
          </cell>
          <cell r="P8134">
            <v>0.49</v>
          </cell>
        </row>
        <row r="8135">
          <cell r="A8135" t="str">
            <v>PEE-S---6203-2RST-C3</v>
          </cell>
          <cell r="G8135" t="str">
            <v>INPEE</v>
          </cell>
          <cell r="L8135">
            <v>39330</v>
          </cell>
          <cell r="M8135">
            <v>3.165</v>
          </cell>
          <cell r="P8135">
            <v>0.49</v>
          </cell>
        </row>
        <row r="8136">
          <cell r="A8136" t="str">
            <v>PEE-S---6203-D-C0</v>
          </cell>
          <cell r="G8136" t="str">
            <v>IPFAB</v>
          </cell>
          <cell r="L8136">
            <v>41549</v>
          </cell>
          <cell r="M8136">
            <v>5.8</v>
          </cell>
          <cell r="P8136">
            <v>0.61699999999999999</v>
          </cell>
        </row>
        <row r="8137">
          <cell r="A8137" t="str">
            <v>PEE-S---6203-D-C0-M</v>
          </cell>
          <cell r="G8137" t="str">
            <v xml:space="preserve">INSI </v>
          </cell>
          <cell r="L8137">
            <v>41067</v>
          </cell>
          <cell r="M8137">
            <v>4.5</v>
          </cell>
          <cell r="P8137">
            <v>0.40300000000000002</v>
          </cell>
        </row>
        <row r="8138">
          <cell r="A8138" t="str">
            <v>PEE-S---6203-D-C3</v>
          </cell>
          <cell r="G8138" t="str">
            <v xml:space="preserve">CR   </v>
          </cell>
          <cell r="L8138">
            <v>40428.376423611109</v>
          </cell>
          <cell r="M8138">
            <v>3.97</v>
          </cell>
          <cell r="P8138">
            <v>0.73699999999999999</v>
          </cell>
        </row>
        <row r="8139">
          <cell r="A8139" t="str">
            <v>PEE-S---6203-D-C3-M</v>
          </cell>
          <cell r="G8139" t="str">
            <v xml:space="preserve">CR   </v>
          </cell>
          <cell r="L8139">
            <v>40428.376423611109</v>
          </cell>
          <cell r="M8139">
            <v>3.97</v>
          </cell>
          <cell r="P8139">
            <v>0.40699999999999997</v>
          </cell>
        </row>
        <row r="8140">
          <cell r="A8140" t="str">
            <v>PEE-S---6203-RST-C3M</v>
          </cell>
          <cell r="G8140" t="str">
            <v>INPEE</v>
          </cell>
          <cell r="L8140">
            <v>39491</v>
          </cell>
          <cell r="M8140">
            <v>3.1619999999999999</v>
          </cell>
          <cell r="P8140">
            <v>0.47</v>
          </cell>
        </row>
        <row r="8141">
          <cell r="A8141" t="str">
            <v>PEE-S---6204-1RSC0-M</v>
          </cell>
          <cell r="G8141" t="str">
            <v>INPEE</v>
          </cell>
          <cell r="L8141">
            <v>38931</v>
          </cell>
          <cell r="M8141">
            <v>3.0710000000000002</v>
          </cell>
          <cell r="P8141">
            <v>0.68</v>
          </cell>
        </row>
        <row r="8142">
          <cell r="A8142" t="str">
            <v>PEE-S---6204-2RLD-C0</v>
          </cell>
          <cell r="G8142" t="str">
            <v>INDEV</v>
          </cell>
          <cell r="L8142">
            <v>38224</v>
          </cell>
          <cell r="M8142">
            <v>2.992</v>
          </cell>
          <cell r="P8142">
            <v>0.75995989304812839</v>
          </cell>
        </row>
        <row r="8143">
          <cell r="A8143" t="str">
            <v>PEE-S---6204-2RLD-C2</v>
          </cell>
          <cell r="G8143" t="str">
            <v>IPFAB</v>
          </cell>
          <cell r="L8143">
            <v>38190</v>
          </cell>
          <cell r="M8143">
            <v>2.9529999999999998</v>
          </cell>
          <cell r="P8143">
            <v>0.77</v>
          </cell>
        </row>
        <row r="8144">
          <cell r="A8144" t="str">
            <v>PEE-S---6204-2RLD-C3</v>
          </cell>
          <cell r="G8144" t="str">
            <v>IPFAB</v>
          </cell>
          <cell r="L8144">
            <v>38236</v>
          </cell>
          <cell r="M8144">
            <v>2.9969999999999999</v>
          </cell>
          <cell r="P8144">
            <v>1</v>
          </cell>
        </row>
        <row r="8145">
          <cell r="A8145" t="str">
            <v>PEE-S---6204-2RSC3-M</v>
          </cell>
          <cell r="G8145" t="str">
            <v>INPEE</v>
          </cell>
          <cell r="L8145">
            <v>39262</v>
          </cell>
          <cell r="M8145">
            <v>3.09</v>
          </cell>
          <cell r="P8145">
            <v>0.68</v>
          </cell>
        </row>
        <row r="8146">
          <cell r="A8146" t="str">
            <v>PEE-S---6204-2RST-C0</v>
          </cell>
          <cell r="G8146" t="str">
            <v>INPEE</v>
          </cell>
          <cell r="L8146">
            <v>38988</v>
          </cell>
          <cell r="M8146">
            <v>3.1019999999999999</v>
          </cell>
          <cell r="P8146">
            <v>0.77</v>
          </cell>
        </row>
        <row r="8147">
          <cell r="A8147" t="str">
            <v>PEE-S---6204-2RST-C2</v>
          </cell>
          <cell r="G8147" t="str">
            <v>IPFAB</v>
          </cell>
          <cell r="L8147">
            <v>37882</v>
          </cell>
          <cell r="M8147">
            <v>2.91</v>
          </cell>
          <cell r="P8147">
            <v>0.81</v>
          </cell>
        </row>
        <row r="8148">
          <cell r="A8148" t="str">
            <v>PEE-S---6204-2RST-C3</v>
          </cell>
          <cell r="G8148" t="str">
            <v>INPEE</v>
          </cell>
          <cell r="L8148">
            <v>38475</v>
          </cell>
          <cell r="M8148">
            <v>2.9</v>
          </cell>
          <cell r="P8148">
            <v>1.08</v>
          </cell>
        </row>
        <row r="8149">
          <cell r="A8149" t="str">
            <v>PEE-S---6204-2RSTC3M</v>
          </cell>
          <cell r="G8149" t="str">
            <v>INPEE</v>
          </cell>
          <cell r="L8149">
            <v>38953</v>
          </cell>
          <cell r="M8149">
            <v>3.0859999999999999</v>
          </cell>
          <cell r="P8149">
            <v>0.77</v>
          </cell>
        </row>
        <row r="8150">
          <cell r="A8150" t="str">
            <v>PEE-S---6204-D-C0</v>
          </cell>
          <cell r="G8150" t="str">
            <v xml:space="preserve">CR   </v>
          </cell>
          <cell r="L8150">
            <v>38624</v>
          </cell>
          <cell r="M8150">
            <v>2.915</v>
          </cell>
          <cell r="P8150">
            <v>0.92249999999999999</v>
          </cell>
        </row>
        <row r="8151">
          <cell r="A8151" t="str">
            <v>PEE-S---6204-D-C0-M</v>
          </cell>
          <cell r="G8151" t="str">
            <v>INPEE</v>
          </cell>
          <cell r="L8151">
            <v>39010</v>
          </cell>
          <cell r="M8151">
            <v>3.089</v>
          </cell>
          <cell r="P8151">
            <v>0.64</v>
          </cell>
        </row>
        <row r="8152">
          <cell r="A8152" t="str">
            <v>PEE-S---6204-D-C2</v>
          </cell>
          <cell r="G8152" t="str">
            <v>INPEE</v>
          </cell>
          <cell r="L8152">
            <v>37897</v>
          </cell>
          <cell r="M8152">
            <v>2.9039999999999999</v>
          </cell>
          <cell r="P8152">
            <v>0.68</v>
          </cell>
        </row>
        <row r="8153">
          <cell r="A8153" t="str">
            <v>PEE-S---6204-D-C3</v>
          </cell>
          <cell r="G8153" t="str">
            <v>IPFAB</v>
          </cell>
          <cell r="L8153">
            <v>40066</v>
          </cell>
          <cell r="M8153">
            <v>3.86</v>
          </cell>
          <cell r="P8153">
            <v>0.93523299999999998</v>
          </cell>
        </row>
        <row r="8154">
          <cell r="A8154" t="str">
            <v>PEE-S---6204-D-C3-M</v>
          </cell>
          <cell r="G8154" t="str">
            <v>INPEE</v>
          </cell>
          <cell r="L8154">
            <v>39029</v>
          </cell>
          <cell r="M8154">
            <v>3.077</v>
          </cell>
          <cell r="P8154">
            <v>0.66</v>
          </cell>
        </row>
        <row r="8155">
          <cell r="A8155" t="str">
            <v>PEE-S---6205-1RS-C3</v>
          </cell>
          <cell r="G8155" t="str">
            <v>INPEE</v>
          </cell>
          <cell r="L8155">
            <v>39315</v>
          </cell>
          <cell r="M8155">
            <v>3.1560000000000001</v>
          </cell>
          <cell r="P8155">
            <v>0.86</v>
          </cell>
        </row>
        <row r="8156">
          <cell r="A8156" t="str">
            <v>PEE-S---6205-2RLD-C0</v>
          </cell>
          <cell r="G8156" t="str">
            <v>INPEE</v>
          </cell>
          <cell r="L8156">
            <v>37865</v>
          </cell>
          <cell r="M8156">
            <v>2.956</v>
          </cell>
          <cell r="P8156">
            <v>0.96</v>
          </cell>
        </row>
        <row r="8157">
          <cell r="A8157" t="str">
            <v>PEE-S---6205-2RLD-C3</v>
          </cell>
          <cell r="G8157" t="str">
            <v xml:space="preserve">CR   </v>
          </cell>
          <cell r="L8157">
            <v>38811</v>
          </cell>
          <cell r="M8157">
            <v>3.085</v>
          </cell>
          <cell r="P8157">
            <v>1.226</v>
          </cell>
        </row>
        <row r="8158">
          <cell r="A8158" t="str">
            <v>PEE-S---6205-2RSC3-M</v>
          </cell>
          <cell r="G8158" t="str">
            <v>INPEE</v>
          </cell>
          <cell r="L8158">
            <v>38909</v>
          </cell>
          <cell r="M8158">
            <v>3.0859999999999999</v>
          </cell>
          <cell r="P8158">
            <v>0.93</v>
          </cell>
        </row>
        <row r="8159">
          <cell r="A8159" t="str">
            <v>PEE-S---6205-2RST-C0</v>
          </cell>
          <cell r="G8159" t="str">
            <v>INPEE</v>
          </cell>
          <cell r="L8159">
            <v>38922</v>
          </cell>
          <cell r="M8159">
            <v>3.0819999999999999</v>
          </cell>
          <cell r="P8159">
            <v>0.98</v>
          </cell>
        </row>
        <row r="8160">
          <cell r="A8160" t="str">
            <v>PEE-S---6205-2RST-C3</v>
          </cell>
          <cell r="G8160" t="str">
            <v>IPFAP</v>
          </cell>
          <cell r="L8160">
            <v>39945</v>
          </cell>
          <cell r="M8160">
            <v>3.73</v>
          </cell>
          <cell r="P8160">
            <v>1.3994638069705094</v>
          </cell>
        </row>
        <row r="8161">
          <cell r="A8161" t="str">
            <v>PEE-S---6205-D-C0</v>
          </cell>
          <cell r="G8161" t="str">
            <v>INPEE</v>
          </cell>
          <cell r="L8161">
            <v>38530</v>
          </cell>
          <cell r="M8161">
            <v>2.88</v>
          </cell>
          <cell r="P8161">
            <v>1.1200000000000001</v>
          </cell>
        </row>
        <row r="8162">
          <cell r="A8162" t="str">
            <v>PEE-S---6205-D-C2</v>
          </cell>
          <cell r="G8162" t="str">
            <v>INPEE</v>
          </cell>
          <cell r="L8162">
            <v>37921</v>
          </cell>
          <cell r="M8162">
            <v>2.84</v>
          </cell>
          <cell r="P8162">
            <v>0.87</v>
          </cell>
        </row>
        <row r="8163">
          <cell r="A8163" t="str">
            <v>PEE-S---6205-D-C3</v>
          </cell>
          <cell r="G8163" t="str">
            <v>INPE$</v>
          </cell>
          <cell r="L8163">
            <v>39945</v>
          </cell>
          <cell r="M8163">
            <v>3.73</v>
          </cell>
          <cell r="P8163">
            <v>1.1742627345844503</v>
          </cell>
        </row>
        <row r="8164">
          <cell r="A8164" t="str">
            <v>PEE-S---6205-D-C3-M</v>
          </cell>
          <cell r="G8164" t="str">
            <v>INPEE</v>
          </cell>
          <cell r="L8164">
            <v>39399</v>
          </cell>
          <cell r="M8164">
            <v>3.1320000000000001</v>
          </cell>
          <cell r="P8164">
            <v>0.5</v>
          </cell>
        </row>
        <row r="8165">
          <cell r="A8165" t="str">
            <v>PEE-S---6206-2RLD-C0</v>
          </cell>
          <cell r="G8165" t="str">
            <v>INPEE</v>
          </cell>
          <cell r="L8165">
            <v>37894</v>
          </cell>
          <cell r="M8165">
            <v>2.91</v>
          </cell>
          <cell r="P8165">
            <v>1.08</v>
          </cell>
        </row>
        <row r="8166">
          <cell r="A8166" t="str">
            <v>PEE-S---6206-2RLD-C2</v>
          </cell>
          <cell r="G8166" t="str">
            <v>INPEE</v>
          </cell>
          <cell r="L8166">
            <v>37894</v>
          </cell>
          <cell r="M8166">
            <v>2.91</v>
          </cell>
          <cell r="P8166">
            <v>1.08</v>
          </cell>
        </row>
        <row r="8167">
          <cell r="A8167" t="str">
            <v>PEE-S---6206-2RLD-C3</v>
          </cell>
          <cell r="G8167" t="str">
            <v>InRet</v>
          </cell>
          <cell r="L8167">
            <v>40389</v>
          </cell>
          <cell r="M8167">
            <v>3.96</v>
          </cell>
          <cell r="P8167">
            <v>0.71782828282828282</v>
          </cell>
        </row>
        <row r="8168">
          <cell r="A8168" t="str">
            <v>PEE-S---6206-D-C0</v>
          </cell>
          <cell r="G8168" t="str">
            <v>INPEE</v>
          </cell>
          <cell r="L8168">
            <v>38568</v>
          </cell>
          <cell r="M8168">
            <v>2.86</v>
          </cell>
          <cell r="P8168">
            <v>1.36</v>
          </cell>
        </row>
        <row r="8169">
          <cell r="A8169" t="str">
            <v>PEE-S---6206-D-C0-M</v>
          </cell>
          <cell r="G8169" t="str">
            <v>INPEE</v>
          </cell>
          <cell r="L8169">
            <v>39262</v>
          </cell>
          <cell r="M8169">
            <v>3.09</v>
          </cell>
          <cell r="P8169">
            <v>0.88</v>
          </cell>
        </row>
        <row r="8170">
          <cell r="A8170" t="str">
            <v>PEE-S---6206-D-C2</v>
          </cell>
          <cell r="G8170" t="str">
            <v>INPEE</v>
          </cell>
          <cell r="L8170">
            <v>37921</v>
          </cell>
          <cell r="M8170">
            <v>2.84</v>
          </cell>
          <cell r="P8170">
            <v>0.98</v>
          </cell>
        </row>
        <row r="8171">
          <cell r="A8171" t="str">
            <v>PEE-S---6206-D-C3</v>
          </cell>
          <cell r="G8171" t="str">
            <v>IPFAB</v>
          </cell>
          <cell r="L8171">
            <v>40043</v>
          </cell>
          <cell r="M8171">
            <v>3.85</v>
          </cell>
          <cell r="P8171">
            <v>0.71840000000000004</v>
          </cell>
        </row>
        <row r="8172">
          <cell r="A8172" t="str">
            <v>PEE-S---6206-D-C3-M</v>
          </cell>
          <cell r="G8172" t="str">
            <v>INPE$</v>
          </cell>
          <cell r="L8172">
            <v>39518</v>
          </cell>
          <cell r="M8172">
            <v>3.1579999999999999</v>
          </cell>
          <cell r="P8172">
            <v>0.87713742875237499</v>
          </cell>
        </row>
        <row r="8173">
          <cell r="A8173" t="str">
            <v>PEE-S---6207-D-C0</v>
          </cell>
          <cell r="G8173" t="str">
            <v>INPEE</v>
          </cell>
          <cell r="L8173">
            <v>39421</v>
          </cell>
          <cell r="M8173">
            <v>3.1360000000000001</v>
          </cell>
          <cell r="P8173">
            <v>1.26</v>
          </cell>
        </row>
        <row r="8174">
          <cell r="A8174" t="str">
            <v>PEE-S---6207-D-C3</v>
          </cell>
          <cell r="G8174" t="str">
            <v>INPE$</v>
          </cell>
          <cell r="L8174">
            <v>39589</v>
          </cell>
          <cell r="M8174">
            <v>3.14</v>
          </cell>
          <cell r="P8174">
            <v>1.2720382165605095</v>
          </cell>
        </row>
        <row r="8175">
          <cell r="A8175" t="str">
            <v>PEE-S---6208-D-C0</v>
          </cell>
          <cell r="G8175" t="str">
            <v>INPEE</v>
          </cell>
          <cell r="L8175">
            <v>39167</v>
          </cell>
          <cell r="M8175">
            <v>3.1019999999999999</v>
          </cell>
          <cell r="P8175">
            <v>1.37</v>
          </cell>
        </row>
        <row r="8176">
          <cell r="A8176" t="str">
            <v>PEE-S---6208-D-C2</v>
          </cell>
          <cell r="G8176" t="str">
            <v>INPEE</v>
          </cell>
          <cell r="L8176">
            <v>38770</v>
          </cell>
          <cell r="M8176">
            <v>3.07</v>
          </cell>
          <cell r="P8176">
            <v>1.39</v>
          </cell>
        </row>
        <row r="8177">
          <cell r="A8177" t="str">
            <v>PEE-S---6304-D-C3</v>
          </cell>
          <cell r="G8177" t="str">
            <v xml:space="preserve">CR   </v>
          </cell>
          <cell r="L8177">
            <v>40428.376423611109</v>
          </cell>
          <cell r="M8177">
            <v>3.97</v>
          </cell>
          <cell r="P8177">
            <v>0.64</v>
          </cell>
        </row>
        <row r="8178">
          <cell r="A8178" t="str">
            <v>PEE-S---6305-D-C0</v>
          </cell>
          <cell r="G8178" t="str">
            <v xml:space="preserve">CR   </v>
          </cell>
          <cell r="L8178">
            <v>40428.376423611109</v>
          </cell>
          <cell r="M8178">
            <v>3.97</v>
          </cell>
          <cell r="P8178">
            <v>0.89600000000000002</v>
          </cell>
        </row>
        <row r="8179">
          <cell r="A8179" t="str">
            <v>PEE-S---6305-D-C3</v>
          </cell>
          <cell r="G8179" t="str">
            <v>IPFAP</v>
          </cell>
          <cell r="L8179">
            <v>42181</v>
          </cell>
          <cell r="M8179">
            <v>9.11</v>
          </cell>
          <cell r="P8179">
            <v>0.89600439077936334</v>
          </cell>
        </row>
        <row r="8180">
          <cell r="A8180" t="str">
            <v>PEE-S---6306-2RLD-C0</v>
          </cell>
          <cell r="G8180" t="str">
            <v>IPFAP</v>
          </cell>
          <cell r="L8180">
            <v>42272</v>
          </cell>
          <cell r="M8180">
            <v>9.4499999999999993</v>
          </cell>
          <cell r="P8180">
            <v>0.10582010582010583</v>
          </cell>
        </row>
        <row r="8181">
          <cell r="A8181" t="str">
            <v>PEE-S---6306-2RLD-C3</v>
          </cell>
          <cell r="G8181" t="str">
            <v>IPFAP</v>
          </cell>
          <cell r="L8181">
            <v>42300</v>
          </cell>
          <cell r="M8181">
            <v>9.57</v>
          </cell>
          <cell r="P8181">
            <v>0.1044932079414838</v>
          </cell>
        </row>
        <row r="8182">
          <cell r="A8182" t="str">
            <v>PEE-S---6306-D-C0</v>
          </cell>
          <cell r="G8182" t="str">
            <v xml:space="preserve">CR   </v>
          </cell>
          <cell r="L8182">
            <v>40428.376423611109</v>
          </cell>
          <cell r="M8182">
            <v>3.97</v>
          </cell>
          <cell r="P8182">
            <v>1.024</v>
          </cell>
        </row>
        <row r="8183">
          <cell r="A8183" t="str">
            <v>PEE-S---6306-D-C2</v>
          </cell>
          <cell r="G8183" t="str">
            <v xml:space="preserve">CR   </v>
          </cell>
          <cell r="L8183">
            <v>40428.376423611109</v>
          </cell>
          <cell r="M8183">
            <v>3.97</v>
          </cell>
          <cell r="P8183">
            <v>1.024</v>
          </cell>
        </row>
        <row r="8184">
          <cell r="A8184" t="str">
            <v>PEE-S---6307-2RLD-C0</v>
          </cell>
          <cell r="G8184" t="str">
            <v xml:space="preserve">CR   </v>
          </cell>
          <cell r="L8184">
            <v>38811</v>
          </cell>
          <cell r="M8184">
            <v>3.085</v>
          </cell>
          <cell r="P8184">
            <v>3.1556999999999999</v>
          </cell>
        </row>
        <row r="8185">
          <cell r="A8185" t="str">
            <v>PEE-S---6307-D-C0</v>
          </cell>
          <cell r="G8185" t="str">
            <v>INPEE</v>
          </cell>
          <cell r="L8185">
            <v>38671</v>
          </cell>
          <cell r="M8185">
            <v>2.9649999999999999</v>
          </cell>
          <cell r="P8185">
            <v>1.6</v>
          </cell>
        </row>
        <row r="8186">
          <cell r="A8186" t="str">
            <v>PEE-S---6307-D-C2</v>
          </cell>
          <cell r="G8186" t="str">
            <v>INPEE</v>
          </cell>
          <cell r="L8186">
            <v>38988</v>
          </cell>
          <cell r="M8186">
            <v>3.1019999999999999</v>
          </cell>
          <cell r="P8186">
            <v>1.92</v>
          </cell>
        </row>
        <row r="8187">
          <cell r="A8187" t="str">
            <v>PEE-S---6308-D-C3</v>
          </cell>
          <cell r="G8187" t="str">
            <v>INPEE</v>
          </cell>
          <cell r="L8187">
            <v>39416</v>
          </cell>
          <cell r="M8187">
            <v>3.1480000000000001</v>
          </cell>
          <cell r="P8187">
            <v>2.02</v>
          </cell>
        </row>
        <row r="8188">
          <cell r="A8188" t="str">
            <v>PEE-SE--6005-D-C3</v>
          </cell>
          <cell r="G8188" t="str">
            <v xml:space="preserve">CR   </v>
          </cell>
          <cell r="L8188">
            <v>40428.376423611109</v>
          </cell>
          <cell r="M8188">
            <v>3.97</v>
          </cell>
          <cell r="P8188">
            <v>1.1000000000000001</v>
          </cell>
        </row>
        <row r="8189">
          <cell r="A8189" t="str">
            <v>PEE-SE--6202-D-C3-M</v>
          </cell>
          <cell r="G8189" t="str">
            <v xml:space="preserve">CR   </v>
          </cell>
          <cell r="L8189">
            <v>40428.376423611109</v>
          </cell>
          <cell r="M8189">
            <v>3.97</v>
          </cell>
          <cell r="P8189">
            <v>0.69899999999999995</v>
          </cell>
        </row>
        <row r="8190">
          <cell r="A8190" t="str">
            <v>PEE-SE--6203-2RS-C3</v>
          </cell>
          <cell r="G8190" t="str">
            <v>INPE$</v>
          </cell>
          <cell r="L8190">
            <v>39863</v>
          </cell>
          <cell r="M8190">
            <v>3.51</v>
          </cell>
          <cell r="P8190">
            <v>0.51282051282051289</v>
          </cell>
        </row>
        <row r="8191">
          <cell r="A8191" t="str">
            <v>PEE-SE--6203-D-C3</v>
          </cell>
          <cell r="G8191" t="str">
            <v xml:space="preserve">CR   </v>
          </cell>
          <cell r="L8191">
            <v>40428.376423611109</v>
          </cell>
          <cell r="M8191">
            <v>3.97</v>
          </cell>
          <cell r="P8191">
            <v>0.72899999999999998</v>
          </cell>
        </row>
        <row r="8192">
          <cell r="A8192" t="str">
            <v>PEE-SE--6204-D-C3</v>
          </cell>
          <cell r="G8192" t="str">
            <v>INPE$</v>
          </cell>
          <cell r="L8192">
            <v>39982</v>
          </cell>
          <cell r="M8192">
            <v>3.78</v>
          </cell>
          <cell r="P8192">
            <v>0.955026455026455</v>
          </cell>
        </row>
        <row r="8193">
          <cell r="A8193" t="str">
            <v>PEE-SE--6204-D-C3-M</v>
          </cell>
          <cell r="G8193" t="str">
            <v>INPEE</v>
          </cell>
          <cell r="L8193">
            <v>39315</v>
          </cell>
          <cell r="M8193">
            <v>3.1560000000000001</v>
          </cell>
          <cell r="P8193">
            <v>0.63</v>
          </cell>
        </row>
        <row r="8194">
          <cell r="A8194" t="str">
            <v>PEE-SE--6205-1RS-C3</v>
          </cell>
          <cell r="G8194" t="str">
            <v>INPEE</v>
          </cell>
          <cell r="L8194">
            <v>39293</v>
          </cell>
          <cell r="M8194">
            <v>3.1179999999999999</v>
          </cell>
          <cell r="P8194">
            <v>0.8</v>
          </cell>
        </row>
        <row r="8195">
          <cell r="A8195" t="str">
            <v>PEE-SE--6205-D-C3-M</v>
          </cell>
          <cell r="G8195" t="str">
            <v>INPEE</v>
          </cell>
          <cell r="L8195">
            <v>39399</v>
          </cell>
          <cell r="M8195">
            <v>3.1320000000000001</v>
          </cell>
          <cell r="P8195">
            <v>0.5</v>
          </cell>
        </row>
        <row r="8196">
          <cell r="A8196" t="str">
            <v>PEE-SE--6206-D-C3</v>
          </cell>
          <cell r="G8196" t="str">
            <v>INPE$</v>
          </cell>
          <cell r="L8196">
            <v>39849</v>
          </cell>
          <cell r="M8196">
            <v>3.4870000000000001</v>
          </cell>
          <cell r="P8196">
            <v>1.2388872956696302</v>
          </cell>
        </row>
        <row r="8197">
          <cell r="A8197" t="str">
            <v>PEE-SE--6207-D-C0</v>
          </cell>
          <cell r="G8197" t="str">
            <v>INPEE</v>
          </cell>
          <cell r="L8197">
            <v>39421</v>
          </cell>
          <cell r="M8197">
            <v>3.1360000000000001</v>
          </cell>
          <cell r="P8197">
            <v>1.26</v>
          </cell>
        </row>
        <row r="8198">
          <cell r="A8198" t="str">
            <v>PEE-SE--6308-D-C3</v>
          </cell>
          <cell r="G8198" t="str">
            <v>INPEE</v>
          </cell>
          <cell r="L8198">
            <v>39416</v>
          </cell>
          <cell r="M8198">
            <v>3.1480000000000001</v>
          </cell>
          <cell r="P8198">
            <v>2.02</v>
          </cell>
        </row>
        <row r="8199">
          <cell r="A8199" t="str">
            <v>PEE-SS*-6203-2RLD-C3</v>
          </cell>
          <cell r="G8199" t="str">
            <v>IPFAB</v>
          </cell>
          <cell r="L8199">
            <v>41127</v>
          </cell>
          <cell r="M8199">
            <v>4.5999999999999996</v>
          </cell>
          <cell r="P8199">
            <v>0.76</v>
          </cell>
        </row>
        <row r="8200">
          <cell r="A8200" t="str">
            <v>PEE-SS--203-KRR2-C0</v>
          </cell>
          <cell r="G8200" t="str">
            <v>INPEE</v>
          </cell>
          <cell r="L8200">
            <v>38656</v>
          </cell>
          <cell r="M8200">
            <v>3.0150000000000001</v>
          </cell>
          <cell r="P8200">
            <v>1</v>
          </cell>
        </row>
        <row r="8201">
          <cell r="A8201" t="str">
            <v>PEE-SS--6004-2RLD-C0</v>
          </cell>
          <cell r="G8201" t="str">
            <v xml:space="preserve">INAC </v>
          </cell>
          <cell r="L8201">
            <v>41550</v>
          </cell>
          <cell r="M8201">
            <v>5.8</v>
          </cell>
          <cell r="P8201">
            <v>0.88103448275862073</v>
          </cell>
        </row>
        <row r="8202">
          <cell r="A8202" t="str">
            <v>PEE-SS--6004-2RLD-C3</v>
          </cell>
          <cell r="G8202" t="str">
            <v xml:space="preserve">INAC </v>
          </cell>
          <cell r="L8202">
            <v>41550</v>
          </cell>
          <cell r="M8202">
            <v>5.8</v>
          </cell>
          <cell r="P8202">
            <v>0.88103448275862073</v>
          </cell>
        </row>
        <row r="8203">
          <cell r="A8203" t="str">
            <v>PEE-SS--6004-D-C0</v>
          </cell>
          <cell r="G8203" t="str">
            <v>INPE$</v>
          </cell>
          <cell r="L8203">
            <v>39514</v>
          </cell>
          <cell r="M8203">
            <v>3.1539999999999999</v>
          </cell>
          <cell r="P8203">
            <v>0.54216867469879515</v>
          </cell>
        </row>
        <row r="8204">
          <cell r="A8204" t="str">
            <v>PEE-SS--6004-D-C3</v>
          </cell>
          <cell r="G8204" t="str">
            <v>INPEE</v>
          </cell>
          <cell r="L8204">
            <v>38077</v>
          </cell>
          <cell r="M8204">
            <v>2.86</v>
          </cell>
          <cell r="P8204">
            <v>0.7</v>
          </cell>
        </row>
        <row r="8205">
          <cell r="A8205" t="str">
            <v>PEE-SS--6005-2RLD-C0</v>
          </cell>
          <cell r="G8205" t="str">
            <v>INPEE</v>
          </cell>
          <cell r="L8205">
            <v>37889</v>
          </cell>
          <cell r="M8205">
            <v>2.89</v>
          </cell>
          <cell r="P8205">
            <v>0.74</v>
          </cell>
        </row>
        <row r="8206">
          <cell r="A8206" t="str">
            <v>PEE-SS--6005-2RLD-C3</v>
          </cell>
          <cell r="G8206" t="str">
            <v>IPFAP</v>
          </cell>
          <cell r="L8206">
            <v>41002</v>
          </cell>
          <cell r="M8206">
            <v>4.3899999999999997</v>
          </cell>
          <cell r="P8206">
            <v>0.22779043280182235</v>
          </cell>
        </row>
        <row r="8207">
          <cell r="A8207" t="str">
            <v>PEE-SS--6005-2RSC3-M</v>
          </cell>
          <cell r="G8207" t="str">
            <v>INPEE</v>
          </cell>
          <cell r="L8207">
            <v>39021</v>
          </cell>
          <cell r="M8207">
            <v>3.0939999999999999</v>
          </cell>
          <cell r="P8207">
            <v>0.62</v>
          </cell>
        </row>
        <row r="8208">
          <cell r="A8208" t="str">
            <v>PEE-SS--6005-D-C0</v>
          </cell>
          <cell r="G8208" t="str">
            <v>INPEE</v>
          </cell>
          <cell r="L8208">
            <v>37889</v>
          </cell>
          <cell r="M8208">
            <v>2.89</v>
          </cell>
          <cell r="P8208">
            <v>0.67</v>
          </cell>
        </row>
        <row r="8209">
          <cell r="A8209" t="str">
            <v>PEE-SS--6005-D-C3</v>
          </cell>
          <cell r="G8209" t="str">
            <v xml:space="preserve">CR   </v>
          </cell>
          <cell r="L8209">
            <v>40428.376423611109</v>
          </cell>
          <cell r="M8209">
            <v>3.97</v>
          </cell>
          <cell r="P8209">
            <v>0.501</v>
          </cell>
        </row>
        <row r="8210">
          <cell r="A8210" t="str">
            <v>PEE-SS--6005-D-C3-M</v>
          </cell>
          <cell r="G8210" t="str">
            <v xml:space="preserve">CR   </v>
          </cell>
          <cell r="L8210">
            <v>40428.376423611109</v>
          </cell>
          <cell r="M8210">
            <v>3.97</v>
          </cell>
          <cell r="P8210">
            <v>0.501</v>
          </cell>
        </row>
        <row r="8211">
          <cell r="A8211" t="str">
            <v>PEE-SS--6006-D-C0</v>
          </cell>
          <cell r="G8211" t="str">
            <v>INPEE</v>
          </cell>
          <cell r="L8211">
            <v>39315</v>
          </cell>
          <cell r="M8211">
            <v>3.1560000000000001</v>
          </cell>
          <cell r="P8211">
            <v>0.7</v>
          </cell>
        </row>
        <row r="8212">
          <cell r="A8212" t="str">
            <v>PEE-SS--6006-D-C3</v>
          </cell>
          <cell r="G8212" t="str">
            <v>INPEE</v>
          </cell>
          <cell r="L8212">
            <v>37889</v>
          </cell>
          <cell r="M8212">
            <v>2.89</v>
          </cell>
          <cell r="P8212">
            <v>0.83</v>
          </cell>
        </row>
        <row r="8213">
          <cell r="A8213" t="str">
            <v>PEE-SS--6006-D-C3-M</v>
          </cell>
          <cell r="G8213" t="str">
            <v>INPEE</v>
          </cell>
          <cell r="L8213">
            <v>39262</v>
          </cell>
          <cell r="M8213">
            <v>3.09</v>
          </cell>
          <cell r="P8213">
            <v>0.65</v>
          </cell>
        </row>
        <row r="8214">
          <cell r="A8214" t="str">
            <v>PEE-SS--6008-D-C0</v>
          </cell>
          <cell r="G8214" t="str">
            <v>INPEE</v>
          </cell>
          <cell r="L8214">
            <v>38077</v>
          </cell>
          <cell r="M8214">
            <v>2.86</v>
          </cell>
          <cell r="P8214">
            <v>1.78</v>
          </cell>
        </row>
        <row r="8215">
          <cell r="A8215" t="str">
            <v>PEE-SS--6201-2RSC0-M</v>
          </cell>
          <cell r="G8215" t="str">
            <v>INPEE</v>
          </cell>
          <cell r="L8215">
            <v>38512</v>
          </cell>
          <cell r="M8215">
            <v>2.8959999999999999</v>
          </cell>
          <cell r="P8215">
            <v>0.39</v>
          </cell>
        </row>
        <row r="8216">
          <cell r="A8216" t="str">
            <v>PEE-SS--6201-D-C0</v>
          </cell>
          <cell r="G8216" t="str">
            <v>INPE$</v>
          </cell>
          <cell r="L8216">
            <v>39514</v>
          </cell>
          <cell r="M8216">
            <v>3.1539999999999999</v>
          </cell>
          <cell r="P8216">
            <v>0.43436905516804064</v>
          </cell>
        </row>
        <row r="8217">
          <cell r="A8217" t="str">
            <v>PEE-SS--6201-D-C3</v>
          </cell>
          <cell r="G8217" t="str">
            <v>INPE$</v>
          </cell>
          <cell r="L8217">
            <v>39514</v>
          </cell>
          <cell r="M8217">
            <v>3.1539999999999999</v>
          </cell>
          <cell r="P8217">
            <v>0.43436905516804064</v>
          </cell>
        </row>
        <row r="8218">
          <cell r="A8218" t="str">
            <v>PEE-SS--6202-2RLD-C3</v>
          </cell>
          <cell r="G8218" t="str">
            <v>VPRet</v>
          </cell>
          <cell r="L8218">
            <v>42271</v>
          </cell>
          <cell r="M8218">
            <v>9.44</v>
          </cell>
          <cell r="P8218">
            <v>0.49355614406779658</v>
          </cell>
        </row>
        <row r="8219">
          <cell r="A8219" t="str">
            <v>PEE-SS--6202-2RSC3-M</v>
          </cell>
          <cell r="G8219" t="str">
            <v>INPEE</v>
          </cell>
          <cell r="L8219">
            <v>39155</v>
          </cell>
          <cell r="M8219">
            <v>3.101</v>
          </cell>
          <cell r="P8219">
            <v>0.48</v>
          </cell>
        </row>
        <row r="8220">
          <cell r="A8220" t="str">
            <v>PEE-SS--6202-D-C0</v>
          </cell>
          <cell r="G8220" t="str">
            <v>INPEE</v>
          </cell>
          <cell r="L8220">
            <v>38188</v>
          </cell>
          <cell r="M8220">
            <v>2.948</v>
          </cell>
          <cell r="P8220">
            <v>0.6</v>
          </cell>
        </row>
        <row r="8221">
          <cell r="A8221" t="str">
            <v>PEE-SS--6202-D-C3</v>
          </cell>
          <cell r="G8221" t="str">
            <v>InRet</v>
          </cell>
          <cell r="L8221">
            <v>40570</v>
          </cell>
          <cell r="M8221">
            <v>4.0199999999999996</v>
          </cell>
          <cell r="P8221">
            <v>0.63223880597014925</v>
          </cell>
        </row>
        <row r="8222">
          <cell r="A8222" t="str">
            <v>PEE-SS--6203-2RLD-C0</v>
          </cell>
          <cell r="G8222" t="str">
            <v>INPEE</v>
          </cell>
          <cell r="L8222">
            <v>37944</v>
          </cell>
          <cell r="M8222">
            <v>2.8650000000000002</v>
          </cell>
          <cell r="P8222">
            <v>0.53</v>
          </cell>
        </row>
        <row r="8223">
          <cell r="A8223" t="str">
            <v>PEE-SS--6203-2RLD-C3</v>
          </cell>
          <cell r="G8223" t="str">
            <v>IPFAB</v>
          </cell>
          <cell r="L8223">
            <v>41127</v>
          </cell>
          <cell r="M8223">
            <v>4.5999999999999996</v>
          </cell>
          <cell r="P8223">
            <v>0.35049999999999998</v>
          </cell>
        </row>
        <row r="8224">
          <cell r="A8224" t="str">
            <v>PEE-SS--6203-2RSC3-M</v>
          </cell>
          <cell r="G8224" t="str">
            <v>INPEE</v>
          </cell>
          <cell r="L8224">
            <v>39028</v>
          </cell>
          <cell r="M8224">
            <v>3.0830000000000002</v>
          </cell>
          <cell r="P8224">
            <v>0.43</v>
          </cell>
        </row>
        <row r="8225">
          <cell r="A8225" t="str">
            <v>PEE-SS--6203-2RST-C0</v>
          </cell>
          <cell r="G8225" t="str">
            <v>INPEE</v>
          </cell>
          <cell r="L8225">
            <v>39302</v>
          </cell>
          <cell r="M8225">
            <v>3.141</v>
          </cell>
          <cell r="P8225">
            <v>0.48</v>
          </cell>
        </row>
        <row r="8226">
          <cell r="A8226" t="str">
            <v>PEE-SS--6203-2RST-C3</v>
          </cell>
          <cell r="G8226" t="str">
            <v>IPFAB</v>
          </cell>
          <cell r="L8226">
            <v>39581</v>
          </cell>
          <cell r="M8226">
            <v>3.177</v>
          </cell>
          <cell r="P8226">
            <v>0.4879</v>
          </cell>
        </row>
        <row r="8227">
          <cell r="A8227" t="str">
            <v>PEE-SS--6203-D-C0</v>
          </cell>
          <cell r="G8227" t="str">
            <v>INPEE</v>
          </cell>
          <cell r="L8227">
            <v>37992</v>
          </cell>
          <cell r="M8227">
            <v>2.88</v>
          </cell>
          <cell r="P8227">
            <v>0.45</v>
          </cell>
        </row>
        <row r="8228">
          <cell r="A8228" t="str">
            <v>PEE-SS--6203-D-C0-M</v>
          </cell>
          <cell r="G8228" t="str">
            <v>INPEE</v>
          </cell>
          <cell r="L8228">
            <v>39317</v>
          </cell>
          <cell r="M8228">
            <v>3.1680000000000001</v>
          </cell>
          <cell r="P8228">
            <v>0.46</v>
          </cell>
        </row>
        <row r="8229">
          <cell r="A8229" t="str">
            <v>PEE-SS--6203-D-C3</v>
          </cell>
          <cell r="G8229" t="str">
            <v>InRet</v>
          </cell>
          <cell r="L8229">
            <v>40435</v>
          </cell>
          <cell r="M8229">
            <v>3.97</v>
          </cell>
          <cell r="P8229">
            <v>0.63476070528967254</v>
          </cell>
        </row>
        <row r="8230">
          <cell r="A8230" t="str">
            <v>PEE-SS--6203-D-C3-M</v>
          </cell>
          <cell r="G8230" t="str">
            <v>INPEE</v>
          </cell>
          <cell r="L8230">
            <v>39211</v>
          </cell>
          <cell r="M8230">
            <v>3.08</v>
          </cell>
          <cell r="P8230">
            <v>0.43</v>
          </cell>
        </row>
        <row r="8231">
          <cell r="A8231" t="str">
            <v>PEE-SS--6204-1RSC0-M</v>
          </cell>
          <cell r="G8231" t="str">
            <v>INPEE</v>
          </cell>
          <cell r="L8231">
            <v>38931</v>
          </cell>
          <cell r="M8231">
            <v>3.0710000000000002</v>
          </cell>
          <cell r="P8231">
            <v>0.68</v>
          </cell>
        </row>
        <row r="8232">
          <cell r="A8232" t="str">
            <v>PEE-SS--6204-2RLD-C0</v>
          </cell>
          <cell r="G8232" t="str">
            <v>INPEE</v>
          </cell>
          <cell r="L8232">
            <v>37882</v>
          </cell>
          <cell r="M8232">
            <v>2.91</v>
          </cell>
          <cell r="P8232">
            <v>0.77</v>
          </cell>
        </row>
        <row r="8233">
          <cell r="A8233" t="str">
            <v>PEE-SS--6204-2RLD-C2</v>
          </cell>
          <cell r="G8233" t="str">
            <v>INPEE</v>
          </cell>
          <cell r="L8233">
            <v>37915</v>
          </cell>
          <cell r="M8233">
            <v>2.855</v>
          </cell>
          <cell r="P8233">
            <v>0.77</v>
          </cell>
        </row>
        <row r="8234">
          <cell r="A8234" t="str">
            <v>PEE-SS--6204-2RSC3-M</v>
          </cell>
          <cell r="G8234" t="str">
            <v>INDEV</v>
          </cell>
          <cell r="L8234">
            <v>39363</v>
          </cell>
          <cell r="M8234">
            <v>3.1560000000000001</v>
          </cell>
          <cell r="P8234">
            <v>0.66577946768060836</v>
          </cell>
        </row>
        <row r="8235">
          <cell r="A8235" t="str">
            <v>PEE-SS--6204-2RST-C0</v>
          </cell>
          <cell r="G8235" t="str">
            <v>INPEE</v>
          </cell>
          <cell r="L8235">
            <v>38412</v>
          </cell>
          <cell r="M8235">
            <v>2.9380000000000002</v>
          </cell>
          <cell r="P8235">
            <v>1.08</v>
          </cell>
        </row>
        <row r="8236">
          <cell r="A8236" t="str">
            <v>PEE-SS--6204-2RST-C2</v>
          </cell>
          <cell r="G8236" t="str">
            <v>IPFAB</v>
          </cell>
          <cell r="L8236">
            <v>38301</v>
          </cell>
          <cell r="M8236">
            <v>2.9689999999999999</v>
          </cell>
          <cell r="P8236">
            <v>0.81</v>
          </cell>
        </row>
        <row r="8237">
          <cell r="A8237" t="str">
            <v>PEE-SS--6204-2RST-C3</v>
          </cell>
          <cell r="G8237" t="str">
            <v>INPEE</v>
          </cell>
          <cell r="L8237">
            <v>38475</v>
          </cell>
          <cell r="M8237">
            <v>2.9</v>
          </cell>
          <cell r="P8237">
            <v>1.08</v>
          </cell>
        </row>
        <row r="8238">
          <cell r="A8238" t="str">
            <v>PEE-SS--6204-2RSTC3M</v>
          </cell>
          <cell r="G8238" t="str">
            <v>INPEE</v>
          </cell>
          <cell r="L8238">
            <v>38824</v>
          </cell>
          <cell r="M8238">
            <v>3.07</v>
          </cell>
          <cell r="P8238">
            <v>0.77</v>
          </cell>
        </row>
        <row r="8239">
          <cell r="A8239" t="str">
            <v>PEE-SS--6204-D-C0</v>
          </cell>
          <cell r="G8239" t="str">
            <v>INPEE</v>
          </cell>
          <cell r="L8239">
            <v>39010</v>
          </cell>
          <cell r="M8239">
            <v>3.089</v>
          </cell>
          <cell r="P8239">
            <v>0.64</v>
          </cell>
        </row>
        <row r="8240">
          <cell r="A8240" t="str">
            <v>PEE-SS--6204-D-C2</v>
          </cell>
          <cell r="G8240" t="str">
            <v>INPEE</v>
          </cell>
          <cell r="L8240">
            <v>37897</v>
          </cell>
          <cell r="M8240">
            <v>2.9039999999999999</v>
          </cell>
          <cell r="P8240">
            <v>0.68</v>
          </cell>
        </row>
        <row r="8241">
          <cell r="A8241" t="str">
            <v>PEE-SS--6204-D-C3</v>
          </cell>
          <cell r="G8241" t="str">
            <v>INPE$</v>
          </cell>
          <cell r="L8241">
            <v>39982</v>
          </cell>
          <cell r="M8241">
            <v>3.78</v>
          </cell>
          <cell r="P8241">
            <v>0.955026455026455</v>
          </cell>
        </row>
        <row r="8242">
          <cell r="A8242" t="str">
            <v>PEE-SS--6204-D-C3-M</v>
          </cell>
          <cell r="G8242" t="str">
            <v>INPEE</v>
          </cell>
          <cell r="L8242">
            <v>38792</v>
          </cell>
          <cell r="M8242">
            <v>3.0720000000000001</v>
          </cell>
          <cell r="P8242">
            <v>0.66</v>
          </cell>
        </row>
        <row r="8243">
          <cell r="A8243" t="str">
            <v>PEE-SS--6205-1RS-C3</v>
          </cell>
          <cell r="G8243" t="str">
            <v>IPFAB</v>
          </cell>
          <cell r="L8243">
            <v>39419</v>
          </cell>
          <cell r="M8243">
            <v>3.145</v>
          </cell>
          <cell r="P8243">
            <v>0.86</v>
          </cell>
        </row>
        <row r="8244">
          <cell r="A8244" t="str">
            <v>PEE-SS--6205-2RLD-C0</v>
          </cell>
          <cell r="G8244" t="str">
            <v>INPEE</v>
          </cell>
          <cell r="L8244">
            <v>37865</v>
          </cell>
          <cell r="M8244">
            <v>2.956</v>
          </cell>
          <cell r="P8244">
            <v>0.96</v>
          </cell>
        </row>
        <row r="8245">
          <cell r="A8245" t="str">
            <v>PEE-SS--6205-2RSC3-M</v>
          </cell>
          <cell r="G8245" t="str">
            <v>INPEE</v>
          </cell>
          <cell r="L8245">
            <v>38824</v>
          </cell>
          <cell r="M8245">
            <v>3.07</v>
          </cell>
          <cell r="P8245">
            <v>0.93</v>
          </cell>
        </row>
        <row r="8246">
          <cell r="A8246" t="str">
            <v>PEE-SS--6205-2RST-C0</v>
          </cell>
          <cell r="G8246" t="str">
            <v>INPEE</v>
          </cell>
          <cell r="L8246">
            <v>38922</v>
          </cell>
          <cell r="M8246">
            <v>3.0819999999999999</v>
          </cell>
          <cell r="P8246">
            <v>0.98</v>
          </cell>
        </row>
        <row r="8247">
          <cell r="A8247" t="str">
            <v>PEE-SS--6205-D-C0</v>
          </cell>
          <cell r="G8247" t="str">
            <v>INPEE</v>
          </cell>
          <cell r="L8247">
            <v>38530</v>
          </cell>
          <cell r="M8247">
            <v>2.88</v>
          </cell>
          <cell r="P8247">
            <v>1.1200000000000001</v>
          </cell>
        </row>
        <row r="8248">
          <cell r="A8248" t="str">
            <v>PEE-SS--6205-D-C3</v>
          </cell>
          <cell r="G8248" t="str">
            <v>INPE$</v>
          </cell>
          <cell r="L8248">
            <v>39722</v>
          </cell>
          <cell r="M8248">
            <v>3.1349999999999998</v>
          </cell>
          <cell r="P8248">
            <v>1.1547049441786286</v>
          </cell>
        </row>
        <row r="8249">
          <cell r="A8249" t="str">
            <v>PEE-SS--6205-D-C3-M</v>
          </cell>
          <cell r="G8249" t="str">
            <v>INPEE</v>
          </cell>
          <cell r="L8249">
            <v>39399</v>
          </cell>
          <cell r="M8249">
            <v>3.1320000000000001</v>
          </cell>
          <cell r="P8249">
            <v>0.5</v>
          </cell>
        </row>
        <row r="8250">
          <cell r="A8250" t="str">
            <v>PEE-SS--6206-2RLD-C0</v>
          </cell>
          <cell r="G8250" t="str">
            <v>INPEE</v>
          </cell>
          <cell r="L8250">
            <v>37894</v>
          </cell>
          <cell r="M8250">
            <v>2.91</v>
          </cell>
          <cell r="P8250">
            <v>1.08</v>
          </cell>
        </row>
        <row r="8251">
          <cell r="A8251" t="str">
            <v>PEE-SS--6206-2RLD-C2</v>
          </cell>
          <cell r="G8251" t="str">
            <v>INPEE</v>
          </cell>
          <cell r="L8251">
            <v>37894</v>
          </cell>
          <cell r="M8251">
            <v>2.91</v>
          </cell>
          <cell r="P8251">
            <v>1.08</v>
          </cell>
        </row>
        <row r="8252">
          <cell r="A8252" t="str">
            <v>PEE-SS--6206-2RLD-C3</v>
          </cell>
          <cell r="G8252" t="str">
            <v>INPE$</v>
          </cell>
          <cell r="L8252">
            <v>39849</v>
          </cell>
          <cell r="M8252">
            <v>3.4870000000000001</v>
          </cell>
          <cell r="P8252">
            <v>1.4855176369371952</v>
          </cell>
        </row>
        <row r="8253">
          <cell r="A8253" t="str">
            <v>PEE-SS--6206-D-C0</v>
          </cell>
          <cell r="G8253" t="str">
            <v>INPEE</v>
          </cell>
          <cell r="L8253">
            <v>39503</v>
          </cell>
          <cell r="M8253">
            <v>3.157</v>
          </cell>
          <cell r="P8253">
            <v>0.88</v>
          </cell>
        </row>
        <row r="8254">
          <cell r="A8254" t="str">
            <v>PEE-SS--6206-D-C0-M</v>
          </cell>
          <cell r="G8254" t="str">
            <v>INPEE</v>
          </cell>
          <cell r="L8254">
            <v>39262</v>
          </cell>
          <cell r="M8254">
            <v>3.09</v>
          </cell>
          <cell r="P8254">
            <v>0.88</v>
          </cell>
        </row>
        <row r="8255">
          <cell r="A8255" t="str">
            <v>PEE-SS--6206-D-C2</v>
          </cell>
          <cell r="G8255" t="str">
            <v>INPEE</v>
          </cell>
          <cell r="L8255">
            <v>37921</v>
          </cell>
          <cell r="M8255">
            <v>2.84</v>
          </cell>
          <cell r="P8255">
            <v>0.98</v>
          </cell>
        </row>
        <row r="8256">
          <cell r="A8256" t="str">
            <v>PEE-SS--6206-D-C3</v>
          </cell>
          <cell r="G8256" t="str">
            <v>INPE$</v>
          </cell>
          <cell r="L8256">
            <v>39849</v>
          </cell>
          <cell r="M8256">
            <v>3.4870000000000001</v>
          </cell>
          <cell r="P8256">
            <v>1.2388872956696302</v>
          </cell>
        </row>
        <row r="8257">
          <cell r="A8257" t="str">
            <v>PEE-SS--6206-D-C3-M</v>
          </cell>
          <cell r="G8257" t="str">
            <v>INPEE</v>
          </cell>
          <cell r="L8257">
            <v>39503</v>
          </cell>
          <cell r="M8257">
            <v>3.157</v>
          </cell>
          <cell r="P8257">
            <v>0.88</v>
          </cell>
        </row>
        <row r="8258">
          <cell r="A8258" t="str">
            <v>PEE-SS--6207-D-C0</v>
          </cell>
          <cell r="G8258" t="str">
            <v>INPEE</v>
          </cell>
          <cell r="L8258">
            <v>39209</v>
          </cell>
          <cell r="M8258">
            <v>3.0830000000000002</v>
          </cell>
          <cell r="P8258">
            <v>1.17</v>
          </cell>
        </row>
        <row r="8259">
          <cell r="A8259" t="str">
            <v>PEE-SS--6207-D-C3</v>
          </cell>
          <cell r="G8259" t="str">
            <v>INPEE</v>
          </cell>
          <cell r="L8259">
            <v>39472</v>
          </cell>
          <cell r="M8259">
            <v>3.153</v>
          </cell>
          <cell r="P8259">
            <v>1.26</v>
          </cell>
        </row>
        <row r="8260">
          <cell r="A8260" t="str">
            <v>PEE-SS--6208-D-C0</v>
          </cell>
          <cell r="G8260" t="str">
            <v>INPEE</v>
          </cell>
          <cell r="L8260">
            <v>38671</v>
          </cell>
          <cell r="M8260">
            <v>2.9649999999999999</v>
          </cell>
          <cell r="P8260">
            <v>1.4</v>
          </cell>
        </row>
        <row r="8261">
          <cell r="A8261" t="str">
            <v>PEE-SS--6304-D-C3</v>
          </cell>
          <cell r="G8261" t="str">
            <v xml:space="preserve">INSI </v>
          </cell>
          <cell r="L8261">
            <v>41856</v>
          </cell>
          <cell r="M8261">
            <v>8.24</v>
          </cell>
          <cell r="P8261">
            <v>0.64</v>
          </cell>
        </row>
        <row r="8262">
          <cell r="A8262" t="str">
            <v>PEE-SS--6305-D-C0</v>
          </cell>
          <cell r="G8262" t="str">
            <v>INPE$</v>
          </cell>
          <cell r="L8262">
            <v>39514</v>
          </cell>
          <cell r="M8262">
            <v>3.1539999999999999</v>
          </cell>
          <cell r="P8262">
            <v>1.0209258084971466</v>
          </cell>
        </row>
        <row r="8263">
          <cell r="A8263" t="str">
            <v>PEE-SS--6306-D-C0</v>
          </cell>
          <cell r="G8263" t="str">
            <v xml:space="preserve">CR   </v>
          </cell>
          <cell r="L8263">
            <v>40428.376423611109</v>
          </cell>
          <cell r="M8263">
            <v>3.97</v>
          </cell>
          <cell r="P8263">
            <v>1.024</v>
          </cell>
        </row>
        <row r="8264">
          <cell r="A8264" t="str">
            <v>PEE-SS--6307-2RLD-C0</v>
          </cell>
          <cell r="G8264" t="str">
            <v xml:space="preserve">CR   </v>
          </cell>
          <cell r="L8264">
            <v>38624</v>
          </cell>
          <cell r="M8264">
            <v>2.915</v>
          </cell>
          <cell r="P8264">
            <v>3.1671999999999998</v>
          </cell>
        </row>
        <row r="8265">
          <cell r="A8265" t="str">
            <v>PEE-SS--6307-D-C0</v>
          </cell>
          <cell r="G8265" t="str">
            <v>INPEE</v>
          </cell>
          <cell r="L8265">
            <v>38671</v>
          </cell>
          <cell r="M8265">
            <v>2.9649999999999999</v>
          </cell>
          <cell r="P8265">
            <v>1.6</v>
          </cell>
        </row>
        <row r="8266">
          <cell r="A8266" t="str">
            <v>PEE-SS--6308-D-C3</v>
          </cell>
          <cell r="G8266" t="str">
            <v>INPEE</v>
          </cell>
          <cell r="L8266">
            <v>39416</v>
          </cell>
          <cell r="M8266">
            <v>3.1480000000000001</v>
          </cell>
          <cell r="P8266">
            <v>2.02</v>
          </cell>
        </row>
        <row r="8267">
          <cell r="A8267" t="str">
            <v>QLQ-031-GAT-4-2Tns</v>
          </cell>
          <cell r="G8267" t="str">
            <v xml:space="preserve">CR   </v>
          </cell>
          <cell r="L8267">
            <v>38624</v>
          </cell>
          <cell r="M8267">
            <v>2.915</v>
          </cell>
          <cell r="P8267">
            <v>19.349</v>
          </cell>
        </row>
        <row r="8268">
          <cell r="A8268" t="str">
            <v>R44-ALU-DISI-PLUS150</v>
          </cell>
          <cell r="G8268" t="str">
            <v>IPFAB</v>
          </cell>
          <cell r="L8268">
            <v>43986</v>
          </cell>
          <cell r="M8268">
            <v>70.5</v>
          </cell>
          <cell r="P8268">
            <v>4</v>
          </cell>
        </row>
        <row r="8269">
          <cell r="A8269" t="str">
            <v>R44-ALU-DISI-PLUS50</v>
          </cell>
          <cell r="G8269" t="str">
            <v>IPFAB</v>
          </cell>
          <cell r="L8269">
            <v>43986</v>
          </cell>
          <cell r="M8269">
            <v>70.5</v>
          </cell>
          <cell r="P8269">
            <v>2.5</v>
          </cell>
        </row>
        <row r="8270">
          <cell r="A8270" t="str">
            <v>R44-ALU-PLUS-100</v>
          </cell>
          <cell r="G8270" t="str">
            <v xml:space="preserve">CR   </v>
          </cell>
          <cell r="L8270">
            <v>44453.712442129632</v>
          </cell>
          <cell r="M8270">
            <v>103.25</v>
          </cell>
          <cell r="P8270">
            <v>15</v>
          </cell>
        </row>
        <row r="8271">
          <cell r="A8271" t="str">
            <v>R44-ALU-PLUS-150</v>
          </cell>
          <cell r="G8271" t="str">
            <v>IPFAB</v>
          </cell>
          <cell r="L8271">
            <v>44013</v>
          </cell>
          <cell r="M8271">
            <v>73.5</v>
          </cell>
          <cell r="P8271">
            <v>15</v>
          </cell>
        </row>
        <row r="8272">
          <cell r="A8272" t="str">
            <v>R44-ALU-PLUS-60</v>
          </cell>
          <cell r="G8272" t="str">
            <v>IPFAB</v>
          </cell>
          <cell r="L8272">
            <v>44057</v>
          </cell>
          <cell r="M8272">
            <v>77.25</v>
          </cell>
          <cell r="P8272">
            <v>12</v>
          </cell>
        </row>
        <row r="8273">
          <cell r="A8273" t="str">
            <v>R44-ALU-PLUS150-LENS</v>
          </cell>
          <cell r="G8273" t="str">
            <v>IPFAB</v>
          </cell>
          <cell r="L8273">
            <v>43986</v>
          </cell>
          <cell r="M8273">
            <v>70.5</v>
          </cell>
          <cell r="P8273">
            <v>0.40400000000000003</v>
          </cell>
        </row>
        <row r="8274">
          <cell r="A8274" t="str">
            <v>R44-ALU-PLUS50-LENS</v>
          </cell>
          <cell r="G8274" t="str">
            <v>IPFAB</v>
          </cell>
          <cell r="L8274">
            <v>43986</v>
          </cell>
          <cell r="M8274">
            <v>70.5</v>
          </cell>
          <cell r="P8274">
            <v>0.35</v>
          </cell>
        </row>
        <row r="8275">
          <cell r="A8275" t="str">
            <v>R44-PCB-PCBPLUS155</v>
          </cell>
          <cell r="G8275" t="str">
            <v>IPFAB</v>
          </cell>
          <cell r="L8275">
            <v>43986</v>
          </cell>
          <cell r="M8275">
            <v>70.5</v>
          </cell>
          <cell r="P8275">
            <v>13.27</v>
          </cell>
        </row>
        <row r="8276">
          <cell r="A8276" t="str">
            <v>RHP-031-NU-206</v>
          </cell>
          <cell r="G8276" t="str">
            <v xml:space="preserve">CR   </v>
          </cell>
          <cell r="L8276">
            <v>38811</v>
          </cell>
          <cell r="M8276">
            <v>3.085</v>
          </cell>
          <cell r="P8276">
            <v>8.6E-3</v>
          </cell>
        </row>
        <row r="8277">
          <cell r="A8277" t="str">
            <v>RHP-031-NU-208</v>
          </cell>
          <cell r="G8277" t="str">
            <v xml:space="preserve">CR   </v>
          </cell>
          <cell r="L8277">
            <v>38624</v>
          </cell>
          <cell r="M8277">
            <v>2.915</v>
          </cell>
          <cell r="P8277">
            <v>1.0999999999999999E-2</v>
          </cell>
        </row>
        <row r="8278">
          <cell r="A8278" t="str">
            <v>RHP-031-RLS-10-N</v>
          </cell>
          <cell r="G8278" t="str">
            <v xml:space="preserve">CR   </v>
          </cell>
          <cell r="L8278">
            <v>38624</v>
          </cell>
          <cell r="M8278">
            <v>2.915</v>
          </cell>
          <cell r="P8278">
            <v>7.0510000000000002</v>
          </cell>
        </row>
        <row r="8279">
          <cell r="A8279" t="str">
            <v>RHP-035-NJ-208-EEJ</v>
          </cell>
          <cell r="G8279" t="str">
            <v xml:space="preserve">CR   </v>
          </cell>
          <cell r="L8279">
            <v>38624</v>
          </cell>
          <cell r="M8279">
            <v>2.915</v>
          </cell>
          <cell r="P8279">
            <v>15.73</v>
          </cell>
        </row>
        <row r="8280">
          <cell r="A8280" t="str">
            <v>RHP-035-NJ-212-ETNP</v>
          </cell>
          <cell r="G8280" t="str">
            <v xml:space="preserve">CR   </v>
          </cell>
          <cell r="L8280">
            <v>38624</v>
          </cell>
          <cell r="M8280">
            <v>2.915</v>
          </cell>
          <cell r="P8280">
            <v>23.341999999999999</v>
          </cell>
        </row>
        <row r="8281">
          <cell r="A8281" t="str">
            <v>RHP-035-NJ-308-ETN</v>
          </cell>
          <cell r="G8281" t="str">
            <v xml:space="preserve">CR   </v>
          </cell>
          <cell r="L8281">
            <v>38624</v>
          </cell>
          <cell r="M8281">
            <v>2.915</v>
          </cell>
          <cell r="P8281">
            <v>18.128</v>
          </cell>
        </row>
        <row r="8282">
          <cell r="A8282" t="str">
            <v>RHP-035-NU-213-JC3</v>
          </cell>
          <cell r="G8282" t="str">
            <v xml:space="preserve">CR   </v>
          </cell>
          <cell r="L8282">
            <v>38624</v>
          </cell>
          <cell r="M8282">
            <v>2.915</v>
          </cell>
          <cell r="P8282">
            <v>26.103000000000002</v>
          </cell>
        </row>
        <row r="8283">
          <cell r="A8283" t="str">
            <v>RHP-035-NU-310-C3</v>
          </cell>
          <cell r="G8283" t="str">
            <v xml:space="preserve">CR   </v>
          </cell>
          <cell r="L8283">
            <v>38811</v>
          </cell>
          <cell r="M8283">
            <v>3.085</v>
          </cell>
          <cell r="P8283">
            <v>20.950700000000001</v>
          </cell>
        </row>
        <row r="8284">
          <cell r="A8284" t="str">
            <v>RHP-040-22224-KJW3</v>
          </cell>
          <cell r="G8284" t="str">
            <v xml:space="preserve">CR   </v>
          </cell>
          <cell r="L8284">
            <v>38811</v>
          </cell>
          <cell r="M8284">
            <v>3.085</v>
          </cell>
          <cell r="P8284">
            <v>105.23739999999999</v>
          </cell>
        </row>
        <row r="8285">
          <cell r="A8285" t="str">
            <v>RHP-040-22308-CJK</v>
          </cell>
          <cell r="G8285" t="str">
            <v xml:space="preserve">CR   </v>
          </cell>
          <cell r="L8285">
            <v>38624</v>
          </cell>
          <cell r="M8285">
            <v>2.915</v>
          </cell>
          <cell r="P8285">
            <v>27.346</v>
          </cell>
        </row>
        <row r="8286">
          <cell r="A8286" t="str">
            <v>RHP-040-22311-EKJW</v>
          </cell>
          <cell r="G8286" t="str">
            <v xml:space="preserve">CR   </v>
          </cell>
          <cell r="L8286">
            <v>38624</v>
          </cell>
          <cell r="M8286">
            <v>2.915</v>
          </cell>
          <cell r="P8286">
            <v>43.197000000000003</v>
          </cell>
        </row>
        <row r="8287">
          <cell r="A8287" t="str">
            <v>RHP-040-3207-2RS</v>
          </cell>
          <cell r="G8287" t="str">
            <v xml:space="preserve">CR   </v>
          </cell>
          <cell r="L8287">
            <v>38624</v>
          </cell>
          <cell r="M8287">
            <v>2.915</v>
          </cell>
          <cell r="P8287">
            <v>15.73</v>
          </cell>
        </row>
        <row r="8288">
          <cell r="A8288" t="str">
            <v>RHP-040-4206-BTNH</v>
          </cell>
          <cell r="G8288" t="str">
            <v xml:space="preserve">CR   </v>
          </cell>
          <cell r="L8288">
            <v>38624</v>
          </cell>
          <cell r="M8288">
            <v>2.915</v>
          </cell>
          <cell r="P8288">
            <v>9.7569999999999997</v>
          </cell>
        </row>
        <row r="8289">
          <cell r="A8289" t="str">
            <v>RHP-040-4209-BTNH</v>
          </cell>
          <cell r="G8289" t="str">
            <v xml:space="preserve">CR   </v>
          </cell>
          <cell r="L8289">
            <v>38624</v>
          </cell>
          <cell r="M8289">
            <v>2.915</v>
          </cell>
          <cell r="P8289">
            <v>14.938000000000001</v>
          </cell>
        </row>
        <row r="8290">
          <cell r="A8290" t="str">
            <v>RHP-040-4210-BTNH</v>
          </cell>
          <cell r="G8290" t="str">
            <v xml:space="preserve">CR   </v>
          </cell>
          <cell r="L8290">
            <v>38624</v>
          </cell>
          <cell r="M8290">
            <v>2.915</v>
          </cell>
          <cell r="P8290">
            <v>16.401</v>
          </cell>
        </row>
        <row r="8291">
          <cell r="A8291" t="str">
            <v>RHP-040-4211-BTNH</v>
          </cell>
          <cell r="G8291" t="str">
            <v xml:space="preserve">CR   </v>
          </cell>
          <cell r="L8291">
            <v>38624</v>
          </cell>
          <cell r="M8291">
            <v>2.915</v>
          </cell>
          <cell r="P8291">
            <v>19.777999999999999</v>
          </cell>
        </row>
        <row r="8292">
          <cell r="A8292" t="str">
            <v>RHP-040-4212-BTNH</v>
          </cell>
          <cell r="G8292" t="str">
            <v xml:space="preserve">CR   </v>
          </cell>
          <cell r="L8292">
            <v>38624</v>
          </cell>
          <cell r="M8292">
            <v>2.915</v>
          </cell>
          <cell r="P8292">
            <v>23.803999999999998</v>
          </cell>
        </row>
        <row r="8293">
          <cell r="A8293" t="str">
            <v>RHP-040-6206-2RS</v>
          </cell>
          <cell r="G8293" t="str">
            <v xml:space="preserve">CR   </v>
          </cell>
          <cell r="L8293">
            <v>38811</v>
          </cell>
          <cell r="M8293">
            <v>3.085</v>
          </cell>
          <cell r="P8293">
            <v>1.5680000000000001</v>
          </cell>
        </row>
        <row r="8294">
          <cell r="A8294" t="str">
            <v>RHP-040-6207-2RS</v>
          </cell>
          <cell r="G8294" t="str">
            <v xml:space="preserve">CR   </v>
          </cell>
          <cell r="L8294">
            <v>38624</v>
          </cell>
          <cell r="M8294">
            <v>2.915</v>
          </cell>
          <cell r="P8294">
            <v>4.1139999999999999</v>
          </cell>
        </row>
        <row r="8295">
          <cell r="A8295" t="str">
            <v>RHP-040-6304-2RS</v>
          </cell>
          <cell r="G8295" t="str">
            <v>INDEV</v>
          </cell>
          <cell r="L8295">
            <v>41288</v>
          </cell>
          <cell r="M8295">
            <v>4.95</v>
          </cell>
          <cell r="P8295">
            <v>7.7878787878787872</v>
          </cell>
        </row>
        <row r="8296">
          <cell r="A8296" t="str">
            <v>RHP-040-6305-2RS</v>
          </cell>
          <cell r="G8296" t="str">
            <v xml:space="preserve">CR   </v>
          </cell>
          <cell r="L8296">
            <v>38624</v>
          </cell>
          <cell r="M8296">
            <v>2.915</v>
          </cell>
          <cell r="P8296">
            <v>4.5209999999999999</v>
          </cell>
        </row>
        <row r="8297">
          <cell r="A8297" t="str">
            <v>RHP-042-21315-J11</v>
          </cell>
          <cell r="G8297" t="str">
            <v>INDEV</v>
          </cell>
          <cell r="L8297">
            <v>39223</v>
          </cell>
          <cell r="M8297">
            <v>3.0779999999999998</v>
          </cell>
          <cell r="P8297">
            <v>45.068388564002596</v>
          </cell>
        </row>
        <row r="8298">
          <cell r="A8298" t="str">
            <v>RHP-042-21315-K</v>
          </cell>
          <cell r="G8298" t="str">
            <v>INDEV</v>
          </cell>
          <cell r="L8298">
            <v>41288</v>
          </cell>
          <cell r="M8298">
            <v>4.95</v>
          </cell>
          <cell r="P8298">
            <v>40.109191919191922</v>
          </cell>
        </row>
        <row r="8299">
          <cell r="A8299" t="str">
            <v>RHP-042-21317-KMB</v>
          </cell>
          <cell r="G8299" t="str">
            <v xml:space="preserve">CR   </v>
          </cell>
          <cell r="L8299">
            <v>38624</v>
          </cell>
          <cell r="M8299">
            <v>2.915</v>
          </cell>
          <cell r="P8299">
            <v>75.141000000000005</v>
          </cell>
        </row>
        <row r="8300">
          <cell r="A8300" t="str">
            <v>RHP-042-21317-MC3</v>
          </cell>
          <cell r="G8300" t="str">
            <v>INDEV</v>
          </cell>
          <cell r="L8300">
            <v>41288</v>
          </cell>
          <cell r="M8300">
            <v>4.95</v>
          </cell>
          <cell r="P8300">
            <v>34.768303030303031</v>
          </cell>
        </row>
        <row r="8301">
          <cell r="A8301" t="str">
            <v>RHP-042-22213-EJW3</v>
          </cell>
          <cell r="G8301" t="str">
            <v xml:space="preserve">CR   </v>
          </cell>
          <cell r="L8301">
            <v>38811</v>
          </cell>
          <cell r="M8301">
            <v>3.085</v>
          </cell>
          <cell r="P8301">
            <v>25.306799999999999</v>
          </cell>
        </row>
        <row r="8302">
          <cell r="A8302" t="str">
            <v>RHP-042-22216-EKW3</v>
          </cell>
          <cell r="G8302" t="str">
            <v xml:space="preserve">CR   </v>
          </cell>
          <cell r="L8302">
            <v>38624</v>
          </cell>
          <cell r="M8302">
            <v>2.915</v>
          </cell>
          <cell r="P8302">
            <v>45.914000000000001</v>
          </cell>
        </row>
        <row r="8303">
          <cell r="A8303" t="str">
            <v>RHP-042-22217-EJW3</v>
          </cell>
          <cell r="G8303" t="str">
            <v xml:space="preserve">CR   </v>
          </cell>
          <cell r="L8303">
            <v>38624</v>
          </cell>
          <cell r="M8303">
            <v>2.915</v>
          </cell>
          <cell r="P8303">
            <v>25.773</v>
          </cell>
        </row>
        <row r="8304">
          <cell r="A8304" t="str">
            <v>RHP-042-22217-EKW3</v>
          </cell>
          <cell r="G8304" t="str">
            <v xml:space="preserve">CR   </v>
          </cell>
          <cell r="L8304">
            <v>38624</v>
          </cell>
          <cell r="M8304">
            <v>2.915</v>
          </cell>
          <cell r="P8304">
            <v>52.822000000000003</v>
          </cell>
        </row>
        <row r="8305">
          <cell r="A8305" t="str">
            <v>RHP-042-22218-EJW3</v>
          </cell>
          <cell r="G8305" t="str">
            <v xml:space="preserve">CR   </v>
          </cell>
          <cell r="L8305">
            <v>38624</v>
          </cell>
          <cell r="M8305">
            <v>2.915</v>
          </cell>
          <cell r="P8305">
            <v>61.412999999999997</v>
          </cell>
        </row>
        <row r="8306">
          <cell r="A8306" t="str">
            <v>RHP-042-22218-EKW3</v>
          </cell>
          <cell r="G8306" t="str">
            <v xml:space="preserve">CR   </v>
          </cell>
          <cell r="L8306">
            <v>38811</v>
          </cell>
          <cell r="M8306">
            <v>3.085</v>
          </cell>
          <cell r="P8306">
            <v>48.253999999999998</v>
          </cell>
        </row>
        <row r="8307">
          <cell r="A8307" t="str">
            <v>RHP-042-22219-EJW3</v>
          </cell>
          <cell r="G8307" t="str">
            <v xml:space="preserve">CR   </v>
          </cell>
          <cell r="L8307">
            <v>38624</v>
          </cell>
          <cell r="M8307">
            <v>2.915</v>
          </cell>
          <cell r="P8307">
            <v>73.171999999999997</v>
          </cell>
        </row>
        <row r="8308">
          <cell r="A8308" t="str">
            <v>RHP-042-22219-EKW3</v>
          </cell>
          <cell r="G8308" t="str">
            <v xml:space="preserve">CR   </v>
          </cell>
          <cell r="L8308">
            <v>38811</v>
          </cell>
          <cell r="M8308">
            <v>3.085</v>
          </cell>
          <cell r="P8308">
            <v>57.493400000000001</v>
          </cell>
        </row>
        <row r="8309">
          <cell r="A8309" t="str">
            <v>RHP-042-22220-EKJW</v>
          </cell>
          <cell r="G8309" t="str">
            <v xml:space="preserve">INSI </v>
          </cell>
          <cell r="L8309">
            <v>40827</v>
          </cell>
          <cell r="M8309">
            <v>4.24</v>
          </cell>
          <cell r="P8309">
            <v>82.290999999999997</v>
          </cell>
        </row>
        <row r="8310">
          <cell r="A8310" t="str">
            <v>RHP-042-22222-EKW3</v>
          </cell>
          <cell r="G8310" t="str">
            <v xml:space="preserve">CR   </v>
          </cell>
          <cell r="L8310">
            <v>38811</v>
          </cell>
          <cell r="M8310">
            <v>3.085</v>
          </cell>
          <cell r="P8310">
            <v>83.673100000000005</v>
          </cell>
        </row>
        <row r="8311">
          <cell r="A8311" t="str">
            <v>RHP-042-22310-EJW3</v>
          </cell>
          <cell r="G8311" t="str">
            <v xml:space="preserve">CR   </v>
          </cell>
          <cell r="L8311">
            <v>38624</v>
          </cell>
          <cell r="M8311">
            <v>2.915</v>
          </cell>
          <cell r="P8311">
            <v>36.817</v>
          </cell>
        </row>
        <row r="8312">
          <cell r="A8312" t="str">
            <v>RHP-042-22311-EJW3</v>
          </cell>
          <cell r="G8312" t="str">
            <v xml:space="preserve">CR   </v>
          </cell>
          <cell r="L8312">
            <v>38624</v>
          </cell>
          <cell r="M8312">
            <v>2.915</v>
          </cell>
          <cell r="P8312">
            <v>43.197000000000003</v>
          </cell>
        </row>
        <row r="8313">
          <cell r="A8313" t="str">
            <v>RHP-042-22314-EJW3</v>
          </cell>
          <cell r="G8313" t="str">
            <v xml:space="preserve">CR   </v>
          </cell>
          <cell r="L8313">
            <v>38624</v>
          </cell>
          <cell r="M8313">
            <v>2.915</v>
          </cell>
          <cell r="P8313">
            <v>66.88</v>
          </cell>
        </row>
        <row r="8314">
          <cell r="A8314" t="str">
            <v>RHP-042-22317-JW33</v>
          </cell>
          <cell r="G8314" t="str">
            <v xml:space="preserve">CR   </v>
          </cell>
          <cell r="L8314">
            <v>38811</v>
          </cell>
          <cell r="M8314">
            <v>3.085</v>
          </cell>
          <cell r="P8314">
            <v>78.590999999999994</v>
          </cell>
        </row>
        <row r="8315">
          <cell r="A8315" t="str">
            <v>RHP-042-22320-EMW3</v>
          </cell>
          <cell r="G8315" t="str">
            <v xml:space="preserve">CR   </v>
          </cell>
          <cell r="L8315">
            <v>38811</v>
          </cell>
          <cell r="M8315">
            <v>3.085</v>
          </cell>
          <cell r="P8315">
            <v>123.1889</v>
          </cell>
        </row>
        <row r="8316">
          <cell r="A8316" t="str">
            <v>RHP-042-4203-BTNH</v>
          </cell>
          <cell r="G8316" t="str">
            <v xml:space="preserve">CR   </v>
          </cell>
          <cell r="L8316">
            <v>38624</v>
          </cell>
          <cell r="M8316">
            <v>2.915</v>
          </cell>
          <cell r="P8316">
            <v>7.4139999999999997</v>
          </cell>
        </row>
        <row r="8317">
          <cell r="A8317" t="str">
            <v>RHP-042-4204-BTNH</v>
          </cell>
          <cell r="G8317" t="str">
            <v xml:space="preserve">CR   </v>
          </cell>
          <cell r="L8317">
            <v>38624</v>
          </cell>
          <cell r="M8317">
            <v>2.915</v>
          </cell>
          <cell r="P8317">
            <v>7.7220000000000004</v>
          </cell>
        </row>
        <row r="8318">
          <cell r="A8318" t="str">
            <v>RHP-047-176205-2RS</v>
          </cell>
          <cell r="G8318" t="str">
            <v xml:space="preserve">CR   </v>
          </cell>
          <cell r="L8318">
            <v>38624</v>
          </cell>
          <cell r="M8318">
            <v>2.915</v>
          </cell>
          <cell r="P8318">
            <v>3.63</v>
          </cell>
        </row>
        <row r="8319">
          <cell r="A8319" t="str">
            <v>RHP-047-176207-2RS</v>
          </cell>
          <cell r="G8319" t="str">
            <v xml:space="preserve">CR   </v>
          </cell>
          <cell r="L8319">
            <v>38811</v>
          </cell>
          <cell r="M8319">
            <v>3.085</v>
          </cell>
          <cell r="P8319">
            <v>4.5980999999999996</v>
          </cell>
        </row>
        <row r="8320">
          <cell r="A8320" t="str">
            <v>RHP-047-176209-2RS</v>
          </cell>
          <cell r="G8320" t="str">
            <v>INDEV</v>
          </cell>
          <cell r="L8320">
            <v>41288</v>
          </cell>
          <cell r="M8320">
            <v>4.95</v>
          </cell>
          <cell r="P8320">
            <v>3.8224242424242423</v>
          </cell>
        </row>
        <row r="8321">
          <cell r="A8321" t="str">
            <v>RHP-047-176210-2RS</v>
          </cell>
          <cell r="G8321" t="str">
            <v xml:space="preserve">CR   </v>
          </cell>
          <cell r="L8321">
            <v>38811</v>
          </cell>
          <cell r="M8321">
            <v>3.085</v>
          </cell>
          <cell r="P8321">
            <v>7.6318000000000001</v>
          </cell>
        </row>
        <row r="8322">
          <cell r="A8322" t="str">
            <v>RHP-047-1A-208-11/8</v>
          </cell>
          <cell r="G8322" t="str">
            <v xml:space="preserve">CR   </v>
          </cell>
          <cell r="L8322">
            <v>38624</v>
          </cell>
          <cell r="M8322">
            <v>2.915</v>
          </cell>
          <cell r="P8322">
            <v>12.43</v>
          </cell>
        </row>
        <row r="8323">
          <cell r="A8323" t="str">
            <v>RHP-047-UC-208-T</v>
          </cell>
          <cell r="G8323" t="str">
            <v xml:space="preserve">CR   </v>
          </cell>
          <cell r="L8323">
            <v>38624</v>
          </cell>
          <cell r="M8323">
            <v>2.915</v>
          </cell>
          <cell r="P8323">
            <v>11.417999999999999</v>
          </cell>
        </row>
        <row r="8324">
          <cell r="A8324" t="str">
            <v>ROB-031-GEN-750-W</v>
          </cell>
          <cell r="G8324" t="str">
            <v xml:space="preserve">CR   </v>
          </cell>
          <cell r="L8324">
            <v>38624</v>
          </cell>
          <cell r="M8324">
            <v>2.915</v>
          </cell>
          <cell r="P8324">
            <v>788.07299999999998</v>
          </cell>
        </row>
        <row r="8325">
          <cell r="A8325" t="str">
            <v>RUN-047-PP-5-SETS</v>
          </cell>
          <cell r="G8325" t="str">
            <v xml:space="preserve">CR   </v>
          </cell>
          <cell r="L8325">
            <v>38624</v>
          </cell>
          <cell r="M8325">
            <v>2.915</v>
          </cell>
          <cell r="P8325">
            <v>2.4860000000000002</v>
          </cell>
        </row>
        <row r="8326">
          <cell r="A8326" t="str">
            <v>S/M-ALI-MAIZ.QUE.GRA</v>
          </cell>
          <cell r="G8326" t="str">
            <v xml:space="preserve">INSI </v>
          </cell>
          <cell r="L8326">
            <v>41327</v>
          </cell>
          <cell r="M8326">
            <v>5.03</v>
          </cell>
          <cell r="P8326">
            <v>0.20830000000000001</v>
          </cell>
        </row>
        <row r="8327">
          <cell r="A8327" t="str">
            <v>S/M-MAN-MANI-BL-6070</v>
          </cell>
          <cell r="G8327" t="str">
            <v xml:space="preserve">INSI </v>
          </cell>
          <cell r="L8327">
            <v>41536</v>
          </cell>
          <cell r="M8327">
            <v>5.75</v>
          </cell>
          <cell r="P8327">
            <v>1500</v>
          </cell>
        </row>
        <row r="8328">
          <cell r="A8328" t="str">
            <v>S/M-ROD-POLARIS-RZR</v>
          </cell>
          <cell r="G8328" t="str">
            <v>INDEV</v>
          </cell>
          <cell r="L8328">
            <v>44061</v>
          </cell>
          <cell r="M8328">
            <v>77.25</v>
          </cell>
          <cell r="P8328">
            <v>24999</v>
          </cell>
        </row>
        <row r="8329">
          <cell r="A8329" t="str">
            <v>SAV-027-JRME-2047SEA</v>
          </cell>
          <cell r="G8329" t="str">
            <v xml:space="preserve">INAC </v>
          </cell>
          <cell r="L8329">
            <v>39175</v>
          </cell>
          <cell r="M8329">
            <v>3.1</v>
          </cell>
          <cell r="P8329">
            <v>0.16129032258064516</v>
          </cell>
        </row>
        <row r="8330">
          <cell r="A8330" t="str">
            <v>SFC-045-TU-52-25MM</v>
          </cell>
          <cell r="G8330" t="str">
            <v xml:space="preserve">INAC </v>
          </cell>
          <cell r="L8330">
            <v>41876</v>
          </cell>
          <cell r="M8330">
            <v>8.4</v>
          </cell>
          <cell r="P8330">
            <v>24.404761904761905</v>
          </cell>
        </row>
        <row r="8331">
          <cell r="A8331" t="str">
            <v>SKF-027-NU-2311-ECP</v>
          </cell>
          <cell r="G8331" t="str">
            <v xml:space="preserve">INAC </v>
          </cell>
          <cell r="L8331">
            <v>40114</v>
          </cell>
          <cell r="M8331">
            <v>3.83</v>
          </cell>
          <cell r="P8331">
            <v>147.78198433420366</v>
          </cell>
        </row>
        <row r="8332">
          <cell r="A8332" t="str">
            <v>SKF-031-337132</v>
          </cell>
          <cell r="G8332" t="str">
            <v>INDEV</v>
          </cell>
          <cell r="L8332">
            <v>41288</v>
          </cell>
          <cell r="M8332">
            <v>4.95</v>
          </cell>
          <cell r="P8332">
            <v>2.8044646464646461</v>
          </cell>
        </row>
        <row r="8333">
          <cell r="A8333" t="str">
            <v>SKF-031-607652-A</v>
          </cell>
          <cell r="G8333" t="str">
            <v xml:space="preserve">CR   </v>
          </cell>
          <cell r="L8333">
            <v>38624</v>
          </cell>
          <cell r="M8333">
            <v>2.915</v>
          </cell>
          <cell r="P8333">
            <v>18.084</v>
          </cell>
        </row>
        <row r="8334">
          <cell r="A8334" t="str">
            <v>SKF-031-616073</v>
          </cell>
          <cell r="G8334" t="str">
            <v xml:space="preserve">CR   </v>
          </cell>
          <cell r="L8334">
            <v>38624</v>
          </cell>
          <cell r="M8334">
            <v>2.915</v>
          </cell>
          <cell r="P8334">
            <v>4.8620000000000001</v>
          </cell>
        </row>
        <row r="8335">
          <cell r="A8335" t="str">
            <v>SKF-031-63006-2RC4</v>
          </cell>
          <cell r="G8335" t="str">
            <v xml:space="preserve">CR   </v>
          </cell>
          <cell r="L8335">
            <v>38811</v>
          </cell>
          <cell r="M8335">
            <v>3.085</v>
          </cell>
          <cell r="P8335">
            <v>3.7770000000000001</v>
          </cell>
        </row>
        <row r="8336">
          <cell r="A8336" t="str">
            <v>SKF-031-BT1-329013-Q</v>
          </cell>
          <cell r="G8336" t="str">
            <v>INDEV</v>
          </cell>
          <cell r="L8336">
            <v>41288</v>
          </cell>
          <cell r="M8336">
            <v>4.95</v>
          </cell>
          <cell r="P8336">
            <v>8.4040404040404049</v>
          </cell>
        </row>
        <row r="8337">
          <cell r="A8337" t="str">
            <v>SKF-031-DAC-1083</v>
          </cell>
          <cell r="G8337" t="str">
            <v xml:space="preserve">CR   </v>
          </cell>
          <cell r="L8337">
            <v>38811</v>
          </cell>
          <cell r="M8337">
            <v>3.085</v>
          </cell>
          <cell r="P8337">
            <v>7.3465999999999996</v>
          </cell>
        </row>
        <row r="8338">
          <cell r="A8338" t="str">
            <v>SKF-031-KD-11786-Z</v>
          </cell>
          <cell r="G8338" t="str">
            <v xml:space="preserve">CR   </v>
          </cell>
          <cell r="L8338">
            <v>38624</v>
          </cell>
          <cell r="M8338">
            <v>2.915</v>
          </cell>
          <cell r="P8338">
            <v>6.8090000000000002</v>
          </cell>
        </row>
        <row r="8339">
          <cell r="A8339" t="str">
            <v>SKF-035-NK-25-20</v>
          </cell>
          <cell r="G8339" t="str">
            <v xml:space="preserve">INAC </v>
          </cell>
          <cell r="L8339">
            <v>37768</v>
          </cell>
          <cell r="M8339">
            <v>2.87</v>
          </cell>
          <cell r="P8339">
            <v>19.383275261324041</v>
          </cell>
        </row>
        <row r="8340">
          <cell r="A8340" t="str">
            <v>SKF-040-127</v>
          </cell>
          <cell r="G8340" t="str">
            <v>INDEV</v>
          </cell>
          <cell r="L8340">
            <v>41288</v>
          </cell>
          <cell r="M8340">
            <v>4.95</v>
          </cell>
          <cell r="P8340">
            <v>0.257030303030303</v>
          </cell>
        </row>
        <row r="8341">
          <cell r="A8341" t="str">
            <v>SKF-040-2213</v>
          </cell>
          <cell r="G8341" t="str">
            <v xml:space="preserve">INAC </v>
          </cell>
          <cell r="L8341">
            <v>38293</v>
          </cell>
          <cell r="M8341">
            <v>2.9689999999999999</v>
          </cell>
          <cell r="P8341">
            <v>64.846749747389694</v>
          </cell>
        </row>
        <row r="8342">
          <cell r="A8342" t="str">
            <v>SKF-040-51104</v>
          </cell>
          <cell r="G8342" t="str">
            <v xml:space="preserve">INAC </v>
          </cell>
          <cell r="L8342">
            <v>38623</v>
          </cell>
          <cell r="M8342">
            <v>2.91</v>
          </cell>
          <cell r="P8342">
            <v>9.3711340206185554</v>
          </cell>
        </row>
        <row r="8343">
          <cell r="A8343" t="str">
            <v>SKF-040-6002-2RS</v>
          </cell>
          <cell r="G8343" t="str">
            <v xml:space="preserve">CR   </v>
          </cell>
          <cell r="L8343">
            <v>38624</v>
          </cell>
          <cell r="M8343">
            <v>2.915</v>
          </cell>
          <cell r="P8343">
            <v>0.82499999999999996</v>
          </cell>
        </row>
        <row r="8344">
          <cell r="A8344" t="str">
            <v>SKF-040-6006-2RS</v>
          </cell>
          <cell r="G8344" t="str">
            <v xml:space="preserve">CR   </v>
          </cell>
          <cell r="L8344">
            <v>38624</v>
          </cell>
          <cell r="M8344">
            <v>2.915</v>
          </cell>
          <cell r="P8344">
            <v>2.0129999999999999</v>
          </cell>
        </row>
        <row r="8345">
          <cell r="A8345" t="str">
            <v>SKF-040-61814-2RS</v>
          </cell>
          <cell r="G8345" t="str">
            <v xml:space="preserve">CR   </v>
          </cell>
          <cell r="L8345">
            <v>38624</v>
          </cell>
          <cell r="M8345">
            <v>2.915</v>
          </cell>
          <cell r="P8345">
            <v>32.076000000000001</v>
          </cell>
        </row>
        <row r="8346">
          <cell r="A8346" t="str">
            <v>SKF-040-6305</v>
          </cell>
          <cell r="G8346" t="str">
            <v xml:space="preserve">CR   </v>
          </cell>
          <cell r="L8346">
            <v>38624</v>
          </cell>
          <cell r="M8346">
            <v>2.915</v>
          </cell>
          <cell r="P8346">
            <v>2.0459999999999998</v>
          </cell>
        </row>
        <row r="8347">
          <cell r="A8347" t="str">
            <v>SKF-041-6000-2RS</v>
          </cell>
          <cell r="G8347" t="str">
            <v xml:space="preserve">INAC </v>
          </cell>
          <cell r="L8347">
            <v>37790</v>
          </cell>
          <cell r="M8347">
            <v>2.895</v>
          </cell>
          <cell r="P8347">
            <v>3.9723661485319517</v>
          </cell>
        </row>
        <row r="8348">
          <cell r="A8348" t="str">
            <v>SKF-041-6002-2RS1-C3</v>
          </cell>
          <cell r="G8348" t="str">
            <v xml:space="preserve">INAC </v>
          </cell>
          <cell r="L8348">
            <v>38623</v>
          </cell>
          <cell r="M8348">
            <v>2.91</v>
          </cell>
          <cell r="P8348">
            <v>3.5360824742268036</v>
          </cell>
        </row>
        <row r="8349">
          <cell r="A8349" t="str">
            <v>SKF-041-6003-2RS1-C3</v>
          </cell>
          <cell r="G8349" t="str">
            <v xml:space="preserve">INAC </v>
          </cell>
          <cell r="L8349">
            <v>38623</v>
          </cell>
          <cell r="M8349">
            <v>2.91</v>
          </cell>
          <cell r="P8349">
            <v>2.6460481099656357</v>
          </cell>
        </row>
        <row r="8350">
          <cell r="A8350" t="str">
            <v>SKF-041-6013-2RS-22</v>
          </cell>
          <cell r="G8350" t="str">
            <v>InRet</v>
          </cell>
          <cell r="L8350">
            <v>40667</v>
          </cell>
          <cell r="M8350">
            <v>4.1100000000000003</v>
          </cell>
          <cell r="P8350">
            <v>45.255474452554743</v>
          </cell>
        </row>
        <row r="8351">
          <cell r="A8351" t="str">
            <v>SKF-041-6030-2RS1</v>
          </cell>
          <cell r="G8351" t="str">
            <v xml:space="preserve">INAC </v>
          </cell>
          <cell r="L8351">
            <v>39371</v>
          </cell>
          <cell r="M8351">
            <v>3.157</v>
          </cell>
          <cell r="P8351">
            <v>408.2578397212543</v>
          </cell>
        </row>
        <row r="8352">
          <cell r="A8352" t="str">
            <v>SKF-041-61804-2RS1</v>
          </cell>
          <cell r="G8352" t="str">
            <v xml:space="preserve">INAC </v>
          </cell>
          <cell r="L8352">
            <v>38623</v>
          </cell>
          <cell r="M8352">
            <v>2.91</v>
          </cell>
          <cell r="P8352">
            <v>12.72508591065292</v>
          </cell>
        </row>
        <row r="8353">
          <cell r="A8353" t="str">
            <v>SKF-041-6201-2RS1C3L</v>
          </cell>
          <cell r="G8353" t="str">
            <v xml:space="preserve">INAC </v>
          </cell>
          <cell r="L8353">
            <v>38623</v>
          </cell>
          <cell r="M8353">
            <v>2.91</v>
          </cell>
          <cell r="P8353">
            <v>1.8831615120274914</v>
          </cell>
        </row>
        <row r="8354">
          <cell r="A8354" t="str">
            <v>SKF-041-6204</v>
          </cell>
          <cell r="G8354" t="str">
            <v xml:space="preserve">INAC </v>
          </cell>
          <cell r="L8354">
            <v>38623</v>
          </cell>
          <cell r="M8354">
            <v>2.91</v>
          </cell>
          <cell r="P8354">
            <v>2.5017182130584192</v>
          </cell>
        </row>
        <row r="8355">
          <cell r="A8355" t="str">
            <v>SKF-041-6205-C3</v>
          </cell>
          <cell r="G8355" t="str">
            <v xml:space="preserve">INAC </v>
          </cell>
          <cell r="L8355">
            <v>38623</v>
          </cell>
          <cell r="M8355">
            <v>2.91</v>
          </cell>
          <cell r="P8355">
            <v>2.9140893470790377</v>
          </cell>
        </row>
        <row r="8356">
          <cell r="A8356" t="str">
            <v>SKF-041-63002-2RS</v>
          </cell>
          <cell r="G8356" t="str">
            <v xml:space="preserve">INAC </v>
          </cell>
          <cell r="L8356">
            <v>38658</v>
          </cell>
          <cell r="M8356">
            <v>2.992</v>
          </cell>
          <cell r="P8356">
            <v>11.363636363636363</v>
          </cell>
        </row>
        <row r="8357">
          <cell r="A8357" t="str">
            <v>SKF-050-30210-J2/Q</v>
          </cell>
          <cell r="G8357" t="str">
            <v>INDEV</v>
          </cell>
          <cell r="L8357">
            <v>38643</v>
          </cell>
          <cell r="M8357">
            <v>2.9689999999999999</v>
          </cell>
          <cell r="P8357">
            <v>16.581340518693164</v>
          </cell>
        </row>
        <row r="8358">
          <cell r="A8358" t="str">
            <v>SKF-050-30211-J2/Q</v>
          </cell>
          <cell r="G8358" t="str">
            <v xml:space="preserve">INAC </v>
          </cell>
          <cell r="L8358">
            <v>38623</v>
          </cell>
          <cell r="M8358">
            <v>2.91</v>
          </cell>
          <cell r="P8358">
            <v>29.635738831615118</v>
          </cell>
        </row>
        <row r="8359">
          <cell r="A8359" t="str">
            <v>SKF-050-32010-X/Q</v>
          </cell>
          <cell r="G8359" t="str">
            <v xml:space="preserve">INAC </v>
          </cell>
          <cell r="L8359">
            <v>38632</v>
          </cell>
          <cell r="M8359">
            <v>2.9350000000000001</v>
          </cell>
          <cell r="P8359">
            <v>20.858603066439521</v>
          </cell>
        </row>
        <row r="8360">
          <cell r="A8360" t="str">
            <v>SNR-031-440809</v>
          </cell>
          <cell r="G8360" t="str">
            <v xml:space="preserve">CR   </v>
          </cell>
          <cell r="L8360">
            <v>38624</v>
          </cell>
          <cell r="M8360">
            <v>2.915</v>
          </cell>
          <cell r="P8360">
            <v>2.8050000000000002</v>
          </cell>
        </row>
        <row r="8361">
          <cell r="A8361" t="str">
            <v>SNR-031-62-23</v>
          </cell>
          <cell r="G8361" t="str">
            <v xml:space="preserve">CR   </v>
          </cell>
          <cell r="L8361">
            <v>38811</v>
          </cell>
          <cell r="M8361">
            <v>3.085</v>
          </cell>
          <cell r="P8361">
            <v>3.5522999999999998</v>
          </cell>
        </row>
        <row r="8362">
          <cell r="A8362" t="str">
            <v>SNR-035-NU-318-C3</v>
          </cell>
          <cell r="G8362" t="str">
            <v>INDEV</v>
          </cell>
          <cell r="L8362">
            <v>41288</v>
          </cell>
          <cell r="M8362">
            <v>4.95</v>
          </cell>
          <cell r="P8362">
            <v>51.869919191919188</v>
          </cell>
        </row>
        <row r="8363">
          <cell r="A8363" t="str">
            <v>SNR-040-32009-J</v>
          </cell>
          <cell r="G8363" t="str">
            <v xml:space="preserve">CR   </v>
          </cell>
          <cell r="L8363">
            <v>37981</v>
          </cell>
          <cell r="M8363">
            <v>2.96</v>
          </cell>
          <cell r="P8363">
            <v>5.43</v>
          </cell>
        </row>
        <row r="8364">
          <cell r="A8364" t="str">
            <v>SPZ-035-N-314</v>
          </cell>
          <cell r="G8364" t="str">
            <v xml:space="preserve">CR   </v>
          </cell>
          <cell r="L8364">
            <v>38624</v>
          </cell>
          <cell r="M8364">
            <v>2.915</v>
          </cell>
          <cell r="P8364">
            <v>8.6790000000000003</v>
          </cell>
        </row>
        <row r="8365">
          <cell r="A8365" t="str">
            <v>SPZ-040-30220</v>
          </cell>
          <cell r="G8365" t="str">
            <v xml:space="preserve">CR   </v>
          </cell>
          <cell r="L8365">
            <v>38811</v>
          </cell>
          <cell r="M8365">
            <v>3.085</v>
          </cell>
          <cell r="P8365">
            <v>5.5919999999999996</v>
          </cell>
        </row>
        <row r="8366">
          <cell r="A8366" t="str">
            <v>SPZ-040-31307</v>
          </cell>
          <cell r="G8366" t="str">
            <v xml:space="preserve">CR   </v>
          </cell>
          <cell r="L8366">
            <v>38811</v>
          </cell>
          <cell r="M8366">
            <v>3.085</v>
          </cell>
          <cell r="P8366">
            <v>1.7285999999999999</v>
          </cell>
        </row>
        <row r="8367">
          <cell r="A8367" t="str">
            <v>SPZ-040-31311</v>
          </cell>
          <cell r="G8367" t="str">
            <v>INDEV</v>
          </cell>
          <cell r="L8367">
            <v>41288</v>
          </cell>
          <cell r="M8367">
            <v>4.95</v>
          </cell>
          <cell r="P8367">
            <v>1.806888888888889</v>
          </cell>
        </row>
        <row r="8368">
          <cell r="A8368" t="str">
            <v>STA-031-BOM-3-4HP</v>
          </cell>
          <cell r="G8368" t="str">
            <v xml:space="preserve">CR   </v>
          </cell>
          <cell r="L8368">
            <v>38624</v>
          </cell>
          <cell r="M8368">
            <v>2.915</v>
          </cell>
          <cell r="P8368">
            <v>72.864000000000004</v>
          </cell>
        </row>
        <row r="8369">
          <cell r="A8369" t="str">
            <v>SUR-050-30212</v>
          </cell>
          <cell r="G8369" t="str">
            <v xml:space="preserve">INAC </v>
          </cell>
          <cell r="L8369">
            <v>42877</v>
          </cell>
          <cell r="M8369">
            <v>16.239999999999998</v>
          </cell>
          <cell r="P8369">
            <v>5.6652709359605922</v>
          </cell>
        </row>
        <row r="8370">
          <cell r="A8370" t="str">
            <v>TAM-040-32008</v>
          </cell>
          <cell r="G8370" t="str">
            <v xml:space="preserve">INAC </v>
          </cell>
          <cell r="L8370">
            <v>42979</v>
          </cell>
          <cell r="M8370">
            <v>17.66</v>
          </cell>
          <cell r="P8370">
            <v>6.6795016987542466</v>
          </cell>
        </row>
        <row r="8371">
          <cell r="A8371" t="str">
            <v>TAM-040-UC-208</v>
          </cell>
          <cell r="G8371" t="str">
            <v xml:space="preserve">INSI </v>
          </cell>
          <cell r="L8371">
            <v>37626</v>
          </cell>
          <cell r="M8371">
            <v>3.34</v>
          </cell>
          <cell r="P8371">
            <v>1</v>
          </cell>
        </row>
        <row r="8372">
          <cell r="A8372" t="str">
            <v>TAM-041-32206</v>
          </cell>
          <cell r="G8372" t="str">
            <v>IPFAB</v>
          </cell>
          <cell r="L8372">
            <v>37909</v>
          </cell>
          <cell r="M8372">
            <v>2.8370000000000002</v>
          </cell>
          <cell r="P8372">
            <v>2.21</v>
          </cell>
        </row>
        <row r="8373">
          <cell r="A8373" t="str">
            <v>TAM-043-32010</v>
          </cell>
          <cell r="G8373" t="str">
            <v xml:space="preserve">CR   </v>
          </cell>
          <cell r="L8373">
            <v>38811</v>
          </cell>
          <cell r="M8373">
            <v>3.085</v>
          </cell>
          <cell r="P8373">
            <v>1.4693000000000001</v>
          </cell>
        </row>
        <row r="8374">
          <cell r="A8374" t="str">
            <v>TAN-027-SEM-4350</v>
          </cell>
          <cell r="G8374" t="str">
            <v xml:space="preserve">INAC </v>
          </cell>
          <cell r="L8374">
            <v>39959</v>
          </cell>
          <cell r="M8374">
            <v>3.75</v>
          </cell>
          <cell r="P8374">
            <v>21765.309333333335</v>
          </cell>
        </row>
        <row r="8375">
          <cell r="A8375" t="str">
            <v>TAN-027-SEM.4300</v>
          </cell>
          <cell r="G8375" t="str">
            <v xml:space="preserve">INAC </v>
          </cell>
          <cell r="L8375">
            <v>38120</v>
          </cell>
          <cell r="M8375">
            <v>2.9249999999999998</v>
          </cell>
          <cell r="P8375">
            <v>15779.090598290599</v>
          </cell>
        </row>
        <row r="8376">
          <cell r="A8376" t="str">
            <v>TED-027-3"-1/2-C/R</v>
          </cell>
          <cell r="G8376" t="str">
            <v>INDEV</v>
          </cell>
          <cell r="L8376">
            <v>38201</v>
          </cell>
          <cell r="M8376">
            <v>2.98</v>
          </cell>
          <cell r="P8376">
            <v>40.268456375838923</v>
          </cell>
        </row>
        <row r="8377">
          <cell r="A8377" t="str">
            <v>TED-027-3"-1/2-C/VAL</v>
          </cell>
          <cell r="G8377" t="str">
            <v>INDEV</v>
          </cell>
          <cell r="L8377">
            <v>38201</v>
          </cell>
          <cell r="M8377">
            <v>2.98</v>
          </cell>
          <cell r="P8377">
            <v>43.624161073825505</v>
          </cell>
        </row>
        <row r="8378">
          <cell r="A8378" t="str">
            <v>TED-027-3"-C/V</v>
          </cell>
          <cell r="G8378" t="str">
            <v>INDEV</v>
          </cell>
          <cell r="L8378">
            <v>38201</v>
          </cell>
          <cell r="M8378">
            <v>2.98</v>
          </cell>
          <cell r="P8378">
            <v>36.577181208053695</v>
          </cell>
        </row>
        <row r="8379">
          <cell r="A8379" t="str">
            <v>TED-027-4"-S/V</v>
          </cell>
          <cell r="G8379" t="str">
            <v>INDEV</v>
          </cell>
          <cell r="L8379">
            <v>38201</v>
          </cell>
          <cell r="M8379">
            <v>2.98</v>
          </cell>
          <cell r="P8379">
            <v>46.308724832214764</v>
          </cell>
        </row>
        <row r="8380">
          <cell r="A8380" t="str">
            <v>TIM-040-JRM-3935-A</v>
          </cell>
          <cell r="G8380" t="str">
            <v xml:space="preserve">INAC </v>
          </cell>
          <cell r="L8380">
            <v>38531</v>
          </cell>
          <cell r="M8380">
            <v>2.8889999999999998</v>
          </cell>
          <cell r="P8380">
            <v>14.884042921426101</v>
          </cell>
        </row>
        <row r="8381">
          <cell r="A8381" t="str">
            <v>TIM-050-JXC-25469-CA</v>
          </cell>
          <cell r="G8381" t="str">
            <v xml:space="preserve">INAC </v>
          </cell>
          <cell r="L8381">
            <v>38642</v>
          </cell>
          <cell r="M8381">
            <v>2.9710000000000001</v>
          </cell>
          <cell r="P8381">
            <v>77.415011780545271</v>
          </cell>
        </row>
        <row r="8382">
          <cell r="A8382" t="str">
            <v>TIM-050-L-521949-910</v>
          </cell>
          <cell r="G8382" t="str">
            <v xml:space="preserve">CR   </v>
          </cell>
          <cell r="L8382">
            <v>38811</v>
          </cell>
          <cell r="M8382">
            <v>3.085</v>
          </cell>
          <cell r="P8382">
            <v>151.1336</v>
          </cell>
        </row>
        <row r="8383">
          <cell r="A8383" t="str">
            <v>TOR-035-BA-3616</v>
          </cell>
          <cell r="G8383" t="str">
            <v xml:space="preserve">INAC </v>
          </cell>
          <cell r="L8383">
            <v>38491</v>
          </cell>
          <cell r="M8383">
            <v>2.8860000000000001</v>
          </cell>
          <cell r="P8383">
            <v>14.553014553014552</v>
          </cell>
        </row>
        <row r="8384">
          <cell r="A8384" t="str">
            <v>TR--047-AEL-209-45MM</v>
          </cell>
          <cell r="G8384" t="str">
            <v xml:space="preserve">CR   </v>
          </cell>
          <cell r="L8384">
            <v>38624</v>
          </cell>
          <cell r="M8384">
            <v>2.915</v>
          </cell>
          <cell r="P8384">
            <v>5.665</v>
          </cell>
        </row>
        <row r="8385">
          <cell r="A8385" t="str">
            <v>TR--047-AM-60</v>
          </cell>
          <cell r="G8385" t="str">
            <v xml:space="preserve">CR   </v>
          </cell>
          <cell r="L8385">
            <v>38624</v>
          </cell>
          <cell r="M8385">
            <v>2.915</v>
          </cell>
          <cell r="P8385">
            <v>4.8289999999999997</v>
          </cell>
        </row>
        <row r="8386">
          <cell r="A8386" t="str">
            <v>TSG-CAW-0000001</v>
          </cell>
          <cell r="G8386" t="str">
            <v>IDESP</v>
          </cell>
          <cell r="L8386">
            <v>45776</v>
          </cell>
          <cell r="M8386">
            <v>1190</v>
          </cell>
          <cell r="P8386">
            <v>36.67</v>
          </cell>
        </row>
        <row r="8387">
          <cell r="A8387" t="str">
            <v>TSG-CCW-0010000</v>
          </cell>
          <cell r="G8387" t="str">
            <v>IDESP</v>
          </cell>
          <cell r="L8387">
            <v>45776</v>
          </cell>
          <cell r="M8387">
            <v>1190</v>
          </cell>
          <cell r="P8387">
            <v>19.7</v>
          </cell>
        </row>
        <row r="8388">
          <cell r="A8388" t="str">
            <v>TSG-CCW-0020000</v>
          </cell>
          <cell r="G8388" t="str">
            <v>IDESP</v>
          </cell>
          <cell r="L8388">
            <v>45776</v>
          </cell>
          <cell r="M8388">
            <v>1190</v>
          </cell>
          <cell r="P8388">
            <v>19.7</v>
          </cell>
        </row>
        <row r="8389">
          <cell r="A8389" t="str">
            <v>TSG-CCW-0030000</v>
          </cell>
          <cell r="G8389" t="str">
            <v>IDESP</v>
          </cell>
          <cell r="L8389">
            <v>45776</v>
          </cell>
          <cell r="M8389">
            <v>1190</v>
          </cell>
          <cell r="P8389">
            <v>172.26</v>
          </cell>
        </row>
        <row r="8390">
          <cell r="A8390" t="str">
            <v>TSG-CCW-0030003</v>
          </cell>
          <cell r="G8390" t="str">
            <v>IDESP</v>
          </cell>
          <cell r="L8390">
            <v>45776</v>
          </cell>
          <cell r="M8390">
            <v>1190</v>
          </cell>
          <cell r="P8390">
            <v>3.02</v>
          </cell>
        </row>
        <row r="8391">
          <cell r="A8391" t="str">
            <v>TSG-CCW-0040000</v>
          </cell>
          <cell r="G8391" t="str">
            <v>IDESP</v>
          </cell>
          <cell r="L8391">
            <v>45776</v>
          </cell>
          <cell r="M8391">
            <v>1190</v>
          </cell>
          <cell r="P8391">
            <v>62.11</v>
          </cell>
        </row>
        <row r="8392">
          <cell r="A8392" t="str">
            <v>TSG-CCW-0050001</v>
          </cell>
          <cell r="G8392" t="str">
            <v>IDESP</v>
          </cell>
          <cell r="L8392">
            <v>45776</v>
          </cell>
          <cell r="M8392">
            <v>1190</v>
          </cell>
          <cell r="P8392">
            <v>3.94</v>
          </cell>
        </row>
        <row r="8393">
          <cell r="A8393" t="str">
            <v>TSG-CCW-0050002</v>
          </cell>
          <cell r="G8393" t="str">
            <v>IDESP</v>
          </cell>
          <cell r="L8393">
            <v>45776</v>
          </cell>
          <cell r="M8393">
            <v>1190</v>
          </cell>
          <cell r="P8393">
            <v>4.09</v>
          </cell>
        </row>
        <row r="8394">
          <cell r="A8394" t="str">
            <v>TSG-CCW-0050003</v>
          </cell>
          <cell r="G8394" t="str">
            <v>IDESP</v>
          </cell>
          <cell r="L8394">
            <v>45776</v>
          </cell>
          <cell r="M8394">
            <v>1190</v>
          </cell>
          <cell r="P8394">
            <v>2.7</v>
          </cell>
        </row>
        <row r="8395">
          <cell r="A8395" t="str">
            <v>TSG-CCW-0050004</v>
          </cell>
          <cell r="G8395" t="str">
            <v>IDESP</v>
          </cell>
          <cell r="L8395">
            <v>45776</v>
          </cell>
          <cell r="M8395">
            <v>1190</v>
          </cell>
          <cell r="P8395">
            <v>18.23</v>
          </cell>
        </row>
        <row r="8396">
          <cell r="A8396" t="str">
            <v>TSG-CCW-0070001</v>
          </cell>
          <cell r="G8396" t="str">
            <v>IDESP</v>
          </cell>
          <cell r="L8396">
            <v>45776</v>
          </cell>
          <cell r="M8396">
            <v>1190</v>
          </cell>
          <cell r="P8396">
            <v>3.58</v>
          </cell>
        </row>
        <row r="8397">
          <cell r="A8397" t="str">
            <v>TSG-CCW-0070003</v>
          </cell>
          <cell r="G8397" t="str">
            <v>IDESP</v>
          </cell>
          <cell r="L8397">
            <v>45776</v>
          </cell>
          <cell r="M8397">
            <v>1190</v>
          </cell>
          <cell r="P8397">
            <v>8.3699999999999992</v>
          </cell>
        </row>
        <row r="8398">
          <cell r="A8398" t="str">
            <v>TSG-CCW-0070004</v>
          </cell>
          <cell r="G8398" t="str">
            <v>IDESP</v>
          </cell>
          <cell r="L8398">
            <v>45777</v>
          </cell>
          <cell r="M8398">
            <v>1180</v>
          </cell>
          <cell r="P8398">
            <v>3.9849999999999999</v>
          </cell>
        </row>
        <row r="8399">
          <cell r="A8399" t="str">
            <v>TSG-CCW-0070006</v>
          </cell>
          <cell r="G8399" t="str">
            <v>IDESP</v>
          </cell>
          <cell r="L8399">
            <v>45441</v>
          </cell>
          <cell r="M8399">
            <v>912.5</v>
          </cell>
          <cell r="P8399">
            <v>1.07</v>
          </cell>
        </row>
        <row r="8400">
          <cell r="A8400" t="str">
            <v>TSG-CCW-0090001</v>
          </cell>
          <cell r="G8400" t="str">
            <v>IDESP</v>
          </cell>
          <cell r="L8400">
            <v>45776</v>
          </cell>
          <cell r="M8400">
            <v>1190</v>
          </cell>
          <cell r="P8400">
            <v>19.350000000000001</v>
          </cell>
        </row>
        <row r="8401">
          <cell r="A8401" t="str">
            <v>TSG-DDS-70</v>
          </cell>
          <cell r="G8401" t="str">
            <v>IDESP</v>
          </cell>
          <cell r="L8401">
            <v>45992</v>
          </cell>
          <cell r="M8401">
            <v>1475</v>
          </cell>
          <cell r="P8401">
            <v>8.8000000000000007</v>
          </cell>
        </row>
        <row r="8402">
          <cell r="A8402" t="str">
            <v>TSG-PAX-0000001</v>
          </cell>
          <cell r="G8402" t="str">
            <v>IDESP</v>
          </cell>
          <cell r="L8402">
            <v>45776</v>
          </cell>
          <cell r="M8402">
            <v>1190</v>
          </cell>
          <cell r="P8402">
            <v>9.5299999999999994</v>
          </cell>
        </row>
        <row r="8403">
          <cell r="A8403" t="str">
            <v>TSG-PAX-002F000</v>
          </cell>
          <cell r="G8403" t="str">
            <v>IDESP</v>
          </cell>
          <cell r="L8403">
            <v>45776</v>
          </cell>
          <cell r="M8403">
            <v>1190</v>
          </cell>
          <cell r="P8403">
            <v>46.53</v>
          </cell>
        </row>
        <row r="8404">
          <cell r="A8404" t="str">
            <v>TUS-033-CA-550-A13</v>
          </cell>
          <cell r="G8404" t="str">
            <v xml:space="preserve">CR   </v>
          </cell>
          <cell r="L8404">
            <v>38811</v>
          </cell>
          <cell r="M8404">
            <v>3.085</v>
          </cell>
          <cell r="P8404">
            <v>6.3872</v>
          </cell>
        </row>
        <row r="8405">
          <cell r="A8405" t="str">
            <v>TUS-033-CL-550-A</v>
          </cell>
          <cell r="G8405" t="str">
            <v xml:space="preserve">CR   </v>
          </cell>
          <cell r="L8405">
            <v>38811</v>
          </cell>
          <cell r="M8405">
            <v>3.085</v>
          </cell>
          <cell r="P8405">
            <v>2.3940999999999999</v>
          </cell>
        </row>
        <row r="8406">
          <cell r="A8406" t="str">
            <v>TUS-033-CL-550-A1</v>
          </cell>
          <cell r="G8406" t="str">
            <v xml:space="preserve">CR   </v>
          </cell>
          <cell r="L8406">
            <v>38811</v>
          </cell>
          <cell r="M8406">
            <v>3.085</v>
          </cell>
          <cell r="P8406">
            <v>1.4607000000000001</v>
          </cell>
        </row>
        <row r="8407">
          <cell r="A8407" t="str">
            <v>URB-027-30308</v>
          </cell>
          <cell r="G8407" t="str">
            <v xml:space="preserve">INAC </v>
          </cell>
          <cell r="L8407">
            <v>38036</v>
          </cell>
          <cell r="M8407">
            <v>2.9359999999999999</v>
          </cell>
          <cell r="P8407">
            <v>3.9475476839237058</v>
          </cell>
        </row>
        <row r="8408">
          <cell r="A8408" t="str">
            <v>URB-031-407732-*</v>
          </cell>
          <cell r="G8408" t="str">
            <v xml:space="preserve">CR   </v>
          </cell>
          <cell r="L8408">
            <v>38624</v>
          </cell>
          <cell r="M8408">
            <v>2.915</v>
          </cell>
          <cell r="P8408">
            <v>46.805</v>
          </cell>
        </row>
        <row r="8409">
          <cell r="A8409" t="str">
            <v>URB-031-FC-10558</v>
          </cell>
          <cell r="G8409" t="str">
            <v xml:space="preserve">CR   </v>
          </cell>
          <cell r="L8409">
            <v>37981</v>
          </cell>
          <cell r="M8409">
            <v>2.96</v>
          </cell>
          <cell r="P8409">
            <v>3.71</v>
          </cell>
        </row>
        <row r="8410">
          <cell r="A8410" t="str">
            <v>URB-031-NJ-207</v>
          </cell>
          <cell r="G8410" t="str">
            <v xml:space="preserve">INSI </v>
          </cell>
          <cell r="L8410">
            <v>37626</v>
          </cell>
          <cell r="M8410">
            <v>3.34</v>
          </cell>
          <cell r="P8410">
            <v>0.01</v>
          </cell>
        </row>
        <row r="8411">
          <cell r="A8411" t="str">
            <v>URB-031-NJ-308</v>
          </cell>
          <cell r="G8411" t="str">
            <v xml:space="preserve">CR   </v>
          </cell>
          <cell r="L8411">
            <v>38811</v>
          </cell>
          <cell r="M8411">
            <v>3.085</v>
          </cell>
          <cell r="P8411">
            <v>4.8999999999999998E-3</v>
          </cell>
        </row>
        <row r="8412">
          <cell r="A8412" t="str">
            <v>URB-031-NU-208-E</v>
          </cell>
          <cell r="G8412" t="str">
            <v xml:space="preserve">INAC </v>
          </cell>
          <cell r="L8412">
            <v>37971</v>
          </cell>
          <cell r="M8412">
            <v>2.9609999999999999</v>
          </cell>
          <cell r="P8412">
            <v>6.7544748395812233</v>
          </cell>
        </row>
        <row r="8413">
          <cell r="A8413" t="str">
            <v>URB-031-NU-209</v>
          </cell>
          <cell r="G8413" t="str">
            <v xml:space="preserve">INSI </v>
          </cell>
          <cell r="L8413">
            <v>37626</v>
          </cell>
          <cell r="M8413">
            <v>3.34</v>
          </cell>
          <cell r="P8413">
            <v>0.01</v>
          </cell>
        </row>
        <row r="8414">
          <cell r="A8414" t="str">
            <v>URB-035-N-314-NR</v>
          </cell>
          <cell r="G8414" t="str">
            <v xml:space="preserve">CR   </v>
          </cell>
          <cell r="L8414">
            <v>37981</v>
          </cell>
          <cell r="M8414">
            <v>2.96</v>
          </cell>
          <cell r="P8414">
            <v>13.08</v>
          </cell>
        </row>
        <row r="8415">
          <cell r="A8415" t="str">
            <v>URB-035-NA-4905</v>
          </cell>
          <cell r="G8415" t="str">
            <v xml:space="preserve">CR   </v>
          </cell>
          <cell r="L8415">
            <v>38624</v>
          </cell>
          <cell r="M8415">
            <v>2.915</v>
          </cell>
          <cell r="P8415">
            <v>2.86</v>
          </cell>
        </row>
        <row r="8416">
          <cell r="A8416" t="str">
            <v>URB-035-NJ-205</v>
          </cell>
          <cell r="G8416" t="str">
            <v xml:space="preserve">CR   </v>
          </cell>
          <cell r="L8416">
            <v>38811</v>
          </cell>
          <cell r="M8416">
            <v>3.085</v>
          </cell>
          <cell r="P8416">
            <v>2.1627000000000001</v>
          </cell>
        </row>
        <row r="8417">
          <cell r="A8417" t="str">
            <v>URB-035-NJ-206</v>
          </cell>
          <cell r="G8417" t="str">
            <v xml:space="preserve">CR   </v>
          </cell>
          <cell r="L8417">
            <v>38811</v>
          </cell>
          <cell r="M8417">
            <v>3.085</v>
          </cell>
          <cell r="P8417">
            <v>1.3127</v>
          </cell>
        </row>
        <row r="8418">
          <cell r="A8418" t="str">
            <v>URB-035-NJ-208</v>
          </cell>
          <cell r="G8418" t="str">
            <v xml:space="preserve">CR   </v>
          </cell>
          <cell r="L8418">
            <v>38624</v>
          </cell>
          <cell r="M8418">
            <v>2.915</v>
          </cell>
          <cell r="P8418">
            <v>4.0039999999999996</v>
          </cell>
        </row>
        <row r="8419">
          <cell r="A8419" t="str">
            <v>URB-035-NJ-209</v>
          </cell>
          <cell r="G8419" t="str">
            <v xml:space="preserve">CR   </v>
          </cell>
          <cell r="L8419">
            <v>38811</v>
          </cell>
          <cell r="M8419">
            <v>3.085</v>
          </cell>
          <cell r="P8419">
            <v>1.9543999999999999</v>
          </cell>
        </row>
        <row r="8420">
          <cell r="A8420" t="str">
            <v>URB-035-NJ-210</v>
          </cell>
          <cell r="G8420" t="str">
            <v xml:space="preserve">CR   </v>
          </cell>
          <cell r="L8420">
            <v>37981</v>
          </cell>
          <cell r="M8420">
            <v>2.96</v>
          </cell>
          <cell r="P8420">
            <v>4.3</v>
          </cell>
        </row>
        <row r="8421">
          <cell r="A8421" t="str">
            <v>URB-035-NJ-212</v>
          </cell>
          <cell r="G8421" t="str">
            <v>INDEV</v>
          </cell>
          <cell r="L8421">
            <v>41288</v>
          </cell>
          <cell r="M8421">
            <v>4.95</v>
          </cell>
          <cell r="P8421">
            <v>20.141414141414142</v>
          </cell>
        </row>
        <row r="8422">
          <cell r="A8422" t="str">
            <v>URB-035-NJ-213</v>
          </cell>
          <cell r="G8422" t="str">
            <v>INDEV</v>
          </cell>
          <cell r="L8422">
            <v>41288</v>
          </cell>
          <cell r="M8422">
            <v>4.95</v>
          </cell>
          <cell r="P8422">
            <v>23.161616161616163</v>
          </cell>
        </row>
        <row r="8423">
          <cell r="A8423" t="str">
            <v>URB-035-NJ-2206</v>
          </cell>
          <cell r="G8423" t="str">
            <v xml:space="preserve">CR   </v>
          </cell>
          <cell r="L8423">
            <v>38811</v>
          </cell>
          <cell r="M8423">
            <v>3.085</v>
          </cell>
          <cell r="P8423">
            <v>1.6287</v>
          </cell>
        </row>
        <row r="8424">
          <cell r="A8424" t="str">
            <v>URB-035-NJ-2207</v>
          </cell>
          <cell r="G8424" t="str">
            <v>INDEV</v>
          </cell>
          <cell r="L8424">
            <v>41288</v>
          </cell>
          <cell r="M8424">
            <v>4.95</v>
          </cell>
          <cell r="P8424">
            <v>13.101010101010099</v>
          </cell>
        </row>
        <row r="8425">
          <cell r="A8425" t="str">
            <v>URB-035-NJ-2209</v>
          </cell>
          <cell r="G8425" t="str">
            <v xml:space="preserve">CR   </v>
          </cell>
          <cell r="L8425">
            <v>38811</v>
          </cell>
          <cell r="M8425">
            <v>3.085</v>
          </cell>
          <cell r="P8425">
            <v>2.2654999999999998</v>
          </cell>
        </row>
        <row r="8426">
          <cell r="A8426" t="str">
            <v>URB-035-NJ-2211-E</v>
          </cell>
          <cell r="G8426" t="str">
            <v xml:space="preserve">CR   </v>
          </cell>
          <cell r="L8426">
            <v>38811</v>
          </cell>
          <cell r="M8426">
            <v>3.085</v>
          </cell>
          <cell r="P8426">
            <v>4.3026</v>
          </cell>
        </row>
        <row r="8427">
          <cell r="A8427" t="str">
            <v>URB-035-NJ-2212-E</v>
          </cell>
          <cell r="G8427" t="str">
            <v>INDEV</v>
          </cell>
          <cell r="L8427">
            <v>41288</v>
          </cell>
          <cell r="M8427">
            <v>4.95</v>
          </cell>
          <cell r="P8427">
            <v>2.9919191919191919</v>
          </cell>
        </row>
        <row r="8428">
          <cell r="A8428" t="str">
            <v>URB-035-NJ-2306</v>
          </cell>
          <cell r="G8428" t="str">
            <v>INDEV</v>
          </cell>
          <cell r="L8428">
            <v>41288</v>
          </cell>
          <cell r="M8428">
            <v>4.95</v>
          </cell>
          <cell r="P8428">
            <v>1.5474747474747474</v>
          </cell>
        </row>
        <row r="8429">
          <cell r="A8429" t="str">
            <v>URB-035-NJ-2310</v>
          </cell>
          <cell r="G8429" t="str">
            <v>INDEV</v>
          </cell>
          <cell r="L8429">
            <v>41288</v>
          </cell>
          <cell r="M8429">
            <v>4.95</v>
          </cell>
          <cell r="P8429">
            <v>4.1840606060606058</v>
          </cell>
        </row>
        <row r="8430">
          <cell r="A8430" t="str">
            <v>URB-035-NJ-304</v>
          </cell>
          <cell r="G8430" t="str">
            <v xml:space="preserve">CR   </v>
          </cell>
          <cell r="L8430">
            <v>38624</v>
          </cell>
          <cell r="M8430">
            <v>2.915</v>
          </cell>
          <cell r="P8430">
            <v>2.7610000000000001</v>
          </cell>
        </row>
        <row r="8431">
          <cell r="A8431" t="str">
            <v>URB-035-NJ-305</v>
          </cell>
          <cell r="G8431" t="str">
            <v>INDEV</v>
          </cell>
          <cell r="L8431">
            <v>41288</v>
          </cell>
          <cell r="M8431">
            <v>4.95</v>
          </cell>
          <cell r="P8431">
            <v>1.5652525252525253</v>
          </cell>
        </row>
        <row r="8432">
          <cell r="A8432" t="str">
            <v>URB-035-NJ-306</v>
          </cell>
          <cell r="G8432" t="str">
            <v>INDEV</v>
          </cell>
          <cell r="L8432">
            <v>41288</v>
          </cell>
          <cell r="M8432">
            <v>4.95</v>
          </cell>
          <cell r="P8432">
            <v>1.1838383838383839</v>
          </cell>
        </row>
        <row r="8433">
          <cell r="A8433" t="str">
            <v>URB-035-NJ-309</v>
          </cell>
          <cell r="G8433" t="str">
            <v>INDEV</v>
          </cell>
          <cell r="L8433">
            <v>41288</v>
          </cell>
          <cell r="M8433">
            <v>4.95</v>
          </cell>
          <cell r="P8433">
            <v>2.0060606060606059</v>
          </cell>
        </row>
        <row r="8434">
          <cell r="A8434" t="str">
            <v>URB-035-NJ-310</v>
          </cell>
          <cell r="G8434" t="str">
            <v>INDEV</v>
          </cell>
          <cell r="L8434">
            <v>41288</v>
          </cell>
          <cell r="M8434">
            <v>4.95</v>
          </cell>
          <cell r="P8434">
            <v>7.6828282828282823</v>
          </cell>
        </row>
        <row r="8435">
          <cell r="A8435" t="str">
            <v>URB-035-NJ-311</v>
          </cell>
          <cell r="G8435" t="str">
            <v xml:space="preserve">CR   </v>
          </cell>
          <cell r="L8435">
            <v>38624</v>
          </cell>
          <cell r="M8435">
            <v>2.915</v>
          </cell>
          <cell r="P8435">
            <v>8.5139999999999993</v>
          </cell>
        </row>
        <row r="8436">
          <cell r="A8436" t="str">
            <v>URB-035-NU-1016-M</v>
          </cell>
          <cell r="G8436" t="str">
            <v xml:space="preserve">CR   </v>
          </cell>
          <cell r="L8436">
            <v>38811</v>
          </cell>
          <cell r="M8436">
            <v>3.085</v>
          </cell>
          <cell r="P8436">
            <v>6.1013999999999999</v>
          </cell>
        </row>
        <row r="8437">
          <cell r="A8437" t="str">
            <v>URB-035-NU-2309-M</v>
          </cell>
          <cell r="G8437" t="str">
            <v>INDEV</v>
          </cell>
          <cell r="L8437">
            <v>41288</v>
          </cell>
          <cell r="M8437">
            <v>4.95</v>
          </cell>
          <cell r="P8437">
            <v>4.0363636363636362</v>
          </cell>
        </row>
        <row r="8438">
          <cell r="A8438" t="str">
            <v>URB-035-NU-314-NR</v>
          </cell>
          <cell r="G8438" t="str">
            <v xml:space="preserve">CR   </v>
          </cell>
          <cell r="L8438">
            <v>38624</v>
          </cell>
          <cell r="M8438">
            <v>2.915</v>
          </cell>
          <cell r="P8438">
            <v>13.353999999999999</v>
          </cell>
        </row>
        <row r="8439">
          <cell r="A8439" t="str">
            <v>URB-035-NU-316-MC3</v>
          </cell>
          <cell r="G8439" t="str">
            <v xml:space="preserve">CR   </v>
          </cell>
          <cell r="L8439">
            <v>37981</v>
          </cell>
          <cell r="M8439">
            <v>2.96</v>
          </cell>
          <cell r="P8439">
            <v>17.82</v>
          </cell>
        </row>
        <row r="8440">
          <cell r="A8440" t="str">
            <v>URB-035-NUP-207</v>
          </cell>
          <cell r="G8440" t="str">
            <v xml:space="preserve">CR   </v>
          </cell>
          <cell r="L8440">
            <v>37981</v>
          </cell>
          <cell r="M8440">
            <v>2.96</v>
          </cell>
          <cell r="P8440">
            <v>4.68</v>
          </cell>
        </row>
        <row r="8441">
          <cell r="A8441" t="str">
            <v>URB-035-NUP-2210</v>
          </cell>
          <cell r="G8441" t="str">
            <v>INDEV</v>
          </cell>
          <cell r="L8441">
            <v>41288</v>
          </cell>
          <cell r="M8441">
            <v>4.95</v>
          </cell>
          <cell r="P8441">
            <v>25.171717171717169</v>
          </cell>
        </row>
        <row r="8442">
          <cell r="A8442" t="str">
            <v>URB-035-NUP-2215</v>
          </cell>
          <cell r="G8442" t="str">
            <v xml:space="preserve">CR   </v>
          </cell>
          <cell r="L8442">
            <v>38624</v>
          </cell>
          <cell r="M8442">
            <v>2.915</v>
          </cell>
          <cell r="P8442">
            <v>20.350000000000001</v>
          </cell>
        </row>
        <row r="8443">
          <cell r="A8443" t="str">
            <v>URB-035-NUP-222</v>
          </cell>
          <cell r="G8443" t="str">
            <v xml:space="preserve">CR   </v>
          </cell>
          <cell r="L8443">
            <v>37981</v>
          </cell>
          <cell r="M8443">
            <v>2.96</v>
          </cell>
          <cell r="P8443">
            <v>21.44</v>
          </cell>
        </row>
        <row r="8444">
          <cell r="A8444" t="str">
            <v>URB-035-NUP-309</v>
          </cell>
          <cell r="G8444" t="str">
            <v xml:space="preserve">CR   </v>
          </cell>
          <cell r="L8444">
            <v>37981</v>
          </cell>
          <cell r="M8444">
            <v>2.96</v>
          </cell>
          <cell r="P8444">
            <v>6.74</v>
          </cell>
        </row>
        <row r="8445">
          <cell r="A8445" t="str">
            <v>URB-035-NUP-311-E</v>
          </cell>
          <cell r="G8445" t="str">
            <v>INDEV</v>
          </cell>
          <cell r="L8445">
            <v>41288</v>
          </cell>
          <cell r="M8445">
            <v>4.95</v>
          </cell>
          <cell r="P8445">
            <v>3.2181818181818178</v>
          </cell>
        </row>
        <row r="8446">
          <cell r="A8446" t="str">
            <v>URB-035-NUP-314-E</v>
          </cell>
          <cell r="G8446" t="str">
            <v>INDEV</v>
          </cell>
          <cell r="L8446">
            <v>41288</v>
          </cell>
          <cell r="M8446">
            <v>4.95</v>
          </cell>
          <cell r="P8446">
            <v>3.9681010101010097</v>
          </cell>
        </row>
        <row r="8447">
          <cell r="A8447" t="str">
            <v>URB-040-1207</v>
          </cell>
          <cell r="G8447" t="str">
            <v xml:space="preserve">INAC </v>
          </cell>
          <cell r="L8447">
            <v>42870</v>
          </cell>
          <cell r="M8447">
            <v>15.77</v>
          </cell>
          <cell r="P8447">
            <v>4.4831959416613829</v>
          </cell>
        </row>
        <row r="8448">
          <cell r="A8448" t="str">
            <v>URB-040-1207-K</v>
          </cell>
          <cell r="G8448" t="str">
            <v xml:space="preserve">CR   </v>
          </cell>
          <cell r="L8448">
            <v>38811</v>
          </cell>
          <cell r="M8448">
            <v>3.085</v>
          </cell>
          <cell r="P8448">
            <v>0.8508</v>
          </cell>
        </row>
        <row r="8449">
          <cell r="A8449" t="str">
            <v>URB-040-1208</v>
          </cell>
          <cell r="G8449" t="str">
            <v xml:space="preserve">INAC </v>
          </cell>
          <cell r="L8449">
            <v>38434</v>
          </cell>
          <cell r="M8449">
            <v>2.911</v>
          </cell>
          <cell r="P8449">
            <v>3.6939196152524905</v>
          </cell>
        </row>
        <row r="8450">
          <cell r="A8450" t="str">
            <v>URB-040-1208-K</v>
          </cell>
          <cell r="G8450" t="str">
            <v xml:space="preserve">INAC </v>
          </cell>
          <cell r="L8450">
            <v>38030</v>
          </cell>
          <cell r="M8450">
            <v>2.9289999999999998</v>
          </cell>
          <cell r="P8450">
            <v>3.6599522021167639</v>
          </cell>
        </row>
        <row r="8451">
          <cell r="A8451" t="str">
            <v>URB-040-1209</v>
          </cell>
          <cell r="G8451" t="str">
            <v xml:space="preserve">CR   </v>
          </cell>
          <cell r="L8451">
            <v>38624</v>
          </cell>
          <cell r="M8451">
            <v>2.915</v>
          </cell>
          <cell r="P8451">
            <v>2.4969999999999999</v>
          </cell>
        </row>
        <row r="8452">
          <cell r="A8452" t="str">
            <v>URB-040-1210-K</v>
          </cell>
          <cell r="G8452" t="str">
            <v xml:space="preserve">CR   </v>
          </cell>
          <cell r="L8452">
            <v>37981</v>
          </cell>
          <cell r="M8452">
            <v>2.96</v>
          </cell>
          <cell r="P8452">
            <v>2.62</v>
          </cell>
        </row>
        <row r="8453">
          <cell r="A8453" t="str">
            <v>URB-040-1211</v>
          </cell>
          <cell r="G8453" t="str">
            <v xml:space="preserve">CR   </v>
          </cell>
          <cell r="L8453">
            <v>37981</v>
          </cell>
          <cell r="M8453">
            <v>2.96</v>
          </cell>
          <cell r="P8453">
            <v>3.54</v>
          </cell>
        </row>
        <row r="8454">
          <cell r="A8454" t="str">
            <v>URB-040-1211-K</v>
          </cell>
          <cell r="G8454" t="str">
            <v xml:space="preserve">CR   </v>
          </cell>
          <cell r="L8454">
            <v>37981</v>
          </cell>
          <cell r="M8454">
            <v>2.96</v>
          </cell>
          <cell r="P8454">
            <v>3.91</v>
          </cell>
        </row>
        <row r="8455">
          <cell r="A8455" t="str">
            <v>URB-040-1212</v>
          </cell>
          <cell r="G8455" t="str">
            <v xml:space="preserve">CR   </v>
          </cell>
          <cell r="L8455">
            <v>37981</v>
          </cell>
          <cell r="M8455">
            <v>2.96</v>
          </cell>
          <cell r="P8455">
            <v>4.12</v>
          </cell>
        </row>
        <row r="8456">
          <cell r="A8456" t="str">
            <v>URB-040-1213</v>
          </cell>
          <cell r="G8456" t="str">
            <v xml:space="preserve">CR   </v>
          </cell>
          <cell r="L8456">
            <v>37981</v>
          </cell>
          <cell r="M8456">
            <v>2.96</v>
          </cell>
          <cell r="P8456">
            <v>4.74</v>
          </cell>
        </row>
        <row r="8457">
          <cell r="A8457" t="str">
            <v>URB-040-1213-K</v>
          </cell>
          <cell r="G8457" t="str">
            <v xml:space="preserve">CR   </v>
          </cell>
          <cell r="L8457">
            <v>38624</v>
          </cell>
          <cell r="M8457">
            <v>2.915</v>
          </cell>
          <cell r="P8457">
            <v>5.6539999999999999</v>
          </cell>
        </row>
        <row r="8458">
          <cell r="A8458" t="str">
            <v>URB-040-1306</v>
          </cell>
          <cell r="G8458" t="str">
            <v xml:space="preserve">CR   </v>
          </cell>
          <cell r="L8458">
            <v>38624</v>
          </cell>
          <cell r="M8458">
            <v>2.915</v>
          </cell>
          <cell r="P8458">
            <v>1.716</v>
          </cell>
        </row>
        <row r="8459">
          <cell r="A8459" t="str">
            <v>URB-040-1307-K</v>
          </cell>
          <cell r="G8459" t="str">
            <v>INDEV</v>
          </cell>
          <cell r="L8459">
            <v>38644</v>
          </cell>
          <cell r="M8459">
            <v>2.9689999999999999</v>
          </cell>
          <cell r="P8459">
            <v>2.334456045806669</v>
          </cell>
        </row>
        <row r="8460">
          <cell r="A8460" t="str">
            <v>URB-040-1308-K</v>
          </cell>
          <cell r="G8460" t="str">
            <v xml:space="preserve">CR   </v>
          </cell>
          <cell r="L8460">
            <v>37981</v>
          </cell>
          <cell r="M8460">
            <v>2.96</v>
          </cell>
          <cell r="P8460">
            <v>3.59</v>
          </cell>
        </row>
        <row r="8461">
          <cell r="A8461" t="str">
            <v>URB-040-1309</v>
          </cell>
          <cell r="G8461" t="str">
            <v xml:space="preserve">CR   </v>
          </cell>
          <cell r="L8461">
            <v>38624</v>
          </cell>
          <cell r="M8461">
            <v>2.915</v>
          </cell>
          <cell r="P8461">
            <v>2.9547169811320755</v>
          </cell>
        </row>
        <row r="8462">
          <cell r="A8462" t="str">
            <v>URB-040-1310</v>
          </cell>
          <cell r="G8462" t="str">
            <v>IPFAP</v>
          </cell>
          <cell r="L8462">
            <v>43066</v>
          </cell>
          <cell r="M8462">
            <v>17.739999999999998</v>
          </cell>
          <cell r="P8462">
            <v>5.7420011273957163</v>
          </cell>
        </row>
        <row r="8463">
          <cell r="A8463" t="str">
            <v>URB-040-1311-K</v>
          </cell>
          <cell r="G8463" t="str">
            <v xml:space="preserve">INAC </v>
          </cell>
          <cell r="L8463">
            <v>38051</v>
          </cell>
          <cell r="M8463">
            <v>2.9239999999999999</v>
          </cell>
          <cell r="P8463">
            <v>10.629274965800274</v>
          </cell>
        </row>
        <row r="8464">
          <cell r="A8464" t="str">
            <v>URB-040-15123-245</v>
          </cell>
          <cell r="G8464" t="str">
            <v xml:space="preserve">INSI </v>
          </cell>
          <cell r="L8464">
            <v>37626</v>
          </cell>
          <cell r="M8464">
            <v>3.34</v>
          </cell>
          <cell r="P8464">
            <v>0.01</v>
          </cell>
        </row>
        <row r="8465">
          <cell r="A8465" t="str">
            <v>URB-040-2206</v>
          </cell>
          <cell r="G8465" t="str">
            <v xml:space="preserve">CR   </v>
          </cell>
          <cell r="L8465">
            <v>38624</v>
          </cell>
          <cell r="M8465">
            <v>2.915</v>
          </cell>
          <cell r="P8465">
            <v>2.4420000000000002</v>
          </cell>
        </row>
        <row r="8466">
          <cell r="A8466" t="str">
            <v>URB-040-2208</v>
          </cell>
          <cell r="G8466" t="str">
            <v xml:space="preserve">INAC </v>
          </cell>
          <cell r="L8466">
            <v>38462</v>
          </cell>
          <cell r="M8466">
            <v>2.9020000000000001</v>
          </cell>
          <cell r="P8466">
            <v>4.3621640248104754</v>
          </cell>
        </row>
        <row r="8467">
          <cell r="A8467" t="str">
            <v>URB-040-2208-K</v>
          </cell>
          <cell r="G8467" t="str">
            <v xml:space="preserve">CR   </v>
          </cell>
          <cell r="L8467">
            <v>38624</v>
          </cell>
          <cell r="M8467">
            <v>2.915</v>
          </cell>
          <cell r="P8467">
            <v>3.7839999999999998</v>
          </cell>
        </row>
        <row r="8468">
          <cell r="A8468" t="str">
            <v>URB-040-2209-K</v>
          </cell>
          <cell r="G8468" t="str">
            <v>INDEV</v>
          </cell>
          <cell r="L8468">
            <v>41288</v>
          </cell>
          <cell r="M8468">
            <v>4.95</v>
          </cell>
          <cell r="P8468">
            <v>4.4303030303030297</v>
          </cell>
        </row>
        <row r="8469">
          <cell r="A8469" t="str">
            <v>URB-040-2210</v>
          </cell>
          <cell r="G8469" t="str">
            <v xml:space="preserve">CR   </v>
          </cell>
          <cell r="L8469">
            <v>38811</v>
          </cell>
          <cell r="M8469">
            <v>3.085</v>
          </cell>
          <cell r="P8469">
            <v>2.0272999999999999</v>
          </cell>
        </row>
        <row r="8470">
          <cell r="A8470" t="str">
            <v>URB-040-2210-K</v>
          </cell>
          <cell r="G8470" t="str">
            <v xml:space="preserve">CR   </v>
          </cell>
          <cell r="L8470">
            <v>38811</v>
          </cell>
          <cell r="M8470">
            <v>3.085</v>
          </cell>
          <cell r="P8470">
            <v>2.0808</v>
          </cell>
        </row>
        <row r="8471">
          <cell r="A8471" t="str">
            <v>URB-040-22205-C3W3</v>
          </cell>
          <cell r="G8471" t="str">
            <v xml:space="preserve">CR   </v>
          </cell>
          <cell r="L8471">
            <v>38624</v>
          </cell>
          <cell r="M8471">
            <v>2.915</v>
          </cell>
          <cell r="P8471">
            <v>5.6870000000000003</v>
          </cell>
        </row>
        <row r="8472">
          <cell r="A8472" t="str">
            <v>URB-040-22206-C3W3</v>
          </cell>
          <cell r="G8472" t="str">
            <v xml:space="preserve">CR   </v>
          </cell>
          <cell r="L8472">
            <v>37981</v>
          </cell>
          <cell r="M8472">
            <v>2.96</v>
          </cell>
          <cell r="P8472">
            <v>4.59</v>
          </cell>
        </row>
        <row r="8473">
          <cell r="A8473" t="str">
            <v>URB-040-22207-C</v>
          </cell>
          <cell r="G8473" t="str">
            <v xml:space="preserve">CR   </v>
          </cell>
          <cell r="L8473">
            <v>38624</v>
          </cell>
          <cell r="M8473">
            <v>2.915</v>
          </cell>
          <cell r="P8473">
            <v>6.0060000000000002</v>
          </cell>
        </row>
        <row r="8474">
          <cell r="A8474" t="str">
            <v>URB-040-22207-CKW3</v>
          </cell>
          <cell r="G8474" t="str">
            <v xml:space="preserve">CR   </v>
          </cell>
          <cell r="L8474">
            <v>37981</v>
          </cell>
          <cell r="M8474">
            <v>2.96</v>
          </cell>
          <cell r="P8474">
            <v>5.0199999999999996</v>
          </cell>
        </row>
        <row r="8475">
          <cell r="A8475" t="str">
            <v>URB-040-22208-CKW3</v>
          </cell>
          <cell r="G8475" t="str">
            <v xml:space="preserve">CR   </v>
          </cell>
          <cell r="L8475">
            <v>38624</v>
          </cell>
          <cell r="M8475">
            <v>2.915</v>
          </cell>
          <cell r="P8475">
            <v>5.9729999999999999</v>
          </cell>
        </row>
        <row r="8476">
          <cell r="A8476" t="str">
            <v>URB-040-22216-CCK</v>
          </cell>
          <cell r="G8476" t="str">
            <v xml:space="preserve">CR   </v>
          </cell>
          <cell r="L8476">
            <v>37981</v>
          </cell>
          <cell r="M8476">
            <v>2.96</v>
          </cell>
          <cell r="P8476">
            <v>11.4</v>
          </cell>
        </row>
        <row r="8477">
          <cell r="A8477" t="str">
            <v>URB-040-22216-EJ</v>
          </cell>
          <cell r="G8477" t="str">
            <v xml:space="preserve">CR   </v>
          </cell>
          <cell r="L8477">
            <v>37981</v>
          </cell>
          <cell r="M8477">
            <v>2.96</v>
          </cell>
          <cell r="P8477">
            <v>11.4</v>
          </cell>
        </row>
        <row r="8478">
          <cell r="A8478" t="str">
            <v>URB-040-22217-EEJ</v>
          </cell>
          <cell r="G8478" t="str">
            <v xml:space="preserve">CR   </v>
          </cell>
          <cell r="L8478">
            <v>37981</v>
          </cell>
          <cell r="M8478">
            <v>2.96</v>
          </cell>
          <cell r="P8478">
            <v>23.36</v>
          </cell>
        </row>
        <row r="8479">
          <cell r="A8479" t="str">
            <v>URB-040-22219-CKW3</v>
          </cell>
          <cell r="G8479" t="str">
            <v xml:space="preserve">CR   </v>
          </cell>
          <cell r="L8479">
            <v>37981</v>
          </cell>
          <cell r="M8479">
            <v>2.96</v>
          </cell>
          <cell r="P8479">
            <v>17.47</v>
          </cell>
        </row>
        <row r="8480">
          <cell r="A8480" t="str">
            <v>URB-040-22219-CW33</v>
          </cell>
          <cell r="G8480" t="str">
            <v xml:space="preserve">CR   </v>
          </cell>
          <cell r="L8480">
            <v>37981</v>
          </cell>
          <cell r="M8480">
            <v>2.96</v>
          </cell>
          <cell r="P8480">
            <v>17.47</v>
          </cell>
        </row>
        <row r="8481">
          <cell r="A8481" t="str">
            <v>URB-040-22222-C3W3</v>
          </cell>
          <cell r="G8481" t="str">
            <v xml:space="preserve">CR   </v>
          </cell>
          <cell r="L8481">
            <v>37981</v>
          </cell>
          <cell r="M8481">
            <v>2.96</v>
          </cell>
          <cell r="P8481">
            <v>22.51</v>
          </cell>
        </row>
        <row r="8482">
          <cell r="A8482" t="str">
            <v>URB-040-22316-CC</v>
          </cell>
          <cell r="G8482" t="str">
            <v xml:space="preserve">CR   </v>
          </cell>
          <cell r="L8482">
            <v>37981</v>
          </cell>
          <cell r="M8482">
            <v>2.96</v>
          </cell>
          <cell r="P8482">
            <v>20.55</v>
          </cell>
        </row>
        <row r="8483">
          <cell r="A8483" t="str">
            <v>URB-040-22317-CC</v>
          </cell>
          <cell r="G8483" t="str">
            <v xml:space="preserve">CR   </v>
          </cell>
          <cell r="L8483">
            <v>37981</v>
          </cell>
          <cell r="M8483">
            <v>2.96</v>
          </cell>
          <cell r="P8483">
            <v>23.26</v>
          </cell>
        </row>
        <row r="8484">
          <cell r="A8484" t="str">
            <v>URB-040-2308</v>
          </cell>
          <cell r="G8484" t="str">
            <v>IPFAB</v>
          </cell>
          <cell r="L8484">
            <v>38967</v>
          </cell>
          <cell r="M8484">
            <v>3.1030000000000002</v>
          </cell>
          <cell r="P8484">
            <v>5.56</v>
          </cell>
        </row>
        <row r="8485">
          <cell r="A8485" t="str">
            <v>URB-040-2309</v>
          </cell>
          <cell r="G8485" t="str">
            <v>INDEV</v>
          </cell>
          <cell r="L8485">
            <v>41288</v>
          </cell>
          <cell r="M8485">
            <v>4.95</v>
          </cell>
          <cell r="P8485">
            <v>2.1737373737373735</v>
          </cell>
        </row>
        <row r="8486">
          <cell r="A8486" t="str">
            <v>URB-040-2309-K</v>
          </cell>
          <cell r="G8486" t="str">
            <v xml:space="preserve">CR   </v>
          </cell>
          <cell r="L8486">
            <v>38624</v>
          </cell>
          <cell r="M8486">
            <v>2.915</v>
          </cell>
          <cell r="P8486">
            <v>7.26</v>
          </cell>
        </row>
        <row r="8487">
          <cell r="A8487" t="str">
            <v>URB-040-2310</v>
          </cell>
          <cell r="G8487" t="str">
            <v xml:space="preserve">CR   </v>
          </cell>
          <cell r="L8487">
            <v>38811</v>
          </cell>
          <cell r="M8487">
            <v>3.085</v>
          </cell>
          <cell r="P8487">
            <v>3.5724999999999998</v>
          </cell>
        </row>
        <row r="8488">
          <cell r="A8488" t="str">
            <v>URB-040-2310-K</v>
          </cell>
          <cell r="G8488" t="str">
            <v>INDEV</v>
          </cell>
          <cell r="L8488">
            <v>41288</v>
          </cell>
          <cell r="M8488">
            <v>4.95</v>
          </cell>
          <cell r="P8488">
            <v>27.828282828282827</v>
          </cell>
        </row>
        <row r="8489">
          <cell r="A8489" t="str">
            <v>URB-040-30216</v>
          </cell>
          <cell r="G8489" t="str">
            <v xml:space="preserve">CR   </v>
          </cell>
          <cell r="L8489">
            <v>38811</v>
          </cell>
          <cell r="M8489">
            <v>3.085</v>
          </cell>
          <cell r="P8489">
            <v>2.9169999999999998</v>
          </cell>
        </row>
        <row r="8490">
          <cell r="A8490" t="str">
            <v>URB-040-30217</v>
          </cell>
          <cell r="G8490" t="str">
            <v xml:space="preserve">INAC </v>
          </cell>
          <cell r="L8490">
            <v>37761</v>
          </cell>
          <cell r="M8490">
            <v>2.88</v>
          </cell>
          <cell r="P8490">
            <v>7.9444444444444446</v>
          </cell>
        </row>
        <row r="8491">
          <cell r="A8491" t="str">
            <v>URB-040-30218</v>
          </cell>
          <cell r="G8491" t="str">
            <v>INDEV</v>
          </cell>
          <cell r="L8491">
            <v>41288</v>
          </cell>
          <cell r="M8491">
            <v>4.95</v>
          </cell>
          <cell r="P8491">
            <v>31.656565656565654</v>
          </cell>
        </row>
        <row r="8492">
          <cell r="A8492" t="str">
            <v>URB-040-30219</v>
          </cell>
          <cell r="G8492" t="str">
            <v xml:space="preserve">CR   </v>
          </cell>
          <cell r="L8492">
            <v>38811</v>
          </cell>
          <cell r="M8492">
            <v>3.085</v>
          </cell>
          <cell r="P8492">
            <v>5.8632</v>
          </cell>
        </row>
        <row r="8493">
          <cell r="A8493" t="str">
            <v>URB-040-30220</v>
          </cell>
          <cell r="G8493" t="str">
            <v xml:space="preserve">CR   </v>
          </cell>
          <cell r="L8493">
            <v>38811</v>
          </cell>
          <cell r="M8493">
            <v>3.085</v>
          </cell>
          <cell r="P8493">
            <v>7.2148000000000003</v>
          </cell>
        </row>
        <row r="8494">
          <cell r="A8494" t="str">
            <v>URB-040-30313</v>
          </cell>
          <cell r="G8494" t="str">
            <v xml:space="preserve">CR   </v>
          </cell>
          <cell r="L8494">
            <v>38811</v>
          </cell>
          <cell r="M8494">
            <v>3.085</v>
          </cell>
          <cell r="P8494">
            <v>3.9184999999999999</v>
          </cell>
        </row>
        <row r="8495">
          <cell r="A8495" t="str">
            <v>URB-040-30318</v>
          </cell>
          <cell r="G8495" t="str">
            <v>INDEV</v>
          </cell>
          <cell r="L8495">
            <v>40476</v>
          </cell>
          <cell r="M8495">
            <v>3.98</v>
          </cell>
          <cell r="P8495">
            <v>10.972889447236181</v>
          </cell>
        </row>
        <row r="8496">
          <cell r="A8496" t="str">
            <v>URB-040-31310</v>
          </cell>
          <cell r="G8496" t="str">
            <v xml:space="preserve">CR   </v>
          </cell>
          <cell r="L8496">
            <v>38811</v>
          </cell>
          <cell r="M8496">
            <v>3.085</v>
          </cell>
          <cell r="P8496">
            <v>2.5718000000000001</v>
          </cell>
        </row>
        <row r="8497">
          <cell r="A8497" t="str">
            <v>URB-040-31313</v>
          </cell>
          <cell r="G8497" t="str">
            <v>INDEV</v>
          </cell>
          <cell r="L8497">
            <v>39716</v>
          </cell>
          <cell r="M8497">
            <v>3.1059999999999999</v>
          </cell>
          <cell r="P8497">
            <v>5.0220862846104311</v>
          </cell>
        </row>
        <row r="8498">
          <cell r="A8498" t="str">
            <v>URB-040-32013-X</v>
          </cell>
          <cell r="G8498" t="str">
            <v>VPRet</v>
          </cell>
          <cell r="L8498">
            <v>42993</v>
          </cell>
          <cell r="M8498">
            <v>17.399999999999999</v>
          </cell>
          <cell r="P8498">
            <v>16.666666666666668</v>
          </cell>
        </row>
        <row r="8499">
          <cell r="A8499" t="str">
            <v>URB-040-32014-X</v>
          </cell>
          <cell r="G8499" t="str">
            <v xml:space="preserve">INAC </v>
          </cell>
          <cell r="L8499">
            <v>41415</v>
          </cell>
          <cell r="M8499">
            <v>5.24</v>
          </cell>
          <cell r="P8499">
            <v>28.446564885496183</v>
          </cell>
        </row>
        <row r="8500">
          <cell r="A8500" t="str">
            <v>URB-040-32016-X</v>
          </cell>
          <cell r="G8500" t="str">
            <v xml:space="preserve">CR   </v>
          </cell>
          <cell r="L8500">
            <v>38811</v>
          </cell>
          <cell r="M8500">
            <v>3.085</v>
          </cell>
          <cell r="P8500">
            <v>2.9802</v>
          </cell>
        </row>
        <row r="8501">
          <cell r="A8501" t="str">
            <v>URB-040-32017-X</v>
          </cell>
          <cell r="G8501" t="str">
            <v xml:space="preserve">CR   </v>
          </cell>
          <cell r="L8501">
            <v>38624</v>
          </cell>
          <cell r="M8501">
            <v>2.915</v>
          </cell>
          <cell r="P8501">
            <v>1.0999999999999999E-2</v>
          </cell>
        </row>
        <row r="8502">
          <cell r="A8502" t="str">
            <v>URB-040-32018-X</v>
          </cell>
          <cell r="G8502" t="str">
            <v xml:space="preserve">CR   </v>
          </cell>
          <cell r="L8502">
            <v>37981</v>
          </cell>
          <cell r="M8502">
            <v>2.96</v>
          </cell>
          <cell r="P8502">
            <v>10.029999999999999</v>
          </cell>
        </row>
        <row r="8503">
          <cell r="A8503" t="str">
            <v>URB-040-32020-X</v>
          </cell>
          <cell r="G8503" t="str">
            <v xml:space="preserve">INSI </v>
          </cell>
          <cell r="L8503">
            <v>40512</v>
          </cell>
          <cell r="M8503">
            <v>4</v>
          </cell>
          <cell r="P8503">
            <v>5.1680000000000001</v>
          </cell>
        </row>
        <row r="8504">
          <cell r="A8504" t="str">
            <v>URB-040-32024-X</v>
          </cell>
          <cell r="G8504" t="str">
            <v xml:space="preserve">CR   </v>
          </cell>
          <cell r="L8504">
            <v>38811</v>
          </cell>
          <cell r="M8504">
            <v>3.085</v>
          </cell>
          <cell r="P8504">
            <v>8.3145000000000007</v>
          </cell>
        </row>
        <row r="8505">
          <cell r="A8505" t="str">
            <v>URB-040-3204</v>
          </cell>
          <cell r="G8505" t="str">
            <v xml:space="preserve">CR   </v>
          </cell>
          <cell r="L8505">
            <v>38624</v>
          </cell>
          <cell r="M8505">
            <v>2.915</v>
          </cell>
          <cell r="P8505">
            <v>2.6509999999999998</v>
          </cell>
        </row>
        <row r="8506">
          <cell r="A8506" t="str">
            <v>URB-040-3210</v>
          </cell>
          <cell r="G8506" t="str">
            <v xml:space="preserve">CR   </v>
          </cell>
          <cell r="L8506">
            <v>37981</v>
          </cell>
          <cell r="M8506">
            <v>2.96</v>
          </cell>
          <cell r="P8506">
            <v>5.62</v>
          </cell>
        </row>
        <row r="8507">
          <cell r="A8507" t="str">
            <v>URB-040-32209</v>
          </cell>
          <cell r="G8507" t="str">
            <v xml:space="preserve">INAC </v>
          </cell>
          <cell r="L8507">
            <v>41157</v>
          </cell>
          <cell r="M8507">
            <v>4.6500000000000004</v>
          </cell>
          <cell r="P8507">
            <v>9.2376344086021493</v>
          </cell>
        </row>
        <row r="8508">
          <cell r="A8508" t="str">
            <v>URB-040-32211</v>
          </cell>
          <cell r="G8508" t="str">
            <v xml:space="preserve">CR   </v>
          </cell>
          <cell r="L8508">
            <v>38624</v>
          </cell>
          <cell r="M8508">
            <v>2.915</v>
          </cell>
          <cell r="P8508">
            <v>2.3210000000000002</v>
          </cell>
        </row>
        <row r="8509">
          <cell r="A8509" t="str">
            <v>URB-040-32212</v>
          </cell>
          <cell r="G8509" t="str">
            <v xml:space="preserve">CR   </v>
          </cell>
          <cell r="L8509">
            <v>38624</v>
          </cell>
          <cell r="M8509">
            <v>2.915</v>
          </cell>
          <cell r="P8509">
            <v>3.7949999999999999</v>
          </cell>
        </row>
        <row r="8510">
          <cell r="A8510" t="str">
            <v>URB-040-32214</v>
          </cell>
          <cell r="G8510" t="str">
            <v xml:space="preserve">CR   </v>
          </cell>
          <cell r="L8510">
            <v>38811</v>
          </cell>
          <cell r="M8510">
            <v>3.085</v>
          </cell>
          <cell r="P8510">
            <v>4.8999999999999998E-3</v>
          </cell>
        </row>
        <row r="8511">
          <cell r="A8511" t="str">
            <v>URB-040-32217-X</v>
          </cell>
          <cell r="G8511" t="str">
            <v xml:space="preserve">INSI </v>
          </cell>
          <cell r="L8511">
            <v>37626</v>
          </cell>
          <cell r="M8511">
            <v>3.34</v>
          </cell>
          <cell r="P8511">
            <v>1</v>
          </cell>
        </row>
        <row r="8512">
          <cell r="A8512" t="str">
            <v>URB-040-32220</v>
          </cell>
          <cell r="G8512" t="str">
            <v xml:space="preserve">CR   </v>
          </cell>
          <cell r="L8512">
            <v>38811</v>
          </cell>
          <cell r="M8512">
            <v>3.085</v>
          </cell>
          <cell r="P8512">
            <v>6.4466000000000001</v>
          </cell>
        </row>
        <row r="8513">
          <cell r="A8513" t="str">
            <v>URB-040-32221</v>
          </cell>
          <cell r="G8513" t="str">
            <v xml:space="preserve">CR   </v>
          </cell>
          <cell r="L8513">
            <v>38624</v>
          </cell>
          <cell r="M8513">
            <v>2.915</v>
          </cell>
          <cell r="P8513">
            <v>26.334</v>
          </cell>
        </row>
        <row r="8514">
          <cell r="A8514" t="str">
            <v>URB-040-32307</v>
          </cell>
          <cell r="G8514" t="str">
            <v xml:space="preserve">CR   </v>
          </cell>
          <cell r="L8514">
            <v>38624</v>
          </cell>
          <cell r="M8514">
            <v>2.915</v>
          </cell>
          <cell r="P8514">
            <v>2.97</v>
          </cell>
        </row>
        <row r="8515">
          <cell r="A8515" t="str">
            <v>URB-040-32316</v>
          </cell>
          <cell r="G8515" t="str">
            <v>INDEV</v>
          </cell>
          <cell r="L8515">
            <v>39878</v>
          </cell>
          <cell r="M8515">
            <v>3.6219999999999999</v>
          </cell>
          <cell r="P8515">
            <v>14.857288790723358</v>
          </cell>
        </row>
        <row r="8516">
          <cell r="A8516" t="str">
            <v>URB-040-3304</v>
          </cell>
          <cell r="G8516" t="str">
            <v xml:space="preserve">CR   </v>
          </cell>
          <cell r="L8516">
            <v>38624</v>
          </cell>
          <cell r="M8516">
            <v>2.915</v>
          </cell>
          <cell r="P8516">
            <v>3.5529999999999999</v>
          </cell>
        </row>
        <row r="8517">
          <cell r="A8517" t="str">
            <v>URB-040-3307</v>
          </cell>
          <cell r="G8517" t="str">
            <v xml:space="preserve">CR   </v>
          </cell>
          <cell r="L8517">
            <v>38624</v>
          </cell>
          <cell r="M8517">
            <v>2.915</v>
          </cell>
          <cell r="P8517">
            <v>6.1820000000000004</v>
          </cell>
        </row>
        <row r="8518">
          <cell r="A8518" t="str">
            <v>URB-040-3308</v>
          </cell>
          <cell r="G8518" t="str">
            <v xml:space="preserve">CR   </v>
          </cell>
          <cell r="L8518">
            <v>37981</v>
          </cell>
          <cell r="M8518">
            <v>2.96</v>
          </cell>
          <cell r="P8518">
            <v>7.56</v>
          </cell>
        </row>
        <row r="8519">
          <cell r="A8519" t="str">
            <v>URB-040-3309</v>
          </cell>
          <cell r="G8519" t="str">
            <v>INDEV</v>
          </cell>
          <cell r="L8519">
            <v>41288</v>
          </cell>
          <cell r="M8519">
            <v>4.95</v>
          </cell>
          <cell r="P8519">
            <v>4.2545050505050499</v>
          </cell>
        </row>
        <row r="8520">
          <cell r="A8520" t="str">
            <v>URB-040-3310</v>
          </cell>
          <cell r="G8520" t="str">
            <v xml:space="preserve">CR   </v>
          </cell>
          <cell r="L8520">
            <v>38811</v>
          </cell>
          <cell r="M8520">
            <v>3.085</v>
          </cell>
          <cell r="P8520">
            <v>5.6833</v>
          </cell>
        </row>
        <row r="8521">
          <cell r="A8521" t="str">
            <v>URB-040-3314</v>
          </cell>
          <cell r="G8521" t="str">
            <v xml:space="preserve">INSI </v>
          </cell>
          <cell r="L8521">
            <v>39518</v>
          </cell>
          <cell r="M8521">
            <v>3.1579999999999999</v>
          </cell>
          <cell r="P8521">
            <v>26.443999999999999</v>
          </cell>
        </row>
        <row r="8522">
          <cell r="A8522" t="str">
            <v>URB-040-51105</v>
          </cell>
          <cell r="G8522" t="str">
            <v xml:space="preserve">CR   </v>
          </cell>
          <cell r="L8522">
            <v>38624</v>
          </cell>
          <cell r="M8522">
            <v>2.915</v>
          </cell>
          <cell r="P8522">
            <v>1.21</v>
          </cell>
        </row>
        <row r="8523">
          <cell r="A8523" t="str">
            <v>URB-040-51107</v>
          </cell>
          <cell r="G8523" t="str">
            <v>INDEV</v>
          </cell>
          <cell r="L8523">
            <v>41288</v>
          </cell>
          <cell r="M8523">
            <v>4.95</v>
          </cell>
          <cell r="P8523">
            <v>0.42828282828282827</v>
          </cell>
        </row>
        <row r="8524">
          <cell r="A8524" t="str">
            <v>URB-040-51111</v>
          </cell>
          <cell r="G8524" t="str">
            <v xml:space="preserve">CR   </v>
          </cell>
          <cell r="L8524">
            <v>38811</v>
          </cell>
          <cell r="M8524">
            <v>3.085</v>
          </cell>
          <cell r="P8524">
            <v>0.99829999999999997</v>
          </cell>
        </row>
        <row r="8525">
          <cell r="A8525" t="str">
            <v>URB-040-51112</v>
          </cell>
          <cell r="G8525" t="str">
            <v xml:space="preserve">CR   </v>
          </cell>
          <cell r="L8525">
            <v>38811</v>
          </cell>
          <cell r="M8525">
            <v>3.085</v>
          </cell>
          <cell r="P8525">
            <v>1.4536</v>
          </cell>
        </row>
        <row r="8526">
          <cell r="A8526" t="str">
            <v>URB-040-51114</v>
          </cell>
          <cell r="G8526" t="str">
            <v>IPFAB</v>
          </cell>
          <cell r="L8526">
            <v>41403</v>
          </cell>
          <cell r="M8526">
            <v>5.22</v>
          </cell>
          <cell r="P8526">
            <v>1.6278999999999999</v>
          </cell>
        </row>
        <row r="8527">
          <cell r="A8527" t="str">
            <v>URB-040-51206</v>
          </cell>
          <cell r="G8527" t="str">
            <v xml:space="preserve">CR   </v>
          </cell>
          <cell r="L8527">
            <v>37981</v>
          </cell>
          <cell r="M8527">
            <v>2.96</v>
          </cell>
          <cell r="P8527">
            <v>1.49</v>
          </cell>
        </row>
        <row r="8528">
          <cell r="A8528" t="str">
            <v>URB-040-51208</v>
          </cell>
          <cell r="G8528" t="str">
            <v xml:space="preserve">CR   </v>
          </cell>
          <cell r="L8528">
            <v>37981</v>
          </cell>
          <cell r="M8528">
            <v>2.96</v>
          </cell>
          <cell r="P8528">
            <v>2.0299999999999998</v>
          </cell>
        </row>
        <row r="8529">
          <cell r="A8529" t="str">
            <v>URB-040-51210</v>
          </cell>
          <cell r="G8529" t="str">
            <v xml:space="preserve">CR   </v>
          </cell>
          <cell r="L8529">
            <v>38624</v>
          </cell>
          <cell r="M8529">
            <v>2.915</v>
          </cell>
          <cell r="P8529">
            <v>2.75</v>
          </cell>
        </row>
        <row r="8530">
          <cell r="A8530" t="str">
            <v>URB-040-51211</v>
          </cell>
          <cell r="G8530" t="str">
            <v>INDEV</v>
          </cell>
          <cell r="L8530">
            <v>41288</v>
          </cell>
          <cell r="M8530">
            <v>4.95</v>
          </cell>
          <cell r="P8530">
            <v>0.94480808080808076</v>
          </cell>
        </row>
        <row r="8531">
          <cell r="A8531" t="str">
            <v>URB-040-51212</v>
          </cell>
          <cell r="G8531" t="str">
            <v xml:space="preserve">CR   </v>
          </cell>
          <cell r="L8531">
            <v>38624</v>
          </cell>
          <cell r="M8531">
            <v>2.915</v>
          </cell>
          <cell r="P8531">
            <v>4.4109999999999996</v>
          </cell>
        </row>
        <row r="8532">
          <cell r="A8532" t="str">
            <v>URB-040-6012</v>
          </cell>
          <cell r="G8532" t="str">
            <v xml:space="preserve">CR   </v>
          </cell>
          <cell r="L8532">
            <v>38624</v>
          </cell>
          <cell r="M8532">
            <v>2.915</v>
          </cell>
          <cell r="P8532">
            <v>3.0249999999999999</v>
          </cell>
        </row>
        <row r="8533">
          <cell r="A8533" t="str">
            <v>URB-040-6015-2RS</v>
          </cell>
          <cell r="G8533" t="str">
            <v xml:space="preserve">CR   </v>
          </cell>
          <cell r="L8533">
            <v>38624</v>
          </cell>
          <cell r="M8533">
            <v>2.915</v>
          </cell>
          <cell r="P8533">
            <v>5.7640000000000002</v>
          </cell>
        </row>
        <row r="8534">
          <cell r="A8534" t="str">
            <v>URB-040-6016</v>
          </cell>
          <cell r="G8534" t="str">
            <v xml:space="preserve">CR   </v>
          </cell>
          <cell r="L8534">
            <v>38811</v>
          </cell>
          <cell r="M8534">
            <v>3.085</v>
          </cell>
          <cell r="P8534">
            <v>2.5962000000000001</v>
          </cell>
        </row>
        <row r="8535">
          <cell r="A8535" t="str">
            <v>URB-040-6017-2RS</v>
          </cell>
          <cell r="G8535" t="str">
            <v xml:space="preserve">CR   </v>
          </cell>
          <cell r="L8535">
            <v>38811</v>
          </cell>
          <cell r="M8535">
            <v>3.085</v>
          </cell>
          <cell r="P8535">
            <v>3.5295999999999998</v>
          </cell>
        </row>
        <row r="8536">
          <cell r="A8536" t="str">
            <v>URB-040-6018</v>
          </cell>
          <cell r="G8536" t="str">
            <v xml:space="preserve">CR   </v>
          </cell>
          <cell r="L8536">
            <v>38624</v>
          </cell>
          <cell r="M8536">
            <v>2.915</v>
          </cell>
          <cell r="P8536">
            <v>7.6230000000000002</v>
          </cell>
        </row>
        <row r="8537">
          <cell r="A8537" t="str">
            <v>URB-040-6021</v>
          </cell>
          <cell r="G8537" t="str">
            <v xml:space="preserve">CR   </v>
          </cell>
          <cell r="L8537">
            <v>38811</v>
          </cell>
          <cell r="M8537">
            <v>3.085</v>
          </cell>
          <cell r="P8537">
            <v>4.2664</v>
          </cell>
        </row>
        <row r="8538">
          <cell r="A8538" t="str">
            <v>URB-040-6022</v>
          </cell>
          <cell r="G8538" t="str">
            <v xml:space="preserve">CR   </v>
          </cell>
          <cell r="L8538">
            <v>38811</v>
          </cell>
          <cell r="M8538">
            <v>3.085</v>
          </cell>
          <cell r="P8538">
            <v>5.7903000000000002</v>
          </cell>
        </row>
        <row r="8539">
          <cell r="A8539" t="str">
            <v>URB-040-6024</v>
          </cell>
          <cell r="G8539" t="str">
            <v xml:space="preserve">CR   </v>
          </cell>
          <cell r="L8539">
            <v>38811</v>
          </cell>
          <cell r="M8539">
            <v>3.085</v>
          </cell>
          <cell r="P8539">
            <v>7.4238</v>
          </cell>
        </row>
        <row r="8540">
          <cell r="A8540" t="str">
            <v>URB-040-6028</v>
          </cell>
          <cell r="G8540" t="str">
            <v xml:space="preserve">INAC </v>
          </cell>
          <cell r="L8540">
            <v>43263</v>
          </cell>
          <cell r="M8540">
            <v>26.5</v>
          </cell>
          <cell r="P8540">
            <v>20.837969811320754</v>
          </cell>
        </row>
        <row r="8541">
          <cell r="A8541" t="str">
            <v>URB-040-607-2RS</v>
          </cell>
          <cell r="G8541" t="str">
            <v xml:space="preserve">INAC </v>
          </cell>
          <cell r="L8541">
            <v>37852</v>
          </cell>
          <cell r="M8541">
            <v>2.895</v>
          </cell>
          <cell r="P8541">
            <v>0.63903281519861832</v>
          </cell>
        </row>
        <row r="8542">
          <cell r="A8542" t="str">
            <v>URB-040-6200</v>
          </cell>
          <cell r="G8542" t="str">
            <v>INDEV</v>
          </cell>
          <cell r="L8542">
            <v>41288</v>
          </cell>
          <cell r="M8542">
            <v>4.95</v>
          </cell>
          <cell r="P8542">
            <v>0.14945454545454545</v>
          </cell>
        </row>
        <row r="8543">
          <cell r="A8543" t="str">
            <v>URB-040-6203-1Z</v>
          </cell>
          <cell r="G8543" t="str">
            <v xml:space="preserve">CR   </v>
          </cell>
          <cell r="L8543">
            <v>38811</v>
          </cell>
          <cell r="M8543">
            <v>3.085</v>
          </cell>
          <cell r="P8543">
            <v>0.26740000000000003</v>
          </cell>
        </row>
        <row r="8544">
          <cell r="A8544" t="str">
            <v>URB-040-6203-2Z</v>
          </cell>
          <cell r="G8544" t="str">
            <v xml:space="preserve">CR   </v>
          </cell>
          <cell r="L8544">
            <v>38624</v>
          </cell>
          <cell r="M8544">
            <v>2.915</v>
          </cell>
          <cell r="P8544">
            <v>0.627</v>
          </cell>
        </row>
        <row r="8545">
          <cell r="A8545" t="str">
            <v>URB-040-6205-2RS</v>
          </cell>
          <cell r="G8545" t="str">
            <v xml:space="preserve">CR   </v>
          </cell>
          <cell r="L8545">
            <v>38624</v>
          </cell>
          <cell r="M8545">
            <v>2.915</v>
          </cell>
          <cell r="P8545">
            <v>0.92400000000000004</v>
          </cell>
        </row>
        <row r="8546">
          <cell r="A8546" t="str">
            <v>URB-040-6208</v>
          </cell>
          <cell r="G8546" t="str">
            <v xml:space="preserve">INAC </v>
          </cell>
          <cell r="L8546">
            <v>42870</v>
          </cell>
          <cell r="M8546">
            <v>15.77</v>
          </cell>
          <cell r="P8546">
            <v>3.2010145846544069</v>
          </cell>
        </row>
        <row r="8547">
          <cell r="A8547" t="str">
            <v>URB-040-6210-2ZNR</v>
          </cell>
          <cell r="G8547" t="str">
            <v xml:space="preserve">CR   </v>
          </cell>
          <cell r="L8547">
            <v>38624</v>
          </cell>
          <cell r="M8547">
            <v>2.915</v>
          </cell>
          <cell r="P8547">
            <v>2.86</v>
          </cell>
        </row>
        <row r="8548">
          <cell r="A8548" t="str">
            <v>URB-040-6210-ZN</v>
          </cell>
          <cell r="G8548" t="str">
            <v xml:space="preserve">CR   </v>
          </cell>
          <cell r="L8548">
            <v>38811</v>
          </cell>
          <cell r="M8548">
            <v>3.085</v>
          </cell>
          <cell r="P8548">
            <v>1.1911</v>
          </cell>
        </row>
        <row r="8549">
          <cell r="A8549" t="str">
            <v>URB-040-6211</v>
          </cell>
          <cell r="G8549" t="str">
            <v xml:space="preserve">INAC </v>
          </cell>
          <cell r="L8549">
            <v>42859</v>
          </cell>
          <cell r="M8549">
            <v>15.63</v>
          </cell>
          <cell r="P8549">
            <v>4.286116442738324</v>
          </cell>
        </row>
        <row r="8550">
          <cell r="A8550" t="str">
            <v>URB-040-6212-ZN</v>
          </cell>
          <cell r="G8550" t="str">
            <v xml:space="preserve">CR   </v>
          </cell>
          <cell r="L8550">
            <v>38624</v>
          </cell>
          <cell r="M8550">
            <v>2.915</v>
          </cell>
          <cell r="P8550">
            <v>4.4550000000000001</v>
          </cell>
        </row>
        <row r="8551">
          <cell r="A8551" t="str">
            <v>URB-040-6216-2RS</v>
          </cell>
          <cell r="G8551" t="str">
            <v xml:space="preserve">CR   </v>
          </cell>
          <cell r="L8551">
            <v>38624</v>
          </cell>
          <cell r="M8551">
            <v>2.915</v>
          </cell>
          <cell r="P8551">
            <v>9.2840000000000007</v>
          </cell>
        </row>
        <row r="8552">
          <cell r="A8552" t="str">
            <v>URB-040-6217-2RS</v>
          </cell>
          <cell r="G8552" t="str">
            <v xml:space="preserve">CR   </v>
          </cell>
          <cell r="L8552">
            <v>38811</v>
          </cell>
          <cell r="M8552">
            <v>3.085</v>
          </cell>
          <cell r="P8552">
            <v>5.0026999999999999</v>
          </cell>
        </row>
        <row r="8553">
          <cell r="A8553" t="str">
            <v>URB-040-6219</v>
          </cell>
          <cell r="G8553" t="str">
            <v xml:space="preserve">CR   </v>
          </cell>
          <cell r="L8553">
            <v>38811</v>
          </cell>
          <cell r="M8553">
            <v>3.085</v>
          </cell>
          <cell r="P8553">
            <v>5.2915999999999999</v>
          </cell>
        </row>
        <row r="8554">
          <cell r="A8554" t="str">
            <v>URB-040-62208-2RS</v>
          </cell>
          <cell r="G8554" t="str">
            <v xml:space="preserve">CR   </v>
          </cell>
          <cell r="L8554">
            <v>38811</v>
          </cell>
          <cell r="M8554">
            <v>3.085</v>
          </cell>
          <cell r="P8554">
            <v>1.2738</v>
          </cell>
        </row>
        <row r="8555">
          <cell r="A8555" t="str">
            <v>URB-040-63-28</v>
          </cell>
          <cell r="G8555" t="str">
            <v xml:space="preserve">CR   </v>
          </cell>
          <cell r="L8555">
            <v>38811</v>
          </cell>
          <cell r="M8555">
            <v>3.085</v>
          </cell>
          <cell r="P8555">
            <v>0.62680000000000002</v>
          </cell>
        </row>
        <row r="8556">
          <cell r="A8556" t="str">
            <v>URB-040-6300-2Z</v>
          </cell>
          <cell r="G8556" t="str">
            <v xml:space="preserve">CR   </v>
          </cell>
          <cell r="L8556">
            <v>38624</v>
          </cell>
          <cell r="M8556">
            <v>2.915</v>
          </cell>
          <cell r="P8556">
            <v>0.495</v>
          </cell>
        </row>
        <row r="8557">
          <cell r="A8557" t="str">
            <v>URB-040-6303-2RS</v>
          </cell>
          <cell r="G8557" t="str">
            <v xml:space="preserve">CR   </v>
          </cell>
          <cell r="L8557">
            <v>38811</v>
          </cell>
          <cell r="M8557">
            <v>3.085</v>
          </cell>
          <cell r="P8557">
            <v>0.30890000000000001</v>
          </cell>
        </row>
        <row r="8558">
          <cell r="A8558" t="str">
            <v>URB-040-6304-2RS</v>
          </cell>
          <cell r="G8558" t="str">
            <v xml:space="preserve">CR   </v>
          </cell>
          <cell r="L8558">
            <v>38624</v>
          </cell>
          <cell r="M8558">
            <v>2.915</v>
          </cell>
          <cell r="P8558">
            <v>1.353</v>
          </cell>
        </row>
        <row r="8559">
          <cell r="A8559" t="str">
            <v>URB-040-6304-2ZR</v>
          </cell>
          <cell r="G8559" t="str">
            <v>INDEV</v>
          </cell>
          <cell r="L8559">
            <v>41288</v>
          </cell>
          <cell r="M8559">
            <v>4.95</v>
          </cell>
          <cell r="P8559">
            <v>3.393939393939394</v>
          </cell>
        </row>
        <row r="8560">
          <cell r="A8560" t="str">
            <v>URB-040-6308-ZNR</v>
          </cell>
          <cell r="G8560" t="str">
            <v xml:space="preserve">CR   </v>
          </cell>
          <cell r="L8560">
            <v>38811</v>
          </cell>
          <cell r="M8560">
            <v>3.085</v>
          </cell>
          <cell r="P8560">
            <v>1.3904000000000001</v>
          </cell>
        </row>
        <row r="8561">
          <cell r="A8561" t="str">
            <v>URB-040-6310-N</v>
          </cell>
          <cell r="G8561" t="str">
            <v>IPFAB</v>
          </cell>
          <cell r="L8561">
            <v>40512</v>
          </cell>
          <cell r="M8561">
            <v>4</v>
          </cell>
          <cell r="P8561">
            <v>1.9690000000000001</v>
          </cell>
        </row>
        <row r="8562">
          <cell r="A8562" t="str">
            <v>URB-040-6311</v>
          </cell>
          <cell r="G8562" t="str">
            <v xml:space="preserve">CR   </v>
          </cell>
          <cell r="L8562">
            <v>38624</v>
          </cell>
          <cell r="M8562">
            <v>2.915</v>
          </cell>
          <cell r="P8562">
            <v>5.6319999999999997</v>
          </cell>
        </row>
        <row r="8563">
          <cell r="A8563" t="str">
            <v>URB-040-6314</v>
          </cell>
          <cell r="G8563" t="str">
            <v>INDEV</v>
          </cell>
          <cell r="L8563">
            <v>39609</v>
          </cell>
          <cell r="M8563">
            <v>3.0640000000000001</v>
          </cell>
          <cell r="P8563">
            <v>4.516514360313316</v>
          </cell>
        </row>
        <row r="8564">
          <cell r="A8564" t="str">
            <v>URB-040-6314-2RS</v>
          </cell>
          <cell r="G8564" t="str">
            <v xml:space="preserve">CR   </v>
          </cell>
          <cell r="L8564">
            <v>38811</v>
          </cell>
          <cell r="M8564">
            <v>3.085</v>
          </cell>
          <cell r="P8564">
            <v>5.1729000000000003</v>
          </cell>
        </row>
        <row r="8565">
          <cell r="A8565" t="str">
            <v>URB-040-6315-2RS</v>
          </cell>
          <cell r="G8565" t="str">
            <v xml:space="preserve">CR   </v>
          </cell>
          <cell r="L8565">
            <v>38811</v>
          </cell>
          <cell r="M8565">
            <v>3.085</v>
          </cell>
          <cell r="P8565">
            <v>6.3494000000000002</v>
          </cell>
        </row>
        <row r="8566">
          <cell r="A8566" t="str">
            <v>URB-040-6316</v>
          </cell>
          <cell r="G8566" t="str">
            <v xml:space="preserve">CR   </v>
          </cell>
          <cell r="L8566">
            <v>38624</v>
          </cell>
          <cell r="M8566">
            <v>2.915</v>
          </cell>
          <cell r="P8566">
            <v>25.762</v>
          </cell>
        </row>
        <row r="8567">
          <cell r="A8567" t="str">
            <v>URB-040-6317</v>
          </cell>
          <cell r="G8567" t="str">
            <v xml:space="preserve">CR   </v>
          </cell>
          <cell r="L8567">
            <v>38811</v>
          </cell>
          <cell r="M8567">
            <v>3.085</v>
          </cell>
          <cell r="P8567">
            <v>7.3752000000000004</v>
          </cell>
        </row>
        <row r="8568">
          <cell r="A8568" t="str">
            <v>URB-040-6318</v>
          </cell>
          <cell r="G8568" t="str">
            <v xml:space="preserve">CR   </v>
          </cell>
          <cell r="L8568">
            <v>38811</v>
          </cell>
          <cell r="M8568">
            <v>3.085</v>
          </cell>
          <cell r="P8568">
            <v>7.6280000000000001</v>
          </cell>
        </row>
        <row r="8569">
          <cell r="A8569" t="str">
            <v>URB-040-6320</v>
          </cell>
          <cell r="G8569" t="str">
            <v xml:space="preserve">CR   </v>
          </cell>
          <cell r="L8569">
            <v>38811</v>
          </cell>
          <cell r="M8569">
            <v>3.085</v>
          </cell>
          <cell r="P8569">
            <v>12.5383</v>
          </cell>
        </row>
        <row r="8570">
          <cell r="A8570" t="str">
            <v>URB-040-6406</v>
          </cell>
          <cell r="G8570" t="str">
            <v xml:space="preserve">CR   </v>
          </cell>
          <cell r="L8570">
            <v>38811</v>
          </cell>
          <cell r="M8570">
            <v>3.085</v>
          </cell>
          <cell r="P8570">
            <v>1.5071000000000001</v>
          </cell>
        </row>
        <row r="8571">
          <cell r="A8571" t="str">
            <v>URB-040-6407</v>
          </cell>
          <cell r="G8571" t="str">
            <v xml:space="preserve">CR   </v>
          </cell>
          <cell r="L8571">
            <v>38624</v>
          </cell>
          <cell r="M8571">
            <v>2.915</v>
          </cell>
          <cell r="P8571">
            <v>4.1139999999999999</v>
          </cell>
        </row>
        <row r="8572">
          <cell r="A8572" t="str">
            <v>URB-040-6408</v>
          </cell>
          <cell r="G8572" t="str">
            <v>INDEV</v>
          </cell>
          <cell r="L8572">
            <v>41288</v>
          </cell>
          <cell r="M8572">
            <v>4.95</v>
          </cell>
          <cell r="P8572">
            <v>17.727272727272727</v>
          </cell>
        </row>
        <row r="8573">
          <cell r="A8573" t="str">
            <v>URB-040-6412-N</v>
          </cell>
          <cell r="G8573" t="str">
            <v xml:space="preserve">CR   </v>
          </cell>
          <cell r="L8573">
            <v>38624</v>
          </cell>
          <cell r="M8573">
            <v>2.915</v>
          </cell>
          <cell r="P8573">
            <v>16.5</v>
          </cell>
        </row>
        <row r="8574">
          <cell r="A8574" t="str">
            <v>URB-040-7206</v>
          </cell>
          <cell r="G8574" t="str">
            <v xml:space="preserve">CR   </v>
          </cell>
          <cell r="L8574">
            <v>37981</v>
          </cell>
          <cell r="M8574">
            <v>2.96</v>
          </cell>
          <cell r="P8574">
            <v>2.34</v>
          </cell>
        </row>
        <row r="8575">
          <cell r="A8575" t="str">
            <v>URB-040-7208-A</v>
          </cell>
          <cell r="G8575" t="str">
            <v>INDEV</v>
          </cell>
          <cell r="L8575">
            <v>41288</v>
          </cell>
          <cell r="M8575">
            <v>4.95</v>
          </cell>
          <cell r="P8575">
            <v>1.1393939393939392</v>
          </cell>
        </row>
        <row r="8576">
          <cell r="A8576" t="str">
            <v>URB-040-7209-A</v>
          </cell>
          <cell r="G8576" t="str">
            <v xml:space="preserve">CR   </v>
          </cell>
          <cell r="L8576">
            <v>38811</v>
          </cell>
          <cell r="M8576">
            <v>3.085</v>
          </cell>
          <cell r="P8576">
            <v>1.8376999999999999</v>
          </cell>
        </row>
        <row r="8577">
          <cell r="A8577" t="str">
            <v>URB-040-7210-A</v>
          </cell>
          <cell r="G8577" t="str">
            <v>INDEV</v>
          </cell>
          <cell r="L8577">
            <v>41288</v>
          </cell>
          <cell r="M8577">
            <v>4.95</v>
          </cell>
          <cell r="P8577">
            <v>13.939393939393939</v>
          </cell>
        </row>
        <row r="8578">
          <cell r="A8578" t="str">
            <v>URB-040-7211-B</v>
          </cell>
          <cell r="G8578" t="str">
            <v>INDEV</v>
          </cell>
          <cell r="L8578">
            <v>41288</v>
          </cell>
          <cell r="M8578">
            <v>4.95</v>
          </cell>
          <cell r="P8578">
            <v>16.949494949494952</v>
          </cell>
        </row>
        <row r="8579">
          <cell r="A8579" t="str">
            <v>URB-040-7306-B</v>
          </cell>
          <cell r="G8579" t="str">
            <v>INDEV</v>
          </cell>
          <cell r="L8579">
            <v>41288</v>
          </cell>
          <cell r="M8579">
            <v>4.95</v>
          </cell>
          <cell r="P8579">
            <v>9.9090909090909083</v>
          </cell>
        </row>
        <row r="8580">
          <cell r="A8580" t="str">
            <v>URB-040-7309-B</v>
          </cell>
          <cell r="G8580" t="str">
            <v xml:space="preserve">INSI </v>
          </cell>
          <cell r="L8580">
            <v>39513</v>
          </cell>
          <cell r="M8580">
            <v>3.1520000000000001</v>
          </cell>
          <cell r="P8580">
            <v>2.5863999999999998</v>
          </cell>
        </row>
        <row r="8581">
          <cell r="A8581" t="str">
            <v>URB-040-7313-B</v>
          </cell>
          <cell r="G8581" t="str">
            <v>INDEV</v>
          </cell>
          <cell r="L8581">
            <v>41288</v>
          </cell>
          <cell r="M8581">
            <v>4.95</v>
          </cell>
          <cell r="P8581">
            <v>3.9090909090909092</v>
          </cell>
        </row>
        <row r="8582">
          <cell r="A8582" t="str">
            <v>URB-041-1212-K</v>
          </cell>
          <cell r="G8582" t="str">
            <v xml:space="preserve">CR   </v>
          </cell>
          <cell r="L8582">
            <v>38624</v>
          </cell>
          <cell r="M8582">
            <v>2.915</v>
          </cell>
          <cell r="P8582">
            <v>5.016</v>
          </cell>
        </row>
        <row r="8583">
          <cell r="A8583" t="str">
            <v>URB-041-6010-2RS</v>
          </cell>
          <cell r="G8583" t="str">
            <v xml:space="preserve">INAC </v>
          </cell>
          <cell r="L8583">
            <v>38390</v>
          </cell>
          <cell r="M8583">
            <v>2.92</v>
          </cell>
          <cell r="P8583">
            <v>3.3815068493150688</v>
          </cell>
        </row>
        <row r="8584">
          <cell r="A8584" t="str">
            <v>URB-041-6012-2RS</v>
          </cell>
          <cell r="G8584" t="str">
            <v xml:space="preserve">CR   </v>
          </cell>
          <cell r="L8584">
            <v>37981</v>
          </cell>
          <cell r="M8584">
            <v>2.96</v>
          </cell>
          <cell r="P8584">
            <v>4.5599999999999996</v>
          </cell>
        </row>
        <row r="8585">
          <cell r="A8585" t="str">
            <v>URB-041-6214-2RS</v>
          </cell>
          <cell r="G8585" t="str">
            <v>IPFAB</v>
          </cell>
          <cell r="L8585">
            <v>37826</v>
          </cell>
          <cell r="M8585">
            <v>2.78</v>
          </cell>
          <cell r="P8585">
            <v>4.29</v>
          </cell>
        </row>
        <row r="8586">
          <cell r="A8586" t="str">
            <v>URB-041-6306-2RS</v>
          </cell>
          <cell r="G8586" t="str">
            <v xml:space="preserve">INAC </v>
          </cell>
          <cell r="L8586">
            <v>37664</v>
          </cell>
          <cell r="M8586">
            <v>3.25</v>
          </cell>
          <cell r="P8586">
            <v>2.0615384615384618</v>
          </cell>
        </row>
        <row r="8587">
          <cell r="A8587" t="str">
            <v>URB-041-6306-ZNR</v>
          </cell>
          <cell r="G8587" t="str">
            <v xml:space="preserve">CR   </v>
          </cell>
          <cell r="L8587">
            <v>38811</v>
          </cell>
          <cell r="M8587">
            <v>3.085</v>
          </cell>
          <cell r="P8587">
            <v>0.77400000000000002</v>
          </cell>
        </row>
        <row r="8588">
          <cell r="A8588" t="str">
            <v>URB-041-6307</v>
          </cell>
          <cell r="G8588" t="str">
            <v xml:space="preserve">INAC </v>
          </cell>
          <cell r="L8588">
            <v>40431</v>
          </cell>
          <cell r="M8588">
            <v>3.97</v>
          </cell>
          <cell r="P8588">
            <v>4.2821158690176322</v>
          </cell>
        </row>
        <row r="8589">
          <cell r="A8589" t="str">
            <v>URB-041-6309</v>
          </cell>
          <cell r="G8589" t="str">
            <v xml:space="preserve">CR   </v>
          </cell>
          <cell r="L8589">
            <v>38811</v>
          </cell>
          <cell r="M8589">
            <v>3.085</v>
          </cell>
          <cell r="P8589">
            <v>2.4333999999999998</v>
          </cell>
        </row>
        <row r="8590">
          <cell r="A8590" t="str">
            <v>URB-041-6309-2RS</v>
          </cell>
          <cell r="G8590" t="str">
            <v xml:space="preserve">INAC </v>
          </cell>
          <cell r="L8590">
            <v>38391</v>
          </cell>
          <cell r="M8590">
            <v>2.9550000000000001</v>
          </cell>
          <cell r="P8590">
            <v>5.7015228426395934</v>
          </cell>
        </row>
        <row r="8591">
          <cell r="A8591" t="str">
            <v>URB-042-22211-KWC3</v>
          </cell>
          <cell r="G8591" t="str">
            <v xml:space="preserve">CR   </v>
          </cell>
          <cell r="L8591">
            <v>38624</v>
          </cell>
          <cell r="M8591">
            <v>2.915</v>
          </cell>
          <cell r="P8591">
            <v>13.430999999999999</v>
          </cell>
        </row>
        <row r="8592">
          <cell r="A8592" t="str">
            <v>URB-042-22220-CW33</v>
          </cell>
          <cell r="G8592" t="str">
            <v xml:space="preserve">INAC </v>
          </cell>
          <cell r="L8592">
            <v>38883</v>
          </cell>
          <cell r="M8592">
            <v>3.0790000000000002</v>
          </cell>
          <cell r="P8592">
            <v>25.170509905813574</v>
          </cell>
        </row>
        <row r="8593">
          <cell r="A8593" t="str">
            <v>URB-042-22314-CW33</v>
          </cell>
          <cell r="G8593" t="str">
            <v xml:space="preserve">CR   </v>
          </cell>
          <cell r="L8593">
            <v>37981</v>
          </cell>
          <cell r="M8593">
            <v>2.96</v>
          </cell>
          <cell r="P8593">
            <v>15.5</v>
          </cell>
        </row>
        <row r="8594">
          <cell r="A8594" t="str">
            <v>URB-043-1306-K</v>
          </cell>
          <cell r="G8594" t="str">
            <v>INDEV</v>
          </cell>
          <cell r="L8594">
            <v>41288</v>
          </cell>
          <cell r="M8594">
            <v>4.95</v>
          </cell>
          <cell r="P8594">
            <v>2.709090909090909</v>
          </cell>
        </row>
        <row r="8595">
          <cell r="A8595" t="str">
            <v>URB-047-UC-204</v>
          </cell>
          <cell r="G8595" t="str">
            <v xml:space="preserve">CR   </v>
          </cell>
          <cell r="L8595">
            <v>38811</v>
          </cell>
          <cell r="M8595">
            <v>3.085</v>
          </cell>
          <cell r="P8595">
            <v>0.95779999999999998</v>
          </cell>
        </row>
        <row r="8596">
          <cell r="A8596" t="str">
            <v>URB-047-UC-213</v>
          </cell>
          <cell r="G8596" t="str">
            <v xml:space="preserve">CR   </v>
          </cell>
          <cell r="L8596">
            <v>38811</v>
          </cell>
          <cell r="M8596">
            <v>3.085</v>
          </cell>
          <cell r="P8596">
            <v>6.9157999999999999</v>
          </cell>
        </row>
        <row r="8597">
          <cell r="A8597" t="str">
            <v>URB-047-US-206</v>
          </cell>
          <cell r="G8597" t="str">
            <v xml:space="preserve">CR   </v>
          </cell>
          <cell r="L8597">
            <v>38811</v>
          </cell>
          <cell r="M8597">
            <v>3.085</v>
          </cell>
          <cell r="P8597">
            <v>1.2981</v>
          </cell>
        </row>
        <row r="8598">
          <cell r="A8598" t="str">
            <v>URB-050-JL-69349-310</v>
          </cell>
          <cell r="G8598" t="str">
            <v xml:space="preserve">CR   </v>
          </cell>
          <cell r="L8598">
            <v>37981</v>
          </cell>
          <cell r="M8598">
            <v>2.96</v>
          </cell>
          <cell r="P8598">
            <v>1.65</v>
          </cell>
        </row>
        <row r="8599">
          <cell r="A8599" t="str">
            <v>URB-999-1310</v>
          </cell>
          <cell r="G8599" t="str">
            <v>IPFAP</v>
          </cell>
          <cell r="L8599">
            <v>44319</v>
          </cell>
          <cell r="M8599">
            <v>98.5</v>
          </cell>
          <cell r="P8599">
            <v>1.0341431472081219</v>
          </cell>
        </row>
        <row r="8600">
          <cell r="A8600" t="str">
            <v>VBF-040-6206-1RS</v>
          </cell>
          <cell r="G8600" t="str">
            <v xml:space="preserve">CR   </v>
          </cell>
          <cell r="L8600">
            <v>38624</v>
          </cell>
          <cell r="M8600">
            <v>2.915</v>
          </cell>
          <cell r="P8600">
            <v>0.68200000000000005</v>
          </cell>
        </row>
        <row r="8601">
          <cell r="A8601" t="str">
            <v>VBF-043-51101</v>
          </cell>
          <cell r="G8601" t="str">
            <v xml:space="preserve">INAC </v>
          </cell>
          <cell r="L8601">
            <v>37781</v>
          </cell>
          <cell r="M8601">
            <v>2.8149999999999999</v>
          </cell>
          <cell r="P8601">
            <v>0.98046181172291291</v>
          </cell>
        </row>
        <row r="8602">
          <cell r="A8602" t="str">
            <v>VBF-043-6210-2ZNR</v>
          </cell>
          <cell r="G8602" t="str">
            <v>INDEV</v>
          </cell>
          <cell r="L8602">
            <v>41288</v>
          </cell>
          <cell r="M8602">
            <v>4.95</v>
          </cell>
          <cell r="P8602">
            <v>10.1010101010101</v>
          </cell>
        </row>
        <row r="8603">
          <cell r="A8603" t="str">
            <v>VMZ-040-6307-2RS</v>
          </cell>
          <cell r="G8603" t="str">
            <v xml:space="preserve">CR   </v>
          </cell>
          <cell r="L8603">
            <v>38624</v>
          </cell>
          <cell r="M8603">
            <v>2.915</v>
          </cell>
          <cell r="P8603">
            <v>1.804</v>
          </cell>
        </row>
        <row r="8604">
          <cell r="A8604" t="str">
            <v>VPZ-040-30216</v>
          </cell>
          <cell r="G8604" t="str">
            <v xml:space="preserve">CR   </v>
          </cell>
          <cell r="L8604">
            <v>37981</v>
          </cell>
          <cell r="M8604">
            <v>2.96</v>
          </cell>
          <cell r="P8604">
            <v>3.92</v>
          </cell>
        </row>
        <row r="8605">
          <cell r="A8605" t="str">
            <v>VPZ-041-6216-2RS</v>
          </cell>
          <cell r="G8605" t="str">
            <v xml:space="preserve">INAC </v>
          </cell>
          <cell r="L8605">
            <v>39416</v>
          </cell>
          <cell r="M8605">
            <v>3.1480000000000001</v>
          </cell>
          <cell r="P8605">
            <v>12.198221092757306</v>
          </cell>
        </row>
        <row r="8606">
          <cell r="A8606" t="str">
            <v>ZIX-050-30207</v>
          </cell>
          <cell r="G8606" t="str">
            <v>IDESP</v>
          </cell>
          <cell r="L8606">
            <v>39576</v>
          </cell>
          <cell r="M8606">
            <v>3.1840000000000002</v>
          </cell>
          <cell r="P8606">
            <v>1</v>
          </cell>
        </row>
        <row r="8607">
          <cell r="A8607" t="str">
            <v>ZIX-050-30208</v>
          </cell>
          <cell r="G8607" t="str">
            <v>IDESP</v>
          </cell>
          <cell r="L8607">
            <v>39576</v>
          </cell>
          <cell r="M8607">
            <v>3.1840000000000002</v>
          </cell>
          <cell r="P8607">
            <v>1.1000000000000001</v>
          </cell>
        </row>
        <row r="8608">
          <cell r="A8608" t="str">
            <v>ZIX-050-HM518445/410</v>
          </cell>
          <cell r="G8608" t="str">
            <v>IDESP</v>
          </cell>
          <cell r="L8608">
            <v>39576</v>
          </cell>
          <cell r="M8608">
            <v>3.1840000000000002</v>
          </cell>
          <cell r="P8608">
            <v>5</v>
          </cell>
        </row>
        <row r="8609">
          <cell r="A8609" t="str">
            <v>ZIX-050-LM48548/10</v>
          </cell>
          <cell r="G8609" t="str">
            <v>IDESP</v>
          </cell>
          <cell r="L8609">
            <v>39576</v>
          </cell>
          <cell r="M8609">
            <v>3.1840000000000002</v>
          </cell>
          <cell r="P8609">
            <v>1</v>
          </cell>
        </row>
        <row r="8610">
          <cell r="A8610" t="str">
            <v>ZKL-034-GE-25</v>
          </cell>
          <cell r="G8610" t="str">
            <v xml:space="preserve">INAC </v>
          </cell>
          <cell r="L8610">
            <v>38905</v>
          </cell>
          <cell r="M8610">
            <v>3.0859999999999999</v>
          </cell>
          <cell r="P8610">
            <v>7.6474400518470524</v>
          </cell>
        </row>
        <row r="8611">
          <cell r="A8611" t="str">
            <v>ZKL-035-NJ-2204</v>
          </cell>
          <cell r="G8611" t="str">
            <v xml:space="preserve">INAC </v>
          </cell>
          <cell r="L8611">
            <v>40863</v>
          </cell>
          <cell r="M8611">
            <v>4.29</v>
          </cell>
          <cell r="P8611">
            <v>11.655011655011656</v>
          </cell>
        </row>
        <row r="8612">
          <cell r="A8612" t="str">
            <v>ZKL-035-NJ-2209-E</v>
          </cell>
          <cell r="G8612" t="str">
            <v xml:space="preserve">INAC </v>
          </cell>
          <cell r="L8612">
            <v>40534</v>
          </cell>
          <cell r="M8612">
            <v>4</v>
          </cell>
          <cell r="P8612">
            <v>23.9025</v>
          </cell>
        </row>
        <row r="8613">
          <cell r="A8613" t="str">
            <v>ZKL-040-1210</v>
          </cell>
          <cell r="G8613" t="str">
            <v xml:space="preserve">CR   </v>
          </cell>
          <cell r="L8613">
            <v>38811</v>
          </cell>
          <cell r="M8613">
            <v>3.085</v>
          </cell>
          <cell r="P8613">
            <v>2.2645</v>
          </cell>
        </row>
        <row r="8614">
          <cell r="A8614" t="str">
            <v>ZKL-040-1215</v>
          </cell>
          <cell r="G8614" t="str">
            <v xml:space="preserve">CR   </v>
          </cell>
          <cell r="L8614">
            <v>38624</v>
          </cell>
          <cell r="M8614">
            <v>2.915</v>
          </cell>
          <cell r="P8614">
            <v>10.164</v>
          </cell>
        </row>
        <row r="8615">
          <cell r="A8615" t="str">
            <v>ZKL-040-22230-CCK</v>
          </cell>
          <cell r="G8615" t="str">
            <v xml:space="preserve">CR   </v>
          </cell>
          <cell r="L8615">
            <v>38624</v>
          </cell>
          <cell r="M8615">
            <v>2.915</v>
          </cell>
          <cell r="P8615">
            <v>214.72</v>
          </cell>
        </row>
        <row r="8616">
          <cell r="A8616" t="str">
            <v>ZKL-040-22308-C</v>
          </cell>
          <cell r="G8616" t="str">
            <v xml:space="preserve">INAC </v>
          </cell>
          <cell r="L8616">
            <v>38077</v>
          </cell>
          <cell r="M8616">
            <v>2.86</v>
          </cell>
          <cell r="P8616">
            <v>36.136363636363633</v>
          </cell>
        </row>
        <row r="8617">
          <cell r="A8617" t="str">
            <v>ZKL-040-30210-J2</v>
          </cell>
          <cell r="G8617" t="str">
            <v xml:space="preserve">CR   </v>
          </cell>
          <cell r="L8617">
            <v>38811</v>
          </cell>
          <cell r="M8617">
            <v>3.085</v>
          </cell>
          <cell r="P8617">
            <v>2.2113</v>
          </cell>
        </row>
        <row r="8618">
          <cell r="A8618" t="str">
            <v>ZKL-040-30309</v>
          </cell>
          <cell r="G8618" t="str">
            <v xml:space="preserve">CR   </v>
          </cell>
          <cell r="L8618">
            <v>37981</v>
          </cell>
          <cell r="M8618">
            <v>2.96</v>
          </cell>
          <cell r="P8618">
            <v>5.01</v>
          </cell>
        </row>
        <row r="8619">
          <cell r="A8619" t="str">
            <v>ZKL-040-30314</v>
          </cell>
          <cell r="G8619" t="str">
            <v xml:space="preserve">CR   </v>
          </cell>
          <cell r="L8619">
            <v>38624</v>
          </cell>
          <cell r="M8619">
            <v>2.915</v>
          </cell>
          <cell r="P8619">
            <v>15.422000000000001</v>
          </cell>
        </row>
        <row r="8620">
          <cell r="A8620" t="str">
            <v>ZKL-040-32009</v>
          </cell>
          <cell r="G8620" t="str">
            <v xml:space="preserve">CR   </v>
          </cell>
          <cell r="L8620">
            <v>38624</v>
          </cell>
          <cell r="M8620">
            <v>2.915</v>
          </cell>
          <cell r="P8620">
            <v>2.75</v>
          </cell>
        </row>
        <row r="8621">
          <cell r="A8621" t="str">
            <v>ZKL-040-32022</v>
          </cell>
          <cell r="G8621" t="str">
            <v xml:space="preserve">CR   </v>
          </cell>
          <cell r="L8621">
            <v>38624</v>
          </cell>
          <cell r="M8621">
            <v>2.915</v>
          </cell>
          <cell r="P8621">
            <v>24.486000000000001</v>
          </cell>
        </row>
        <row r="8622">
          <cell r="A8622" t="str">
            <v>ZKL-040-3209</v>
          </cell>
          <cell r="G8622" t="str">
            <v xml:space="preserve">INAC </v>
          </cell>
          <cell r="L8622">
            <v>38161</v>
          </cell>
          <cell r="M8622">
            <v>2.96</v>
          </cell>
          <cell r="P8622">
            <v>10.337837837837839</v>
          </cell>
        </row>
        <row r="8623">
          <cell r="A8623" t="str">
            <v>ZKL-040-3214</v>
          </cell>
          <cell r="G8623" t="str">
            <v xml:space="preserve">CR   </v>
          </cell>
          <cell r="L8623">
            <v>38624</v>
          </cell>
          <cell r="M8623">
            <v>2.915</v>
          </cell>
          <cell r="P8623">
            <v>20.625</v>
          </cell>
        </row>
        <row r="8624">
          <cell r="A8624" t="str">
            <v>ZKL-040-32211</v>
          </cell>
          <cell r="G8624" t="str">
            <v xml:space="preserve">CR   </v>
          </cell>
          <cell r="L8624">
            <v>38624</v>
          </cell>
          <cell r="M8624">
            <v>2.915</v>
          </cell>
          <cell r="P8624">
            <v>3.6960000000000002</v>
          </cell>
        </row>
        <row r="8625">
          <cell r="A8625" t="str">
            <v>ZKL-040-32217</v>
          </cell>
          <cell r="G8625" t="str">
            <v xml:space="preserve">CR   </v>
          </cell>
          <cell r="L8625">
            <v>38624</v>
          </cell>
          <cell r="M8625">
            <v>2.915</v>
          </cell>
          <cell r="P8625">
            <v>14.388</v>
          </cell>
        </row>
        <row r="8626">
          <cell r="A8626" t="str">
            <v>ZKL-040-32218</v>
          </cell>
          <cell r="G8626" t="str">
            <v xml:space="preserve">CR   </v>
          </cell>
          <cell r="L8626">
            <v>38624</v>
          </cell>
          <cell r="M8626">
            <v>2.915</v>
          </cell>
          <cell r="P8626">
            <v>16.247</v>
          </cell>
        </row>
        <row r="8627">
          <cell r="A8627" t="str">
            <v>ZKL-040-32219</v>
          </cell>
          <cell r="G8627" t="str">
            <v xml:space="preserve">CR   </v>
          </cell>
          <cell r="L8627">
            <v>37981</v>
          </cell>
          <cell r="M8627">
            <v>2.96</v>
          </cell>
          <cell r="P8627">
            <v>28.5</v>
          </cell>
        </row>
        <row r="8628">
          <cell r="A8628" t="str">
            <v>ZKL-040-32308</v>
          </cell>
          <cell r="G8628" t="str">
            <v xml:space="preserve">CR   </v>
          </cell>
          <cell r="L8628">
            <v>38811</v>
          </cell>
          <cell r="M8628">
            <v>3.085</v>
          </cell>
          <cell r="P8628">
            <v>4.2004999999999999</v>
          </cell>
        </row>
        <row r="8629">
          <cell r="A8629" t="str">
            <v>ZKL-040-32310</v>
          </cell>
          <cell r="G8629" t="str">
            <v xml:space="preserve">INAC </v>
          </cell>
          <cell r="L8629">
            <v>40336</v>
          </cell>
          <cell r="M8629">
            <v>3.94</v>
          </cell>
          <cell r="P8629">
            <v>10.040609137055839</v>
          </cell>
        </row>
        <row r="8630">
          <cell r="A8630" t="str">
            <v>ZKL-040-51111</v>
          </cell>
          <cell r="G8630" t="str">
            <v xml:space="preserve">CR   </v>
          </cell>
          <cell r="L8630">
            <v>38624</v>
          </cell>
          <cell r="M8630">
            <v>2.915</v>
          </cell>
          <cell r="P8630">
            <v>2.948</v>
          </cell>
        </row>
        <row r="8631">
          <cell r="A8631" t="str">
            <v>ZKL-040-51114</v>
          </cell>
          <cell r="G8631" t="str">
            <v xml:space="preserve">INAC </v>
          </cell>
          <cell r="L8631">
            <v>40442</v>
          </cell>
          <cell r="M8631">
            <v>3.97</v>
          </cell>
          <cell r="P8631">
            <v>5.214105793450881</v>
          </cell>
        </row>
        <row r="8632">
          <cell r="A8632" t="str">
            <v>ZKL-040-51315</v>
          </cell>
          <cell r="G8632" t="str">
            <v xml:space="preserve">INAC </v>
          </cell>
          <cell r="L8632">
            <v>40228</v>
          </cell>
          <cell r="M8632">
            <v>3.88</v>
          </cell>
          <cell r="P8632">
            <v>46.041237113402062</v>
          </cell>
        </row>
        <row r="8633">
          <cell r="A8633" t="str">
            <v>ZKL-040-5211-2RS</v>
          </cell>
          <cell r="G8633" t="str">
            <v xml:space="preserve">INAC </v>
          </cell>
          <cell r="L8633">
            <v>40652</v>
          </cell>
          <cell r="M8633">
            <v>4.09</v>
          </cell>
          <cell r="P8633">
            <v>31.78484107579462</v>
          </cell>
        </row>
        <row r="8634">
          <cell r="A8634" t="str">
            <v>ZKL-040-6207-2Z</v>
          </cell>
          <cell r="G8634" t="str">
            <v xml:space="preserve">INSI </v>
          </cell>
          <cell r="L8634">
            <v>37626</v>
          </cell>
          <cell r="M8634">
            <v>3.34</v>
          </cell>
          <cell r="P8634">
            <v>0.01</v>
          </cell>
        </row>
        <row r="8635">
          <cell r="A8635" t="str">
            <v>ZKL-040-6208-N</v>
          </cell>
          <cell r="G8635" t="str">
            <v xml:space="preserve">CR   </v>
          </cell>
          <cell r="L8635">
            <v>38811</v>
          </cell>
          <cell r="M8635">
            <v>3.085</v>
          </cell>
          <cell r="P8635">
            <v>1.21</v>
          </cell>
        </row>
        <row r="8636">
          <cell r="A8636" t="str">
            <v>ZKL-040-6209-1Z</v>
          </cell>
          <cell r="G8636" t="str">
            <v xml:space="preserve">CR   </v>
          </cell>
          <cell r="L8636">
            <v>38624</v>
          </cell>
          <cell r="M8636">
            <v>2.915</v>
          </cell>
          <cell r="P8636">
            <v>1.65</v>
          </cell>
        </row>
        <row r="8637">
          <cell r="A8637" t="str">
            <v>ZKL-040-6209-2RS</v>
          </cell>
          <cell r="G8637" t="str">
            <v xml:space="preserve">INAC </v>
          </cell>
          <cell r="L8637">
            <v>42926</v>
          </cell>
          <cell r="M8637">
            <v>17.28</v>
          </cell>
          <cell r="P8637">
            <v>4.0509259259259256</v>
          </cell>
        </row>
        <row r="8638">
          <cell r="A8638" t="str">
            <v>ZKL-040-6209-N</v>
          </cell>
          <cell r="G8638" t="str">
            <v xml:space="preserve">CR   </v>
          </cell>
          <cell r="L8638">
            <v>38624</v>
          </cell>
          <cell r="M8638">
            <v>2.915</v>
          </cell>
          <cell r="P8638">
            <v>2.8820000000000001</v>
          </cell>
        </row>
        <row r="8639">
          <cell r="A8639" t="str">
            <v>ZKL-040-6212</v>
          </cell>
          <cell r="G8639" t="str">
            <v xml:space="preserve">CR   </v>
          </cell>
          <cell r="L8639">
            <v>38811</v>
          </cell>
          <cell r="M8639">
            <v>3.085</v>
          </cell>
          <cell r="P8639">
            <v>3.3189000000000002</v>
          </cell>
        </row>
        <row r="8640">
          <cell r="A8640" t="str">
            <v>ZKL-040-6307</v>
          </cell>
          <cell r="G8640" t="str">
            <v xml:space="preserve">CR   </v>
          </cell>
          <cell r="L8640">
            <v>38624</v>
          </cell>
          <cell r="M8640">
            <v>2.915</v>
          </cell>
          <cell r="P8640">
            <v>2.5960000000000001</v>
          </cell>
        </row>
        <row r="8641">
          <cell r="A8641" t="str">
            <v>ZKL-040-6307-N</v>
          </cell>
          <cell r="G8641" t="str">
            <v xml:space="preserve">CR   </v>
          </cell>
          <cell r="L8641">
            <v>38811</v>
          </cell>
          <cell r="M8641">
            <v>3.085</v>
          </cell>
          <cell r="P8641">
            <v>1.272</v>
          </cell>
        </row>
        <row r="8642">
          <cell r="A8642" t="str">
            <v>ZKL-040-6308-2RS</v>
          </cell>
          <cell r="G8642" t="str">
            <v xml:space="preserve">INAC </v>
          </cell>
          <cell r="L8642">
            <v>40277</v>
          </cell>
          <cell r="M8642">
            <v>3.89</v>
          </cell>
          <cell r="P8642">
            <v>8.3269922879177383</v>
          </cell>
        </row>
        <row r="8643">
          <cell r="A8643" t="str">
            <v>ZKL-040-7207</v>
          </cell>
          <cell r="G8643" t="str">
            <v xml:space="preserve">CR   </v>
          </cell>
          <cell r="L8643">
            <v>38811</v>
          </cell>
          <cell r="M8643">
            <v>3.085</v>
          </cell>
          <cell r="P8643">
            <v>4.7093999999999996</v>
          </cell>
        </row>
        <row r="8644">
          <cell r="A8644" t="str">
            <v>ZKL-041-6018-2RS</v>
          </cell>
          <cell r="G8644" t="str">
            <v xml:space="preserve">INAC </v>
          </cell>
          <cell r="L8644">
            <v>39846</v>
          </cell>
          <cell r="M8644">
            <v>3.488</v>
          </cell>
          <cell r="P8644">
            <v>21.50229357798165</v>
          </cell>
        </row>
        <row r="8645">
          <cell r="A8645" t="str">
            <v>ZKL-041-6020-2RS</v>
          </cell>
          <cell r="G8645" t="str">
            <v xml:space="preserve">INAC </v>
          </cell>
          <cell r="L8645">
            <v>40518</v>
          </cell>
          <cell r="M8645">
            <v>4</v>
          </cell>
          <cell r="P8645">
            <v>24.856249999999999</v>
          </cell>
        </row>
        <row r="8646">
          <cell r="A8646" t="str">
            <v>ZKL-041-6209</v>
          </cell>
          <cell r="G8646" t="str">
            <v xml:space="preserve">CR   </v>
          </cell>
          <cell r="L8646">
            <v>38811</v>
          </cell>
          <cell r="M8646">
            <v>3.085</v>
          </cell>
          <cell r="P8646">
            <v>1.504</v>
          </cell>
        </row>
        <row r="8647">
          <cell r="A8647" t="str">
            <v>ZKL-041-6307-C3</v>
          </cell>
          <cell r="G8647" t="str">
            <v xml:space="preserve">INAC </v>
          </cell>
          <cell r="L8647">
            <v>40493</v>
          </cell>
          <cell r="M8647">
            <v>3.98</v>
          </cell>
          <cell r="P8647">
            <v>5.2261306532663321</v>
          </cell>
        </row>
        <row r="8648">
          <cell r="A8648" t="str">
            <v>ZKL-041-6311-2RS</v>
          </cell>
          <cell r="G8648" t="str">
            <v xml:space="preserve">CR   </v>
          </cell>
          <cell r="L8648">
            <v>38811</v>
          </cell>
          <cell r="M8648">
            <v>3.085</v>
          </cell>
          <cell r="P8648">
            <v>3.6240000000000001</v>
          </cell>
        </row>
        <row r="8649">
          <cell r="A8649" t="str">
            <v>ZKL-041-6900-2RS</v>
          </cell>
          <cell r="G8649" t="str">
            <v xml:space="preserve">INAC </v>
          </cell>
          <cell r="L8649">
            <v>40039</v>
          </cell>
          <cell r="M8649">
            <v>3.85</v>
          </cell>
          <cell r="P8649">
            <v>4.5194805194805188</v>
          </cell>
        </row>
        <row r="8650">
          <cell r="A8650" t="str">
            <v>ZKL-041-6909-2RS</v>
          </cell>
          <cell r="G8650" t="str">
            <v xml:space="preserve">INAC </v>
          </cell>
          <cell r="L8650">
            <v>43683</v>
          </cell>
          <cell r="M8650">
            <v>46.4</v>
          </cell>
          <cell r="P8650">
            <v>3.6422413793103448</v>
          </cell>
        </row>
        <row r="8651">
          <cell r="A8651" t="str">
            <v>ZKL-042-629-2RS</v>
          </cell>
          <cell r="G8651" t="str">
            <v xml:space="preserve">INAC </v>
          </cell>
          <cell r="L8651">
            <v>37791</v>
          </cell>
          <cell r="M8651">
            <v>2.95</v>
          </cell>
          <cell r="P8651">
            <v>2.0338983050847457</v>
          </cell>
        </row>
        <row r="8652">
          <cell r="A8652" t="str">
            <v>ZKL-050-30204</v>
          </cell>
          <cell r="G8652" t="str">
            <v xml:space="preserve">INAC </v>
          </cell>
          <cell r="L8652">
            <v>38041</v>
          </cell>
          <cell r="M8652">
            <v>2.923</v>
          </cell>
          <cell r="P8652">
            <v>1.8132056106739649</v>
          </cell>
        </row>
        <row r="8653">
          <cell r="A8653" t="str">
            <v>ZKL-050-30207</v>
          </cell>
          <cell r="G8653" t="str">
            <v xml:space="preserve">INAC </v>
          </cell>
          <cell r="L8653">
            <v>39521</v>
          </cell>
          <cell r="M8653">
            <v>3.1480000000000001</v>
          </cell>
          <cell r="P8653">
            <v>4.8030495552731889</v>
          </cell>
        </row>
        <row r="8654">
          <cell r="A8654" t="str">
            <v>ZKL-050-30208</v>
          </cell>
          <cell r="G8654" t="str">
            <v xml:space="preserve">CR   </v>
          </cell>
          <cell r="L8654">
            <v>38811</v>
          </cell>
          <cell r="M8654">
            <v>3.085</v>
          </cell>
          <cell r="P8654">
            <v>1.6503000000000001</v>
          </cell>
        </row>
        <row r="8655">
          <cell r="A8655" t="str">
            <v>ZKL-050-30209</v>
          </cell>
          <cell r="G8655" t="str">
            <v>INDEV</v>
          </cell>
          <cell r="L8655">
            <v>41288</v>
          </cell>
          <cell r="M8655">
            <v>4.95</v>
          </cell>
          <cell r="P8655">
            <v>1.4444444444444444</v>
          </cell>
        </row>
        <row r="8656">
          <cell r="A8656" t="str">
            <v>ZKL-050-32007</v>
          </cell>
          <cell r="G8656" t="str">
            <v xml:space="preserve">INAC </v>
          </cell>
          <cell r="L8656">
            <v>40696</v>
          </cell>
          <cell r="M8656">
            <v>4.12</v>
          </cell>
          <cell r="P8656">
            <v>6.7752427184466022</v>
          </cell>
        </row>
        <row r="8657">
          <cell r="A8657" t="str">
            <v>ZKL-050-32012</v>
          </cell>
          <cell r="G8657" t="str">
            <v xml:space="preserve">INAC </v>
          </cell>
          <cell r="L8657">
            <v>41415</v>
          </cell>
          <cell r="M8657">
            <v>5.24</v>
          </cell>
          <cell r="P8657">
            <v>22.29007633587786</v>
          </cell>
        </row>
        <row r="8658">
          <cell r="A8658" t="str">
            <v>ZKL-050-32013</v>
          </cell>
          <cell r="G8658" t="str">
            <v xml:space="preserve">INAC </v>
          </cell>
          <cell r="L8658">
            <v>42979</v>
          </cell>
          <cell r="M8658">
            <v>17.66</v>
          </cell>
          <cell r="P8658">
            <v>13.533408833522083</v>
          </cell>
        </row>
        <row r="8659">
          <cell r="A8659" t="str">
            <v>ZKL-050-903249-210</v>
          </cell>
          <cell r="G8659" t="str">
            <v>INDEV</v>
          </cell>
          <cell r="L8659">
            <v>39363</v>
          </cell>
          <cell r="M8659">
            <v>3.1560000000000001</v>
          </cell>
          <cell r="P8659">
            <v>5.8915082382762982</v>
          </cell>
        </row>
        <row r="8660">
          <cell r="A8660" t="str">
            <v>ZNL-041-6207</v>
          </cell>
          <cell r="G8660" t="str">
            <v xml:space="preserve">INAC </v>
          </cell>
          <cell r="L8660">
            <v>40254</v>
          </cell>
          <cell r="M8660">
            <v>3.88</v>
          </cell>
          <cell r="P8660">
            <v>3.0154639175257731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-OEE"/>
      <sheetName val="INFO-Personal"/>
      <sheetName val="INFO-Direc"/>
      <sheetName val="INFO-Mant"/>
      <sheetName val="INFO-Pos"/>
      <sheetName val="RECOLECCIÓN"/>
      <sheetName val="TRANSPORTE"/>
      <sheetName val="CARGA-DESCARGA"/>
      <sheetName val="CARGA DE PALLETS"/>
    </sheetNames>
    <sheetDataSet>
      <sheetData sheetId="0">
        <row r="6">
          <cell r="C6" t="str">
            <v>INFO-OEE</v>
          </cell>
          <cell r="D6" t="str">
            <v xml:space="preserve"> - </v>
          </cell>
        </row>
        <row r="7">
          <cell r="C7" t="str">
            <v>INFO-Personal</v>
          </cell>
          <cell r="D7" t="str">
            <v xml:space="preserve"> - </v>
          </cell>
        </row>
        <row r="8">
          <cell r="C8" t="str">
            <v>INFO-Direc</v>
          </cell>
          <cell r="D8" t="str">
            <v xml:space="preserve"> - </v>
          </cell>
        </row>
        <row r="9">
          <cell r="C9" t="str">
            <v>INFO-Mant</v>
          </cell>
          <cell r="D9" t="str">
            <v xml:space="preserve"> - </v>
          </cell>
        </row>
        <row r="10">
          <cell r="C10" t="str">
            <v>INFO-Pos</v>
          </cell>
          <cell r="D10" t="str">
            <v xml:space="preserve"> - </v>
          </cell>
        </row>
        <row r="11">
          <cell r="C11" t="str">
            <v>RECOLECCIÓN</v>
          </cell>
          <cell r="D11">
            <v>1.2304574074669219</v>
          </cell>
        </row>
        <row r="12">
          <cell r="C12" t="str">
            <v>TRANSPORTE</v>
          </cell>
          <cell r="D12">
            <v>2.1653851948626155E-2</v>
          </cell>
        </row>
        <row r="13">
          <cell r="C13" t="str">
            <v>CARGA-DESCARGA</v>
          </cell>
          <cell r="D13">
            <v>2.1653851948626155E-2</v>
          </cell>
        </row>
        <row r="14">
          <cell r="C14" t="str">
            <v>CARGA DE PALLETS</v>
          </cell>
          <cell r="D14">
            <v>1.2304574074669219</v>
          </cell>
        </row>
        <row r="15">
          <cell r="C15"/>
          <cell r="D15"/>
        </row>
        <row r="16">
          <cell r="C16"/>
          <cell r="D16"/>
        </row>
        <row r="17">
          <cell r="C17"/>
          <cell r="D17"/>
        </row>
        <row r="18">
          <cell r="C18"/>
          <cell r="D18"/>
        </row>
        <row r="19">
          <cell r="C19"/>
          <cell r="D19"/>
        </row>
        <row r="20">
          <cell r="C20"/>
          <cell r="D20"/>
        </row>
        <row r="21">
          <cell r="C21"/>
          <cell r="D21"/>
        </row>
        <row r="22">
          <cell r="C22"/>
          <cell r="D22"/>
        </row>
        <row r="23">
          <cell r="C23"/>
          <cell r="D23"/>
        </row>
        <row r="24">
          <cell r="C24"/>
          <cell r="D24"/>
        </row>
        <row r="25">
          <cell r="C25"/>
          <cell r="D25"/>
        </row>
        <row r="26">
          <cell r="C26"/>
          <cell r="D26"/>
        </row>
        <row r="27">
          <cell r="C27"/>
          <cell r="D27"/>
        </row>
        <row r="28">
          <cell r="C28"/>
          <cell r="D28"/>
        </row>
        <row r="29">
          <cell r="C29"/>
          <cell r="D29"/>
        </row>
        <row r="30">
          <cell r="C30"/>
          <cell r="D30"/>
        </row>
        <row r="31">
          <cell r="C31"/>
          <cell r="D31"/>
        </row>
        <row r="32">
          <cell r="C32"/>
          <cell r="D32"/>
        </row>
        <row r="33">
          <cell r="C33"/>
          <cell r="D33"/>
        </row>
        <row r="34">
          <cell r="C34"/>
          <cell r="D34"/>
        </row>
        <row r="35">
          <cell r="C35"/>
          <cell r="D35"/>
        </row>
        <row r="36">
          <cell r="C36"/>
          <cell r="D36"/>
        </row>
        <row r="37">
          <cell r="C37"/>
          <cell r="D37"/>
        </row>
        <row r="38">
          <cell r="C38"/>
          <cell r="D38"/>
        </row>
        <row r="39">
          <cell r="C39"/>
          <cell r="D39"/>
        </row>
        <row r="40">
          <cell r="C40"/>
          <cell r="D40"/>
        </row>
        <row r="41">
          <cell r="C41"/>
          <cell r="D41"/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</sheetData>
      <sheetData sheetId="1"/>
      <sheetData sheetId="2">
        <row r="9">
          <cell r="E9" t="str">
            <v>RECOLECCIÓN</v>
          </cell>
          <cell r="F9" t="str">
            <v>TRANSPORTE</v>
          </cell>
          <cell r="G9" t="str">
            <v>CARGA-DESCARGA</v>
          </cell>
          <cell r="H9" t="str">
            <v>CARGA DE PALLETS</v>
          </cell>
          <cell r="I9"/>
          <cell r="J9"/>
          <cell r="K9"/>
          <cell r="L9"/>
          <cell r="M9"/>
          <cell r="N9"/>
          <cell r="O9"/>
          <cell r="P9"/>
          <cell r="Q9"/>
          <cell r="R9"/>
          <cell r="S9"/>
          <cell r="T9"/>
          <cell r="U9"/>
          <cell r="V9"/>
          <cell r="W9"/>
          <cell r="X9"/>
          <cell r="Y9"/>
          <cell r="Z9"/>
          <cell r="AD9" t="str">
            <v>Listado Crudo</v>
          </cell>
          <cell r="AE9" t="str">
            <v>Listado Pulido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es"/>
      <sheetName val="$ Por Canal"/>
      <sheetName val="Precio unit Prom"/>
      <sheetName val="Cant. Por Grupo"/>
      <sheetName val="$ Por Grupo"/>
      <sheetName val="% Por Grupo"/>
      <sheetName val="IMP"/>
      <sheetName val="NAC"/>
      <sheetName val="ABC"/>
      <sheetName val="Empresa-Costos"/>
      <sheetName val="Productos-Costos"/>
      <sheetName val="CC"/>
      <sheetName val="FACTOR"/>
      <sheetName val="AuxDat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6">
          <cell r="A6" t="str">
            <v>BP-12011-01</v>
          </cell>
          <cell r="AS6">
            <v>4.0917488315500217</v>
          </cell>
          <cell r="AU6">
            <v>1.9771026956020086</v>
          </cell>
        </row>
        <row r="7">
          <cell r="A7" t="str">
            <v>CA627-M40A-9</v>
          </cell>
          <cell r="AS7">
            <v>5.6798786956800722</v>
          </cell>
          <cell r="AU7">
            <v>2.7444752701664474</v>
          </cell>
        </row>
        <row r="8">
          <cell r="A8" t="str">
            <v>BP-17010</v>
          </cell>
          <cell r="AS8">
            <v>2.5095366076244714</v>
          </cell>
          <cell r="AU8">
            <v>1.2125894809058262</v>
          </cell>
        </row>
        <row r="9">
          <cell r="A9" t="str">
            <v>MS04-2RST</v>
          </cell>
          <cell r="AS9">
            <v>0.38702620687144773</v>
          </cell>
          <cell r="AU9">
            <v>0.18700819340963634</v>
          </cell>
        </row>
        <row r="10">
          <cell r="A10" t="str">
            <v>LS06-2RST</v>
          </cell>
          <cell r="AS10">
            <v>0.33155204553943696</v>
          </cell>
          <cell r="AU10">
            <v>0.16020348998793796</v>
          </cell>
        </row>
        <row r="11">
          <cell r="A11" t="str">
            <v>DS4575C25CHS</v>
          </cell>
          <cell r="AS11">
            <v>3.1975773669854188</v>
          </cell>
          <cell r="AU11">
            <v>1.5450456740933411</v>
          </cell>
        </row>
        <row r="12">
          <cell r="A12" t="str">
            <v>5203-KYY2</v>
          </cell>
          <cell r="AS12">
            <v>1.3319272494711452</v>
          </cell>
          <cell r="AU12">
            <v>0.64357737087142053</v>
          </cell>
        </row>
        <row r="13">
          <cell r="A13" t="str">
            <v>MS05-2RST</v>
          </cell>
          <cell r="AS13">
            <v>0.44529123340511273</v>
          </cell>
          <cell r="AU13">
            <v>0.21516142220285958</v>
          </cell>
        </row>
        <row r="14">
          <cell r="A14" t="str">
            <v>MS03-2RST</v>
          </cell>
          <cell r="AS14">
            <v>0.26026627964636984</v>
          </cell>
          <cell r="AU14">
            <v>0.12575873648339633</v>
          </cell>
        </row>
        <row r="15">
          <cell r="A15" t="str">
            <v>CA555R-QX48P</v>
          </cell>
          <cell r="AS15">
            <v>4.704193332042311</v>
          </cell>
          <cell r="AU15">
            <v>2.2730313370409396</v>
          </cell>
        </row>
        <row r="16">
          <cell r="A16" t="str">
            <v>MG-206-RR3</v>
          </cell>
          <cell r="AS16">
            <v>3.6904132899268673</v>
          </cell>
          <cell r="AU16">
            <v>1.7831803377422653</v>
          </cell>
        </row>
        <row r="17">
          <cell r="A17" t="str">
            <v>CA555R-QX48M</v>
          </cell>
          <cell r="AS17">
            <v>3.3562325419300012</v>
          </cell>
          <cell r="AU17">
            <v>1.6217066782183955</v>
          </cell>
        </row>
        <row r="18">
          <cell r="A18" t="str">
            <v>ASA80-1H-REE</v>
          </cell>
          <cell r="AS18">
            <v>3.1276957751994194</v>
          </cell>
          <cell r="AU18">
            <v>1.5112794071055602</v>
          </cell>
        </row>
        <row r="19">
          <cell r="A19" t="str">
            <v>MS04-2RS</v>
          </cell>
          <cell r="AS19">
            <v>0.23586504725766255</v>
          </cell>
          <cell r="AU19">
            <v>0.11396824192524216</v>
          </cell>
        </row>
        <row r="20">
          <cell r="A20" t="str">
            <v>AG25H1-CH</v>
          </cell>
          <cell r="AS20">
            <v>4.100287218436141</v>
          </cell>
          <cell r="AU20">
            <v>1.9812283808343167</v>
          </cell>
        </row>
        <row r="21">
          <cell r="A21" t="str">
            <v>DS2565C25CHS</v>
          </cell>
          <cell r="AS21">
            <v>3.4923109629366018</v>
          </cell>
          <cell r="AU21">
            <v>1.6874587622444079</v>
          </cell>
        </row>
        <row r="22">
          <cell r="A22" t="str">
            <v>CA555R-C5E-M</v>
          </cell>
          <cell r="AS22">
            <v>5.8937905381163391</v>
          </cell>
          <cell r="AU22">
            <v>2.8478358863022439</v>
          </cell>
        </row>
        <row r="23">
          <cell r="A23" t="str">
            <v>MS06-2RST</v>
          </cell>
          <cell r="AS23">
            <v>0.52740432775990187</v>
          </cell>
          <cell r="AU23">
            <v>0.2548378605368265</v>
          </cell>
        </row>
        <row r="24">
          <cell r="A24" t="str">
            <v>DAC-35720034</v>
          </cell>
          <cell r="AS24">
            <v>1.8929833374776013</v>
          </cell>
          <cell r="AU24">
            <v>0.91467551243581235</v>
          </cell>
        </row>
        <row r="25">
          <cell r="A25" t="str">
            <v>SP205-AL</v>
          </cell>
          <cell r="AS25">
            <v>6.1672060708370564</v>
          </cell>
          <cell r="AU25">
            <v>2.9799482443711076</v>
          </cell>
        </row>
        <row r="26">
          <cell r="A26" t="str">
            <v>BP-12011-BI2</v>
          </cell>
          <cell r="AS26">
            <v>1.3393175948250149</v>
          </cell>
          <cell r="AU26">
            <v>0.64714833094792912</v>
          </cell>
        </row>
        <row r="27">
          <cell r="A27" t="str">
            <v>BP-12011-BD2</v>
          </cell>
          <cell r="AS27">
            <v>1.3393175948250149</v>
          </cell>
          <cell r="AU27">
            <v>0.64714833094792912</v>
          </cell>
        </row>
        <row r="28">
          <cell r="A28" t="str">
            <v>BP-18013</v>
          </cell>
          <cell r="AS28">
            <v>3.8765693483599204</v>
          </cell>
          <cell r="AU28">
            <v>1.8731295648533561</v>
          </cell>
        </row>
        <row r="29">
          <cell r="A29" t="str">
            <v>5209-KRRB2</v>
          </cell>
          <cell r="AS29">
            <v>2.3523026706494115</v>
          </cell>
          <cell r="AU29">
            <v>1.1366152084293446</v>
          </cell>
        </row>
        <row r="30">
          <cell r="A30" t="str">
            <v>MS03-2RS</v>
          </cell>
          <cell r="AS30">
            <v>0.16438701345981341</v>
          </cell>
          <cell r="AU30">
            <v>7.9430585994752195E-2</v>
          </cell>
        </row>
        <row r="31">
          <cell r="A31" t="str">
            <v>SAB-207-35DG</v>
          </cell>
          <cell r="AS31">
            <v>1.4949387028191947</v>
          </cell>
          <cell r="AU31">
            <v>0.72234329641977368</v>
          </cell>
        </row>
        <row r="32">
          <cell r="A32" t="str">
            <v>SAB-209-45DG</v>
          </cell>
          <cell r="AS32">
            <v>2.1657444014845875</v>
          </cell>
          <cell r="AU32">
            <v>1.0464716360750039</v>
          </cell>
        </row>
        <row r="33">
          <cell r="A33" t="str">
            <v>CA550K-19SE4</v>
          </cell>
          <cell r="AS33">
            <v>10.365191330661599</v>
          </cell>
          <cell r="AU33">
            <v>5.0083835943856103</v>
          </cell>
        </row>
        <row r="34">
          <cell r="A34" t="str">
            <v>SFC-85-M</v>
          </cell>
          <cell r="AS34">
            <v>2.8387050021068925</v>
          </cell>
          <cell r="AU34">
            <v>1.3716412083774872</v>
          </cell>
        </row>
        <row r="35">
          <cell r="A35" t="str">
            <v>5206-2RST</v>
          </cell>
          <cell r="AS35">
            <v>1.8170655129056743</v>
          </cell>
          <cell r="AU35">
            <v>0.87799258252377821</v>
          </cell>
        </row>
        <row r="36">
          <cell r="A36" t="str">
            <v>204-RP7</v>
          </cell>
          <cell r="AS36">
            <v>0.63444921675017063</v>
          </cell>
          <cell r="AU36">
            <v>0.30656115717253568</v>
          </cell>
        </row>
        <row r="37">
          <cell r="A37" t="str">
            <v>CA555-C6E-46</v>
          </cell>
          <cell r="AS37">
            <v>4.7807091365496799</v>
          </cell>
          <cell r="AU37">
            <v>2.3100032064238336</v>
          </cell>
        </row>
        <row r="38">
          <cell r="A38" t="str">
            <v>SAB-208-40DG</v>
          </cell>
          <cell r="AS38">
            <v>1.7276423781248109</v>
          </cell>
          <cell r="AU38">
            <v>0.8347839868589626</v>
          </cell>
        </row>
        <row r="39">
          <cell r="A39" t="str">
            <v>AG-1235-B</v>
          </cell>
          <cell r="AS39">
            <v>2.0792526898083161</v>
          </cell>
          <cell r="AU39">
            <v>1.0046794823181935</v>
          </cell>
        </row>
        <row r="40">
          <cell r="A40" t="str">
            <v>ECL-207-35DG</v>
          </cell>
          <cell r="AS40">
            <v>2.0003037071756404</v>
          </cell>
          <cell r="AU40">
            <v>0.96653191930686133</v>
          </cell>
        </row>
        <row r="41">
          <cell r="A41" t="str">
            <v>MS05-2RS</v>
          </cell>
          <cell r="AS41">
            <v>0.27523577511649033</v>
          </cell>
          <cell r="AU41">
            <v>0.13299188569763237</v>
          </cell>
        </row>
        <row r="42">
          <cell r="A42" t="str">
            <v>SAB-206-30DG</v>
          </cell>
          <cell r="AS42">
            <v>1.2445987881651785</v>
          </cell>
          <cell r="AU42">
            <v>0.60138090589793458</v>
          </cell>
        </row>
        <row r="43">
          <cell r="A43" t="str">
            <v>NTB1613-2RST</v>
          </cell>
          <cell r="AS43">
            <v>0.89791768372131053</v>
          </cell>
          <cell r="AU43">
            <v>0.43386716682744469</v>
          </cell>
        </row>
        <row r="44">
          <cell r="A44" t="str">
            <v>MS09-2RS</v>
          </cell>
          <cell r="AS44">
            <v>1.1193048573093838</v>
          </cell>
          <cell r="AU44">
            <v>0.54083980754715355</v>
          </cell>
        </row>
        <row r="45">
          <cell r="A45" t="str">
            <v>CA555-C6E-52</v>
          </cell>
          <cell r="AS45">
            <v>5.3192809563728902</v>
          </cell>
          <cell r="AU45">
            <v>2.5702371163201012</v>
          </cell>
        </row>
        <row r="46">
          <cell r="A46" t="str">
            <v>BB203-KRR2FD</v>
          </cell>
          <cell r="AS46">
            <v>0.65355722482680401</v>
          </cell>
          <cell r="AU46">
            <v>0.3157940049916883</v>
          </cell>
        </row>
        <row r="47">
          <cell r="A47" t="str">
            <v>SER-51</v>
          </cell>
          <cell r="AS47">
            <v>19.997209405038923</v>
          </cell>
          <cell r="AU47">
            <v>9.6625033077221403</v>
          </cell>
        </row>
        <row r="48">
          <cell r="A48" t="str">
            <v>5203-KYY5</v>
          </cell>
          <cell r="AS48">
            <v>1.5617150704885636</v>
          </cell>
          <cell r="AU48">
            <v>0.75460914213924501</v>
          </cell>
        </row>
        <row r="49">
          <cell r="A49" t="str">
            <v>BP-18019-D</v>
          </cell>
          <cell r="AS49">
            <v>4.3365806806274954</v>
          </cell>
          <cell r="AU49">
            <v>2.0954036296788758</v>
          </cell>
        </row>
        <row r="50">
          <cell r="A50" t="str">
            <v>BP-18019-I</v>
          </cell>
          <cell r="AS50">
            <v>4.3365806806274954</v>
          </cell>
          <cell r="AU50">
            <v>2.0954036296788758</v>
          </cell>
        </row>
        <row r="51">
          <cell r="A51" t="str">
            <v>CA627-M40A</v>
          </cell>
          <cell r="AS51">
            <v>8.7095132010127276</v>
          </cell>
          <cell r="AU51">
            <v>4.2083721987843701</v>
          </cell>
        </row>
        <row r="52">
          <cell r="A52" t="str">
            <v>ASA60-1H-REE</v>
          </cell>
          <cell r="AS52">
            <v>1.8386001275672013</v>
          </cell>
          <cell r="AU52">
            <v>0.88839794865176869</v>
          </cell>
        </row>
        <row r="53">
          <cell r="A53" t="str">
            <v>625-2Z-C3P62</v>
          </cell>
          <cell r="AS53">
            <v>0.11960279535196032</v>
          </cell>
          <cell r="AU53">
            <v>5.7791183874382285E-2</v>
          </cell>
        </row>
        <row r="54">
          <cell r="A54" t="str">
            <v>205-KRR2</v>
          </cell>
          <cell r="AS54">
            <v>0.8847822310447504</v>
          </cell>
          <cell r="AU54">
            <v>0.42752021349186031</v>
          </cell>
        </row>
        <row r="55">
          <cell r="A55" t="str">
            <v>SAB-205-25DG</v>
          </cell>
          <cell r="AS55">
            <v>0.86987687506330791</v>
          </cell>
          <cell r="AU55">
            <v>0.42031805600296723</v>
          </cell>
        </row>
        <row r="56">
          <cell r="A56" t="str">
            <v>ECL207-35DD</v>
          </cell>
          <cell r="AS56">
            <v>2.2419929955263034</v>
          </cell>
          <cell r="AU56">
            <v>1.0833143913422263</v>
          </cell>
        </row>
        <row r="57">
          <cell r="A57" t="str">
            <v>BP-13014</v>
          </cell>
          <cell r="AS57">
            <v>4.4039558546008841</v>
          </cell>
          <cell r="AU57">
            <v>2.1279588141643764</v>
          </cell>
        </row>
        <row r="58">
          <cell r="A58" t="str">
            <v>W-208-YYB22</v>
          </cell>
          <cell r="AS58">
            <v>2.1665804303619729</v>
          </cell>
          <cell r="AU58">
            <v>1.0468755990295076</v>
          </cell>
        </row>
        <row r="59">
          <cell r="A59" t="str">
            <v>BA-3616-ZOH</v>
          </cell>
          <cell r="AS59">
            <v>0.83570071955891267</v>
          </cell>
          <cell r="AU59">
            <v>0.40380439107513816</v>
          </cell>
        </row>
        <row r="60">
          <cell r="A60" t="str">
            <v>205-KYYB5</v>
          </cell>
          <cell r="AS60">
            <v>0.76751115652911628</v>
          </cell>
          <cell r="AU60">
            <v>0.37085569983617406</v>
          </cell>
        </row>
        <row r="61">
          <cell r="A61" t="str">
            <v>ECL-206-30DG</v>
          </cell>
          <cell r="AS61">
            <v>1.4358504343178453</v>
          </cell>
          <cell r="AU61">
            <v>0.69379228321200104</v>
          </cell>
        </row>
        <row r="62">
          <cell r="A62" t="str">
            <v>203-KRR3-E2</v>
          </cell>
          <cell r="AS62">
            <v>0.97434335159640528</v>
          </cell>
          <cell r="AU62">
            <v>0.47079548285797523</v>
          </cell>
        </row>
        <row r="63">
          <cell r="A63" t="str">
            <v>CA627-M5A-24</v>
          </cell>
          <cell r="AS63">
            <v>3.5633758538148217</v>
          </cell>
          <cell r="AU63">
            <v>1.7217967905795357</v>
          </cell>
        </row>
        <row r="64">
          <cell r="A64" t="str">
            <v>ECL-209-45DG</v>
          </cell>
          <cell r="AS64">
            <v>2.7895818841202118</v>
          </cell>
          <cell r="AU64">
            <v>1.3479052820080646</v>
          </cell>
        </row>
        <row r="65">
          <cell r="A65" t="str">
            <v>ECL-210-50DG</v>
          </cell>
          <cell r="AS65">
            <v>3.4167837109360191</v>
          </cell>
          <cell r="AU65">
            <v>1.6509645541028006</v>
          </cell>
        </row>
        <row r="66">
          <cell r="A66" t="str">
            <v>J91-B</v>
          </cell>
          <cell r="AS66">
            <v>1.5933104891493037</v>
          </cell>
          <cell r="AU66">
            <v>0.76987581416005901</v>
          </cell>
        </row>
        <row r="67">
          <cell r="A67" t="str">
            <v>SAB-210-50DG</v>
          </cell>
          <cell r="AS67">
            <v>3.0726684088324965</v>
          </cell>
          <cell r="AU67">
            <v>1.4846905916980639</v>
          </cell>
        </row>
        <row r="68">
          <cell r="A68" t="str">
            <v>ASA-80-1H</v>
          </cell>
          <cell r="AS68">
            <v>1.113292486841029</v>
          </cell>
          <cell r="AU68">
            <v>0.53793467471781553</v>
          </cell>
        </row>
        <row r="69">
          <cell r="A69" t="str">
            <v>MG-5306-KRR3</v>
          </cell>
          <cell r="AS69">
            <v>7.5658721033815244</v>
          </cell>
          <cell r="AU69">
            <v>3.6557733003638742</v>
          </cell>
        </row>
        <row r="70">
          <cell r="A70" t="str">
            <v>BP-18018-BI</v>
          </cell>
          <cell r="AS70">
            <v>1.887746440002557</v>
          </cell>
          <cell r="AU70">
            <v>0.91214508240680703</v>
          </cell>
        </row>
        <row r="71">
          <cell r="A71" t="str">
            <v>W-208-PP21-N</v>
          </cell>
          <cell r="AS71">
            <v>2.4290708506539622</v>
          </cell>
          <cell r="AU71">
            <v>1.1737090237811441</v>
          </cell>
        </row>
        <row r="72">
          <cell r="A72" t="str">
            <v>BP-18018-BD</v>
          </cell>
          <cell r="AS72">
            <v>1.887746440002557</v>
          </cell>
          <cell r="AU72">
            <v>0.91214508240680703</v>
          </cell>
        </row>
        <row r="73">
          <cell r="A73" t="str">
            <v>MS06-2RS</v>
          </cell>
          <cell r="AS73">
            <v>0.42724758526175233</v>
          </cell>
          <cell r="AU73">
            <v>0.20644286521136943</v>
          </cell>
        </row>
        <row r="74">
          <cell r="A74" t="str">
            <v>ASA160-1H-RE</v>
          </cell>
          <cell r="AS74">
            <v>16.99376069078772</v>
          </cell>
          <cell r="AU74">
            <v>8.2112591591904298</v>
          </cell>
        </row>
        <row r="75">
          <cell r="A75" t="str">
            <v>MS01-2RS</v>
          </cell>
          <cell r="AS75">
            <v>0.10980425193841578</v>
          </cell>
          <cell r="AU75">
            <v>5.3056600351924596E-2</v>
          </cell>
        </row>
        <row r="76">
          <cell r="A76" t="str">
            <v>J91-C</v>
          </cell>
          <cell r="AS76">
            <v>1.7965422584498176</v>
          </cell>
          <cell r="AU76">
            <v>0.86807589814805874</v>
          </cell>
        </row>
        <row r="77">
          <cell r="A77" t="str">
            <v>ENG-04.039.1</v>
          </cell>
          <cell r="AS77">
            <v>3.903978853614547</v>
          </cell>
          <cell r="AU77">
            <v>1.8863736345543576</v>
          </cell>
        </row>
        <row r="78">
          <cell r="A78" t="str">
            <v>LS07-2RST</v>
          </cell>
          <cell r="AS78">
            <v>0.71669433617471878</v>
          </cell>
          <cell r="AU78">
            <v>0.3463013890412609</v>
          </cell>
        </row>
        <row r="79">
          <cell r="A79" t="str">
            <v>22215-CW33C3</v>
          </cell>
          <cell r="AS79">
            <v>10.152088871261499</v>
          </cell>
          <cell r="AU79">
            <v>4.9054140661314172</v>
          </cell>
        </row>
        <row r="80">
          <cell r="A80" t="str">
            <v>5204-KPP3</v>
          </cell>
          <cell r="AS80">
            <v>1.7315543187140499</v>
          </cell>
          <cell r="AU80">
            <v>0.83667420754513533</v>
          </cell>
        </row>
        <row r="81">
          <cell r="A81" t="str">
            <v>CA550K-19SE2</v>
          </cell>
          <cell r="AS81">
            <v>10.200337139953557</v>
          </cell>
          <cell r="AU81">
            <v>4.9287272718085742</v>
          </cell>
        </row>
        <row r="82">
          <cell r="A82" t="str">
            <v>LS03-2RST</v>
          </cell>
          <cell r="AS82">
            <v>0.23208458734657217</v>
          </cell>
          <cell r="AU82">
            <v>0.11214155172783806</v>
          </cell>
        </row>
        <row r="83">
          <cell r="A83" t="str">
            <v>59196-20</v>
          </cell>
          <cell r="AS83">
            <v>1.5219637259637306</v>
          </cell>
          <cell r="AU83">
            <v>0.73540158721606586</v>
          </cell>
        </row>
        <row r="84">
          <cell r="A84" t="str">
            <v>TS06-2RS</v>
          </cell>
          <cell r="AS84">
            <v>0.25097333547353706</v>
          </cell>
          <cell r="AU84">
            <v>0.1212684547650958</v>
          </cell>
        </row>
        <row r="85">
          <cell r="A85" t="str">
            <v>FDECL211-55</v>
          </cell>
          <cell r="AS85">
            <v>6.2238158955173368</v>
          </cell>
          <cell r="AU85">
            <v>3.0073016919018882</v>
          </cell>
        </row>
        <row r="86">
          <cell r="A86" t="str">
            <v>207-KRRB12</v>
          </cell>
          <cell r="AS86">
            <v>1.8638313492637719</v>
          </cell>
          <cell r="AU86">
            <v>0.90058948788921611</v>
          </cell>
        </row>
        <row r="87">
          <cell r="A87" t="str">
            <v>ENG458053CHS</v>
          </cell>
          <cell r="AS87">
            <v>1.9987296525865541</v>
          </cell>
          <cell r="AU87">
            <v>0.96577134780083163</v>
          </cell>
        </row>
        <row r="88">
          <cell r="A88" t="str">
            <v>PE209-M</v>
          </cell>
          <cell r="AS88">
            <v>1.8246202429184606</v>
          </cell>
          <cell r="AU88">
            <v>0.88164297204858355</v>
          </cell>
        </row>
        <row r="89">
          <cell r="A89" t="str">
            <v>ECL-208-40DG</v>
          </cell>
          <cell r="AS89">
            <v>2.565562946995144</v>
          </cell>
          <cell r="AU89">
            <v>1.2396609926614757</v>
          </cell>
        </row>
        <row r="90">
          <cell r="A90" t="str">
            <v>MS07-2RS</v>
          </cell>
          <cell r="AS90">
            <v>0.81446254724422962</v>
          </cell>
          <cell r="AU90">
            <v>0.39354226369105982</v>
          </cell>
        </row>
        <row r="91">
          <cell r="A91" t="str">
            <v>207-KYYB2</v>
          </cell>
          <cell r="AS91">
            <v>1.5324887396335547</v>
          </cell>
          <cell r="AU91">
            <v>0.74048719577967215</v>
          </cell>
        </row>
        <row r="92">
          <cell r="A92" t="str">
            <v>ASA-100-2</v>
          </cell>
          <cell r="AS92">
            <v>2.4976108328671662</v>
          </cell>
          <cell r="AU92">
            <v>1.2068270349712167</v>
          </cell>
        </row>
        <row r="93">
          <cell r="A93" t="str">
            <v>NK-5025</v>
          </cell>
          <cell r="AS93">
            <v>1.5754507280378029</v>
          </cell>
          <cell r="AU93">
            <v>0.76124611001886433</v>
          </cell>
        </row>
        <row r="94">
          <cell r="A94" t="str">
            <v>SAB5209-45RR</v>
          </cell>
          <cell r="AS94">
            <v>2.7617200027247564</v>
          </cell>
          <cell r="AU94">
            <v>1.3344426275101269</v>
          </cell>
        </row>
        <row r="95">
          <cell r="A95" t="str">
            <v>DTR-1742-FM</v>
          </cell>
          <cell r="AS95">
            <v>2.8852877216753989</v>
          </cell>
          <cell r="AU95">
            <v>1.3941496330679828</v>
          </cell>
        </row>
        <row r="96">
          <cell r="A96" t="str">
            <v>PF-7-Z</v>
          </cell>
          <cell r="AS96">
            <v>0.75176583099238448</v>
          </cell>
          <cell r="AU96">
            <v>0.36324767528643387</v>
          </cell>
        </row>
        <row r="97">
          <cell r="A97" t="str">
            <v>ASA50-1-REEL</v>
          </cell>
          <cell r="AS97">
            <v>1.1002113115866312</v>
          </cell>
          <cell r="AU97">
            <v>0.53161394783015969</v>
          </cell>
        </row>
        <row r="98">
          <cell r="A98" t="str">
            <v>ENG256553CHS</v>
          </cell>
          <cell r="AS98">
            <v>1.9390488324316788</v>
          </cell>
          <cell r="AU98">
            <v>0.93693401802777121</v>
          </cell>
        </row>
        <row r="99">
          <cell r="A99" t="str">
            <v>204-KYY7</v>
          </cell>
          <cell r="AS99">
            <v>0.98308210235242677</v>
          </cell>
          <cell r="AU99">
            <v>0.47501798242654708</v>
          </cell>
        </row>
        <row r="100">
          <cell r="A100" t="str">
            <v>MS07-D</v>
          </cell>
          <cell r="AS100">
            <v>0.56048859843394672</v>
          </cell>
          <cell r="AU100">
            <v>0.27082393481081896</v>
          </cell>
        </row>
        <row r="101">
          <cell r="A101" t="str">
            <v>ASA-60-1H</v>
          </cell>
          <cell r="AS101">
            <v>0.6013164389808453</v>
          </cell>
          <cell r="AU101">
            <v>0.29055164462977767</v>
          </cell>
        </row>
        <row r="102">
          <cell r="A102" t="str">
            <v>MS01-2RST</v>
          </cell>
          <cell r="AS102">
            <v>0.23682929066775846</v>
          </cell>
          <cell r="AU102">
            <v>0.11443415719125689</v>
          </cell>
        </row>
        <row r="103">
          <cell r="A103" t="str">
            <v>ACL205-16RG</v>
          </cell>
          <cell r="AS103">
            <v>1.0253191509126214</v>
          </cell>
          <cell r="AU103">
            <v>0.49542661110843034</v>
          </cell>
        </row>
        <row r="104">
          <cell r="A104" t="str">
            <v>FC-207</v>
          </cell>
          <cell r="AS104">
            <v>1.8867060429931177</v>
          </cell>
          <cell r="AU104">
            <v>0.91164237028625905</v>
          </cell>
        </row>
        <row r="105">
          <cell r="A105" t="str">
            <v>59196</v>
          </cell>
          <cell r="AS105">
            <v>1.4251530119997791</v>
          </cell>
          <cell r="AU105">
            <v>0.68862336806795255</v>
          </cell>
        </row>
        <row r="106">
          <cell r="A106" t="str">
            <v>5203-KYY9</v>
          </cell>
          <cell r="AS106">
            <v>1.6673828485952158</v>
          </cell>
          <cell r="AU106">
            <v>0.80566702900709464</v>
          </cell>
        </row>
        <row r="107">
          <cell r="A107" t="str">
            <v>CF5202-2RST-</v>
          </cell>
          <cell r="AS107">
            <v>0.78874353783914541</v>
          </cell>
          <cell r="AU107">
            <v>0.3811150290497432</v>
          </cell>
        </row>
        <row r="108">
          <cell r="A108" t="str">
            <v>NK-2830</v>
          </cell>
          <cell r="AS108">
            <v>1.003553266286598</v>
          </cell>
          <cell r="AU108">
            <v>0.48490949704843278</v>
          </cell>
        </row>
        <row r="109">
          <cell r="A109" t="str">
            <v>LS05-2RST</v>
          </cell>
          <cell r="AS109">
            <v>0.35031422364814108</v>
          </cell>
          <cell r="AU109">
            <v>0.16926923533087287</v>
          </cell>
        </row>
        <row r="110">
          <cell r="A110" t="str">
            <v>205-KRRB2</v>
          </cell>
          <cell r="AS110">
            <v>0.91076190797493417</v>
          </cell>
          <cell r="AU110">
            <v>0.44007340074848816</v>
          </cell>
        </row>
        <row r="111">
          <cell r="A111" t="str">
            <v>FT-205-KYYB5</v>
          </cell>
          <cell r="AS111" t="str">
            <v/>
          </cell>
          <cell r="AU111" t="str">
            <v/>
          </cell>
        </row>
        <row r="112">
          <cell r="A112" t="str">
            <v>MS04-2RSTX</v>
          </cell>
          <cell r="AS112">
            <v>0.29709843365971716</v>
          </cell>
          <cell r="AU112">
            <v>0.14355576019685617</v>
          </cell>
        </row>
        <row r="113">
          <cell r="A113" t="str">
            <v>ASA80-1-REEL</v>
          </cell>
          <cell r="AS113">
            <v>2.6488471482795291</v>
          </cell>
          <cell r="AU113">
            <v>1.2799033011802126</v>
          </cell>
        </row>
        <row r="114">
          <cell r="A114" t="str">
            <v>NK-3820</v>
          </cell>
          <cell r="AS114">
            <v>0.78854212273096436</v>
          </cell>
          <cell r="AU114">
            <v>0.38101770676293778</v>
          </cell>
        </row>
        <row r="115">
          <cell r="A115" t="str">
            <v>F-209-3</v>
          </cell>
          <cell r="AS115" t="str">
            <v/>
          </cell>
          <cell r="AU115" t="str">
            <v/>
          </cell>
        </row>
        <row r="116">
          <cell r="A116" t="str">
            <v>209-KYYB2</v>
          </cell>
          <cell r="AS116">
            <v>2.3691051698034076</v>
          </cell>
          <cell r="AU116">
            <v>1.1447340514321378</v>
          </cell>
        </row>
        <row r="117">
          <cell r="A117" t="str">
            <v>206-K14</v>
          </cell>
          <cell r="AS117">
            <v>1.8315050400963486</v>
          </cell>
          <cell r="AU117">
            <v>0.88496965499503388</v>
          </cell>
        </row>
        <row r="118">
          <cell r="A118" t="str">
            <v>ECL-205-25DG</v>
          </cell>
          <cell r="AS118">
            <v>1.1333006778664692</v>
          </cell>
          <cell r="AU118">
            <v>0.547602484263088</v>
          </cell>
        </row>
        <row r="119">
          <cell r="A119" t="str">
            <v>ACL206-30RR1</v>
          </cell>
          <cell r="AS119">
            <v>1.3848231590011753</v>
          </cell>
          <cell r="AU119">
            <v>0.6691362821398148</v>
          </cell>
        </row>
        <row r="120">
          <cell r="A120" t="str">
            <v>FB-209</v>
          </cell>
          <cell r="AS120">
            <v>1.6150360355221376</v>
          </cell>
          <cell r="AU120">
            <v>0.78037343707521845</v>
          </cell>
        </row>
        <row r="121">
          <cell r="A121" t="str">
            <v>ASA-80-1</v>
          </cell>
          <cell r="AS121">
            <v>0.99306666060661219</v>
          </cell>
          <cell r="AU121">
            <v>0.47984244694072581</v>
          </cell>
        </row>
        <row r="122">
          <cell r="A122" t="str">
            <v>DS3075C25CHS</v>
          </cell>
          <cell r="AS122">
            <v>6.3621209248093535</v>
          </cell>
          <cell r="AU122">
            <v>3.0741296565413934</v>
          </cell>
        </row>
        <row r="123">
          <cell r="A123" t="str">
            <v>MS02-2RS</v>
          </cell>
          <cell r="AS123">
            <v>0.16351716554890416</v>
          </cell>
          <cell r="AU123">
            <v>7.9010281934013701E-2</v>
          </cell>
        </row>
        <row r="124">
          <cell r="A124" t="str">
            <v>ASA60-1-REEL</v>
          </cell>
          <cell r="AS124">
            <v>1.4920664527700198</v>
          </cell>
          <cell r="AU124">
            <v>0.72095544649338517</v>
          </cell>
        </row>
        <row r="125">
          <cell r="A125" t="str">
            <v>SAB-212-60DG</v>
          </cell>
          <cell r="AS125">
            <v>4.443563861635873</v>
          </cell>
          <cell r="AU125">
            <v>2.147097109475292</v>
          </cell>
        </row>
        <row r="126">
          <cell r="A126" t="str">
            <v>BP-18011</v>
          </cell>
          <cell r="AS126" t="str">
            <v/>
          </cell>
          <cell r="AU126" t="str">
            <v/>
          </cell>
        </row>
        <row r="127">
          <cell r="A127" t="str">
            <v>PFF-8-Z</v>
          </cell>
          <cell r="AS127">
            <v>1.1403881745931523</v>
          </cell>
          <cell r="AU127">
            <v>0.55102711012852457</v>
          </cell>
        </row>
        <row r="128">
          <cell r="A128" t="str">
            <v>BHA-2020-ZO</v>
          </cell>
          <cell r="AS128">
            <v>0.56393258643583954</v>
          </cell>
          <cell r="AU128">
            <v>0.27248804427659568</v>
          </cell>
        </row>
        <row r="129">
          <cell r="A129" t="str">
            <v>ASA-60-1</v>
          </cell>
          <cell r="AS129">
            <v>0.48978031259820998</v>
          </cell>
          <cell r="AU129">
            <v>0.23665821538803736</v>
          </cell>
        </row>
        <row r="130">
          <cell r="A130" t="str">
            <v>ACLR208-40RG</v>
          </cell>
          <cell r="AS130">
            <v>3.3586549334764104</v>
          </cell>
          <cell r="AU130">
            <v>1.6228771598518916</v>
          </cell>
        </row>
        <row r="131">
          <cell r="A131" t="str">
            <v>5207-KRRB19</v>
          </cell>
          <cell r="AS131">
            <v>2.931450502481443</v>
          </cell>
          <cell r="AU131">
            <v>1.4164551464622492</v>
          </cell>
        </row>
        <row r="132">
          <cell r="A132" t="str">
            <v>ASA-50-1</v>
          </cell>
          <cell r="AS132">
            <v>0.36238401160594075</v>
          </cell>
          <cell r="AU132">
            <v>0.17510126737612194</v>
          </cell>
        </row>
        <row r="133">
          <cell r="A133" t="str">
            <v>BP-20005-BI</v>
          </cell>
          <cell r="AS133">
            <v>1.5952307151677305</v>
          </cell>
          <cell r="AU133">
            <v>0.77080365313392851</v>
          </cell>
        </row>
        <row r="134">
          <cell r="A134" t="str">
            <v>GW211PP3</v>
          </cell>
          <cell r="AS134" t="str">
            <v/>
          </cell>
          <cell r="AU134" t="str">
            <v/>
          </cell>
        </row>
        <row r="135">
          <cell r="A135" t="str">
            <v>BP-20005-BD</v>
          </cell>
          <cell r="AS135">
            <v>1.5964120120747947</v>
          </cell>
          <cell r="AU135">
            <v>0.77137444704025382</v>
          </cell>
        </row>
        <row r="136">
          <cell r="A136" t="str">
            <v>T-205-13</v>
          </cell>
          <cell r="AS136">
            <v>1.8317967029334363</v>
          </cell>
          <cell r="AU136">
            <v>0.88511058431527145</v>
          </cell>
        </row>
        <row r="137">
          <cell r="A137" t="str">
            <v>MS12-2RS</v>
          </cell>
          <cell r="AS137">
            <v>2.4092107015840054</v>
          </cell>
          <cell r="AU137">
            <v>1.1641127470110486</v>
          </cell>
        </row>
        <row r="138">
          <cell r="A138" t="str">
            <v>BP-23002</v>
          </cell>
          <cell r="AS138">
            <v>3.4582682716300281</v>
          </cell>
          <cell r="AU138">
            <v>1.671009586227346</v>
          </cell>
        </row>
        <row r="139">
          <cell r="A139" t="str">
            <v>F-209-A</v>
          </cell>
          <cell r="AS139">
            <v>3.6500411729083888</v>
          </cell>
          <cell r="AU139">
            <v>1.7636728301531064</v>
          </cell>
        </row>
        <row r="140">
          <cell r="A140" t="str">
            <v>207-KRRB17</v>
          </cell>
          <cell r="AS140">
            <v>1.2720877746122177</v>
          </cell>
          <cell r="AU140">
            <v>0.61466338032176682</v>
          </cell>
        </row>
        <row r="141">
          <cell r="A141" t="str">
            <v>BP-22002</v>
          </cell>
          <cell r="AS141" t="str">
            <v/>
          </cell>
          <cell r="AU141" t="str">
            <v/>
          </cell>
        </row>
        <row r="142">
          <cell r="A142" t="str">
            <v>G-209-KYYB2</v>
          </cell>
          <cell r="AS142">
            <v>2.6302231338764446</v>
          </cell>
          <cell r="AU142">
            <v>1.2709043155153668</v>
          </cell>
        </row>
        <row r="143">
          <cell r="A143" t="str">
            <v>FD211-112SQ</v>
          </cell>
          <cell r="AS143">
            <v>6.7925935951790812</v>
          </cell>
          <cell r="AU143">
            <v>3.2821308589633365</v>
          </cell>
        </row>
        <row r="144">
          <cell r="A144" t="str">
            <v>FT-205-H</v>
          </cell>
          <cell r="AS144">
            <v>0.79438410165107776</v>
          </cell>
          <cell r="AU144">
            <v>0.38384050765959771</v>
          </cell>
        </row>
        <row r="145">
          <cell r="A145" t="str">
            <v>PE-207</v>
          </cell>
          <cell r="AS145">
            <v>1.5515619330782893</v>
          </cell>
          <cell r="AU145">
            <v>0.74970322142683743</v>
          </cell>
        </row>
        <row r="146">
          <cell r="A146" t="str">
            <v>ACL-207-35DG</v>
          </cell>
          <cell r="AS146">
            <v>2.085365911724212</v>
          </cell>
          <cell r="AU146">
            <v>1.0076333458191828</v>
          </cell>
        </row>
        <row r="147">
          <cell r="A147" t="str">
            <v>ECL205-16DG</v>
          </cell>
          <cell r="AS147">
            <v>1.1603203889484917</v>
          </cell>
          <cell r="AU147">
            <v>0.560658208310162</v>
          </cell>
        </row>
        <row r="148">
          <cell r="A148" t="str">
            <v>MS05-2RSTX</v>
          </cell>
          <cell r="AS148">
            <v>0.38366086913340147</v>
          </cell>
          <cell r="AU148">
            <v>0.18538208716816845</v>
          </cell>
        </row>
        <row r="149">
          <cell r="A149" t="str">
            <v>ASA40-1-REEL</v>
          </cell>
          <cell r="AS149">
            <v>0.79952868928836129</v>
          </cell>
          <cell r="AU149">
            <v>0.38632633425946278</v>
          </cell>
        </row>
        <row r="150">
          <cell r="A150" t="str">
            <v>NK-2520</v>
          </cell>
          <cell r="AS150">
            <v>0.81365301729191664</v>
          </cell>
          <cell r="AU150">
            <v>0.39315110482066495</v>
          </cell>
        </row>
        <row r="151">
          <cell r="A151" t="str">
            <v>ATL-X000-03</v>
          </cell>
          <cell r="AS151" t="str">
            <v/>
          </cell>
          <cell r="AU151" t="str">
            <v/>
          </cell>
        </row>
        <row r="152">
          <cell r="A152" t="str">
            <v>BALLS-5/32</v>
          </cell>
          <cell r="AS152">
            <v>5.4604235867842556E-4</v>
          </cell>
          <cell r="AU152">
            <v>2.63843618878002E-4</v>
          </cell>
        </row>
        <row r="153">
          <cell r="A153" t="str">
            <v>205KRP2-6PF</v>
          </cell>
          <cell r="AS153">
            <v>1.9700909493407504</v>
          </cell>
          <cell r="AU153">
            <v>0.95193333874484198</v>
          </cell>
        </row>
        <row r="154">
          <cell r="A154" t="str">
            <v>MS07-2RST</v>
          </cell>
          <cell r="AS154" t="str">
            <v/>
          </cell>
          <cell r="AU154" t="str">
            <v/>
          </cell>
        </row>
        <row r="155">
          <cell r="A155" t="str">
            <v>112-CB</v>
          </cell>
          <cell r="AS155">
            <v>764.98203896527605</v>
          </cell>
          <cell r="AU155">
            <v>369.6336489824152</v>
          </cell>
        </row>
        <row r="156">
          <cell r="A156" t="str">
            <v>W208-PP5</v>
          </cell>
          <cell r="AS156" t="str">
            <v/>
          </cell>
          <cell r="AU156" t="str">
            <v/>
          </cell>
        </row>
        <row r="157">
          <cell r="A157" t="str">
            <v>HD08-2RST</v>
          </cell>
          <cell r="AS157">
            <v>2.1067724397298537</v>
          </cell>
          <cell r="AU157">
            <v>1.017976821424796</v>
          </cell>
        </row>
        <row r="158">
          <cell r="A158" t="str">
            <v>59190-16</v>
          </cell>
          <cell r="AS158">
            <v>2.2575892128681487</v>
          </cell>
          <cell r="AU158">
            <v>1.0908503679178159</v>
          </cell>
        </row>
        <row r="159">
          <cell r="A159" t="str">
            <v>YB-1816</v>
          </cell>
          <cell r="AS159">
            <v>0.45687562430845441</v>
          </cell>
          <cell r="AU159">
            <v>0.2207589139905527</v>
          </cell>
        </row>
        <row r="160">
          <cell r="A160" t="str">
            <v>PF-7-ZM</v>
          </cell>
          <cell r="AS160">
            <v>1.0994255307153908</v>
          </cell>
          <cell r="AU160">
            <v>0.5312342643396426</v>
          </cell>
        </row>
        <row r="161">
          <cell r="A161" t="str">
            <v>206-KRRB6</v>
          </cell>
          <cell r="AS161">
            <v>1.3549129410394831</v>
          </cell>
          <cell r="AU161">
            <v>0.65468388660122934</v>
          </cell>
        </row>
        <row r="162">
          <cell r="A162" t="str">
            <v>ECL-211-55DG</v>
          </cell>
          <cell r="AS162">
            <v>4.6752298519300002</v>
          </cell>
          <cell r="AU162">
            <v>2.2590363982112334</v>
          </cell>
        </row>
        <row r="163">
          <cell r="A163" t="str">
            <v>ECL210-50D-3</v>
          </cell>
          <cell r="AS163">
            <v>3.304416189961362</v>
          </cell>
          <cell r="AU163">
            <v>1.5966694011588818</v>
          </cell>
        </row>
        <row r="164">
          <cell r="A164" t="str">
            <v>ASA80-2-REEL</v>
          </cell>
          <cell r="AS164">
            <v>4.6984733307034556</v>
          </cell>
          <cell r="AU164">
            <v>2.2702674748070955</v>
          </cell>
        </row>
        <row r="165">
          <cell r="A165" t="str">
            <v>ASA-140-1H</v>
          </cell>
          <cell r="AS165">
            <v>4.3408881566184094</v>
          </cell>
          <cell r="AU165">
            <v>2.0974849701382925</v>
          </cell>
        </row>
        <row r="166">
          <cell r="A166" t="str">
            <v>SFC-72-M</v>
          </cell>
          <cell r="AS166">
            <v>2.5771628974100622</v>
          </cell>
          <cell r="AU166">
            <v>1.2452660026897906</v>
          </cell>
        </row>
        <row r="167">
          <cell r="A167" t="str">
            <v>AG-1235-PPZ9</v>
          </cell>
          <cell r="AS167">
            <v>2.2891789624131649</v>
          </cell>
          <cell r="AU167">
            <v>1.1061143006639476</v>
          </cell>
        </row>
        <row r="168">
          <cell r="A168" t="str">
            <v>F-207</v>
          </cell>
          <cell r="AS168">
            <v>1.0483427734966904</v>
          </cell>
          <cell r="AU168">
            <v>0.5065514548237865</v>
          </cell>
        </row>
        <row r="169">
          <cell r="A169" t="str">
            <v>SFC-80-M</v>
          </cell>
          <cell r="AS169">
            <v>2.2443059111922423</v>
          </cell>
          <cell r="AU169">
            <v>1.084431975042029</v>
          </cell>
        </row>
        <row r="170">
          <cell r="A170" t="str">
            <v>ASA-40-1</v>
          </cell>
          <cell r="AS170">
            <v>0.24145271200729726</v>
          </cell>
          <cell r="AU170">
            <v>0.11666816010043431</v>
          </cell>
        </row>
        <row r="171">
          <cell r="A171" t="str">
            <v>SAB5207-35</v>
          </cell>
          <cell r="AS171">
            <v>2.5477146847113197</v>
          </cell>
          <cell r="AU171">
            <v>1.2310368446685518</v>
          </cell>
        </row>
        <row r="172">
          <cell r="A172" t="str">
            <v>SER-47-MX</v>
          </cell>
          <cell r="AS172">
            <v>12.196679478290166</v>
          </cell>
          <cell r="AU172">
            <v>5.8933450870654678</v>
          </cell>
        </row>
        <row r="173">
          <cell r="A173" t="str">
            <v>1310-TN-C3</v>
          </cell>
          <cell r="AS173">
            <v>3.2091169536675128</v>
          </cell>
          <cell r="AU173">
            <v>1.5506215168135451</v>
          </cell>
        </row>
        <row r="174">
          <cell r="A174" t="str">
            <v>W-211KRRB50</v>
          </cell>
          <cell r="AS174">
            <v>4.8302547067225978</v>
          </cell>
          <cell r="AU174">
            <v>2.3339432585572153</v>
          </cell>
        </row>
        <row r="175">
          <cell r="A175" t="str">
            <v>ASL206-30RR</v>
          </cell>
          <cell r="AS175">
            <v>1.0003490986444392</v>
          </cell>
          <cell r="AU175">
            <v>0.48336126700224169</v>
          </cell>
        </row>
        <row r="176">
          <cell r="A176" t="str">
            <v>ACL207-23RG</v>
          </cell>
          <cell r="AS176">
            <v>2.6000707932598761</v>
          </cell>
          <cell r="AU176">
            <v>1.256334928105254</v>
          </cell>
        </row>
        <row r="177">
          <cell r="A177" t="str">
            <v>PE-210</v>
          </cell>
          <cell r="AS177">
            <v>2.8341045991666922</v>
          </cell>
          <cell r="AU177">
            <v>1.3694183277881915</v>
          </cell>
        </row>
        <row r="178">
          <cell r="A178" t="str">
            <v>YB-3216</v>
          </cell>
          <cell r="AS178">
            <v>0.92797147044342132</v>
          </cell>
          <cell r="AU178">
            <v>0.44838893372651989</v>
          </cell>
        </row>
        <row r="179">
          <cell r="A179" t="str">
            <v>ASA-50-1H</v>
          </cell>
          <cell r="AS179">
            <v>0.43975748648958118</v>
          </cell>
          <cell r="AU179">
            <v>0.21248755672531214</v>
          </cell>
        </row>
        <row r="180">
          <cell r="A180" t="str">
            <v>F-209</v>
          </cell>
          <cell r="AS180">
            <v>1.7926772194900351</v>
          </cell>
          <cell r="AU180">
            <v>0.8662083399814694</v>
          </cell>
        </row>
        <row r="181">
          <cell r="A181" t="str">
            <v>207-KRRB19</v>
          </cell>
          <cell r="AS181">
            <v>2.0989778260616476</v>
          </cell>
          <cell r="AU181">
            <v>1.0142105218963988</v>
          </cell>
        </row>
        <row r="182">
          <cell r="A182" t="str">
            <v>MS08-2RS</v>
          </cell>
          <cell r="AS182">
            <v>0.988781054390932</v>
          </cell>
          <cell r="AU182">
            <v>0.47777167379454016</v>
          </cell>
        </row>
        <row r="183">
          <cell r="A183" t="str">
            <v>204-JY3</v>
          </cell>
          <cell r="AS183">
            <v>0.80048764408542505</v>
          </cell>
          <cell r="AU183">
            <v>0.3867896941068748</v>
          </cell>
        </row>
        <row r="184">
          <cell r="A184" t="str">
            <v>RNB6X16</v>
          </cell>
          <cell r="AS184">
            <v>1.1267540734634179E-2</v>
          </cell>
          <cell r="AU184">
            <v>5.4443921355778191E-3</v>
          </cell>
        </row>
        <row r="185">
          <cell r="A185" t="str">
            <v>PE-209</v>
          </cell>
          <cell r="AS185">
            <v>2.2991501684317779</v>
          </cell>
          <cell r="AU185">
            <v>1.1109323134769031</v>
          </cell>
        </row>
        <row r="186">
          <cell r="A186" t="str">
            <v>GW-208-PPB22</v>
          </cell>
          <cell r="AS186">
            <v>2.4128448854210824</v>
          </cell>
          <cell r="AU186">
            <v>1.165868757694108</v>
          </cell>
        </row>
        <row r="187">
          <cell r="A187" t="str">
            <v>HD07-2RS</v>
          </cell>
          <cell r="AS187">
            <v>1.2692431749580222</v>
          </cell>
          <cell r="AU187">
            <v>0.61328889086120819</v>
          </cell>
        </row>
        <row r="188">
          <cell r="A188" t="str">
            <v>59190</v>
          </cell>
          <cell r="AS188">
            <v>1.7692450456558719</v>
          </cell>
          <cell r="AU188">
            <v>0.85488608733142379</v>
          </cell>
        </row>
        <row r="189">
          <cell r="A189" t="str">
            <v>SAB205-25DG</v>
          </cell>
          <cell r="AS189">
            <v>1.0589011907977086</v>
          </cell>
          <cell r="AU189">
            <v>0.51165320377430235</v>
          </cell>
        </row>
        <row r="190">
          <cell r="A190" t="str">
            <v>SER-47</v>
          </cell>
          <cell r="AS190">
            <v>13.519304971178544</v>
          </cell>
          <cell r="AU190">
            <v>6.5324279181274507</v>
          </cell>
        </row>
        <row r="191">
          <cell r="A191" t="str">
            <v>BP-24005</v>
          </cell>
          <cell r="AS191">
            <v>3.3889295594168947</v>
          </cell>
          <cell r="AU191">
            <v>1.6375056346237902</v>
          </cell>
        </row>
        <row r="192">
          <cell r="A192" t="str">
            <v>205-KYY5</v>
          </cell>
          <cell r="AS192">
            <v>0.77815168932421663</v>
          </cell>
          <cell r="AU192">
            <v>0.37599712638455424</v>
          </cell>
        </row>
        <row r="193">
          <cell r="A193" t="str">
            <v>PE-208</v>
          </cell>
          <cell r="AS193">
            <v>2.2475511698913428</v>
          </cell>
          <cell r="AU193">
            <v>1.0860000599822492</v>
          </cell>
        </row>
        <row r="194">
          <cell r="A194" t="str">
            <v>ASA-100-3</v>
          </cell>
          <cell r="AS194">
            <v>6.2456845025979906</v>
          </cell>
          <cell r="AU194">
            <v>3.0178684406902891</v>
          </cell>
        </row>
        <row r="195">
          <cell r="A195" t="str">
            <v>F-210</v>
          </cell>
          <cell r="AS195">
            <v>2.0386914732597052</v>
          </cell>
          <cell r="AU195">
            <v>0.98508060323822388</v>
          </cell>
        </row>
        <row r="196">
          <cell r="A196" t="str">
            <v>HD06-2RST1</v>
          </cell>
          <cell r="AS196">
            <v>1.0205772577804333</v>
          </cell>
          <cell r="AU196">
            <v>0.49313536350749809</v>
          </cell>
        </row>
        <row r="197">
          <cell r="A197" t="str">
            <v>SAB207-P</v>
          </cell>
          <cell r="AS197">
            <v>2.2817069854191394</v>
          </cell>
          <cell r="AU197">
            <v>1.1025038967842042</v>
          </cell>
        </row>
        <row r="198">
          <cell r="A198" t="str">
            <v>CA555-C2E-48</v>
          </cell>
          <cell r="AS198">
            <v>4.5822158939343867</v>
          </cell>
          <cell r="AU198">
            <v>2.214092743394553</v>
          </cell>
        </row>
        <row r="199">
          <cell r="A199" t="str">
            <v>PFD-5-Z</v>
          </cell>
          <cell r="AS199">
            <v>0.89983488313734183</v>
          </cell>
          <cell r="AU199">
            <v>0.43479354336947845</v>
          </cell>
        </row>
        <row r="200">
          <cell r="A200" t="str">
            <v>SAB-211-55DG</v>
          </cell>
          <cell r="AS200">
            <v>3.4461404321746762</v>
          </cell>
          <cell r="AU200">
            <v>1.6651495041289242</v>
          </cell>
        </row>
        <row r="201">
          <cell r="A201" t="str">
            <v>PE-211</v>
          </cell>
          <cell r="AS201">
            <v>3.9258463880373364</v>
          </cell>
          <cell r="AU201">
            <v>1.8969398650424321</v>
          </cell>
        </row>
        <row r="202">
          <cell r="A202" t="str">
            <v>DS2565C25-08</v>
          </cell>
          <cell r="AS202">
            <v>5.1976132452024562</v>
          </cell>
          <cell r="AU202">
            <v>2.511448180433324</v>
          </cell>
        </row>
        <row r="203">
          <cell r="A203" t="str">
            <v>206KPP16</v>
          </cell>
          <cell r="AS203" t="str">
            <v/>
          </cell>
          <cell r="AU203" t="str">
            <v/>
          </cell>
        </row>
        <row r="204">
          <cell r="A204" t="str">
            <v>ASA-60-2</v>
          </cell>
          <cell r="AS204">
            <v>1.0563954371694748</v>
          </cell>
          <cell r="AU204">
            <v>0.51044244220098767</v>
          </cell>
        </row>
        <row r="205">
          <cell r="A205" t="str">
            <v>PFL-5-Z</v>
          </cell>
          <cell r="AS205">
            <v>0.35511020581918723</v>
          </cell>
          <cell r="AU205">
            <v>0.17158661835431777</v>
          </cell>
        </row>
        <row r="206">
          <cell r="A206" t="str">
            <v>205-PP9</v>
          </cell>
          <cell r="AS206" t="str">
            <v/>
          </cell>
          <cell r="AU206" t="str">
            <v/>
          </cell>
        </row>
        <row r="207">
          <cell r="A207" t="str">
            <v>51114</v>
          </cell>
          <cell r="AS207">
            <v>0.92518433892386864</v>
          </cell>
          <cell r="AU207">
            <v>0.4470422124425017</v>
          </cell>
        </row>
        <row r="208">
          <cell r="A208" t="str">
            <v>BHA-1616-ZOH</v>
          </cell>
          <cell r="AS208">
            <v>0.47682286039155336</v>
          </cell>
          <cell r="AU208">
            <v>0.23039727055965933</v>
          </cell>
        </row>
        <row r="209">
          <cell r="A209" t="str">
            <v>F-206</v>
          </cell>
          <cell r="AS209">
            <v>0.91977351696451093</v>
          </cell>
          <cell r="AU209">
            <v>0.4444277433923044</v>
          </cell>
        </row>
        <row r="210">
          <cell r="A210" t="str">
            <v>CA-550-A1</v>
          </cell>
          <cell r="AS210">
            <v>3.295803816763978</v>
          </cell>
          <cell r="AU210">
            <v>1.5925079662895703</v>
          </cell>
        </row>
        <row r="211">
          <cell r="A211" t="str">
            <v>PCBEX55</v>
          </cell>
          <cell r="AS211" t="str">
            <v/>
          </cell>
          <cell r="AU211" t="str">
            <v/>
          </cell>
        </row>
        <row r="212">
          <cell r="A212" t="str">
            <v>PE-206</v>
          </cell>
          <cell r="AS212">
            <v>1.6272663424964551</v>
          </cell>
          <cell r="AU212">
            <v>0.78628303071902073</v>
          </cell>
        </row>
        <row r="213">
          <cell r="A213" t="str">
            <v>ASA415-H-REE</v>
          </cell>
          <cell r="AS213">
            <v>0.82898282601479489</v>
          </cell>
          <cell r="AU213">
            <v>0.40055835472695611</v>
          </cell>
        </row>
        <row r="214">
          <cell r="A214" t="str">
            <v>GW211-PP25</v>
          </cell>
          <cell r="AS214" t="str">
            <v/>
          </cell>
          <cell r="AU214" t="str">
            <v/>
          </cell>
        </row>
        <row r="215">
          <cell r="A215" t="str">
            <v>BP-24002</v>
          </cell>
          <cell r="AS215">
            <v>2.7679999997692595</v>
          </cell>
          <cell r="AU215">
            <v>1.3374770755166427</v>
          </cell>
        </row>
        <row r="216">
          <cell r="A216" t="str">
            <v>SBX-1706</v>
          </cell>
          <cell r="AS216">
            <v>4.1099601121896425</v>
          </cell>
          <cell r="AU216">
            <v>1.9859022513727176</v>
          </cell>
        </row>
        <row r="217">
          <cell r="A217" t="str">
            <v>205KYR2</v>
          </cell>
          <cell r="AS217">
            <v>0.8752379439990029</v>
          </cell>
          <cell r="AU217">
            <v>0.42290848476104315</v>
          </cell>
        </row>
        <row r="218">
          <cell r="A218" t="str">
            <v>ASA-50-2</v>
          </cell>
          <cell r="AS218">
            <v>0.90547811561474834</v>
          </cell>
          <cell r="AU218">
            <v>0.43752031145870213</v>
          </cell>
        </row>
        <row r="219">
          <cell r="A219" t="str">
            <v>ECL-211-35-D</v>
          </cell>
          <cell r="AS219" t="str">
            <v/>
          </cell>
          <cell r="AU219" t="str">
            <v/>
          </cell>
        </row>
        <row r="220">
          <cell r="A220" t="str">
            <v>ECL-212-39-D</v>
          </cell>
          <cell r="AS220" t="str">
            <v/>
          </cell>
          <cell r="AU220" t="str">
            <v/>
          </cell>
        </row>
        <row r="221">
          <cell r="A221" t="str">
            <v>ASA50-1H-REE</v>
          </cell>
          <cell r="AS221" t="str">
            <v/>
          </cell>
          <cell r="AU221" t="str">
            <v/>
          </cell>
        </row>
        <row r="222">
          <cell r="A222" t="str">
            <v>GW211-PP17</v>
          </cell>
          <cell r="AS222" t="str">
            <v/>
          </cell>
          <cell r="AU222" t="str">
            <v/>
          </cell>
        </row>
        <row r="223">
          <cell r="A223" t="str">
            <v>51217</v>
          </cell>
          <cell r="AS223">
            <v>2.1332783656788634</v>
          </cell>
          <cell r="AU223">
            <v>1.0307842883052503</v>
          </cell>
        </row>
        <row r="224">
          <cell r="A224" t="str">
            <v>ASA-410-REEL</v>
          </cell>
          <cell r="AS224">
            <v>0.6706455185154232</v>
          </cell>
          <cell r="AU224">
            <v>0.32405094179448057</v>
          </cell>
        </row>
        <row r="225">
          <cell r="A225" t="str">
            <v>ACL206-30RG</v>
          </cell>
          <cell r="AS225">
            <v>1.4960092857889467</v>
          </cell>
          <cell r="AU225">
            <v>0.7228605941725198</v>
          </cell>
        </row>
        <row r="226">
          <cell r="A226" t="str">
            <v>GW211-PP27</v>
          </cell>
          <cell r="AS226" t="str">
            <v/>
          </cell>
          <cell r="AU226" t="str">
            <v/>
          </cell>
        </row>
        <row r="227">
          <cell r="A227" t="str">
            <v>203-KRR2</v>
          </cell>
          <cell r="AS227">
            <v>0.46729875203607818</v>
          </cell>
          <cell r="AU227">
            <v>0.22579529202235932</v>
          </cell>
        </row>
        <row r="228">
          <cell r="A228" t="str">
            <v>G-210-KPPB2</v>
          </cell>
          <cell r="AS228">
            <v>3.8669727037317587</v>
          </cell>
          <cell r="AU228">
            <v>1.8684925373269414</v>
          </cell>
        </row>
        <row r="229">
          <cell r="A229" t="str">
            <v>LP101-5</v>
          </cell>
          <cell r="AS229" t="str">
            <v/>
          </cell>
          <cell r="AU229" t="str">
            <v/>
          </cell>
        </row>
        <row r="230">
          <cell r="A230" t="str">
            <v>HCFTS206-20</v>
          </cell>
          <cell r="AS230" t="str">
            <v/>
          </cell>
          <cell r="AU230" t="str">
            <v/>
          </cell>
        </row>
        <row r="231">
          <cell r="A231" t="str">
            <v>SABFB209-45L</v>
          </cell>
          <cell r="AS231" t="str">
            <v/>
          </cell>
          <cell r="AU231" t="str">
            <v/>
          </cell>
        </row>
        <row r="232">
          <cell r="A232" t="str">
            <v>MS02-ZZ</v>
          </cell>
          <cell r="AS232" t="str">
            <v/>
          </cell>
          <cell r="AU232" t="str">
            <v/>
          </cell>
        </row>
        <row r="233">
          <cell r="A233" t="str">
            <v>F-212</v>
          </cell>
          <cell r="AS233">
            <v>3.1840887840569878</v>
          </cell>
          <cell r="AU233">
            <v>1.5385280908384693</v>
          </cell>
        </row>
        <row r="234">
          <cell r="A234" t="str">
            <v>MS03-2RSTX</v>
          </cell>
          <cell r="AS234">
            <v>0.25421554329503854</v>
          </cell>
          <cell r="AU234">
            <v>0.12283506554388207</v>
          </cell>
        </row>
        <row r="235">
          <cell r="A235" t="str">
            <v>207-KRRB9</v>
          </cell>
          <cell r="AS235">
            <v>2.1131362782595784</v>
          </cell>
          <cell r="AU235">
            <v>1.0210517810152966</v>
          </cell>
        </row>
        <row r="236">
          <cell r="A236" t="str">
            <v>AG205KRP2-4P</v>
          </cell>
          <cell r="AS236" t="str">
            <v/>
          </cell>
          <cell r="AU236" t="str">
            <v/>
          </cell>
        </row>
        <row r="237">
          <cell r="A237" t="str">
            <v>F-208</v>
          </cell>
          <cell r="AS237">
            <v>1.4662989895358682</v>
          </cell>
          <cell r="AU237">
            <v>0.7085047993211423</v>
          </cell>
        </row>
        <row r="238">
          <cell r="A238" t="str">
            <v>ECL209-28DG</v>
          </cell>
          <cell r="AS238">
            <v>3.6220016730814626</v>
          </cell>
          <cell r="AU238">
            <v>1.7501243517461003</v>
          </cell>
        </row>
        <row r="239">
          <cell r="A239" t="str">
            <v>PF-6-Z</v>
          </cell>
          <cell r="AS239">
            <v>0.58523779203189208</v>
          </cell>
          <cell r="AU239">
            <v>0.28278256164518834</v>
          </cell>
        </row>
        <row r="240">
          <cell r="A240" t="str">
            <v>609010</v>
          </cell>
          <cell r="AS240" t="str">
            <v/>
          </cell>
          <cell r="AU240" t="str">
            <v/>
          </cell>
        </row>
        <row r="241">
          <cell r="A241" t="str">
            <v>210-PPB20</v>
          </cell>
          <cell r="AS241">
            <v>3.505096666199683</v>
          </cell>
          <cell r="AU241">
            <v>1.693636719256747</v>
          </cell>
        </row>
        <row r="242">
          <cell r="A242" t="str">
            <v>SER-55-MX</v>
          </cell>
          <cell r="AS242">
            <v>25.846004977445478</v>
          </cell>
          <cell r="AU242">
            <v>12.48859796022543</v>
          </cell>
        </row>
        <row r="243">
          <cell r="A243" t="str">
            <v>SAB-204-20DG</v>
          </cell>
          <cell r="AS243">
            <v>0.74587944958928387</v>
          </cell>
          <cell r="AU243">
            <v>0.36040341943923337</v>
          </cell>
        </row>
        <row r="244">
          <cell r="A244" t="str">
            <v>PCBEX155</v>
          </cell>
          <cell r="AS244" t="str">
            <v/>
          </cell>
          <cell r="AU244" t="str">
            <v/>
          </cell>
        </row>
        <row r="245">
          <cell r="A245" t="str">
            <v>CA627-M40A-3</v>
          </cell>
          <cell r="AS245">
            <v>8.4735224677104917</v>
          </cell>
          <cell r="AU245">
            <v>4.0943432262943373</v>
          </cell>
        </row>
        <row r="246">
          <cell r="A246" t="str">
            <v>MS05-D</v>
          </cell>
          <cell r="AS246" t="str">
            <v/>
          </cell>
          <cell r="AU246" t="str">
            <v/>
          </cell>
        </row>
        <row r="247">
          <cell r="A247" t="str">
            <v>ECL209-27DG</v>
          </cell>
          <cell r="AS247">
            <v>3.4677207565975778</v>
          </cell>
          <cell r="AU247">
            <v>1.6755769568746788</v>
          </cell>
        </row>
        <row r="248">
          <cell r="A248" t="str">
            <v>W208PPB5</v>
          </cell>
          <cell r="AS248" t="str">
            <v/>
          </cell>
          <cell r="AU248" t="str">
            <v/>
          </cell>
        </row>
        <row r="249">
          <cell r="A249" t="str">
            <v>HD03-2RST</v>
          </cell>
          <cell r="AS249">
            <v>0.4181701688176056</v>
          </cell>
          <cell r="AU249">
            <v>0.20205672489345897</v>
          </cell>
        </row>
        <row r="250">
          <cell r="A250" t="str">
            <v>LS04-2RST</v>
          </cell>
          <cell r="AS250">
            <v>0.27859587471108288</v>
          </cell>
          <cell r="AU250">
            <v>0.13461546090702362</v>
          </cell>
        </row>
        <row r="251">
          <cell r="A251" t="str">
            <v>CA550KL19SE4</v>
          </cell>
          <cell r="AS251">
            <v>10.477790137204641</v>
          </cell>
          <cell r="AU251">
            <v>5.062790502801219</v>
          </cell>
        </row>
        <row r="252">
          <cell r="A252" t="str">
            <v>22214-CW33C3</v>
          </cell>
          <cell r="AS252">
            <v>9.9535189176925023</v>
          </cell>
          <cell r="AU252">
            <v>4.8094665369381087</v>
          </cell>
        </row>
        <row r="253">
          <cell r="A253" t="str">
            <v>ASA-80-2</v>
          </cell>
          <cell r="AS253">
            <v>2.2124903618394365</v>
          </cell>
          <cell r="AU253">
            <v>1.0690589375030501</v>
          </cell>
        </row>
        <row r="254">
          <cell r="A254" t="str">
            <v>DTR-3060-FM</v>
          </cell>
          <cell r="AS254">
            <v>3.8615639636612045</v>
          </cell>
          <cell r="AU254">
            <v>1.8658790742299769</v>
          </cell>
        </row>
        <row r="255">
          <cell r="A255" t="str">
            <v>SAB209-45DG</v>
          </cell>
          <cell r="AS255">
            <v>2.116568025121532</v>
          </cell>
          <cell r="AU255">
            <v>1.0227099756530214</v>
          </cell>
        </row>
        <row r="256">
          <cell r="A256" t="str">
            <v>ECL-306-DBL</v>
          </cell>
          <cell r="AS256" t="str">
            <v/>
          </cell>
          <cell r="AU256" t="str">
            <v/>
          </cell>
        </row>
        <row r="257">
          <cell r="A257" t="str">
            <v>22222-CKW33C</v>
          </cell>
          <cell r="AS257">
            <v>13.184418323344742</v>
          </cell>
          <cell r="AU257">
            <v>6.3706131730365314</v>
          </cell>
        </row>
        <row r="258">
          <cell r="A258" t="str">
            <v>208KPPB52</v>
          </cell>
          <cell r="AS258">
            <v>2.2846531396549619</v>
          </cell>
          <cell r="AU258">
            <v>1.1039274566655906</v>
          </cell>
        </row>
        <row r="259">
          <cell r="A259" t="str">
            <v>HD09-2RS</v>
          </cell>
          <cell r="AS259">
            <v>3.9211645893069478</v>
          </cell>
          <cell r="AU259">
            <v>1.8946776546108572</v>
          </cell>
        </row>
        <row r="260">
          <cell r="A260" t="str">
            <v>CF18</v>
          </cell>
          <cell r="AS260">
            <v>3.3946679356000509</v>
          </cell>
          <cell r="AU260">
            <v>1.6402783754461534</v>
          </cell>
        </row>
        <row r="261">
          <cell r="A261" t="str">
            <v>1207-TN-C3</v>
          </cell>
          <cell r="AS261">
            <v>1.6579287500608884</v>
          </cell>
          <cell r="AU261">
            <v>0.80109887869625918</v>
          </cell>
        </row>
        <row r="262">
          <cell r="A262" t="str">
            <v>FC-209</v>
          </cell>
          <cell r="AS262">
            <v>2.0771240293264048</v>
          </cell>
          <cell r="AU262">
            <v>1.0036509293570837</v>
          </cell>
        </row>
        <row r="263">
          <cell r="A263" t="str">
            <v>BHA-1612-ZO</v>
          </cell>
          <cell r="AS263">
            <v>0.34940275326441372</v>
          </cell>
          <cell r="AU263">
            <v>0.16882881959989407</v>
          </cell>
        </row>
        <row r="264">
          <cell r="A264" t="str">
            <v>W208PPB16</v>
          </cell>
          <cell r="AS264">
            <v>2.2055664297516571</v>
          </cell>
          <cell r="AU264">
            <v>1.0657133448583207</v>
          </cell>
        </row>
        <row r="265">
          <cell r="A265" t="str">
            <v>609011</v>
          </cell>
          <cell r="AS265" t="str">
            <v/>
          </cell>
          <cell r="AU265" t="str">
            <v/>
          </cell>
        </row>
        <row r="266">
          <cell r="A266" t="str">
            <v>81212</v>
          </cell>
          <cell r="AS266" t="str">
            <v/>
          </cell>
          <cell r="AU266" t="str">
            <v/>
          </cell>
        </row>
        <row r="267">
          <cell r="A267" t="str">
            <v>SAB211-55DG</v>
          </cell>
          <cell r="AS267">
            <v>3.853373420594481</v>
          </cell>
          <cell r="AU267">
            <v>1.8619214645519828</v>
          </cell>
        </row>
        <row r="268">
          <cell r="A268" t="str">
            <v>ACL208-24RG</v>
          </cell>
          <cell r="AS268">
            <v>2.8977148216327704</v>
          </cell>
          <cell r="AU268">
            <v>1.4001543156220013</v>
          </cell>
        </row>
        <row r="269">
          <cell r="A269" t="str">
            <v>MS11-2RS</v>
          </cell>
          <cell r="AS269">
            <v>1.7893181626909418</v>
          </cell>
          <cell r="AU269">
            <v>0.86458526864313134</v>
          </cell>
        </row>
        <row r="270">
          <cell r="A270" t="str">
            <v>PFT-5-Z</v>
          </cell>
          <cell r="AS270">
            <v>0.28778419979614933</v>
          </cell>
          <cell r="AU270">
            <v>0.13905519145785283</v>
          </cell>
        </row>
        <row r="271">
          <cell r="A271" t="str">
            <v>PCBEX105</v>
          </cell>
          <cell r="AS271" t="str">
            <v/>
          </cell>
          <cell r="AU271" t="str">
            <v/>
          </cell>
        </row>
        <row r="272">
          <cell r="A272" t="str">
            <v>PFF-8-ZM</v>
          </cell>
          <cell r="AS272" t="str">
            <v/>
          </cell>
          <cell r="AU272" t="str">
            <v/>
          </cell>
        </row>
        <row r="273">
          <cell r="A273" t="str">
            <v>204-KRR2</v>
          </cell>
          <cell r="AS273">
            <v>0.8914528617560693</v>
          </cell>
          <cell r="AU273">
            <v>0.43074341278968181</v>
          </cell>
        </row>
        <row r="274">
          <cell r="A274" t="str">
            <v>MS08-2RSTX</v>
          </cell>
          <cell r="AS274">
            <v>1.2589429634149414</v>
          </cell>
          <cell r="AU274">
            <v>0.60831190501836474</v>
          </cell>
        </row>
        <row r="275">
          <cell r="A275" t="str">
            <v>DIN-471.60M</v>
          </cell>
          <cell r="AS275" t="str">
            <v/>
          </cell>
          <cell r="AU275" t="str">
            <v/>
          </cell>
        </row>
        <row r="276">
          <cell r="A276" t="str">
            <v>ASA180-1H-RE</v>
          </cell>
          <cell r="AS276">
            <v>24.355363340587669</v>
          </cell>
          <cell r="AU276">
            <v>11.768330974215994</v>
          </cell>
        </row>
        <row r="277">
          <cell r="A277" t="str">
            <v>22207-CW33C3</v>
          </cell>
          <cell r="AS277">
            <v>2.9273937562482257</v>
          </cell>
          <cell r="AU277">
            <v>1.4144949567626222</v>
          </cell>
        </row>
        <row r="278">
          <cell r="A278" t="str">
            <v>TS05-2RS</v>
          </cell>
          <cell r="AS278">
            <v>0.24649932478109535</v>
          </cell>
          <cell r="AU278">
            <v>0.11910664597273453</v>
          </cell>
        </row>
        <row r="279">
          <cell r="A279" t="str">
            <v>MS10-2RS</v>
          </cell>
          <cell r="AS279">
            <v>1.5287034164335713</v>
          </cell>
          <cell r="AU279">
            <v>0.73865815567713566</v>
          </cell>
        </row>
        <row r="280">
          <cell r="A280" t="str">
            <v>BP-22001</v>
          </cell>
          <cell r="AS280">
            <v>1.7768045004615434</v>
          </cell>
          <cell r="AU280">
            <v>0.85853875984111772</v>
          </cell>
        </row>
        <row r="281">
          <cell r="A281" t="str">
            <v>ASL-205-14RG</v>
          </cell>
          <cell r="AS281">
            <v>0.83350169507996685</v>
          </cell>
          <cell r="AU281">
            <v>0.40274183875240144</v>
          </cell>
        </row>
        <row r="282">
          <cell r="A282" t="str">
            <v>204-PY3</v>
          </cell>
          <cell r="AS282" t="str">
            <v/>
          </cell>
          <cell r="AU282" t="str">
            <v/>
          </cell>
        </row>
        <row r="283">
          <cell r="A283" t="str">
            <v>F-213</v>
          </cell>
          <cell r="AS283">
            <v>3.4085659798495436</v>
          </cell>
          <cell r="AU283">
            <v>1.6469938073752584</v>
          </cell>
        </row>
        <row r="284">
          <cell r="A284" t="str">
            <v>81210</v>
          </cell>
          <cell r="AS284">
            <v>2.0035662773213545</v>
          </cell>
          <cell r="AU284">
            <v>0.96810836900972308</v>
          </cell>
        </row>
        <row r="285">
          <cell r="A285" t="str">
            <v>MS09-2RSTK</v>
          </cell>
          <cell r="AS285">
            <v>1.6903860319312043</v>
          </cell>
          <cell r="AU285">
            <v>0.81678199662933293</v>
          </cell>
        </row>
        <row r="286">
          <cell r="A286" t="str">
            <v>ACL206-20</v>
          </cell>
          <cell r="AS286">
            <v>1.6912324341300065</v>
          </cell>
          <cell r="AU286">
            <v>0.81719097189582834</v>
          </cell>
        </row>
        <row r="287">
          <cell r="A287" t="str">
            <v>DTR3565-FM</v>
          </cell>
          <cell r="AS287">
            <v>2.7250113899761428</v>
          </cell>
          <cell r="AU287">
            <v>1.3167052980197433</v>
          </cell>
        </row>
        <row r="288">
          <cell r="A288" t="str">
            <v>HD01-2RS</v>
          </cell>
          <cell r="AS288">
            <v>0.21083828527143714</v>
          </cell>
          <cell r="AU288">
            <v>0.1018754961037905</v>
          </cell>
        </row>
        <row r="289">
          <cell r="A289" t="str">
            <v>ACL-208-40mm</v>
          </cell>
          <cell r="AS289">
            <v>2.4317733534459873</v>
          </cell>
          <cell r="AU289">
            <v>1.1750148530915323</v>
          </cell>
        </row>
        <row r="290">
          <cell r="A290" t="str">
            <v>6013-2RST-22</v>
          </cell>
          <cell r="AS290">
            <v>3.2554525384066131</v>
          </cell>
          <cell r="AU290">
            <v>1.5730105277869453</v>
          </cell>
        </row>
        <row r="291">
          <cell r="A291" t="str">
            <v>32212-MX</v>
          </cell>
          <cell r="AS291" t="str">
            <v/>
          </cell>
          <cell r="AU291" t="str">
            <v/>
          </cell>
        </row>
        <row r="292">
          <cell r="A292" t="str">
            <v>W208-PPB12</v>
          </cell>
          <cell r="AS292" t="str">
            <v/>
          </cell>
          <cell r="AU292" t="str">
            <v/>
          </cell>
        </row>
        <row r="293">
          <cell r="A293" t="str">
            <v>MS00-2RS</v>
          </cell>
          <cell r="AS293">
            <v>0.12883631352178934</v>
          </cell>
          <cell r="AU293">
            <v>6.2252751388667739E-2</v>
          </cell>
        </row>
        <row r="294">
          <cell r="A294" t="str">
            <v>S410000034</v>
          </cell>
          <cell r="AS294" t="str">
            <v/>
          </cell>
          <cell r="AU294" t="str">
            <v/>
          </cell>
        </row>
        <row r="295">
          <cell r="A295" t="str">
            <v>ASA-100-1H</v>
          </cell>
          <cell r="AS295">
            <v>1.7112660830523991</v>
          </cell>
          <cell r="AU295">
            <v>0.82687108250814134</v>
          </cell>
        </row>
        <row r="296">
          <cell r="A296" t="str">
            <v>ECL-212-60DG</v>
          </cell>
          <cell r="AS296">
            <v>5.7455085463680895</v>
          </cell>
          <cell r="AU296">
            <v>2.7761871273818093</v>
          </cell>
        </row>
        <row r="297">
          <cell r="A297" t="str">
            <v>MS06-2RSTX</v>
          </cell>
          <cell r="AS297">
            <v>0.47160910367864023</v>
          </cell>
          <cell r="AU297">
            <v>0.22787802197533003</v>
          </cell>
        </row>
        <row r="298">
          <cell r="A298" t="str">
            <v>CA627-M40A-7</v>
          </cell>
          <cell r="AS298" t="str">
            <v/>
          </cell>
          <cell r="AU298" t="str">
            <v/>
          </cell>
        </row>
        <row r="299">
          <cell r="A299" t="str">
            <v>SAB205-16DG</v>
          </cell>
          <cell r="AS299">
            <v>0.95014987539380369</v>
          </cell>
          <cell r="AU299">
            <v>0.45910537454846134</v>
          </cell>
        </row>
        <row r="300">
          <cell r="A300" t="str">
            <v>LS10-2RS</v>
          </cell>
          <cell r="AS300">
            <v>0.76418504176381441</v>
          </cell>
          <cell r="AU300">
            <v>0.36924854584430289</v>
          </cell>
        </row>
        <row r="301">
          <cell r="A301" t="str">
            <v>UC-214-DBL</v>
          </cell>
          <cell r="AS301">
            <v>5.1216615426605578</v>
          </cell>
          <cell r="AU301">
            <v>2.4747488809374003</v>
          </cell>
        </row>
        <row r="302">
          <cell r="A302" t="str">
            <v>208-KRR4</v>
          </cell>
          <cell r="AS302">
            <v>1.7700305375814311</v>
          </cell>
          <cell r="AU302">
            <v>0.85526563120553023</v>
          </cell>
        </row>
        <row r="303">
          <cell r="A303" t="str">
            <v>GR208-24DG</v>
          </cell>
          <cell r="AS303">
            <v>3.1588135523742462</v>
          </cell>
          <cell r="AU303">
            <v>1.5263152863020324</v>
          </cell>
        </row>
        <row r="304">
          <cell r="A304" t="str">
            <v>PHS-6-Der.</v>
          </cell>
          <cell r="AS304">
            <v>0.46160551872170963</v>
          </cell>
          <cell r="AU304">
            <v>0.22304436389946544</v>
          </cell>
        </row>
        <row r="305">
          <cell r="A305" t="str">
            <v>LS28-2RS</v>
          </cell>
          <cell r="AS305">
            <v>7.2287236529942307</v>
          </cell>
          <cell r="AU305">
            <v>3.4928656690500905</v>
          </cell>
        </row>
        <row r="306">
          <cell r="A306" t="str">
            <v>ASA-100-1</v>
          </cell>
          <cell r="AS306">
            <v>1.1627742328782182</v>
          </cell>
          <cell r="AU306">
            <v>0.56184388750206171</v>
          </cell>
        </row>
        <row r="307">
          <cell r="A307" t="str">
            <v>W59190-TS</v>
          </cell>
          <cell r="AS307">
            <v>2.0660467054634344</v>
          </cell>
          <cell r="AU307">
            <v>0.99829844860345951</v>
          </cell>
        </row>
        <row r="308">
          <cell r="A308" t="str">
            <v>HD07-D</v>
          </cell>
          <cell r="AS308">
            <v>0.94158398624366357</v>
          </cell>
          <cell r="AU308">
            <v>0.45496640042610437</v>
          </cell>
        </row>
        <row r="309">
          <cell r="A309" t="str">
            <v>ACL-205-25MM</v>
          </cell>
          <cell r="AS309">
            <v>1.0541587752549038</v>
          </cell>
          <cell r="AU309">
            <v>0.50936170374843381</v>
          </cell>
        </row>
        <row r="310">
          <cell r="A310" t="str">
            <v>ECL207-23DG</v>
          </cell>
          <cell r="AS310">
            <v>2.2451381753272841</v>
          </cell>
          <cell r="AU310">
            <v>1.0848341189009472</v>
          </cell>
        </row>
        <row r="311">
          <cell r="A311" t="str">
            <v>GW211-PPB3</v>
          </cell>
          <cell r="AS311" t="str">
            <v/>
          </cell>
          <cell r="AU311" t="str">
            <v/>
          </cell>
        </row>
        <row r="312">
          <cell r="A312" t="str">
            <v>22218-CKW33C</v>
          </cell>
          <cell r="AS312">
            <v>15.026218135632854</v>
          </cell>
          <cell r="AU312">
            <v>7.2605571856201845</v>
          </cell>
        </row>
        <row r="313">
          <cell r="A313" t="str">
            <v>HD06-2RS</v>
          </cell>
          <cell r="AS313">
            <v>0.74336299895894997</v>
          </cell>
          <cell r="AU313">
            <v>0.35918748915382104</v>
          </cell>
        </row>
        <row r="314">
          <cell r="A314" t="str">
            <v>ASA410-REEL</v>
          </cell>
          <cell r="AS314" t="str">
            <v/>
          </cell>
          <cell r="AU314" t="str">
            <v/>
          </cell>
        </row>
        <row r="315">
          <cell r="A315" t="str">
            <v>PE-205</v>
          </cell>
          <cell r="AS315">
            <v>1.1405478503548026</v>
          </cell>
          <cell r="AU315">
            <v>0.5511042642725783</v>
          </cell>
        </row>
        <row r="316">
          <cell r="A316" t="str">
            <v>CA627-M40AY</v>
          </cell>
          <cell r="AS316">
            <v>11.498091952742847</v>
          </cell>
          <cell r="AU316">
            <v>5.5557927746596425</v>
          </cell>
        </row>
        <row r="317">
          <cell r="A317" t="str">
            <v>SABF206-30L</v>
          </cell>
          <cell r="AS317">
            <v>0.91122284404444709</v>
          </cell>
          <cell r="AU317">
            <v>0.44029612163949383</v>
          </cell>
        </row>
        <row r="318">
          <cell r="A318" t="str">
            <v>HD09-2RLD</v>
          </cell>
          <cell r="AS318" t="str">
            <v/>
          </cell>
          <cell r="AU318" t="str">
            <v/>
          </cell>
        </row>
        <row r="319">
          <cell r="A319" t="str">
            <v>ECL208-24DG</v>
          </cell>
          <cell r="AS319">
            <v>3.0657512538957157</v>
          </cell>
          <cell r="AU319">
            <v>1.4813482737224453</v>
          </cell>
        </row>
        <row r="320">
          <cell r="A320" t="str">
            <v>210KRRB52</v>
          </cell>
          <cell r="AS320">
            <v>4.1981845016191386</v>
          </cell>
          <cell r="AU320">
            <v>2.0285316221722991</v>
          </cell>
        </row>
        <row r="321">
          <cell r="A321" t="str">
            <v>HD05-2RST</v>
          </cell>
          <cell r="AS321">
            <v>0.61889798292164433</v>
          </cell>
          <cell r="AU321">
            <v>0.29904691629703473</v>
          </cell>
        </row>
        <row r="322">
          <cell r="A322" t="str">
            <v>Ball-5/16</v>
          </cell>
          <cell r="AS322">
            <v>6.4892665602578874E-3</v>
          </cell>
          <cell r="AU322">
            <v>3.1355654848212295E-3</v>
          </cell>
        </row>
        <row r="323">
          <cell r="A323" t="str">
            <v>51104</v>
          </cell>
          <cell r="AS323">
            <v>0.35626239540416343</v>
          </cell>
          <cell r="AU323">
            <v>0.1721433478184374</v>
          </cell>
        </row>
        <row r="324">
          <cell r="A324" t="str">
            <v>FC-210</v>
          </cell>
          <cell r="AS324">
            <v>2.7599736423670582</v>
          </cell>
          <cell r="AU324">
            <v>1.3335987991343294</v>
          </cell>
        </row>
        <row r="325">
          <cell r="A325" t="str">
            <v>ACL207-35R1</v>
          </cell>
          <cell r="AS325">
            <v>1.7811381699748643</v>
          </cell>
          <cell r="AU325">
            <v>0.86063275681633988</v>
          </cell>
        </row>
        <row r="326">
          <cell r="A326" t="str">
            <v>LS04-2RS</v>
          </cell>
          <cell r="AS326">
            <v>0.23614653074652975</v>
          </cell>
          <cell r="AU326">
            <v>0.11410425265989811</v>
          </cell>
        </row>
        <row r="327">
          <cell r="A327" t="str">
            <v>MS07-2RST1</v>
          </cell>
          <cell r="AS327" t="str">
            <v/>
          </cell>
          <cell r="AU327" t="str">
            <v/>
          </cell>
        </row>
        <row r="328">
          <cell r="A328" t="str">
            <v>OL-80-1-H</v>
          </cell>
          <cell r="AS328">
            <v>0.53757762576190304</v>
          </cell>
          <cell r="AU328">
            <v>0.25975352269766833</v>
          </cell>
        </row>
        <row r="329">
          <cell r="A329" t="str">
            <v>MS10-2RSTX</v>
          </cell>
          <cell r="AS329">
            <v>1.8663941953886889</v>
          </cell>
          <cell r="AU329">
            <v>0.9018278361335943</v>
          </cell>
        </row>
        <row r="330">
          <cell r="A330" t="str">
            <v>210-PP20</v>
          </cell>
          <cell r="AS330">
            <v>3.6153440929901204</v>
          </cell>
          <cell r="AU330">
            <v>1.7469074584110829</v>
          </cell>
        </row>
        <row r="331">
          <cell r="A331" t="str">
            <v>206-KRR6</v>
          </cell>
          <cell r="AS331">
            <v>1.3119836665913196</v>
          </cell>
          <cell r="AU331">
            <v>0.63394077950304761</v>
          </cell>
        </row>
        <row r="332">
          <cell r="A332" t="str">
            <v>205-PPB7</v>
          </cell>
          <cell r="AS332" t="str">
            <v/>
          </cell>
          <cell r="AU332" t="str">
            <v/>
          </cell>
        </row>
        <row r="333">
          <cell r="A333" t="str">
            <v>BL-10-BD</v>
          </cell>
          <cell r="AS333">
            <v>0.93433914707197252</v>
          </cell>
          <cell r="AU333">
            <v>0.45146574785791455</v>
          </cell>
        </row>
        <row r="334">
          <cell r="A334" t="str">
            <v>22210-CW33C3</v>
          </cell>
          <cell r="AS334">
            <v>4.5092106439723203</v>
          </cell>
          <cell r="AU334">
            <v>2.1788171479376288</v>
          </cell>
        </row>
        <row r="335">
          <cell r="A335" t="str">
            <v>MS09-2RSTX</v>
          </cell>
          <cell r="AS335">
            <v>1.9693003220172371</v>
          </cell>
          <cell r="AU335">
            <v>0.95155131348452249</v>
          </cell>
        </row>
        <row r="336">
          <cell r="A336" t="str">
            <v>LS06-2RS</v>
          </cell>
          <cell r="AS336">
            <v>0.35058677804608623</v>
          </cell>
          <cell r="AU336">
            <v>0.16940093159500336</v>
          </cell>
        </row>
        <row r="337">
          <cell r="A337" t="str">
            <v>ECL-307-DBL</v>
          </cell>
          <cell r="AS337" t="str">
            <v/>
          </cell>
          <cell r="AU337" t="str">
            <v/>
          </cell>
        </row>
        <row r="338">
          <cell r="A338" t="str">
            <v>LF-205</v>
          </cell>
          <cell r="AS338">
            <v>0.63598347474101613</v>
          </cell>
          <cell r="AU338">
            <v>0.30730249925738223</v>
          </cell>
        </row>
        <row r="339">
          <cell r="A339" t="str">
            <v>1209-TN-C3</v>
          </cell>
          <cell r="AS339">
            <v>1.1351437210455164</v>
          </cell>
          <cell r="AU339">
            <v>0.54849302906127029</v>
          </cell>
        </row>
        <row r="340">
          <cell r="A340" t="str">
            <v>LS11-D</v>
          </cell>
          <cell r="AS340" t="str">
            <v/>
          </cell>
          <cell r="AU340" t="str">
            <v/>
          </cell>
        </row>
        <row r="341">
          <cell r="A341" t="str">
            <v>K25x33x20</v>
          </cell>
          <cell r="AS341" t="str">
            <v/>
          </cell>
          <cell r="AU341" t="str">
            <v/>
          </cell>
        </row>
        <row r="342">
          <cell r="A342" t="str">
            <v>HD05-2RS</v>
          </cell>
          <cell r="AS342">
            <v>0.55928427382495838</v>
          </cell>
          <cell r="AU342">
            <v>0.2702420140896713</v>
          </cell>
        </row>
        <row r="343">
          <cell r="A343" t="str">
            <v>OL-50-1</v>
          </cell>
          <cell r="AS343">
            <v>0.10810257149903282</v>
          </cell>
          <cell r="AU343">
            <v>5.223436098136118E-2</v>
          </cell>
        </row>
        <row r="344">
          <cell r="A344" t="str">
            <v>SAB209-45LG</v>
          </cell>
          <cell r="AS344" t="str">
            <v/>
          </cell>
          <cell r="AU344" t="str">
            <v/>
          </cell>
        </row>
        <row r="345">
          <cell r="A345" t="str">
            <v>OL-60-1H</v>
          </cell>
          <cell r="AS345">
            <v>0.18935038426785739</v>
          </cell>
          <cell r="AU345">
            <v>9.1492701668944174E-2</v>
          </cell>
        </row>
        <row r="346">
          <cell r="A346" t="str">
            <v>SBX6209-2RSK</v>
          </cell>
          <cell r="AS346">
            <v>3.0058174156411033</v>
          </cell>
          <cell r="AU346">
            <v>1.4523886874796892</v>
          </cell>
        </row>
        <row r="347">
          <cell r="A347" t="str">
            <v>W210-PP4</v>
          </cell>
          <cell r="AS347">
            <v>3.4825368209046248</v>
          </cell>
          <cell r="AU347">
            <v>1.6827359692885906</v>
          </cell>
        </row>
        <row r="348">
          <cell r="A348" t="str">
            <v>F-207-L</v>
          </cell>
          <cell r="AS348" t="str">
            <v/>
          </cell>
          <cell r="AU348" t="str">
            <v/>
          </cell>
        </row>
        <row r="349">
          <cell r="A349" t="str">
            <v>LS00-2RS</v>
          </cell>
          <cell r="AS349">
            <v>0.14765813285334262</v>
          </cell>
          <cell r="AU349">
            <v>7.1347314928251179E-2</v>
          </cell>
        </row>
        <row r="350">
          <cell r="A350" t="str">
            <v>FB-211</v>
          </cell>
          <cell r="AS350">
            <v>2.1746708421195931</v>
          </cell>
          <cell r="AU350">
            <v>1.0507848260014041</v>
          </cell>
        </row>
        <row r="351">
          <cell r="A351" t="str">
            <v>SAB208-40LG</v>
          </cell>
          <cell r="AS351">
            <v>1.127741579468128</v>
          </cell>
          <cell r="AU351">
            <v>0.54491636913702513</v>
          </cell>
        </row>
        <row r="352">
          <cell r="A352" t="str">
            <v>PE-212</v>
          </cell>
          <cell r="AS352">
            <v>4.3178840827159579</v>
          </cell>
          <cell r="AU352">
            <v>2.086369572200943</v>
          </cell>
        </row>
        <row r="353">
          <cell r="A353" t="str">
            <v>MS11-D</v>
          </cell>
          <cell r="AS353">
            <v>1.4511799314848728</v>
          </cell>
          <cell r="AU353">
            <v>0.70119938257681524</v>
          </cell>
        </row>
        <row r="354">
          <cell r="A354" t="str">
            <v>204KYY2</v>
          </cell>
          <cell r="AS354">
            <v>0.99694496347146278</v>
          </cell>
          <cell r="AU354">
            <v>0.48171641412789362</v>
          </cell>
        </row>
        <row r="355">
          <cell r="A355" t="str">
            <v>ECL211-35D</v>
          </cell>
          <cell r="AS355">
            <v>5.4999326053439122</v>
          </cell>
          <cell r="AU355">
            <v>2.657526653593643</v>
          </cell>
        </row>
        <row r="356">
          <cell r="A356" t="str">
            <v>DTR2047-FM</v>
          </cell>
          <cell r="AS356" t="str">
            <v/>
          </cell>
          <cell r="AU356" t="str">
            <v/>
          </cell>
        </row>
        <row r="357">
          <cell r="A357" t="str">
            <v>FB-208-HA</v>
          </cell>
          <cell r="AS357">
            <v>1.7259981349671929</v>
          </cell>
          <cell r="AU357">
            <v>0.83398950075705758</v>
          </cell>
        </row>
        <row r="358">
          <cell r="A358" t="str">
            <v>CA550KL19SE2</v>
          </cell>
          <cell r="AS358">
            <v>10.503393456689343</v>
          </cell>
          <cell r="AU358">
            <v>5.0751618369308336</v>
          </cell>
        </row>
        <row r="359">
          <cell r="A359" t="str">
            <v>GU-2565</v>
          </cell>
          <cell r="AS359">
            <v>1.2417579453455833E-2</v>
          </cell>
          <cell r="AU359">
            <v>6.0000823171199851E-3</v>
          </cell>
        </row>
        <row r="360">
          <cell r="A360" t="str">
            <v>ACL-209-45DG</v>
          </cell>
          <cell r="AS360">
            <v>2.9848389532414679</v>
          </cell>
          <cell r="AU360">
            <v>1.4422520500008456</v>
          </cell>
        </row>
        <row r="361">
          <cell r="A361" t="str">
            <v>22222-CW33C3</v>
          </cell>
          <cell r="AS361">
            <v>14.904603828470927</v>
          </cell>
          <cell r="AU361">
            <v>7.2017940541543339</v>
          </cell>
        </row>
        <row r="362">
          <cell r="A362" t="str">
            <v>SAB208-40DD</v>
          </cell>
          <cell r="AS362">
            <v>1.7704778326522659</v>
          </cell>
          <cell r="AU362">
            <v>0.8554817608671208</v>
          </cell>
        </row>
        <row r="363">
          <cell r="A363" t="str">
            <v>LS08-2RST1</v>
          </cell>
          <cell r="AS363">
            <v>0.9029448046366324</v>
          </cell>
          <cell r="AU363">
            <v>0.43629623437825882</v>
          </cell>
        </row>
        <row r="364">
          <cell r="A364" t="str">
            <v>6208</v>
          </cell>
          <cell r="AS364" t="str">
            <v/>
          </cell>
          <cell r="AU364" t="str">
            <v/>
          </cell>
        </row>
        <row r="365">
          <cell r="A365" t="str">
            <v>MS07-D-C3</v>
          </cell>
          <cell r="AS365">
            <v>0.53432422878595853</v>
          </cell>
          <cell r="AU365">
            <v>0.25818150540242135</v>
          </cell>
        </row>
        <row r="366">
          <cell r="A366" t="str">
            <v>51110</v>
          </cell>
          <cell r="AS366">
            <v>0.59902198194672451</v>
          </cell>
          <cell r="AU366">
            <v>0.28944298000400087</v>
          </cell>
        </row>
        <row r="367">
          <cell r="A367" t="str">
            <v>W208KRRB6</v>
          </cell>
          <cell r="AS367">
            <v>2.5192817790214987</v>
          </cell>
          <cell r="AU367">
            <v>1.2172982754656498</v>
          </cell>
        </row>
        <row r="368">
          <cell r="A368" t="str">
            <v>DISI-EX50</v>
          </cell>
          <cell r="AS368" t="str">
            <v/>
          </cell>
          <cell r="AU368" t="str">
            <v/>
          </cell>
        </row>
        <row r="369">
          <cell r="A369" t="str">
            <v>ACLR208-24RR</v>
          </cell>
          <cell r="AS369" t="str">
            <v/>
          </cell>
          <cell r="AU369" t="str">
            <v/>
          </cell>
        </row>
        <row r="370">
          <cell r="A370" t="str">
            <v>ACL206-19RG</v>
          </cell>
          <cell r="AS370">
            <v>1.841159970238013</v>
          </cell>
          <cell r="AU370">
            <v>0.88963484564939355</v>
          </cell>
        </row>
        <row r="371">
          <cell r="A371" t="str">
            <v>FC-208</v>
          </cell>
          <cell r="AS371">
            <v>1.9727308919118554</v>
          </cell>
          <cell r="AU371">
            <v>0.95320893942035767</v>
          </cell>
        </row>
        <row r="372">
          <cell r="A372" t="str">
            <v>203-KRR12</v>
          </cell>
          <cell r="AS372">
            <v>1.3603007357753458</v>
          </cell>
          <cell r="AU372">
            <v>0.65728722906777803</v>
          </cell>
        </row>
        <row r="373">
          <cell r="A373" t="str">
            <v>51115</v>
          </cell>
          <cell r="AS373">
            <v>1.0649748234917604</v>
          </cell>
          <cell r="AU373">
            <v>0.51458793805684555</v>
          </cell>
        </row>
        <row r="374">
          <cell r="A374" t="str">
            <v>W208-PPB6</v>
          </cell>
          <cell r="AS374" t="str">
            <v/>
          </cell>
          <cell r="AU374" t="str">
            <v/>
          </cell>
        </row>
        <row r="375">
          <cell r="A375" t="str">
            <v>F-205</v>
          </cell>
          <cell r="AS375">
            <v>0.7598983150904991</v>
          </cell>
          <cell r="AU375">
            <v>0.36717723130129609</v>
          </cell>
        </row>
        <row r="376">
          <cell r="A376" t="str">
            <v>5210-2RS-C3</v>
          </cell>
          <cell r="AS376">
            <v>4.1260612514591619</v>
          </cell>
          <cell r="AU376">
            <v>1.9936822024798266</v>
          </cell>
        </row>
        <row r="377">
          <cell r="A377" t="str">
            <v>FT-207</v>
          </cell>
          <cell r="AS377">
            <v>1.0644467748722191</v>
          </cell>
          <cell r="AU377">
            <v>0.51433278887929734</v>
          </cell>
        </row>
        <row r="378">
          <cell r="A378" t="str">
            <v>HD04-2RS</v>
          </cell>
          <cell r="AS378">
            <v>0.41396352441934814</v>
          </cell>
          <cell r="AU378">
            <v>0.20002410551196012</v>
          </cell>
        </row>
        <row r="379">
          <cell r="A379" t="str">
            <v>F-216</v>
          </cell>
          <cell r="AS379">
            <v>11.19689223219638</v>
          </cell>
          <cell r="AU379">
            <v>5.4102553030496363</v>
          </cell>
        </row>
        <row r="380">
          <cell r="A380" t="str">
            <v>BP18016</v>
          </cell>
          <cell r="AS380" t="str">
            <v/>
          </cell>
          <cell r="AU380" t="str">
            <v/>
          </cell>
        </row>
        <row r="381">
          <cell r="A381" t="str">
            <v>51212</v>
          </cell>
          <cell r="AS381">
            <v>1.1841459129641532</v>
          </cell>
          <cell r="AU381">
            <v>0.57217052485126563</v>
          </cell>
        </row>
        <row r="382">
          <cell r="A382" t="str">
            <v>1305-TN-C3</v>
          </cell>
          <cell r="AS382">
            <v>1.4920694959842074</v>
          </cell>
          <cell r="AU382">
            <v>0.72095691695191555</v>
          </cell>
        </row>
        <row r="383">
          <cell r="A383" t="str">
            <v>PE-214</v>
          </cell>
          <cell r="AS383">
            <v>5.0073817758616954</v>
          </cell>
          <cell r="AU383">
            <v>2.4195297449902875</v>
          </cell>
        </row>
        <row r="384">
          <cell r="A384" t="str">
            <v>22222-KMBW33</v>
          </cell>
          <cell r="AS384" t="str">
            <v/>
          </cell>
          <cell r="AU384" t="str">
            <v/>
          </cell>
        </row>
        <row r="385">
          <cell r="A385" t="str">
            <v>GU6008</v>
          </cell>
          <cell r="AS385">
            <v>0.16888929189056065</v>
          </cell>
          <cell r="AU385">
            <v>8.1606053548660948E-2</v>
          </cell>
        </row>
        <row r="386">
          <cell r="A386" t="str">
            <v>MS09-D</v>
          </cell>
          <cell r="AS386">
            <v>2.3661835542731775</v>
          </cell>
          <cell r="AU386">
            <v>1.1433223484713422</v>
          </cell>
        </row>
        <row r="387">
          <cell r="A387" t="str">
            <v>HK-3016</v>
          </cell>
          <cell r="AS387">
            <v>0.40433136559283417</v>
          </cell>
          <cell r="AU387">
            <v>0.19536991778823481</v>
          </cell>
        </row>
        <row r="388">
          <cell r="A388" t="str">
            <v>F-211</v>
          </cell>
          <cell r="AS388">
            <v>2.5341126449948463</v>
          </cell>
          <cell r="AU388">
            <v>1.2244644399349653</v>
          </cell>
        </row>
        <row r="389">
          <cell r="A389" t="str">
            <v>ECL-211-32</v>
          </cell>
          <cell r="AS389" t="str">
            <v/>
          </cell>
          <cell r="AU389" t="str">
            <v/>
          </cell>
        </row>
        <row r="390">
          <cell r="A390" t="str">
            <v>6307</v>
          </cell>
          <cell r="AS390" t="str">
            <v/>
          </cell>
          <cell r="AU390" t="str">
            <v/>
          </cell>
        </row>
        <row r="391">
          <cell r="A391" t="str">
            <v>CL-160-1H</v>
          </cell>
          <cell r="AS391">
            <v>2.7952897065865034</v>
          </cell>
          <cell r="AU391">
            <v>1.3506632595009911</v>
          </cell>
        </row>
        <row r="392">
          <cell r="A392" t="str">
            <v>PFL-6-ZM</v>
          </cell>
          <cell r="AS392">
            <v>0.32762541520705535</v>
          </cell>
          <cell r="AU392">
            <v>0.15830617132680122</v>
          </cell>
        </row>
        <row r="393">
          <cell r="A393" t="str">
            <v>6008-2RST</v>
          </cell>
          <cell r="AS393">
            <v>0.57546797467387412</v>
          </cell>
          <cell r="AU393">
            <v>0.27806185833976105</v>
          </cell>
        </row>
        <row r="394">
          <cell r="A394" t="str">
            <v>PFF-11-Z</v>
          </cell>
          <cell r="AS394">
            <v>1.789670813867984</v>
          </cell>
          <cell r="AU394">
            <v>0.86475566707701401</v>
          </cell>
        </row>
        <row r="395">
          <cell r="A395" t="str">
            <v>MS02-2RLD-C3</v>
          </cell>
          <cell r="AS395" t="str">
            <v/>
          </cell>
          <cell r="AU395" t="str">
            <v/>
          </cell>
        </row>
        <row r="396">
          <cell r="A396" t="str">
            <v>CL-60-1H</v>
          </cell>
          <cell r="AS396">
            <v>0.1246015640311548</v>
          </cell>
          <cell r="AU396">
            <v>6.0206551834927999E-2</v>
          </cell>
        </row>
        <row r="397">
          <cell r="A397" t="str">
            <v>HD10-2RS</v>
          </cell>
          <cell r="AS397">
            <v>2.2387416773278082</v>
          </cell>
          <cell r="AU397">
            <v>1.0817433784968287</v>
          </cell>
        </row>
        <row r="398">
          <cell r="A398" t="str">
            <v>ACL205-16RR</v>
          </cell>
          <cell r="AS398">
            <v>1.3687836196333885</v>
          </cell>
          <cell r="AU398">
            <v>0.66138609564846729</v>
          </cell>
        </row>
        <row r="399">
          <cell r="A399" t="str">
            <v>MS06-D-C3</v>
          </cell>
          <cell r="AS399">
            <v>0.37929393946909984</v>
          </cell>
          <cell r="AU399">
            <v>0.18327201913461214</v>
          </cell>
        </row>
        <row r="400">
          <cell r="A400" t="str">
            <v>FT-206</v>
          </cell>
          <cell r="AS400">
            <v>1.0916867691604948</v>
          </cell>
          <cell r="AU400">
            <v>0.52749495213826048</v>
          </cell>
        </row>
        <row r="401">
          <cell r="A401" t="str">
            <v>609-2RLD</v>
          </cell>
          <cell r="AS401">
            <v>0.1248131179951472</v>
          </cell>
          <cell r="AU401">
            <v>6.0308773141683085E-2</v>
          </cell>
        </row>
        <row r="402">
          <cell r="A402" t="str">
            <v>Ball-7/16</v>
          </cell>
          <cell r="AS402">
            <v>1.3867742442626679E-2</v>
          </cell>
          <cell r="AU402">
            <v>6.7007903207111615E-3</v>
          </cell>
        </row>
        <row r="403">
          <cell r="A403" t="str">
            <v>6208-2RSTKU3</v>
          </cell>
          <cell r="AS403">
            <v>1.1980374233831013</v>
          </cell>
          <cell r="AU403">
            <v>0.57888279968189871</v>
          </cell>
        </row>
        <row r="404">
          <cell r="A404" t="str">
            <v>22218-CW33C3</v>
          </cell>
          <cell r="AS404">
            <v>15.110875241020549</v>
          </cell>
          <cell r="AU404">
            <v>7.3014628712217302</v>
          </cell>
        </row>
        <row r="405">
          <cell r="A405" t="str">
            <v>PFT-5-ZM</v>
          </cell>
          <cell r="AS405" t="str">
            <v/>
          </cell>
          <cell r="AU405" t="str">
            <v/>
          </cell>
        </row>
        <row r="406">
          <cell r="A406" t="str">
            <v>SAB-216-80DG</v>
          </cell>
          <cell r="AS406">
            <v>9.3159175008162922</v>
          </cell>
          <cell r="AU406">
            <v>4.5013822600378379</v>
          </cell>
        </row>
        <row r="407">
          <cell r="A407" t="str">
            <v>SS-MS04-2RS</v>
          </cell>
          <cell r="AS407" t="str">
            <v/>
          </cell>
          <cell r="AU407" t="str">
            <v/>
          </cell>
        </row>
        <row r="408">
          <cell r="A408" t="str">
            <v>HA-210</v>
          </cell>
          <cell r="AS408">
            <v>2.4862655967877405</v>
          </cell>
          <cell r="AU408">
            <v>1.2013451010211367</v>
          </cell>
        </row>
        <row r="409">
          <cell r="A409" t="str">
            <v>POSB-10-Der.</v>
          </cell>
          <cell r="AS409">
            <v>1.6632623592125375</v>
          </cell>
          <cell r="AU409">
            <v>0.80367603909029506</v>
          </cell>
        </row>
        <row r="410">
          <cell r="A410" t="str">
            <v>FT-204</v>
          </cell>
          <cell r="AS410">
            <v>0.74149001495445077</v>
          </cell>
          <cell r="AU410">
            <v>0.35828247717078782</v>
          </cell>
        </row>
        <row r="411">
          <cell r="A411" t="str">
            <v>ECL212-39D</v>
          </cell>
          <cell r="AS411">
            <v>7.1908680203227098</v>
          </cell>
          <cell r="AU411">
            <v>3.4745741080379666</v>
          </cell>
        </row>
        <row r="412">
          <cell r="A412" t="str">
            <v>3215</v>
          </cell>
          <cell r="AS412" t="str">
            <v/>
          </cell>
          <cell r="AU412" t="str">
            <v/>
          </cell>
        </row>
        <row r="413">
          <cell r="A413" t="str">
            <v>MS00-2RST</v>
          </cell>
          <cell r="AS413">
            <v>0.2013441627972149</v>
          </cell>
          <cell r="AU413">
            <v>9.7288006521970394E-2</v>
          </cell>
        </row>
        <row r="414">
          <cell r="A414" t="str">
            <v>MS08-2RST</v>
          </cell>
          <cell r="AS414" t="str">
            <v/>
          </cell>
          <cell r="AU414" t="str">
            <v/>
          </cell>
        </row>
        <row r="415">
          <cell r="A415" t="str">
            <v>PFT-7-ZM</v>
          </cell>
          <cell r="AS415">
            <v>0.47347005028783695</v>
          </cell>
          <cell r="AU415">
            <v>0.22877721757820882</v>
          </cell>
        </row>
        <row r="416">
          <cell r="A416" t="str">
            <v>HD00-2RS</v>
          </cell>
          <cell r="AS416">
            <v>0.14818877714647372</v>
          </cell>
          <cell r="AU416">
            <v>7.1603718316031434E-2</v>
          </cell>
        </row>
        <row r="417">
          <cell r="A417" t="str">
            <v>DISI-EX150</v>
          </cell>
          <cell r="AS417" t="str">
            <v/>
          </cell>
          <cell r="AU417" t="str">
            <v/>
          </cell>
        </row>
        <row r="418">
          <cell r="A418" t="str">
            <v>PFT-6-Z</v>
          </cell>
          <cell r="AS418">
            <v>0.43920556828994017</v>
          </cell>
          <cell r="AU418">
            <v>0.21222087394364961</v>
          </cell>
        </row>
        <row r="419">
          <cell r="A419" t="str">
            <v>ECL-206-30MM</v>
          </cell>
          <cell r="AS419">
            <v>1.3501166418752486</v>
          </cell>
          <cell r="AU419">
            <v>0.65236635040902635</v>
          </cell>
        </row>
        <row r="420">
          <cell r="A420" t="str">
            <v>PFF-11-ZM</v>
          </cell>
          <cell r="AS420">
            <v>1.1725176235240855</v>
          </cell>
          <cell r="AU420">
            <v>0.56655182161612871</v>
          </cell>
        </row>
        <row r="421">
          <cell r="A421" t="str">
            <v>LS03-2RS</v>
          </cell>
          <cell r="AS421">
            <v>0.16400548787963595</v>
          </cell>
          <cell r="AU421">
            <v>7.9246235663374631E-2</v>
          </cell>
        </row>
        <row r="422">
          <cell r="A422" t="str">
            <v>HD02-2RLD</v>
          </cell>
          <cell r="AS422">
            <v>0.2833157972106547</v>
          </cell>
          <cell r="AU422">
            <v>0.13689609246118498</v>
          </cell>
        </row>
        <row r="423">
          <cell r="A423" t="str">
            <v>NK-4520</v>
          </cell>
          <cell r="AS423" t="str">
            <v/>
          </cell>
          <cell r="AU423" t="str">
            <v/>
          </cell>
        </row>
        <row r="424">
          <cell r="A424" t="str">
            <v>LOC207-35</v>
          </cell>
          <cell r="AS424" t="str">
            <v/>
          </cell>
          <cell r="AU424" t="str">
            <v/>
          </cell>
        </row>
        <row r="425">
          <cell r="A425" t="str">
            <v>AG3565-DC</v>
          </cell>
          <cell r="AS425">
            <v>2.8914916336879606</v>
          </cell>
          <cell r="AU425">
            <v>1.3971473173512252</v>
          </cell>
        </row>
        <row r="426">
          <cell r="A426" t="str">
            <v>CL-50-1</v>
          </cell>
          <cell r="AS426">
            <v>5.1853957867329714E-2</v>
          </cell>
          <cell r="AU426">
            <v>2.5055447950917863E-2</v>
          </cell>
        </row>
        <row r="427">
          <cell r="A427" t="str">
            <v>CL-80-1-H</v>
          </cell>
          <cell r="AS427">
            <v>0.26566729275586498</v>
          </cell>
          <cell r="AU427">
            <v>0.12836846597007148</v>
          </cell>
        </row>
        <row r="428">
          <cell r="A428" t="str">
            <v>6303-2RST</v>
          </cell>
          <cell r="AS428" t="str">
            <v/>
          </cell>
          <cell r="AU428" t="str">
            <v/>
          </cell>
        </row>
        <row r="429">
          <cell r="A429" t="str">
            <v>UEL-309-TRL</v>
          </cell>
          <cell r="AS429" t="str">
            <v/>
          </cell>
          <cell r="AU429" t="str">
            <v/>
          </cell>
        </row>
        <row r="430">
          <cell r="A430" t="str">
            <v>T-206</v>
          </cell>
          <cell r="AS430">
            <v>1.4302854782699299</v>
          </cell>
          <cell r="AU430">
            <v>0.69110333771309751</v>
          </cell>
        </row>
        <row r="431">
          <cell r="A431" t="str">
            <v>PA-209</v>
          </cell>
          <cell r="AS431">
            <v>1.6719487989511179</v>
          </cell>
          <cell r="AU431">
            <v>0.80787326236311907</v>
          </cell>
        </row>
        <row r="432">
          <cell r="A432" t="str">
            <v>ACLR-207-35m</v>
          </cell>
          <cell r="AS432">
            <v>1.9684610346881581</v>
          </cell>
          <cell r="AU432">
            <v>0.95114577607032147</v>
          </cell>
        </row>
        <row r="433">
          <cell r="A433" t="str">
            <v>SAB205-25LG</v>
          </cell>
          <cell r="AS433" t="str">
            <v/>
          </cell>
          <cell r="AU433" t="str">
            <v/>
          </cell>
        </row>
        <row r="434">
          <cell r="A434" t="str">
            <v>ECL-207-22-D</v>
          </cell>
          <cell r="AS434">
            <v>2.1650244923549229</v>
          </cell>
          <cell r="AU434">
            <v>1.0461237813215858</v>
          </cell>
        </row>
        <row r="435">
          <cell r="A435" t="str">
            <v>51105</v>
          </cell>
          <cell r="AS435">
            <v>0.22460821457248381</v>
          </cell>
          <cell r="AU435">
            <v>0.10852902383976236</v>
          </cell>
        </row>
        <row r="436">
          <cell r="A436" t="str">
            <v>ECL-204-20DG</v>
          </cell>
          <cell r="AS436">
            <v>1.3644801570980429</v>
          </cell>
          <cell r="AU436">
            <v>0.65930669446102186</v>
          </cell>
        </row>
        <row r="437">
          <cell r="A437" t="str">
            <v>22209-CW33C3</v>
          </cell>
          <cell r="AS437">
            <v>2.8056176429239099</v>
          </cell>
          <cell r="AU437">
            <v>1.3556536417588769</v>
          </cell>
        </row>
        <row r="438">
          <cell r="A438" t="str">
            <v>ASL-207-35MM</v>
          </cell>
          <cell r="AS438">
            <v>1.3001008539962513</v>
          </cell>
          <cell r="AU438">
            <v>0.6281990925666715</v>
          </cell>
        </row>
        <row r="439">
          <cell r="A439" t="str">
            <v>H-322</v>
          </cell>
          <cell r="AS439" t="str">
            <v/>
          </cell>
          <cell r="AU439" t="str">
            <v/>
          </cell>
        </row>
        <row r="440">
          <cell r="A440" t="str">
            <v>ACL207-20RG</v>
          </cell>
          <cell r="AS440">
            <v>2.6404603865739422</v>
          </cell>
          <cell r="AU440">
            <v>1.2758508801108563</v>
          </cell>
        </row>
        <row r="441">
          <cell r="A441" t="str">
            <v>G-210-KYYB2</v>
          </cell>
          <cell r="AS441">
            <v>3.4273432059829703</v>
          </cell>
          <cell r="AU441">
            <v>1.6560668238121599</v>
          </cell>
        </row>
        <row r="442">
          <cell r="A442" t="str">
            <v>LS26-2RS</v>
          </cell>
          <cell r="AS442">
            <v>7.024236255979992</v>
          </cell>
          <cell r="AU442">
            <v>3.3940588750611407</v>
          </cell>
        </row>
        <row r="443">
          <cell r="A443" t="str">
            <v>PF-5-ZM</v>
          </cell>
          <cell r="AS443">
            <v>0.40828839982845178</v>
          </cell>
          <cell r="AU443">
            <v>0.19728192738997405</v>
          </cell>
        </row>
        <row r="444">
          <cell r="A444" t="str">
            <v>ECL205-16DD</v>
          </cell>
          <cell r="AS444">
            <v>1.3236229170044871</v>
          </cell>
          <cell r="AU444">
            <v>0.63956477899911213</v>
          </cell>
        </row>
        <row r="445">
          <cell r="A445" t="str">
            <v>5205-2RST</v>
          </cell>
          <cell r="AS445">
            <v>0.79719569221654163</v>
          </cell>
          <cell r="AU445">
            <v>0.3851990473732394</v>
          </cell>
        </row>
        <row r="446">
          <cell r="A446" t="str">
            <v>ECL206-20DG</v>
          </cell>
          <cell r="AS446">
            <v>1.8408297570105179</v>
          </cell>
          <cell r="AU446">
            <v>0.88947528906635742</v>
          </cell>
        </row>
        <row r="447">
          <cell r="A447" t="str">
            <v>MS16-2RS</v>
          </cell>
          <cell r="AS447">
            <v>3.1921267926432129</v>
          </cell>
          <cell r="AU447">
            <v>1.5424119969865107</v>
          </cell>
        </row>
        <row r="448">
          <cell r="A448" t="str">
            <v>22220-CKW33C</v>
          </cell>
          <cell r="AS448">
            <v>13.098949470963563</v>
          </cell>
          <cell r="AU448">
            <v>6.3293152573067362</v>
          </cell>
        </row>
        <row r="449">
          <cell r="A449" t="str">
            <v>HD11-2RS</v>
          </cell>
          <cell r="AS449">
            <v>3.0915079365135485</v>
          </cell>
          <cell r="AU449">
            <v>1.49379371178082</v>
          </cell>
        </row>
        <row r="450">
          <cell r="A450" t="str">
            <v>SABF207-35L</v>
          </cell>
          <cell r="AS450" t="str">
            <v/>
          </cell>
          <cell r="AU450" t="str">
            <v/>
          </cell>
        </row>
        <row r="451">
          <cell r="A451" t="str">
            <v>W208-PP6</v>
          </cell>
          <cell r="AS451" t="str">
            <v/>
          </cell>
          <cell r="AU451" t="str">
            <v/>
          </cell>
        </row>
        <row r="452">
          <cell r="A452" t="str">
            <v>22213CW33C3</v>
          </cell>
          <cell r="AS452">
            <v>5.4198625037917205</v>
          </cell>
          <cell r="AU452">
            <v>2.6188373742333564</v>
          </cell>
        </row>
        <row r="453">
          <cell r="A453" t="str">
            <v>LS06-D</v>
          </cell>
          <cell r="AS453">
            <v>0.25135283177260859</v>
          </cell>
          <cell r="AU453">
            <v>0.12145182456288982</v>
          </cell>
        </row>
        <row r="454">
          <cell r="A454" t="str">
            <v>PFL-6-Z</v>
          </cell>
          <cell r="AS454">
            <v>0.46864468796648195</v>
          </cell>
          <cell r="AU454">
            <v>0.22644563828398481</v>
          </cell>
        </row>
        <row r="455">
          <cell r="A455" t="str">
            <v>84195972</v>
          </cell>
          <cell r="AS455">
            <v>13.911079137759886</v>
          </cell>
          <cell r="AU455">
            <v>6.721730290463384</v>
          </cell>
        </row>
        <row r="456">
          <cell r="A456" t="str">
            <v>ECL-310-50</v>
          </cell>
          <cell r="AS456">
            <v>7.5659202518715167</v>
          </cell>
          <cell r="AU456">
            <v>3.6557965653572237</v>
          </cell>
        </row>
        <row r="457">
          <cell r="A457" t="str">
            <v>W-209-YYB2</v>
          </cell>
          <cell r="AS457">
            <v>1.4396450123251825</v>
          </cell>
          <cell r="AU457">
            <v>0.69562579516882772</v>
          </cell>
        </row>
        <row r="458">
          <cell r="A458" t="str">
            <v>PFF-9-Z</v>
          </cell>
          <cell r="AS458">
            <v>1.1845623830206171</v>
          </cell>
          <cell r="AU458">
            <v>0.57237176009447588</v>
          </cell>
        </row>
        <row r="459">
          <cell r="A459" t="str">
            <v>HA-208</v>
          </cell>
          <cell r="AS459">
            <v>1.8506166779787498</v>
          </cell>
          <cell r="AU459">
            <v>0.89420425670941894</v>
          </cell>
        </row>
        <row r="460">
          <cell r="A460" t="str">
            <v>12025rollers</v>
          </cell>
          <cell r="AS460">
            <v>1.6307193902805068</v>
          </cell>
          <cell r="AU460">
            <v>0.78795151780435946</v>
          </cell>
        </row>
        <row r="461">
          <cell r="A461" t="str">
            <v>ASA-40-2</v>
          </cell>
          <cell r="AS461">
            <v>0.53084356059956461</v>
          </cell>
          <cell r="AU461">
            <v>0.2564996723434726</v>
          </cell>
        </row>
        <row r="462">
          <cell r="A462" t="str">
            <v>OL-60-1</v>
          </cell>
          <cell r="AS462">
            <v>0.14872180219321066</v>
          </cell>
          <cell r="AU462">
            <v>7.1861272066301038E-2</v>
          </cell>
        </row>
        <row r="463">
          <cell r="A463" t="str">
            <v>OL-100-2</v>
          </cell>
          <cell r="AS463">
            <v>1.5421034654855736</v>
          </cell>
          <cell r="AU463">
            <v>0.74513296001938478</v>
          </cell>
        </row>
        <row r="464">
          <cell r="A464" t="str">
            <v>5205-2RS</v>
          </cell>
          <cell r="AS464">
            <v>0.99154358464780767</v>
          </cell>
          <cell r="AU464">
            <v>0.47910650793084814</v>
          </cell>
        </row>
        <row r="465">
          <cell r="A465" t="str">
            <v>LS09-2RS</v>
          </cell>
          <cell r="AS465">
            <v>0.72043953048363274</v>
          </cell>
          <cell r="AU465">
            <v>0.3481110391611833</v>
          </cell>
        </row>
        <row r="466">
          <cell r="A466" t="str">
            <v>DTR2552-FM</v>
          </cell>
          <cell r="AS466">
            <v>3.6411491250921677</v>
          </cell>
          <cell r="AU466">
            <v>1.7593762585817245</v>
          </cell>
        </row>
        <row r="467">
          <cell r="A467" t="str">
            <v>608-2RS</v>
          </cell>
          <cell r="AS467">
            <v>0.13521048881561015</v>
          </cell>
          <cell r="AU467">
            <v>6.5332705626933843E-2</v>
          </cell>
        </row>
        <row r="468">
          <cell r="A468" t="str">
            <v>TA-3820-Z</v>
          </cell>
          <cell r="AS468" t="str">
            <v/>
          </cell>
          <cell r="AU468" t="str">
            <v/>
          </cell>
        </row>
        <row r="469">
          <cell r="A469" t="str">
            <v>LS01-2RS</v>
          </cell>
          <cell r="AS469">
            <v>0.1498168315408781</v>
          </cell>
          <cell r="AU469">
            <v>7.2390382127589067E-2</v>
          </cell>
        </row>
        <row r="470">
          <cell r="A470" t="str">
            <v>1635-2RLD</v>
          </cell>
          <cell r="AS470">
            <v>0.5763309634300452</v>
          </cell>
          <cell r="AU470">
            <v>0.27847884810778983</v>
          </cell>
        </row>
        <row r="471">
          <cell r="A471" t="str">
            <v>6306</v>
          </cell>
          <cell r="AS471">
            <v>0.67522873951807205</v>
          </cell>
          <cell r="AU471">
            <v>0.32626552019895316</v>
          </cell>
        </row>
        <row r="472">
          <cell r="A472" t="str">
            <v>OL-100-3</v>
          </cell>
          <cell r="AS472">
            <v>2.4597908157609076</v>
          </cell>
          <cell r="AU472">
            <v>1.1885526831361424</v>
          </cell>
        </row>
        <row r="473">
          <cell r="A473" t="str">
            <v>FD-205</v>
          </cell>
          <cell r="AS473">
            <v>0.82123513504848922</v>
          </cell>
          <cell r="AU473">
            <v>0.39681472790019129</v>
          </cell>
        </row>
        <row r="474">
          <cell r="A474" t="str">
            <v>OL-40-1</v>
          </cell>
          <cell r="AS474">
            <v>7.9892690072082564E-2</v>
          </cell>
          <cell r="AU474">
            <v>3.8603555448581607E-2</v>
          </cell>
        </row>
        <row r="475">
          <cell r="A475" t="str">
            <v>OL-80-1</v>
          </cell>
          <cell r="AS475">
            <v>0.44136105983898166</v>
          </cell>
          <cell r="AU475">
            <v>0.21326239147744772</v>
          </cell>
        </row>
        <row r="476">
          <cell r="A476" t="str">
            <v>ASA-120-1</v>
          </cell>
          <cell r="AS476">
            <v>3.0205676507846237</v>
          </cell>
          <cell r="AU476">
            <v>1.4595158917299</v>
          </cell>
        </row>
        <row r="477">
          <cell r="A477" t="str">
            <v>UC-216-DBL</v>
          </cell>
          <cell r="AS477" t="str">
            <v/>
          </cell>
          <cell r="AU477" t="str">
            <v/>
          </cell>
        </row>
        <row r="478">
          <cell r="A478" t="str">
            <v>P-214-L</v>
          </cell>
          <cell r="AS478">
            <v>3.3030651207929647</v>
          </cell>
          <cell r="AU478">
            <v>1.5960165745547201</v>
          </cell>
        </row>
        <row r="479">
          <cell r="A479" t="str">
            <v>LS13-2RS</v>
          </cell>
          <cell r="AS479">
            <v>1.2107737599290849</v>
          </cell>
          <cell r="AU479">
            <v>0.58503690306258438</v>
          </cell>
        </row>
        <row r="480">
          <cell r="A480" t="str">
            <v>6312-2RS</v>
          </cell>
          <cell r="AS480">
            <v>3.706309267542983</v>
          </cell>
          <cell r="AU480">
            <v>1.7908611562596974</v>
          </cell>
        </row>
        <row r="481">
          <cell r="A481" t="str">
            <v>ACLR206-20RR</v>
          </cell>
          <cell r="AS481">
            <v>1.8717417011835256</v>
          </cell>
          <cell r="AU481">
            <v>0.90441171128257658</v>
          </cell>
        </row>
        <row r="482">
          <cell r="A482" t="str">
            <v>W208KPP53</v>
          </cell>
          <cell r="AS482">
            <v>2.6880534668232157</v>
          </cell>
          <cell r="AU482">
            <v>1.2988475035906011</v>
          </cell>
        </row>
        <row r="483">
          <cell r="A483" t="str">
            <v>LS02-2RLD</v>
          </cell>
          <cell r="AS483">
            <v>0.18199085153524255</v>
          </cell>
          <cell r="AU483">
            <v>8.7936630022554266E-2</v>
          </cell>
        </row>
        <row r="484">
          <cell r="A484" t="str">
            <v>PE-204</v>
          </cell>
          <cell r="AS484">
            <v>1.0011709803262736</v>
          </cell>
          <cell r="AU484">
            <v>0.48375839413675475</v>
          </cell>
        </row>
        <row r="485">
          <cell r="A485" t="str">
            <v>CL-40-1</v>
          </cell>
          <cell r="AS485">
            <v>4.0580839934245778E-2</v>
          </cell>
          <cell r="AU485">
            <v>1.9608360954403346E-2</v>
          </cell>
        </row>
        <row r="486">
          <cell r="A486" t="str">
            <v>ORAE-35-2RST</v>
          </cell>
          <cell r="AS486">
            <v>1.1022688407131549</v>
          </cell>
          <cell r="AU486">
            <v>0.53260813064777623</v>
          </cell>
        </row>
        <row r="487">
          <cell r="A487" t="str">
            <v>SET-80</v>
          </cell>
          <cell r="AS487" t="str">
            <v/>
          </cell>
          <cell r="AU487" t="str">
            <v/>
          </cell>
        </row>
        <row r="488">
          <cell r="A488" t="str">
            <v>UK-208</v>
          </cell>
          <cell r="AS488">
            <v>1.4972442449247436</v>
          </cell>
          <cell r="AU488">
            <v>0.72345731726987017</v>
          </cell>
        </row>
        <row r="489">
          <cell r="A489" t="str">
            <v>HD03-2RS</v>
          </cell>
          <cell r="AS489">
            <v>0.30053998074880006</v>
          </cell>
          <cell r="AU489">
            <v>0.1452186902316622</v>
          </cell>
        </row>
        <row r="490">
          <cell r="A490" t="str">
            <v>PF-5-Z</v>
          </cell>
          <cell r="AS490">
            <v>0.31982481008307778</v>
          </cell>
          <cell r="AU490">
            <v>0.15453697677140116</v>
          </cell>
        </row>
        <row r="491">
          <cell r="A491" t="str">
            <v>SAB208-24DG</v>
          </cell>
          <cell r="AS491">
            <v>2.4695415721658796</v>
          </cell>
          <cell r="AU491">
            <v>1.1932641763303924</v>
          </cell>
        </row>
        <row r="492">
          <cell r="A492" t="str">
            <v>POSB-12-Der.</v>
          </cell>
          <cell r="AS492">
            <v>3.196514633025449</v>
          </cell>
          <cell r="AU492">
            <v>1.5445321689239226</v>
          </cell>
        </row>
        <row r="493">
          <cell r="A493" t="str">
            <v>CL-100-2</v>
          </cell>
          <cell r="AS493">
            <v>0.80479672385004397</v>
          </cell>
          <cell r="AU493">
            <v>0.38887180949785416</v>
          </cell>
        </row>
        <row r="494">
          <cell r="A494" t="str">
            <v>FT-208</v>
          </cell>
          <cell r="AS494">
            <v>1.2510045275781116</v>
          </cell>
          <cell r="AU494">
            <v>0.60447611168451187</v>
          </cell>
        </row>
        <row r="495">
          <cell r="A495" t="str">
            <v>SAB206-30LG</v>
          </cell>
          <cell r="AS495">
            <v>0.67719725260858676</v>
          </cell>
          <cell r="AU495">
            <v>0.32721669112801294</v>
          </cell>
        </row>
        <row r="496">
          <cell r="A496" t="str">
            <v>HD01-2RLD</v>
          </cell>
          <cell r="AS496" t="str">
            <v/>
          </cell>
          <cell r="AU496" t="str">
            <v/>
          </cell>
        </row>
        <row r="497">
          <cell r="A497" t="str">
            <v>EX50-LENS</v>
          </cell>
          <cell r="AS497" t="str">
            <v/>
          </cell>
          <cell r="AU497" t="str">
            <v/>
          </cell>
        </row>
        <row r="498">
          <cell r="A498" t="str">
            <v>SABP-214-70L</v>
          </cell>
          <cell r="AS498" t="str">
            <v/>
          </cell>
          <cell r="AU498" t="str">
            <v/>
          </cell>
        </row>
        <row r="499">
          <cell r="A499" t="str">
            <v>TB-2146W39</v>
          </cell>
          <cell r="AS499">
            <v>4.5417939916980714</v>
          </cell>
          <cell r="AU499">
            <v>2.1945611799572862</v>
          </cell>
        </row>
        <row r="500">
          <cell r="A500" t="str">
            <v>PHSB-6</v>
          </cell>
          <cell r="AS500">
            <v>1.395052261451013</v>
          </cell>
          <cell r="AU500">
            <v>0.67407890859606823</v>
          </cell>
        </row>
        <row r="501">
          <cell r="A501" t="str">
            <v>22211-CW33C3</v>
          </cell>
          <cell r="AS501">
            <v>4.2420238075075574</v>
          </cell>
          <cell r="AU501">
            <v>2.0497144497146436</v>
          </cell>
        </row>
        <row r="502">
          <cell r="A502" t="str">
            <v>SABF205-25L</v>
          </cell>
          <cell r="AS502" t="str">
            <v/>
          </cell>
          <cell r="AU502" t="str">
            <v/>
          </cell>
        </row>
        <row r="503">
          <cell r="A503" t="str">
            <v>NK-2930</v>
          </cell>
          <cell r="AS503">
            <v>0.91141019538617707</v>
          </cell>
          <cell r="AU503">
            <v>0.44038664841863112</v>
          </cell>
        </row>
        <row r="504">
          <cell r="A504" t="str">
            <v>DAC-35720033</v>
          </cell>
          <cell r="AS504">
            <v>2.3897700834276443</v>
          </cell>
          <cell r="AU504">
            <v>1.1547191844676334</v>
          </cell>
        </row>
        <row r="505">
          <cell r="A505" t="str">
            <v>OL-80-2</v>
          </cell>
          <cell r="AS505">
            <v>0.98946342328141368</v>
          </cell>
          <cell r="AU505">
            <v>0.47810138938274144</v>
          </cell>
        </row>
        <row r="506">
          <cell r="A506" t="str">
            <v>G-207-KYY2</v>
          </cell>
          <cell r="AS506">
            <v>1.8210946028876822</v>
          </cell>
          <cell r="AU506">
            <v>0.87993940892788891</v>
          </cell>
        </row>
        <row r="507">
          <cell r="A507" t="str">
            <v>Ball-3/8</v>
          </cell>
          <cell r="AS507">
            <v>1.3903686167148098E-2</v>
          </cell>
          <cell r="AU507">
            <v>6.7181580618817143E-3</v>
          </cell>
        </row>
        <row r="508">
          <cell r="A508" t="str">
            <v>BP-17007</v>
          </cell>
          <cell r="AS508" t="str">
            <v/>
          </cell>
          <cell r="AU508" t="str">
            <v/>
          </cell>
        </row>
        <row r="509">
          <cell r="A509" t="str">
            <v>22310CKW33C3</v>
          </cell>
          <cell r="AS509">
            <v>12.926469424333394</v>
          </cell>
          <cell r="AU509">
            <v>6.2459741776928919</v>
          </cell>
        </row>
        <row r="510">
          <cell r="A510" t="str">
            <v>LF-206</v>
          </cell>
          <cell r="AS510">
            <v>0.98518138897931551</v>
          </cell>
          <cell r="AU510">
            <v>0.47603234215871343</v>
          </cell>
        </row>
        <row r="511">
          <cell r="A511" t="str">
            <v>UC-314-DBL</v>
          </cell>
          <cell r="AS511">
            <v>10.478812883209786</v>
          </cell>
          <cell r="AU511">
            <v>5.0632846860873721</v>
          </cell>
        </row>
        <row r="512">
          <cell r="A512" t="str">
            <v>1307-TN-C3</v>
          </cell>
          <cell r="AS512">
            <v>1.4409479926938049</v>
          </cell>
          <cell r="AU512">
            <v>0.69625538562151046</v>
          </cell>
        </row>
        <row r="513">
          <cell r="A513" t="str">
            <v>BALL-1/4</v>
          </cell>
          <cell r="AS513" t="str">
            <v/>
          </cell>
          <cell r="AU513" t="str">
            <v/>
          </cell>
        </row>
        <row r="514">
          <cell r="A514" t="str">
            <v>LS09-2RST</v>
          </cell>
          <cell r="AS514">
            <v>1.0017720889569588</v>
          </cell>
          <cell r="AU514">
            <v>0.4840488453699569</v>
          </cell>
        </row>
        <row r="515">
          <cell r="A515" t="str">
            <v>BALL-1/2</v>
          </cell>
          <cell r="AS515">
            <v>3.0576982223163504E-2</v>
          </cell>
          <cell r="AU515">
            <v>1.4774571085755125E-2</v>
          </cell>
        </row>
        <row r="516">
          <cell r="A516" t="str">
            <v>CL-60-1</v>
          </cell>
          <cell r="AS516">
            <v>9.9376151581860139E-2</v>
          </cell>
          <cell r="AU516">
            <v>4.8017819582689497E-2</v>
          </cell>
        </row>
        <row r="517">
          <cell r="A517" t="str">
            <v>LS02-2RS</v>
          </cell>
          <cell r="AS517">
            <v>0.142536051505739</v>
          </cell>
          <cell r="AU517">
            <v>6.8872363200678105E-2</v>
          </cell>
        </row>
        <row r="518">
          <cell r="A518" t="str">
            <v>1309-TN-C3</v>
          </cell>
          <cell r="AS518">
            <v>2.3668877755690922</v>
          </cell>
          <cell r="AU518">
            <v>1.1436626229798159</v>
          </cell>
        </row>
        <row r="519">
          <cell r="A519" t="str">
            <v>SAB207-35LG</v>
          </cell>
          <cell r="AS519">
            <v>1.5994955078022453</v>
          </cell>
          <cell r="AU519">
            <v>0.77286436931202496</v>
          </cell>
        </row>
        <row r="520">
          <cell r="A520" t="str">
            <v>FB-210</v>
          </cell>
          <cell r="AS520">
            <v>1.9986241770322619</v>
          </cell>
          <cell r="AU520">
            <v>0.96572038279508565</v>
          </cell>
        </row>
        <row r="521">
          <cell r="A521" t="str">
            <v>LF-203</v>
          </cell>
          <cell r="AS521">
            <v>0.58417865039564887</v>
          </cell>
          <cell r="AU521">
            <v>0.28227079225995771</v>
          </cell>
        </row>
        <row r="522">
          <cell r="A522" t="str">
            <v>2205-TN-C3</v>
          </cell>
          <cell r="AS522">
            <v>1.3282808201208141</v>
          </cell>
          <cell r="AU522">
            <v>0.64181544324715556</v>
          </cell>
        </row>
        <row r="523">
          <cell r="A523" t="str">
            <v>F-209-L</v>
          </cell>
          <cell r="AS523" t="str">
            <v/>
          </cell>
          <cell r="AU523" t="str">
            <v/>
          </cell>
        </row>
        <row r="524">
          <cell r="A524" t="str">
            <v>MS13-2RS</v>
          </cell>
          <cell r="AS524">
            <v>2.2430566044517826</v>
          </cell>
          <cell r="AU524">
            <v>1.0838283192884914</v>
          </cell>
        </row>
        <row r="525">
          <cell r="A525" t="str">
            <v>32215-MX</v>
          </cell>
          <cell r="AS525">
            <v>2.4785729394316389</v>
          </cell>
          <cell r="AU525">
            <v>1.1976280660267551</v>
          </cell>
        </row>
        <row r="526">
          <cell r="A526" t="str">
            <v>203-KRR3</v>
          </cell>
          <cell r="AS526" t="str">
            <v/>
          </cell>
          <cell r="AU526" t="str">
            <v/>
          </cell>
        </row>
        <row r="527">
          <cell r="A527" t="str">
            <v>PHS-10-Der.</v>
          </cell>
          <cell r="AS527">
            <v>0.69334209699353311</v>
          </cell>
          <cell r="AU527">
            <v>0.33501776022282848</v>
          </cell>
        </row>
        <row r="528">
          <cell r="A528" t="str">
            <v>ECL211-32MG</v>
          </cell>
          <cell r="AS528">
            <v>5.0785323746618269</v>
          </cell>
          <cell r="AU528">
            <v>2.45390918675777</v>
          </cell>
        </row>
        <row r="529">
          <cell r="A529" t="str">
            <v>T-210</v>
          </cell>
          <cell r="AS529">
            <v>2.1313664980000926</v>
          </cell>
          <cell r="AU529">
            <v>1.0298604880191267</v>
          </cell>
        </row>
        <row r="530">
          <cell r="A530" t="str">
            <v>22217CKW33C3</v>
          </cell>
          <cell r="AS530">
            <v>8.1160962645472647</v>
          </cell>
          <cell r="AU530">
            <v>3.9216375351962074</v>
          </cell>
        </row>
        <row r="531">
          <cell r="A531" t="str">
            <v>CL-60-2</v>
          </cell>
          <cell r="AS531">
            <v>0.15981239728353916</v>
          </cell>
          <cell r="AU531">
            <v>7.7220165378580063E-2</v>
          </cell>
        </row>
        <row r="532">
          <cell r="A532" t="str">
            <v>6210-2RS</v>
          </cell>
          <cell r="AS532" t="str">
            <v/>
          </cell>
          <cell r="AU532" t="str">
            <v/>
          </cell>
        </row>
        <row r="533">
          <cell r="A533" t="str">
            <v>MS08-D</v>
          </cell>
          <cell r="AS533">
            <v>0.84231609676068186</v>
          </cell>
          <cell r="AU533">
            <v>0.40700089228684311</v>
          </cell>
        </row>
        <row r="534">
          <cell r="A534" t="str">
            <v>1208-TN-C3</v>
          </cell>
          <cell r="AS534">
            <v>1.0147190861673776</v>
          </cell>
          <cell r="AU534">
            <v>0.49030473842167538</v>
          </cell>
        </row>
        <row r="535">
          <cell r="A535" t="str">
            <v>F-206-L</v>
          </cell>
          <cell r="AS535" t="str">
            <v/>
          </cell>
          <cell r="AU535" t="str">
            <v/>
          </cell>
        </row>
        <row r="536">
          <cell r="A536" t="str">
            <v>HA-207</v>
          </cell>
          <cell r="AS536">
            <v>1.2828995196203008</v>
          </cell>
          <cell r="AU536">
            <v>0.61988753534194307</v>
          </cell>
        </row>
        <row r="537">
          <cell r="A537" t="str">
            <v>ECL305-25DG</v>
          </cell>
          <cell r="AS537">
            <v>2.6211109893560165</v>
          </cell>
          <cell r="AU537">
            <v>1.2665013948485011</v>
          </cell>
        </row>
        <row r="538">
          <cell r="A538" t="str">
            <v>ECL210-32DG</v>
          </cell>
          <cell r="AS538">
            <v>2.7739447097379824</v>
          </cell>
          <cell r="AU538">
            <v>1.3403495152942528</v>
          </cell>
        </row>
        <row r="539">
          <cell r="A539" t="str">
            <v>LS11-2RS</v>
          </cell>
          <cell r="AS539">
            <v>1.0318175622872412</v>
          </cell>
          <cell r="AU539">
            <v>0.4985665952997434</v>
          </cell>
        </row>
        <row r="540">
          <cell r="A540" t="str">
            <v>ACL205-14RG</v>
          </cell>
          <cell r="AS540">
            <v>1.1981145155438888</v>
          </cell>
          <cell r="AU540">
            <v>0.57892005004236258</v>
          </cell>
        </row>
        <row r="541">
          <cell r="A541" t="str">
            <v>6010-2RLD</v>
          </cell>
          <cell r="AS541" t="str">
            <v/>
          </cell>
          <cell r="AU541" t="str">
            <v/>
          </cell>
        </row>
        <row r="542">
          <cell r="A542" t="str">
            <v>GEZ-100-ES-2</v>
          </cell>
          <cell r="AS542">
            <v>1.976153298074302</v>
          </cell>
          <cell r="AU542">
            <v>0.95486262070134065</v>
          </cell>
        </row>
        <row r="543">
          <cell r="A543" t="str">
            <v>SS-UC-206-30</v>
          </cell>
          <cell r="AS543">
            <v>5.2133912921931094</v>
          </cell>
          <cell r="AU543">
            <v>2.519072015746973</v>
          </cell>
        </row>
        <row r="544">
          <cell r="A544" t="str">
            <v>205-KYYB7</v>
          </cell>
          <cell r="AS544">
            <v>0.83520569719502602</v>
          </cell>
          <cell r="AU544">
            <v>0.40356519993943668</v>
          </cell>
        </row>
        <row r="545">
          <cell r="A545" t="str">
            <v>LS15-2RS-C0</v>
          </cell>
          <cell r="AS545">
            <v>2.2073727805832855</v>
          </cell>
          <cell r="AU545">
            <v>1.0665861601862994</v>
          </cell>
        </row>
        <row r="546">
          <cell r="A546" t="str">
            <v>DISI-EX100</v>
          </cell>
          <cell r="AS546" t="str">
            <v/>
          </cell>
          <cell r="AU546" t="str">
            <v/>
          </cell>
        </row>
        <row r="547">
          <cell r="A547" t="str">
            <v>BB204-KYY2</v>
          </cell>
          <cell r="AS547">
            <v>1.1456055358463635</v>
          </cell>
          <cell r="AU547">
            <v>0.55354810039999869</v>
          </cell>
        </row>
        <row r="548">
          <cell r="A548" t="str">
            <v>22205-CW33C3</v>
          </cell>
          <cell r="AS548">
            <v>2.4494362347370795</v>
          </cell>
          <cell r="AU548">
            <v>1.1835494263633448</v>
          </cell>
        </row>
        <row r="549">
          <cell r="A549" t="str">
            <v>SAB-206-20DG</v>
          </cell>
          <cell r="AS549">
            <v>1.1915876810312935</v>
          </cell>
          <cell r="AU549">
            <v>0.57576633200153349</v>
          </cell>
        </row>
        <row r="550">
          <cell r="A550" t="str">
            <v>6905-2RLD-C3</v>
          </cell>
          <cell r="AS550" t="str">
            <v/>
          </cell>
          <cell r="AU550" t="str">
            <v/>
          </cell>
        </row>
        <row r="551">
          <cell r="A551" t="str">
            <v>22310-CW33C3</v>
          </cell>
          <cell r="AS551">
            <v>7.2243343886175948</v>
          </cell>
          <cell r="AU551">
            <v>3.4907448090491431</v>
          </cell>
        </row>
        <row r="552">
          <cell r="A552" t="str">
            <v>1205-TN-C3</v>
          </cell>
          <cell r="AS552">
            <v>0.56689325839564597</v>
          </cell>
          <cell r="AU552">
            <v>0.27391861901456399</v>
          </cell>
        </row>
        <row r="553">
          <cell r="A553" t="str">
            <v>ACL204-20RG</v>
          </cell>
          <cell r="AS553">
            <v>1.2819196363506209</v>
          </cell>
          <cell r="AU553">
            <v>0.61941406301174506</v>
          </cell>
        </row>
        <row r="554">
          <cell r="A554" t="str">
            <v>01.10.017</v>
          </cell>
          <cell r="AS554" t="str">
            <v/>
          </cell>
          <cell r="AU554" t="str">
            <v/>
          </cell>
        </row>
        <row r="555">
          <cell r="A555" t="str">
            <v>LS20-2RS-C0</v>
          </cell>
          <cell r="AS555">
            <v>3.0626705667878213</v>
          </cell>
          <cell r="AU555">
            <v>1.4798597085548182</v>
          </cell>
        </row>
        <row r="556">
          <cell r="A556" t="str">
            <v>LS05-2RLD</v>
          </cell>
          <cell r="AS556" t="str">
            <v/>
          </cell>
          <cell r="AU556" t="str">
            <v/>
          </cell>
        </row>
        <row r="557">
          <cell r="A557" t="str">
            <v>SABF208-40L</v>
          </cell>
          <cell r="AS557">
            <v>1.7845858448321281</v>
          </cell>
          <cell r="AU557">
            <v>0.86229864774329446</v>
          </cell>
        </row>
        <row r="558">
          <cell r="A558" t="str">
            <v>22216-C3W33</v>
          </cell>
          <cell r="AS558">
            <v>4.1441578424495029</v>
          </cell>
          <cell r="AU558">
            <v>2.0024263410624137</v>
          </cell>
        </row>
        <row r="559">
          <cell r="A559" t="str">
            <v>T-212</v>
          </cell>
          <cell r="AS559">
            <v>5.1282762870035965</v>
          </cell>
          <cell r="AU559">
            <v>2.477945076356459</v>
          </cell>
        </row>
        <row r="560">
          <cell r="A560" t="str">
            <v>LS12-2RS</v>
          </cell>
          <cell r="AS560">
            <v>1.027143877168347</v>
          </cell>
          <cell r="AU560">
            <v>0.49630830530508113</v>
          </cell>
        </row>
        <row r="561">
          <cell r="A561" t="str">
            <v>F-214</v>
          </cell>
          <cell r="AS561">
            <v>4.0863218613985124</v>
          </cell>
          <cell r="AU561">
            <v>1.9744804238651008</v>
          </cell>
        </row>
        <row r="562">
          <cell r="A562" t="str">
            <v>P-210-L</v>
          </cell>
          <cell r="AS562" t="str">
            <v/>
          </cell>
          <cell r="AU562" t="str">
            <v/>
          </cell>
        </row>
        <row r="563">
          <cell r="A563" t="str">
            <v>PFF-9-ZM</v>
          </cell>
          <cell r="AS563">
            <v>1.346094032259703</v>
          </cell>
          <cell r="AU563">
            <v>0.65042265526993914</v>
          </cell>
        </row>
        <row r="564">
          <cell r="A564" t="str">
            <v>LS18-2RS</v>
          </cell>
          <cell r="AS564">
            <v>2.6328213158601019</v>
          </cell>
          <cell r="AU564">
            <v>1.2721597377846772</v>
          </cell>
        </row>
        <row r="565">
          <cell r="A565" t="str">
            <v>51215</v>
          </cell>
          <cell r="AS565">
            <v>2.3816074780410421</v>
          </cell>
          <cell r="AU565">
            <v>1.1507750740695195</v>
          </cell>
        </row>
        <row r="566">
          <cell r="A566" t="str">
            <v>3214</v>
          </cell>
          <cell r="AS566" t="str">
            <v/>
          </cell>
          <cell r="AU566" t="str">
            <v/>
          </cell>
        </row>
        <row r="567">
          <cell r="A567" t="str">
            <v>NK-3230</v>
          </cell>
          <cell r="AS567">
            <v>1.2798770629340874</v>
          </cell>
          <cell r="AU567">
            <v>0.61842710668230094</v>
          </cell>
        </row>
        <row r="568">
          <cell r="A568" t="str">
            <v>MS08-2RLD</v>
          </cell>
          <cell r="AS568" t="str">
            <v/>
          </cell>
          <cell r="AU568" t="str">
            <v/>
          </cell>
        </row>
        <row r="569">
          <cell r="A569" t="str">
            <v>6220</v>
          </cell>
          <cell r="AS569" t="str">
            <v/>
          </cell>
          <cell r="AU569" t="str">
            <v/>
          </cell>
        </row>
        <row r="570">
          <cell r="A570" t="str">
            <v>T-208</v>
          </cell>
          <cell r="AS570">
            <v>1.5592542908928373</v>
          </cell>
          <cell r="AU570">
            <v>0.75342011168496137</v>
          </cell>
        </row>
        <row r="571">
          <cell r="A571" t="str">
            <v>HA-212</v>
          </cell>
          <cell r="AS571">
            <v>3.7945610258637252</v>
          </cell>
          <cell r="AU571">
            <v>1.8335037515045918</v>
          </cell>
        </row>
        <row r="572">
          <cell r="A572" t="str">
            <v>ECL210-31TPL</v>
          </cell>
          <cell r="AS572">
            <v>2.6516333707071973</v>
          </cell>
          <cell r="AU572">
            <v>1.281249583197773</v>
          </cell>
        </row>
        <row r="573">
          <cell r="A573" t="str">
            <v>FC-206</v>
          </cell>
          <cell r="AS573">
            <v>1.4214673275297454</v>
          </cell>
          <cell r="AU573">
            <v>0.68684247266091891</v>
          </cell>
        </row>
        <row r="574">
          <cell r="A574" t="str">
            <v>HA-209</v>
          </cell>
          <cell r="AS574">
            <v>1.8184077277894231</v>
          </cell>
          <cell r="AU574">
            <v>0.8786411308032509</v>
          </cell>
        </row>
        <row r="575">
          <cell r="A575" t="str">
            <v>205SB</v>
          </cell>
          <cell r="AS575">
            <v>0.7405986276529235</v>
          </cell>
          <cell r="AU575">
            <v>0.35785176543621455</v>
          </cell>
        </row>
        <row r="576">
          <cell r="A576" t="str">
            <v>HN-2820</v>
          </cell>
          <cell r="AS576" t="str">
            <v/>
          </cell>
          <cell r="AU576" t="str">
            <v/>
          </cell>
        </row>
        <row r="577">
          <cell r="A577" t="str">
            <v>12033roller</v>
          </cell>
          <cell r="AS577" t="str">
            <v/>
          </cell>
          <cell r="AU577" t="str">
            <v/>
          </cell>
        </row>
        <row r="578">
          <cell r="A578" t="str">
            <v>01.10.016</v>
          </cell>
          <cell r="AS578" t="str">
            <v/>
          </cell>
          <cell r="AU578" t="str">
            <v/>
          </cell>
        </row>
        <row r="579">
          <cell r="A579" t="str">
            <v>609-ZZ</v>
          </cell>
          <cell r="AS579" t="str">
            <v/>
          </cell>
          <cell r="AU579" t="str">
            <v/>
          </cell>
        </row>
        <row r="580">
          <cell r="A580" t="str">
            <v>SABF209-45L</v>
          </cell>
          <cell r="AS580" t="str">
            <v/>
          </cell>
          <cell r="AU580" t="str">
            <v/>
          </cell>
        </row>
        <row r="581">
          <cell r="A581" t="str">
            <v>22216CKW33C3</v>
          </cell>
          <cell r="AS581">
            <v>5.9852920085438504</v>
          </cell>
          <cell r="AU581">
            <v>2.8920487183409223</v>
          </cell>
        </row>
        <row r="582">
          <cell r="A582" t="str">
            <v>ECL306-30DG</v>
          </cell>
          <cell r="AS582">
            <v>3.5918245368828399</v>
          </cell>
          <cell r="AU582">
            <v>1.7355429832945952</v>
          </cell>
        </row>
        <row r="583">
          <cell r="A583" t="str">
            <v>IR-25-29-30</v>
          </cell>
          <cell r="AS583">
            <v>0.90966537155716931</v>
          </cell>
          <cell r="AU583">
            <v>0.4395435624821038</v>
          </cell>
        </row>
        <row r="584">
          <cell r="A584" t="str">
            <v>NAT-V30-PPX</v>
          </cell>
          <cell r="AS584">
            <v>3.1289093886176449</v>
          </cell>
          <cell r="AU584">
            <v>1.5118658161104561</v>
          </cell>
        </row>
        <row r="585">
          <cell r="A585" t="str">
            <v>SABFC206-30L</v>
          </cell>
          <cell r="AS585" t="str">
            <v/>
          </cell>
          <cell r="AU585" t="str">
            <v/>
          </cell>
        </row>
        <row r="586">
          <cell r="A586" t="str">
            <v>T-207</v>
          </cell>
          <cell r="AS586">
            <v>1.3947166905445789</v>
          </cell>
          <cell r="AU586">
            <v>0.67391676322229521</v>
          </cell>
        </row>
        <row r="587">
          <cell r="A587" t="str">
            <v>5211-2RST</v>
          </cell>
          <cell r="AS587">
            <v>3.7182884424292779</v>
          </cell>
          <cell r="AU587">
            <v>1.79664940474068</v>
          </cell>
        </row>
        <row r="588">
          <cell r="A588" t="str">
            <v>F-212-L</v>
          </cell>
          <cell r="AS588" t="str">
            <v/>
          </cell>
          <cell r="AU588" t="str">
            <v/>
          </cell>
        </row>
        <row r="589">
          <cell r="A589" t="str">
            <v>GR-211-35R</v>
          </cell>
          <cell r="AS589" t="str">
            <v/>
          </cell>
          <cell r="AU589" t="str">
            <v/>
          </cell>
        </row>
        <row r="590">
          <cell r="A590" t="str">
            <v>UC-209-45</v>
          </cell>
          <cell r="AS590">
            <v>2.2101714517936268</v>
          </cell>
          <cell r="AU590">
            <v>1.0679384573633415</v>
          </cell>
        </row>
        <row r="591">
          <cell r="A591" t="str">
            <v>GU-353040</v>
          </cell>
          <cell r="AS591">
            <v>1.2047698398011168E-2</v>
          </cell>
          <cell r="AU591">
            <v>5.8213585337506283E-3</v>
          </cell>
        </row>
        <row r="592">
          <cell r="A592" t="str">
            <v>HD13-2RS</v>
          </cell>
          <cell r="AS592">
            <v>4.6812298082891681</v>
          </cell>
          <cell r="AU592">
            <v>2.2619355326350616</v>
          </cell>
        </row>
        <row r="593">
          <cell r="A593" t="str">
            <v>5207-KRRB2</v>
          </cell>
          <cell r="AS593">
            <v>2.1840731309467394</v>
          </cell>
          <cell r="AU593">
            <v>1.0553279422458921</v>
          </cell>
        </row>
        <row r="594">
          <cell r="A594" t="str">
            <v>GEG20ES-2RS</v>
          </cell>
          <cell r="AS594">
            <v>1.4660039198356161</v>
          </cell>
          <cell r="AU594">
            <v>0.70836222382988512</v>
          </cell>
        </row>
        <row r="595">
          <cell r="A595" t="str">
            <v>OL-100-1H</v>
          </cell>
          <cell r="AS595">
            <v>1.0939420042911314</v>
          </cell>
          <cell r="AU595">
            <v>0.52858466503109924</v>
          </cell>
        </row>
        <row r="596">
          <cell r="A596" t="str">
            <v>AIO-90</v>
          </cell>
          <cell r="AS596" t="str">
            <v/>
          </cell>
          <cell r="AU596" t="str">
            <v/>
          </cell>
        </row>
        <row r="597">
          <cell r="A597" t="str">
            <v>ASA-140-1</v>
          </cell>
          <cell r="AS597" t="str">
            <v/>
          </cell>
          <cell r="AU597" t="str">
            <v/>
          </cell>
        </row>
        <row r="598">
          <cell r="A598" t="str">
            <v>SS-UC-205-25</v>
          </cell>
          <cell r="AS598">
            <v>0.69304042857026837</v>
          </cell>
          <cell r="AU598">
            <v>0.33487199627754033</v>
          </cell>
        </row>
        <row r="599">
          <cell r="A599" t="str">
            <v>DAC-39720037</v>
          </cell>
          <cell r="AS599">
            <v>1.7300008697176785</v>
          </cell>
          <cell r="AU599">
            <v>0.83592359250871762</v>
          </cell>
        </row>
        <row r="600">
          <cell r="A600" t="str">
            <v>FC-212</v>
          </cell>
          <cell r="AS600">
            <v>4.5066696002926045</v>
          </cell>
          <cell r="AU600">
            <v>2.1775893344731099</v>
          </cell>
        </row>
        <row r="601">
          <cell r="A601" t="str">
            <v>P-205-L</v>
          </cell>
          <cell r="AS601">
            <v>0.59921797797566978</v>
          </cell>
          <cell r="AU601">
            <v>0.28953768383190132</v>
          </cell>
        </row>
        <row r="602">
          <cell r="A602" t="str">
            <v>MS18-2RS</v>
          </cell>
          <cell r="AS602">
            <v>5.1258469656778329</v>
          </cell>
          <cell r="AU602">
            <v>2.4767712463049625</v>
          </cell>
        </row>
        <row r="603">
          <cell r="A603" t="str">
            <v>ACLR205-14R</v>
          </cell>
          <cell r="AS603">
            <v>1.4188433986612423</v>
          </cell>
          <cell r="AU603">
            <v>0.68557460968776085</v>
          </cell>
        </row>
        <row r="604">
          <cell r="A604" t="str">
            <v>CA550-A1-OL</v>
          </cell>
          <cell r="AS604">
            <v>0.53520818489512345</v>
          </cell>
          <cell r="AU604">
            <v>0.25860862643994642</v>
          </cell>
        </row>
        <row r="605">
          <cell r="A605" t="str">
            <v>POSB-8-Der.</v>
          </cell>
          <cell r="AS605">
            <v>2.0785001264138954</v>
          </cell>
          <cell r="AU605">
            <v>1.0043158492661723</v>
          </cell>
        </row>
        <row r="606">
          <cell r="A606" t="str">
            <v>22211CKW33C3</v>
          </cell>
          <cell r="AS606">
            <v>4.3683388694274035</v>
          </cell>
          <cell r="AU606">
            <v>2.1107489510240161</v>
          </cell>
        </row>
        <row r="607">
          <cell r="A607" t="str">
            <v>LS12</v>
          </cell>
          <cell r="AS607">
            <v>0.89920031010146273</v>
          </cell>
          <cell r="AU607">
            <v>0.43448692238382086</v>
          </cell>
        </row>
        <row r="608">
          <cell r="A608" t="str">
            <v>TRUEFORCE88W</v>
          </cell>
          <cell r="AS608" t="str">
            <v/>
          </cell>
          <cell r="AU608" t="str">
            <v/>
          </cell>
        </row>
        <row r="609">
          <cell r="A609" t="str">
            <v>CCL-80-1-H</v>
          </cell>
          <cell r="AS609" t="str">
            <v/>
          </cell>
          <cell r="AU609" t="str">
            <v/>
          </cell>
        </row>
        <row r="610">
          <cell r="A610" t="str">
            <v>608-ZZ</v>
          </cell>
          <cell r="AS610">
            <v>9.8245232250170303E-2</v>
          </cell>
          <cell r="AU610">
            <v>4.7471367747241575E-2</v>
          </cell>
        </row>
        <row r="611">
          <cell r="A611" t="str">
            <v>OL-50-1H</v>
          </cell>
          <cell r="AS611">
            <v>0.1260009836341873</v>
          </cell>
          <cell r="AU611">
            <v>6.088274101059294E-2</v>
          </cell>
        </row>
        <row r="612">
          <cell r="A612" t="str">
            <v>1206-TN-C3</v>
          </cell>
          <cell r="AS612">
            <v>0.65189223654128703</v>
          </cell>
          <cell r="AU612">
            <v>0.31498949499780521</v>
          </cell>
        </row>
        <row r="613">
          <cell r="A613" t="str">
            <v>CL-80-1</v>
          </cell>
          <cell r="AS613">
            <v>0.20862507276588735</v>
          </cell>
          <cell r="AU613">
            <v>0.10080608823180123</v>
          </cell>
        </row>
        <row r="614">
          <cell r="A614" t="str">
            <v>AG59205SB</v>
          </cell>
          <cell r="AS614">
            <v>5.6524164514491861</v>
          </cell>
          <cell r="AU614">
            <v>2.7312057173831703</v>
          </cell>
        </row>
        <row r="615">
          <cell r="A615" t="str">
            <v>F-205-L</v>
          </cell>
          <cell r="AS615">
            <v>0.50431831389744697</v>
          </cell>
          <cell r="AU615">
            <v>0.2436828698183775</v>
          </cell>
        </row>
        <row r="616">
          <cell r="A616" t="str">
            <v>PHS-8-DER</v>
          </cell>
          <cell r="AS616">
            <v>0.60303758462258306</v>
          </cell>
          <cell r="AU616">
            <v>0.29138328944178699</v>
          </cell>
        </row>
        <row r="617">
          <cell r="A617" t="str">
            <v>POS-10-Der.</v>
          </cell>
          <cell r="AS617">
            <v>0.71867535835024132</v>
          </cell>
          <cell r="AU617">
            <v>0.34725860426744309</v>
          </cell>
        </row>
        <row r="618">
          <cell r="A618" t="str">
            <v>ECL307-35DG</v>
          </cell>
          <cell r="AS618">
            <v>2.7304805065267592</v>
          </cell>
          <cell r="AU618">
            <v>1.3193479345841901</v>
          </cell>
        </row>
        <row r="619">
          <cell r="A619" t="str">
            <v>22212-CW33C3</v>
          </cell>
          <cell r="AS619">
            <v>4.4839611720428048</v>
          </cell>
          <cell r="AU619">
            <v>2.1666167903229461</v>
          </cell>
        </row>
        <row r="620">
          <cell r="A620" t="str">
            <v>3209-2RS</v>
          </cell>
          <cell r="AS620">
            <v>1.8369660301758797</v>
          </cell>
          <cell r="AU620">
            <v>0.88760836490890871</v>
          </cell>
        </row>
        <row r="621">
          <cell r="A621" t="str">
            <v>LS00-2RLD</v>
          </cell>
          <cell r="AS621">
            <v>0.11603145409246951</v>
          </cell>
          <cell r="AU621">
            <v>5.6065538258842584E-2</v>
          </cell>
        </row>
        <row r="622">
          <cell r="A622" t="str">
            <v>ORAE-30-2RST</v>
          </cell>
          <cell r="AS622">
            <v>1.0210125373383891</v>
          </cell>
          <cell r="AU622">
            <v>0.49334568736235923</v>
          </cell>
        </row>
        <row r="623">
          <cell r="A623" t="str">
            <v>ASA-415-H</v>
          </cell>
          <cell r="AS623" t="str">
            <v/>
          </cell>
          <cell r="AU623" t="str">
            <v/>
          </cell>
        </row>
        <row r="624">
          <cell r="A624" t="str">
            <v>607-2RS</v>
          </cell>
          <cell r="AS624">
            <v>0.10482494584743228</v>
          </cell>
          <cell r="AU624">
            <v>5.0650636569689773E-2</v>
          </cell>
        </row>
        <row r="625">
          <cell r="A625" t="str">
            <v>FC-211-L</v>
          </cell>
          <cell r="AS625">
            <v>3.4245739911639594</v>
          </cell>
          <cell r="AU625">
            <v>1.6547287597449933</v>
          </cell>
        </row>
        <row r="626">
          <cell r="A626" t="str">
            <v>UC-218-DBL</v>
          </cell>
          <cell r="AS626" t="str">
            <v/>
          </cell>
          <cell r="AU626" t="str">
            <v/>
          </cell>
        </row>
        <row r="627">
          <cell r="A627" t="str">
            <v>AG59205SBI</v>
          </cell>
          <cell r="AS627">
            <v>5.5488304448560006</v>
          </cell>
          <cell r="AU627">
            <v>2.681153727074554</v>
          </cell>
        </row>
        <row r="628">
          <cell r="A628" t="str">
            <v>OL-140-1H</v>
          </cell>
          <cell r="AS628">
            <v>1.6380917068202341</v>
          </cell>
          <cell r="AU628">
            <v>0.79151376649155569</v>
          </cell>
        </row>
        <row r="629">
          <cell r="A629" t="str">
            <v>5206-KYY3</v>
          </cell>
          <cell r="AS629">
            <v>2.5438640043193317</v>
          </cell>
          <cell r="AU629">
            <v>1.2291762244554538</v>
          </cell>
        </row>
        <row r="630">
          <cell r="A630" t="str">
            <v>Z-9504-2RST</v>
          </cell>
          <cell r="AS630">
            <v>0.74041329266101819</v>
          </cell>
          <cell r="AU630">
            <v>0.35776221294236155</v>
          </cell>
        </row>
        <row r="631">
          <cell r="A631" t="str">
            <v>1211-K-C3</v>
          </cell>
          <cell r="AS631">
            <v>1.7669788897649781</v>
          </cell>
          <cell r="AU631">
            <v>0.85379109760820482</v>
          </cell>
        </row>
        <row r="632">
          <cell r="A632" t="str">
            <v>DAC-37720037</v>
          </cell>
          <cell r="AS632" t="str">
            <v/>
          </cell>
          <cell r="AU632" t="str">
            <v/>
          </cell>
        </row>
        <row r="633">
          <cell r="A633" t="str">
            <v>PE-218</v>
          </cell>
          <cell r="AS633">
            <v>11.581298407398604</v>
          </cell>
          <cell r="AU633">
            <v>5.5959975165839086</v>
          </cell>
        </row>
        <row r="634">
          <cell r="A634" t="str">
            <v>6012</v>
          </cell>
          <cell r="AS634" t="str">
            <v/>
          </cell>
          <cell r="AU634" t="str">
            <v/>
          </cell>
        </row>
        <row r="635">
          <cell r="A635" t="str">
            <v>OL-100-1</v>
          </cell>
          <cell r="AS635">
            <v>0.79034503243111343</v>
          </cell>
          <cell r="AU635">
            <v>0.38188885936170114</v>
          </cell>
        </row>
        <row r="636">
          <cell r="A636" t="str">
            <v>CCL-60-1H</v>
          </cell>
          <cell r="AS636">
            <v>0.11215031035159792</v>
          </cell>
          <cell r="AU636">
            <v>5.4190198381446134E-2</v>
          </cell>
        </row>
        <row r="637">
          <cell r="A637" t="str">
            <v>HD06-2RST</v>
          </cell>
          <cell r="AS637">
            <v>0.89312415262583889</v>
          </cell>
          <cell r="AU637">
            <v>0.43155096814554289</v>
          </cell>
        </row>
        <row r="638">
          <cell r="A638" t="str">
            <v>GE-50-ES-2RS</v>
          </cell>
          <cell r="AS638">
            <v>2.4170319432294751</v>
          </cell>
          <cell r="AU638">
            <v>1.1678919129806165</v>
          </cell>
        </row>
        <row r="639">
          <cell r="A639" t="str">
            <v>P-211-L</v>
          </cell>
          <cell r="AS639" t="str">
            <v/>
          </cell>
          <cell r="AU639" t="str">
            <v/>
          </cell>
        </row>
        <row r="640">
          <cell r="A640" t="str">
            <v>ECL207-22MG</v>
          </cell>
          <cell r="AS640">
            <v>1.6225258657873214</v>
          </cell>
          <cell r="AU640">
            <v>0.78399246752320595</v>
          </cell>
        </row>
        <row r="641">
          <cell r="A641" t="str">
            <v>P-206-L</v>
          </cell>
          <cell r="AS641" t="str">
            <v/>
          </cell>
          <cell r="AU641" t="str">
            <v/>
          </cell>
        </row>
        <row r="642">
          <cell r="A642" t="str">
            <v>29685</v>
          </cell>
          <cell r="AS642" t="str">
            <v/>
          </cell>
          <cell r="AU642" t="str">
            <v/>
          </cell>
        </row>
        <row r="643">
          <cell r="A643" t="str">
            <v>22309CKW33C3</v>
          </cell>
          <cell r="AS643">
            <v>3.2615196757252627</v>
          </cell>
          <cell r="AU643">
            <v>1.5759421235522566</v>
          </cell>
        </row>
        <row r="644">
          <cell r="A644" t="str">
            <v>PF-8-ZM</v>
          </cell>
          <cell r="AS644">
            <v>0.94330984296454656</v>
          </cell>
          <cell r="AU644">
            <v>0.45580032159662454</v>
          </cell>
        </row>
        <row r="645">
          <cell r="A645" t="str">
            <v>POSB-8-Izq.</v>
          </cell>
          <cell r="AS645">
            <v>1.6163624247017099</v>
          </cell>
          <cell r="AU645">
            <v>0.78101433849177893</v>
          </cell>
        </row>
        <row r="646">
          <cell r="A646" t="str">
            <v>207-KPPB55</v>
          </cell>
          <cell r="AS646">
            <v>1.8147871937656364</v>
          </cell>
          <cell r="AU646">
            <v>0.87689171560876156</v>
          </cell>
        </row>
        <row r="647">
          <cell r="A647" t="str">
            <v>POSB-6-Der.</v>
          </cell>
          <cell r="AS647">
            <v>1.4788647214207358</v>
          </cell>
          <cell r="AU647">
            <v>0.71457646779458872</v>
          </cell>
        </row>
        <row r="648">
          <cell r="A648" t="str">
            <v>MS10-2RST</v>
          </cell>
          <cell r="AS648" t="str">
            <v/>
          </cell>
          <cell r="AU648" t="str">
            <v/>
          </cell>
        </row>
        <row r="649">
          <cell r="A649" t="str">
            <v>6217-2RS</v>
          </cell>
          <cell r="AS649">
            <v>4.1399641164520924</v>
          </cell>
          <cell r="AU649">
            <v>2.0003999637564158</v>
          </cell>
        </row>
        <row r="650">
          <cell r="A650" t="str">
            <v>SABFL207-35L</v>
          </cell>
          <cell r="AS650">
            <v>0.83687303551325054</v>
          </cell>
          <cell r="AU650">
            <v>0.40437084545169888</v>
          </cell>
        </row>
        <row r="651">
          <cell r="A651" t="str">
            <v>HA-211</v>
          </cell>
          <cell r="AS651">
            <v>3.3949966967355438</v>
          </cell>
          <cell r="AU651">
            <v>1.6404372303891013</v>
          </cell>
        </row>
        <row r="652">
          <cell r="A652" t="str">
            <v>LS14-2RS</v>
          </cell>
          <cell r="AS652">
            <v>1.5380343677433768</v>
          </cell>
          <cell r="AU652">
            <v>0.74316680216220332</v>
          </cell>
        </row>
        <row r="653">
          <cell r="A653" t="str">
            <v>1621-2RS</v>
          </cell>
          <cell r="AS653">
            <v>0.47772796835025882</v>
          </cell>
          <cell r="AU653">
            <v>0.23083461201404415</v>
          </cell>
        </row>
        <row r="654">
          <cell r="A654" t="str">
            <v>SABP205-25L</v>
          </cell>
          <cell r="AS654" t="str">
            <v/>
          </cell>
          <cell r="AU654" t="str">
            <v/>
          </cell>
        </row>
        <row r="655">
          <cell r="A655" t="str">
            <v>HC-206-20-DB</v>
          </cell>
          <cell r="AS655">
            <v>2.2777766962014323</v>
          </cell>
          <cell r="AU655">
            <v>1.1006048101768084</v>
          </cell>
        </row>
        <row r="656">
          <cell r="A656" t="str">
            <v>UK-212</v>
          </cell>
          <cell r="AS656">
            <v>2.4788589616195189</v>
          </cell>
          <cell r="AU656">
            <v>1.1977662698271201</v>
          </cell>
        </row>
        <row r="657">
          <cell r="A657" t="str">
            <v>51103</v>
          </cell>
          <cell r="AS657">
            <v>0.2284417684407859</v>
          </cell>
          <cell r="AU657">
            <v>0.11038136864360615</v>
          </cell>
        </row>
        <row r="658">
          <cell r="A658" t="str">
            <v>POSB-16-Der.</v>
          </cell>
          <cell r="AS658">
            <v>6.3860185017051476</v>
          </cell>
          <cell r="AU658">
            <v>3.0856767884999141</v>
          </cell>
        </row>
        <row r="659">
          <cell r="A659" t="str">
            <v>CL-80-2</v>
          </cell>
          <cell r="AS659">
            <v>0.46390265344132903</v>
          </cell>
          <cell r="AU659">
            <v>0.22415432236302052</v>
          </cell>
        </row>
        <row r="660">
          <cell r="A660" t="str">
            <v>22215-CKW33C</v>
          </cell>
          <cell r="AS660">
            <v>8.0658256981927412</v>
          </cell>
          <cell r="AU660">
            <v>3.8973471702836293</v>
          </cell>
        </row>
        <row r="661">
          <cell r="A661" t="str">
            <v>B10-50D</v>
          </cell>
          <cell r="AS661">
            <v>0.32849214910971958</v>
          </cell>
          <cell r="AU661">
            <v>0.15872497072184569</v>
          </cell>
        </row>
        <row r="662">
          <cell r="A662" t="str">
            <v>NKI-2520</v>
          </cell>
          <cell r="AS662">
            <v>0.94372903235760697</v>
          </cell>
          <cell r="AU662">
            <v>0.45600287080311463</v>
          </cell>
        </row>
        <row r="663">
          <cell r="A663" t="str">
            <v>51117</v>
          </cell>
          <cell r="AS663">
            <v>1.1683091489078166</v>
          </cell>
          <cell r="AU663">
            <v>0.56451831788685736</v>
          </cell>
        </row>
        <row r="664">
          <cell r="A664" t="str">
            <v>22210CKW33C3</v>
          </cell>
          <cell r="AS664">
            <v>3.2287192145963153</v>
          </cell>
          <cell r="AU664">
            <v>1.5600931839460432</v>
          </cell>
        </row>
        <row r="665">
          <cell r="A665" t="str">
            <v>22213CKW33C3</v>
          </cell>
          <cell r="AS665">
            <v>5.3696837156512034</v>
          </cell>
          <cell r="AU665">
            <v>2.5945913558732614</v>
          </cell>
        </row>
        <row r="666">
          <cell r="A666" t="str">
            <v>POS-20-Der.</v>
          </cell>
          <cell r="AS666">
            <v>2.6591396133736658</v>
          </cell>
          <cell r="AU666">
            <v>1.2848765439963652</v>
          </cell>
        </row>
        <row r="667">
          <cell r="A667" t="str">
            <v>MS15-2RS</v>
          </cell>
          <cell r="AS667">
            <v>3.0242203150887086</v>
          </cell>
          <cell r="AU667">
            <v>1.4612808320375874</v>
          </cell>
        </row>
        <row r="668">
          <cell r="A668" t="str">
            <v>18590-520</v>
          </cell>
          <cell r="AS668" t="str">
            <v/>
          </cell>
          <cell r="AU668" t="str">
            <v/>
          </cell>
        </row>
        <row r="669">
          <cell r="A669" t="str">
            <v>6310</v>
          </cell>
          <cell r="AS669" t="str">
            <v/>
          </cell>
          <cell r="AU669" t="str">
            <v/>
          </cell>
        </row>
        <row r="670">
          <cell r="A670" t="str">
            <v>3308-2RS</v>
          </cell>
          <cell r="AS670">
            <v>2.0933549824678903</v>
          </cell>
          <cell r="AU670">
            <v>1.0114936055645734</v>
          </cell>
        </row>
        <row r="671">
          <cell r="A671" t="str">
            <v>ECL-311-32-R</v>
          </cell>
          <cell r="AS671">
            <v>7.8647434327746559</v>
          </cell>
          <cell r="AU671">
            <v>3.8001857106333179</v>
          </cell>
        </row>
        <row r="672">
          <cell r="A672" t="str">
            <v>22317CW33C3</v>
          </cell>
          <cell r="AS672" t="str">
            <v/>
          </cell>
          <cell r="AU672" t="str">
            <v/>
          </cell>
        </row>
        <row r="673">
          <cell r="A673" t="str">
            <v>1208-K-TN-C3</v>
          </cell>
          <cell r="AS673">
            <v>1.053984919698687</v>
          </cell>
          <cell r="AU673">
            <v>0.509277698032787</v>
          </cell>
        </row>
        <row r="674">
          <cell r="A674" t="str">
            <v>CCL-140-1H</v>
          </cell>
          <cell r="AS674">
            <v>1.5653214282114867</v>
          </cell>
          <cell r="AU674">
            <v>0.75635170745027247</v>
          </cell>
        </row>
        <row r="675">
          <cell r="A675" t="str">
            <v>1204</v>
          </cell>
          <cell r="AS675">
            <v>0.49465742016333564</v>
          </cell>
          <cell r="AU675">
            <v>0.23901479760036692</v>
          </cell>
        </row>
        <row r="676">
          <cell r="A676" t="str">
            <v>PFF-7-ZM</v>
          </cell>
          <cell r="AS676">
            <v>0.44501368814913345</v>
          </cell>
          <cell r="AU676">
            <v>0.21502731439313358</v>
          </cell>
        </row>
        <row r="677">
          <cell r="A677" t="str">
            <v>LF-207</v>
          </cell>
          <cell r="AS677">
            <v>1.2655278016566471</v>
          </cell>
          <cell r="AU677">
            <v>0.61149365003100953</v>
          </cell>
        </row>
        <row r="678">
          <cell r="A678" t="str">
            <v>HM-803146</v>
          </cell>
          <cell r="AS678" t="str">
            <v/>
          </cell>
          <cell r="AU678" t="str">
            <v/>
          </cell>
        </row>
        <row r="679">
          <cell r="A679" t="str">
            <v>1209-K-TN-C3</v>
          </cell>
          <cell r="AS679">
            <v>1.1070180326562826</v>
          </cell>
          <cell r="AU679">
            <v>0.53490290498003457</v>
          </cell>
        </row>
        <row r="680">
          <cell r="A680" t="str">
            <v>FHR-207-22</v>
          </cell>
          <cell r="AS680">
            <v>2.8116847802425595</v>
          </cell>
          <cell r="AU680">
            <v>1.3585852375241882</v>
          </cell>
        </row>
        <row r="681">
          <cell r="A681" t="str">
            <v>CA627-M40A-5</v>
          </cell>
          <cell r="AS681">
            <v>9.3347241316930827</v>
          </cell>
          <cell r="AU681">
            <v>4.5104694846287003</v>
          </cell>
        </row>
        <row r="682">
          <cell r="A682" t="str">
            <v>FT-209</v>
          </cell>
          <cell r="AS682">
            <v>1.5418802328108154</v>
          </cell>
          <cell r="AU682">
            <v>0.74502509564618391</v>
          </cell>
        </row>
        <row r="683">
          <cell r="A683" t="str">
            <v>LS18-2RS-C0</v>
          </cell>
          <cell r="AS683" t="str">
            <v/>
          </cell>
          <cell r="AU683" t="str">
            <v/>
          </cell>
        </row>
        <row r="684">
          <cell r="A684" t="str">
            <v>FD-206</v>
          </cell>
          <cell r="AS684">
            <v>0.864381339214079</v>
          </cell>
          <cell r="AU684">
            <v>0.41766265382932699</v>
          </cell>
        </row>
        <row r="685">
          <cell r="A685" t="str">
            <v>FB-206</v>
          </cell>
          <cell r="AS685">
            <v>1.006072500635445</v>
          </cell>
          <cell r="AU685">
            <v>0.48612677240598967</v>
          </cell>
        </row>
        <row r="686">
          <cell r="A686" t="str">
            <v>DAC-25520042</v>
          </cell>
          <cell r="AS686">
            <v>1.0630053332032117</v>
          </cell>
          <cell r="AU686">
            <v>0.51363629495294161</v>
          </cell>
        </row>
        <row r="687">
          <cell r="A687" t="str">
            <v>SABP214-70L</v>
          </cell>
          <cell r="AS687" t="str">
            <v/>
          </cell>
          <cell r="AU687" t="str">
            <v/>
          </cell>
        </row>
        <row r="688">
          <cell r="A688" t="str">
            <v>5307-2RS-C3</v>
          </cell>
          <cell r="AS688">
            <v>1.3422819039259073</v>
          </cell>
          <cell r="AU688">
            <v>0.64858066312550122</v>
          </cell>
        </row>
        <row r="689">
          <cell r="A689" t="str">
            <v>6021</v>
          </cell>
          <cell r="AS689">
            <v>2.7908831665786193</v>
          </cell>
          <cell r="AU689">
            <v>1.3485340520431215</v>
          </cell>
        </row>
        <row r="690">
          <cell r="A690" t="str">
            <v>T-205</v>
          </cell>
          <cell r="AS690" t="str">
            <v/>
          </cell>
          <cell r="AU690" t="str">
            <v/>
          </cell>
        </row>
        <row r="691">
          <cell r="A691" t="str">
            <v>22208-CW33C3</v>
          </cell>
          <cell r="AS691">
            <v>2.8638221580797421</v>
          </cell>
          <cell r="AU691">
            <v>1.3837776319030155</v>
          </cell>
        </row>
        <row r="692">
          <cell r="A692" t="str">
            <v>32008-MX</v>
          </cell>
          <cell r="AS692" t="str">
            <v/>
          </cell>
          <cell r="AU692" t="str">
            <v/>
          </cell>
        </row>
        <row r="693">
          <cell r="A693" t="str">
            <v>HK-2830</v>
          </cell>
          <cell r="AS693">
            <v>0.38309638497756199</v>
          </cell>
          <cell r="AU693">
            <v>0.18510933260964585</v>
          </cell>
        </row>
        <row r="694">
          <cell r="A694" t="str">
            <v>22213CKW33</v>
          </cell>
          <cell r="AS694" t="str">
            <v/>
          </cell>
          <cell r="AU694" t="str">
            <v/>
          </cell>
        </row>
        <row r="695">
          <cell r="A695" t="str">
            <v>GE-30-ES-2RS</v>
          </cell>
          <cell r="AS695">
            <v>0.97008444871288091</v>
          </cell>
          <cell r="AU695">
            <v>0.46873761256388552</v>
          </cell>
        </row>
        <row r="696">
          <cell r="A696" t="str">
            <v>F-204</v>
          </cell>
          <cell r="AS696">
            <v>0.73502501881532067</v>
          </cell>
          <cell r="AU696">
            <v>0.35515863897349337</v>
          </cell>
        </row>
        <row r="697">
          <cell r="A697" t="str">
            <v>DAC-35680037</v>
          </cell>
          <cell r="AS697">
            <v>1.3362869944324804</v>
          </cell>
          <cell r="AU697">
            <v>0.64568396730977717</v>
          </cell>
        </row>
        <row r="698">
          <cell r="A698" t="str">
            <v>51112</v>
          </cell>
          <cell r="AS698">
            <v>0.75327055540631283</v>
          </cell>
          <cell r="AU698">
            <v>0.36397474696590171</v>
          </cell>
        </row>
        <row r="699">
          <cell r="A699" t="str">
            <v>30311-MX</v>
          </cell>
          <cell r="AS699" t="str">
            <v/>
          </cell>
          <cell r="AU699" t="str">
            <v/>
          </cell>
        </row>
        <row r="700">
          <cell r="A700" t="str">
            <v>PHS-12-Der.</v>
          </cell>
          <cell r="AS700">
            <v>1.0635201826516583</v>
          </cell>
          <cell r="AU700">
            <v>0.51388506638888709</v>
          </cell>
        </row>
        <row r="701">
          <cell r="A701" t="str">
            <v>HK-5025</v>
          </cell>
          <cell r="AS701">
            <v>-5.5579882553442199E-2</v>
          </cell>
          <cell r="AU701">
            <v>-2.6855787131984488E-2</v>
          </cell>
        </row>
        <row r="702">
          <cell r="A702" t="str">
            <v>SAB213-65LG</v>
          </cell>
          <cell r="AS702">
            <v>3.1537351239725253</v>
          </cell>
          <cell r="AU702">
            <v>1.523861427354229</v>
          </cell>
        </row>
        <row r="703">
          <cell r="A703" t="str">
            <v>7209-B-TN</v>
          </cell>
          <cell r="AS703" t="str">
            <v/>
          </cell>
          <cell r="AU703" t="str">
            <v/>
          </cell>
        </row>
        <row r="704">
          <cell r="A704" t="str">
            <v>SNL513</v>
          </cell>
          <cell r="AS704">
            <v>9.0357009352739457</v>
          </cell>
          <cell r="AU704">
            <v>4.3659836933383671</v>
          </cell>
        </row>
        <row r="705">
          <cell r="A705" t="str">
            <v>GE-40-ES-2RS</v>
          </cell>
          <cell r="AS705">
            <v>1.5976794939109487</v>
          </cell>
          <cell r="AU705">
            <v>0.77198688486526512</v>
          </cell>
        </row>
        <row r="706">
          <cell r="A706" t="str">
            <v>LS12-2RLD</v>
          </cell>
          <cell r="AS706" t="str">
            <v/>
          </cell>
          <cell r="AU706" t="str">
            <v/>
          </cell>
        </row>
        <row r="707">
          <cell r="A707" t="str">
            <v>25577-523</v>
          </cell>
          <cell r="AS707" t="str">
            <v/>
          </cell>
          <cell r="AU707" t="str">
            <v/>
          </cell>
        </row>
        <row r="708">
          <cell r="A708" t="str">
            <v>22212CKW33C3</v>
          </cell>
          <cell r="AS708">
            <v>4.1334539818054141</v>
          </cell>
          <cell r="AU708">
            <v>1.9972543149669704</v>
          </cell>
        </row>
        <row r="709">
          <cell r="A709" t="str">
            <v>GE-60-ES-2RS</v>
          </cell>
          <cell r="AS709">
            <v>4.0377163217678307</v>
          </cell>
          <cell r="AU709">
            <v>1.950994587519518</v>
          </cell>
        </row>
        <row r="710">
          <cell r="A710" t="str">
            <v>SS-UC-208</v>
          </cell>
          <cell r="AS710">
            <v>6.4346324933787793</v>
          </cell>
          <cell r="AU710">
            <v>3.1091667088099797</v>
          </cell>
        </row>
        <row r="711">
          <cell r="A711" t="str">
            <v>DAC-49840048</v>
          </cell>
          <cell r="AS711" t="str">
            <v/>
          </cell>
          <cell r="AU711" t="str">
            <v/>
          </cell>
        </row>
        <row r="712">
          <cell r="A712" t="str">
            <v>W-210-PP4</v>
          </cell>
          <cell r="AS712" t="str">
            <v/>
          </cell>
          <cell r="AU712" t="str">
            <v/>
          </cell>
        </row>
        <row r="713">
          <cell r="A713" t="str">
            <v>OL-60-2</v>
          </cell>
          <cell r="AS713">
            <v>0.34332568075817205</v>
          </cell>
          <cell r="AU713">
            <v>0.16589242322560635</v>
          </cell>
        </row>
        <row r="714">
          <cell r="A714" t="str">
            <v>GE20-12UK2RS</v>
          </cell>
          <cell r="AS714" t="str">
            <v/>
          </cell>
          <cell r="AU714" t="str">
            <v/>
          </cell>
        </row>
        <row r="715">
          <cell r="A715" t="str">
            <v>HK-3038</v>
          </cell>
          <cell r="AS715">
            <v>0.4105429585619273</v>
          </cell>
          <cell r="AU715">
            <v>0.19837131345271999</v>
          </cell>
        </row>
        <row r="716">
          <cell r="A716" t="str">
            <v>SS-UC-210</v>
          </cell>
          <cell r="AS716">
            <v>8.0074656154133574</v>
          </cell>
          <cell r="AU716">
            <v>3.869148011017304</v>
          </cell>
        </row>
        <row r="717">
          <cell r="A717" t="str">
            <v>NUP-206</v>
          </cell>
          <cell r="AS717">
            <v>1.206493592508521</v>
          </cell>
          <cell r="AU717">
            <v>0.58296875790187097</v>
          </cell>
        </row>
        <row r="718">
          <cell r="A718" t="str">
            <v>PHS-8-IZQ</v>
          </cell>
          <cell r="AS718">
            <v>0.57031090795302231</v>
          </cell>
          <cell r="AU718">
            <v>0.27557000193924658</v>
          </cell>
        </row>
        <row r="719">
          <cell r="A719" t="str">
            <v>Ball-8mm</v>
          </cell>
          <cell r="AS719" t="str">
            <v/>
          </cell>
          <cell r="AU719" t="str">
            <v/>
          </cell>
        </row>
        <row r="720">
          <cell r="A720" t="str">
            <v>DAC-42840039</v>
          </cell>
          <cell r="AS720">
            <v>1.9822204353929511</v>
          </cell>
          <cell r="AU720">
            <v>0.95779421646665175</v>
          </cell>
        </row>
        <row r="721">
          <cell r="A721" t="str">
            <v>P-213-L </v>
          </cell>
          <cell r="AS721" t="str">
            <v/>
          </cell>
          <cell r="AU721" t="str">
            <v/>
          </cell>
        </row>
        <row r="722">
          <cell r="A722" t="str">
            <v>SABFL206-30L</v>
          </cell>
          <cell r="AS722">
            <v>0.78194597779999109</v>
          </cell>
          <cell r="AU722">
            <v>0.37783049844187655</v>
          </cell>
        </row>
        <row r="723">
          <cell r="A723" t="str">
            <v>POS-12-Der.</v>
          </cell>
          <cell r="AS723">
            <v>0.77052643946844479</v>
          </cell>
          <cell r="AU723">
            <v>0.37231266219451387</v>
          </cell>
        </row>
        <row r="724">
          <cell r="A724" t="str">
            <v>CL-50-1H</v>
          </cell>
          <cell r="AS724">
            <v>6.5079295679589463E-2</v>
          </cell>
          <cell r="AU724">
            <v>3.1445833117585267E-2</v>
          </cell>
        </row>
        <row r="725">
          <cell r="A725" t="str">
            <v>LS17-2RS-C0</v>
          </cell>
          <cell r="AS725">
            <v>2.2240391942362536</v>
          </cell>
          <cell r="AU725">
            <v>1.0746392476840525</v>
          </cell>
        </row>
        <row r="726">
          <cell r="A726" t="str">
            <v>OL-50-2</v>
          </cell>
          <cell r="AS726">
            <v>0.21931163653218483</v>
          </cell>
          <cell r="AU726">
            <v>0.10596975660414992</v>
          </cell>
        </row>
        <row r="727">
          <cell r="A727" t="str">
            <v>FB-205</v>
          </cell>
          <cell r="AS727">
            <v>0.96375470361453519</v>
          </cell>
          <cell r="AU727">
            <v>0.46567912666662864</v>
          </cell>
        </row>
        <row r="728">
          <cell r="A728" t="str">
            <v>SAB-218-90DG</v>
          </cell>
          <cell r="AS728">
            <v>14.81621801155835</v>
          </cell>
          <cell r="AU728">
            <v>7.1590866827918926</v>
          </cell>
        </row>
        <row r="729">
          <cell r="A729" t="str">
            <v>MS00-2RLD</v>
          </cell>
          <cell r="AS729" t="str">
            <v/>
          </cell>
          <cell r="AU729" t="str">
            <v/>
          </cell>
        </row>
        <row r="730">
          <cell r="A730" t="str">
            <v>CL-50-2</v>
          </cell>
          <cell r="AS730">
            <v>0.10748091248214538</v>
          </cell>
          <cell r="AU730">
            <v>5.193397995392459E-2</v>
          </cell>
        </row>
        <row r="731">
          <cell r="A731" t="str">
            <v>22209CKW33C3</v>
          </cell>
          <cell r="AS731">
            <v>2.8056176429239099</v>
          </cell>
          <cell r="AU731">
            <v>1.3556536417588771</v>
          </cell>
        </row>
        <row r="732">
          <cell r="A732" t="str">
            <v>PHSB-8-Der.</v>
          </cell>
          <cell r="AS732">
            <v>1.164890365180641</v>
          </cell>
          <cell r="AU732">
            <v>0.56286638693973756</v>
          </cell>
        </row>
        <row r="733">
          <cell r="A733" t="str">
            <v>1311-K</v>
          </cell>
          <cell r="AS733">
            <v>3.4455149013479698</v>
          </cell>
          <cell r="AU733">
            <v>1.6648472522716919</v>
          </cell>
        </row>
        <row r="734">
          <cell r="A734" t="str">
            <v>POS-8-IZQ</v>
          </cell>
          <cell r="AS734">
            <v>0.67395783714661228</v>
          </cell>
          <cell r="AU734">
            <v>0.32565142959664511</v>
          </cell>
        </row>
        <row r="735">
          <cell r="A735" t="str">
            <v>SABP210-50L</v>
          </cell>
          <cell r="AS735">
            <v>1.9663040491803907</v>
          </cell>
          <cell r="AU735">
            <v>0.95010353666674452</v>
          </cell>
        </row>
        <row r="736">
          <cell r="A736" t="str">
            <v>DTR2552-RG</v>
          </cell>
          <cell r="AS736" t="str">
            <v/>
          </cell>
          <cell r="AU736" t="str">
            <v/>
          </cell>
        </row>
        <row r="737">
          <cell r="A737" t="str">
            <v>51204</v>
          </cell>
          <cell r="AS737" t="str">
            <v/>
          </cell>
          <cell r="AU737" t="str">
            <v/>
          </cell>
        </row>
        <row r="738">
          <cell r="A738" t="str">
            <v>MS10-2RSTK</v>
          </cell>
          <cell r="AS738">
            <v>1.8876771012903435</v>
          </cell>
          <cell r="AU738">
            <v>0.9121115784552033</v>
          </cell>
        </row>
        <row r="739">
          <cell r="A739" t="str">
            <v>FC-205</v>
          </cell>
          <cell r="AS739">
            <v>1.2845343131044029</v>
          </cell>
          <cell r="AU739">
            <v>0.62067745543167319</v>
          </cell>
        </row>
        <row r="740">
          <cell r="A740" t="str">
            <v>EX100-LENS</v>
          </cell>
          <cell r="AS740" t="str">
            <v/>
          </cell>
          <cell r="AU740" t="str">
            <v/>
          </cell>
        </row>
        <row r="741">
          <cell r="A741" t="str">
            <v>6016-2RS</v>
          </cell>
          <cell r="AS741" t="str">
            <v/>
          </cell>
          <cell r="AU741" t="str">
            <v/>
          </cell>
        </row>
        <row r="742">
          <cell r="A742" t="str">
            <v>LS01-2RLD</v>
          </cell>
          <cell r="AS742" t="str">
            <v/>
          </cell>
          <cell r="AU742" t="str">
            <v/>
          </cell>
        </row>
        <row r="743">
          <cell r="A743" t="str">
            <v>POS-10-Izq.</v>
          </cell>
          <cell r="AS743">
            <v>0.89100245193876426</v>
          </cell>
          <cell r="AU743">
            <v>0.43052577810569215</v>
          </cell>
        </row>
        <row r="744">
          <cell r="A744" t="str">
            <v>GE-20-E</v>
          </cell>
          <cell r="AS744">
            <v>0.47236997695197125</v>
          </cell>
          <cell r="AU744">
            <v>0.22824567029922394</v>
          </cell>
        </row>
        <row r="745">
          <cell r="A745" t="str">
            <v>51111</v>
          </cell>
          <cell r="AS745">
            <v>0.56077683502371634</v>
          </cell>
          <cell r="AU745">
            <v>0.27096320859375767</v>
          </cell>
        </row>
        <row r="746">
          <cell r="A746" t="str">
            <v>1210</v>
          </cell>
          <cell r="AS746">
            <v>1.2271643438475175</v>
          </cell>
          <cell r="AU746">
            <v>0.59295671167785269</v>
          </cell>
        </row>
        <row r="747">
          <cell r="A747" t="str">
            <v>TA-3820</v>
          </cell>
          <cell r="AS747" t="str">
            <v/>
          </cell>
          <cell r="AU747" t="str">
            <v/>
          </cell>
        </row>
        <row r="748">
          <cell r="A748" t="str">
            <v>H-218</v>
          </cell>
          <cell r="AS748" t="str">
            <v/>
          </cell>
          <cell r="AU748" t="str">
            <v/>
          </cell>
        </row>
        <row r="749">
          <cell r="A749" t="str">
            <v>ASL-205-25MM</v>
          </cell>
          <cell r="AS749">
            <v>0.81602996935831373</v>
          </cell>
          <cell r="AU749">
            <v>0.39429963043434751</v>
          </cell>
        </row>
        <row r="750">
          <cell r="A750" t="str">
            <v>627-2RLD</v>
          </cell>
          <cell r="AS750">
            <v>0.10167614139110363</v>
          </cell>
          <cell r="AU750">
            <v>4.9129157604380788E-2</v>
          </cell>
        </row>
        <row r="751">
          <cell r="A751" t="str">
            <v>22208CKW33C3</v>
          </cell>
          <cell r="AS751">
            <v>2.7897640154341268</v>
          </cell>
          <cell r="AU751">
            <v>1.3479932865084676</v>
          </cell>
        </row>
        <row r="752">
          <cell r="A752" t="str">
            <v>FHRL-BB9105</v>
          </cell>
          <cell r="AS752">
            <v>0.93693934877996499</v>
          </cell>
          <cell r="AU752">
            <v>0.45272214604304784</v>
          </cell>
        </row>
        <row r="753">
          <cell r="A753" t="str">
            <v>SNL522</v>
          </cell>
          <cell r="AS753">
            <v>30.590853054190191</v>
          </cell>
          <cell r="AU753">
            <v>14.781273368456752</v>
          </cell>
        </row>
        <row r="754">
          <cell r="A754" t="str">
            <v>22217-CW33C3</v>
          </cell>
          <cell r="AS754">
            <v>8.1160962645472647</v>
          </cell>
          <cell r="AU754">
            <v>3.9216375351962078</v>
          </cell>
        </row>
        <row r="755">
          <cell r="A755" t="str">
            <v>HK-1412</v>
          </cell>
          <cell r="AS755">
            <v>0.11003063674438289</v>
          </cell>
          <cell r="AU755">
            <v>5.3165987811553038E-2</v>
          </cell>
        </row>
        <row r="756">
          <cell r="A756" t="str">
            <v>CL-40-2</v>
          </cell>
          <cell r="AS756">
            <v>9.0475835292940773E-2</v>
          </cell>
          <cell r="AU756">
            <v>4.3717252746609543E-2</v>
          </cell>
        </row>
        <row r="757">
          <cell r="A757" t="str">
            <v>SER-16</v>
          </cell>
          <cell r="AS757">
            <v>1.0678161680822542</v>
          </cell>
          <cell r="AU757">
            <v>0.5159608546947595</v>
          </cell>
        </row>
        <row r="758">
          <cell r="A758" t="str">
            <v>51209</v>
          </cell>
          <cell r="AS758">
            <v>0.75736145424419477</v>
          </cell>
          <cell r="AU758">
            <v>0.36595143895086596</v>
          </cell>
        </row>
        <row r="759">
          <cell r="A759" t="str">
            <v>RNB4-5X12</v>
          </cell>
          <cell r="AS759">
            <v>2.2535081469268355E-2</v>
          </cell>
          <cell r="AU759">
            <v>1.0888784271155638E-2</v>
          </cell>
        </row>
        <row r="760">
          <cell r="A760" t="str">
            <v>UK-209-M</v>
          </cell>
          <cell r="AS760">
            <v>1.3018343218015795</v>
          </cell>
          <cell r="AU760">
            <v>0.62903669135676032</v>
          </cell>
        </row>
        <row r="761">
          <cell r="A761" t="str">
            <v>HD05-D</v>
          </cell>
          <cell r="AS761" t="str">
            <v/>
          </cell>
          <cell r="AU761" t="str">
            <v/>
          </cell>
        </row>
        <row r="762">
          <cell r="A762" t="str">
            <v>580-572</v>
          </cell>
          <cell r="AS762" t="str">
            <v/>
          </cell>
          <cell r="AU762" t="str">
            <v/>
          </cell>
        </row>
        <row r="763">
          <cell r="A763" t="str">
            <v>2209-K-TN-C3</v>
          </cell>
          <cell r="AS763">
            <v>1.541919612839554</v>
          </cell>
          <cell r="AU763">
            <v>0.74504412378407225</v>
          </cell>
        </row>
        <row r="764">
          <cell r="A764" t="str">
            <v>LS19-2RS</v>
          </cell>
          <cell r="AS764">
            <v>3.304732551729519</v>
          </cell>
          <cell r="AU764">
            <v>1.5968222648194728</v>
          </cell>
        </row>
        <row r="765">
          <cell r="A765" t="str">
            <v>1211-C3</v>
          </cell>
          <cell r="AS765">
            <v>1.6316747236487767</v>
          </cell>
          <cell r="AU765">
            <v>0.78841312780423078</v>
          </cell>
        </row>
        <row r="766">
          <cell r="A766" t="str">
            <v>PHS-25-Der.</v>
          </cell>
          <cell r="AS766" t="str">
            <v/>
          </cell>
          <cell r="AU766" t="str">
            <v/>
          </cell>
        </row>
        <row r="767">
          <cell r="A767" t="str">
            <v>CA550-A1-CL</v>
          </cell>
          <cell r="AS767">
            <v>0.3855144192807563</v>
          </cell>
          <cell r="AU767">
            <v>0.18627770885552905</v>
          </cell>
        </row>
        <row r="768">
          <cell r="A768" t="str">
            <v>UC-212-60MM</v>
          </cell>
          <cell r="AS768" t="str">
            <v/>
          </cell>
          <cell r="AU768" t="str">
            <v/>
          </cell>
        </row>
        <row r="769">
          <cell r="A769" t="str">
            <v>LS07-2RST1</v>
          </cell>
          <cell r="AS769" t="str">
            <v/>
          </cell>
          <cell r="AU769" t="str">
            <v/>
          </cell>
        </row>
        <row r="770">
          <cell r="A770" t="str">
            <v>AG59517-65</v>
          </cell>
          <cell r="AS770">
            <v>11.17220000534112</v>
          </cell>
          <cell r="AU770">
            <v>5.3983242021229305</v>
          </cell>
        </row>
        <row r="771">
          <cell r="A771" t="str">
            <v>SAB205-14DG</v>
          </cell>
          <cell r="AS771">
            <v>0.87707002786161037</v>
          </cell>
          <cell r="AU771">
            <v>0.42379373409878368</v>
          </cell>
        </row>
        <row r="772">
          <cell r="A772" t="str">
            <v>629-2RLD</v>
          </cell>
          <cell r="AS772">
            <v>0.13086904590405915</v>
          </cell>
          <cell r="AU772">
            <v>6.3234952603325553E-2</v>
          </cell>
        </row>
        <row r="773">
          <cell r="A773" t="str">
            <v>FD-207</v>
          </cell>
          <cell r="AS773">
            <v>1.1009996946413969</v>
          </cell>
          <cell r="AU773">
            <v>0.53199488867646127</v>
          </cell>
        </row>
        <row r="774">
          <cell r="A774" t="str">
            <v>205-KRRB1</v>
          </cell>
          <cell r="AS774">
            <v>1.1449554854193649</v>
          </cell>
          <cell r="AU774">
            <v>0.5532340008537151</v>
          </cell>
        </row>
        <row r="775">
          <cell r="A775" t="str">
            <v>AG3565-DH</v>
          </cell>
          <cell r="AS775">
            <v>5.2035814402947738</v>
          </cell>
          <cell r="AU775">
            <v>2.5143319680485154</v>
          </cell>
        </row>
        <row r="776">
          <cell r="A776" t="str">
            <v>ECL-205-15-D</v>
          </cell>
          <cell r="AS776" t="str">
            <v/>
          </cell>
          <cell r="AU776" t="str">
            <v/>
          </cell>
        </row>
        <row r="777">
          <cell r="A777" t="str">
            <v>SABP206-30L</v>
          </cell>
          <cell r="AS777" t="str">
            <v/>
          </cell>
          <cell r="AU777" t="str">
            <v/>
          </cell>
        </row>
        <row r="778">
          <cell r="A778" t="str">
            <v>5060-SMD5K</v>
          </cell>
          <cell r="AS778" t="str">
            <v/>
          </cell>
          <cell r="AU778" t="str">
            <v/>
          </cell>
        </row>
        <row r="779">
          <cell r="A779" t="str">
            <v>32009-MX</v>
          </cell>
          <cell r="AS779" t="str">
            <v/>
          </cell>
          <cell r="AU779" t="str">
            <v/>
          </cell>
        </row>
        <row r="780">
          <cell r="A780" t="str">
            <v>SNL516</v>
          </cell>
          <cell r="AS780">
            <v>11.956648117361688</v>
          </cell>
          <cell r="AU780">
            <v>5.7773637132671798</v>
          </cell>
        </row>
        <row r="781">
          <cell r="A781" t="str">
            <v>PFL-7-Z</v>
          </cell>
          <cell r="AS781">
            <v>0.58124826434378429</v>
          </cell>
          <cell r="AU781">
            <v>0.28085485144814076</v>
          </cell>
        </row>
        <row r="782">
          <cell r="A782" t="str">
            <v>22311-CW33C3</v>
          </cell>
          <cell r="AS782" t="str">
            <v/>
          </cell>
          <cell r="AU782" t="str">
            <v/>
          </cell>
        </row>
        <row r="783">
          <cell r="A783" t="str">
            <v>2208</v>
          </cell>
          <cell r="AS783">
            <v>1.4847151752637189</v>
          </cell>
          <cell r="AU783">
            <v>0.71740336371113878</v>
          </cell>
        </row>
        <row r="784">
          <cell r="A784" t="str">
            <v>POS-8-Der.</v>
          </cell>
          <cell r="AS784">
            <v>0.73575707560387849</v>
          </cell>
          <cell r="AU784">
            <v>0.35551236338561554</v>
          </cell>
        </row>
        <row r="785">
          <cell r="A785" t="str">
            <v>LS28-2RS-C0</v>
          </cell>
          <cell r="AS785" t="str">
            <v/>
          </cell>
          <cell r="AU785" t="str">
            <v/>
          </cell>
        </row>
        <row r="786">
          <cell r="A786" t="str">
            <v>51205</v>
          </cell>
          <cell r="AS786">
            <v>0.34552253611748401</v>
          </cell>
          <cell r="AU786">
            <v>0.16695392744581974</v>
          </cell>
        </row>
        <row r="787">
          <cell r="A787" t="str">
            <v>1210-K-TN-C3</v>
          </cell>
          <cell r="AS787">
            <v>1.4142930456722553</v>
          </cell>
          <cell r="AU787">
            <v>0.68337591286377741</v>
          </cell>
        </row>
        <row r="788">
          <cell r="A788" t="str">
            <v>6214-2RS</v>
          </cell>
          <cell r="AS788" t="str">
            <v/>
          </cell>
          <cell r="AU788" t="str">
            <v/>
          </cell>
        </row>
        <row r="789">
          <cell r="A789" t="str">
            <v>P-208-L</v>
          </cell>
          <cell r="AS789" t="str">
            <v/>
          </cell>
          <cell r="AU789" t="str">
            <v/>
          </cell>
        </row>
        <row r="790">
          <cell r="A790" t="str">
            <v>HK-4030</v>
          </cell>
          <cell r="AS790">
            <v>0.44807666385158423</v>
          </cell>
          <cell r="AU790">
            <v>0.21650732154097815</v>
          </cell>
        </row>
        <row r="791">
          <cell r="A791" t="str">
            <v>12025-P</v>
          </cell>
          <cell r="AS791" t="str">
            <v/>
          </cell>
          <cell r="AU791" t="str">
            <v/>
          </cell>
        </row>
        <row r="792">
          <cell r="A792" t="str">
            <v>3TX-12047</v>
          </cell>
          <cell r="AS792" t="str">
            <v/>
          </cell>
          <cell r="AU792" t="str">
            <v/>
          </cell>
        </row>
        <row r="793">
          <cell r="A793" t="str">
            <v>22208CW33</v>
          </cell>
          <cell r="AS793" t="str">
            <v/>
          </cell>
          <cell r="AU793" t="str">
            <v/>
          </cell>
        </row>
        <row r="794">
          <cell r="A794" t="str">
            <v>F4X-210-HB</v>
          </cell>
          <cell r="AS794" t="str">
            <v/>
          </cell>
          <cell r="AU794" t="str">
            <v/>
          </cell>
        </row>
        <row r="795">
          <cell r="A795" t="str">
            <v>7207-B-TN</v>
          </cell>
          <cell r="AS795">
            <v>0.75087707205157617</v>
          </cell>
          <cell r="AU795">
            <v>0.36281823355627102</v>
          </cell>
        </row>
        <row r="796">
          <cell r="A796" t="str">
            <v>ACL207-35RR1</v>
          </cell>
          <cell r="AS796">
            <v>1.5635879604061582</v>
          </cell>
          <cell r="AU796">
            <v>0.75551410866018354</v>
          </cell>
        </row>
        <row r="797">
          <cell r="A797" t="str">
            <v>SNL509</v>
          </cell>
          <cell r="AS797">
            <v>4.2796069861421602</v>
          </cell>
          <cell r="AU797">
            <v>2.0678743629563408</v>
          </cell>
        </row>
        <row r="798">
          <cell r="A798" t="str">
            <v>LF-204</v>
          </cell>
          <cell r="AS798">
            <v>0.76876501250496632</v>
          </cell>
          <cell r="AU798">
            <v>0.37146155374652046</v>
          </cell>
        </row>
        <row r="799">
          <cell r="A799" t="str">
            <v>204-KRRB2</v>
          </cell>
          <cell r="AS799">
            <v>0.86906003705416746</v>
          </cell>
          <cell r="AU799">
            <v>0.41992336593370166</v>
          </cell>
        </row>
        <row r="800">
          <cell r="A800" t="str">
            <v>51116</v>
          </cell>
          <cell r="AS800">
            <v>0.99482479156503612</v>
          </cell>
          <cell r="AU800">
            <v>0.48069196278351628</v>
          </cell>
        </row>
        <row r="801">
          <cell r="A801" t="str">
            <v>6303-2RLD</v>
          </cell>
          <cell r="AS801" t="str">
            <v/>
          </cell>
          <cell r="AU801" t="str">
            <v/>
          </cell>
        </row>
        <row r="802">
          <cell r="A802" t="str">
            <v>ASA-120-1H</v>
          </cell>
          <cell r="AS802">
            <v>1.8623962324036762</v>
          </cell>
          <cell r="AU802">
            <v>0.89989605006362883</v>
          </cell>
        </row>
        <row r="803">
          <cell r="A803" t="str">
            <v>SL-205-DBL</v>
          </cell>
          <cell r="AS803">
            <v>1.8582774873119752</v>
          </cell>
          <cell r="AU803">
            <v>0.89790590297529571</v>
          </cell>
        </row>
        <row r="804">
          <cell r="A804" t="str">
            <v>POS-12-Izq.</v>
          </cell>
          <cell r="AS804">
            <v>1.050192578728083</v>
          </cell>
          <cell r="AU804">
            <v>0.50744526699552239</v>
          </cell>
        </row>
        <row r="805">
          <cell r="A805" t="str">
            <v>PHS-12-Izq.</v>
          </cell>
          <cell r="AS805">
            <v>1.0411837990731188</v>
          </cell>
          <cell r="AU805">
            <v>0.50309229146521184</v>
          </cell>
        </row>
        <row r="806">
          <cell r="A806" t="str">
            <v>21310-CW33C3</v>
          </cell>
          <cell r="AS806">
            <v>7.4001740609466617</v>
          </cell>
          <cell r="AU806">
            <v>3.5757092348894939</v>
          </cell>
        </row>
        <row r="807">
          <cell r="A807" t="str">
            <v>51109</v>
          </cell>
          <cell r="AS807">
            <v>0.39907003475006086</v>
          </cell>
          <cell r="AU807">
            <v>0.19282768173711326</v>
          </cell>
        </row>
        <row r="808">
          <cell r="A808" t="str">
            <v>DTR2549-16FM</v>
          </cell>
          <cell r="AS808" t="str">
            <v/>
          </cell>
          <cell r="AU808" t="str">
            <v/>
          </cell>
        </row>
        <row r="809">
          <cell r="A809" t="str">
            <v>DAC-25520037</v>
          </cell>
          <cell r="AS809">
            <v>1.1874254466499095</v>
          </cell>
          <cell r="AU809">
            <v>0.57375517121089326</v>
          </cell>
        </row>
        <row r="810">
          <cell r="A810" t="str">
            <v>51108</v>
          </cell>
          <cell r="AS810">
            <v>0.32308369779405693</v>
          </cell>
          <cell r="AU810">
            <v>0.15611164714910378</v>
          </cell>
        </row>
        <row r="811">
          <cell r="A811" t="str">
            <v>6014-2RS</v>
          </cell>
          <cell r="AS811" t="str">
            <v/>
          </cell>
          <cell r="AU811" t="str">
            <v/>
          </cell>
        </row>
        <row r="812">
          <cell r="A812" t="str">
            <v>HC-205-DBL</v>
          </cell>
          <cell r="AS812">
            <v>0.89793632316007754</v>
          </cell>
          <cell r="AU812">
            <v>0.43387617326604777</v>
          </cell>
        </row>
        <row r="813">
          <cell r="A813" t="str">
            <v>5210-2RST</v>
          </cell>
          <cell r="AS813" t="str">
            <v/>
          </cell>
          <cell r="AU813" t="str">
            <v/>
          </cell>
        </row>
        <row r="814">
          <cell r="A814" t="str">
            <v>POS-14-Der.</v>
          </cell>
          <cell r="AS814">
            <v>0.88060164510679428</v>
          </cell>
          <cell r="AU814">
            <v>0.42550018536515882</v>
          </cell>
        </row>
        <row r="815">
          <cell r="A815" t="str">
            <v>SER-23</v>
          </cell>
          <cell r="AS815" t="str">
            <v/>
          </cell>
          <cell r="AU815" t="str">
            <v/>
          </cell>
        </row>
        <row r="816">
          <cell r="A816" t="str">
            <v>SNL511</v>
          </cell>
          <cell r="AS816">
            <v>5.8816562634790408</v>
          </cell>
          <cell r="AU816">
            <v>2.8419726947716217</v>
          </cell>
        </row>
        <row r="817">
          <cell r="A817" t="str">
            <v>POS-8-DER</v>
          </cell>
          <cell r="AS817" t="str">
            <v/>
          </cell>
          <cell r="AU817" t="str">
            <v/>
          </cell>
        </row>
        <row r="818">
          <cell r="A818" t="str">
            <v>NKI-2020</v>
          </cell>
          <cell r="AS818">
            <v>1.3315344035328718</v>
          </cell>
          <cell r="AU818">
            <v>0.64338755062695019</v>
          </cell>
        </row>
        <row r="819">
          <cell r="A819" t="str">
            <v>HD14-2RS</v>
          </cell>
          <cell r="AS819">
            <v>4.8918461466365617</v>
          </cell>
          <cell r="AU819">
            <v>2.3637037856308623</v>
          </cell>
        </row>
        <row r="820">
          <cell r="A820" t="str">
            <v>PHS-10-Izq.</v>
          </cell>
          <cell r="AS820">
            <v>0.86933410437216008</v>
          </cell>
          <cell r="AU820">
            <v>0.42005579322958103</v>
          </cell>
        </row>
        <row r="821">
          <cell r="A821" t="str">
            <v>DAC-34660037</v>
          </cell>
          <cell r="AS821">
            <v>1.2177611332431553</v>
          </cell>
          <cell r="AU821">
            <v>0.58841315003744887</v>
          </cell>
        </row>
        <row r="822">
          <cell r="A822" t="str">
            <v>H-311</v>
          </cell>
          <cell r="AS822">
            <v>0.88628741950827106</v>
          </cell>
          <cell r="AU822">
            <v>0.42824750939665035</v>
          </cell>
        </row>
        <row r="823">
          <cell r="A823" t="str">
            <v>H-316</v>
          </cell>
          <cell r="AS823">
            <v>2.2318397993602317</v>
          </cell>
          <cell r="AU823">
            <v>1.0784084422394526</v>
          </cell>
        </row>
        <row r="824">
          <cell r="A824" t="str">
            <v>ASA-80-2-10</v>
          </cell>
          <cell r="AS824" t="str">
            <v/>
          </cell>
          <cell r="AU824" t="str">
            <v/>
          </cell>
        </row>
        <row r="825">
          <cell r="A825" t="str">
            <v>P-207-L</v>
          </cell>
          <cell r="AS825" t="str">
            <v/>
          </cell>
          <cell r="AU825" t="str">
            <v/>
          </cell>
        </row>
        <row r="826">
          <cell r="A826" t="str">
            <v>PA-205</v>
          </cell>
          <cell r="AS826">
            <v>0.91590409380313298</v>
          </cell>
          <cell r="AU826">
            <v>0.44255806681201265</v>
          </cell>
        </row>
        <row r="827">
          <cell r="A827" t="str">
            <v>22310CW33C3</v>
          </cell>
          <cell r="AS827" t="str">
            <v/>
          </cell>
          <cell r="AU827" t="str">
            <v/>
          </cell>
        </row>
        <row r="828">
          <cell r="A828" t="str">
            <v>POS-20-Izq.</v>
          </cell>
          <cell r="AS828" t="str">
            <v/>
          </cell>
          <cell r="AU828" t="str">
            <v/>
          </cell>
        </row>
        <row r="829">
          <cell r="A829" t="str">
            <v>HC-211-32</v>
          </cell>
          <cell r="AS829" t="str">
            <v/>
          </cell>
          <cell r="AU829" t="str">
            <v/>
          </cell>
        </row>
        <row r="830">
          <cell r="A830" t="str">
            <v>HM-88048-010</v>
          </cell>
          <cell r="AS830" t="str">
            <v/>
          </cell>
          <cell r="AU830" t="str">
            <v/>
          </cell>
        </row>
        <row r="831">
          <cell r="A831" t="str">
            <v>29620</v>
          </cell>
          <cell r="AS831" t="str">
            <v/>
          </cell>
          <cell r="AU831" t="str">
            <v/>
          </cell>
        </row>
        <row r="832">
          <cell r="A832" t="str">
            <v>TS04-2RS</v>
          </cell>
          <cell r="AS832">
            <v>0.25630559693068955</v>
          </cell>
          <cell r="AU832">
            <v>0.1238449639631438</v>
          </cell>
        </row>
        <row r="833">
          <cell r="A833" t="str">
            <v>RCS-20-ML</v>
          </cell>
          <cell r="AS833">
            <v>1.4275107376878837</v>
          </cell>
          <cell r="AU833">
            <v>0.68976260363820519</v>
          </cell>
        </row>
        <row r="834">
          <cell r="A834" t="str">
            <v>POS-18-Der.</v>
          </cell>
          <cell r="AS834">
            <v>1.867811560241281</v>
          </cell>
          <cell r="AU834">
            <v>0.90251269632078468</v>
          </cell>
        </row>
        <row r="835">
          <cell r="A835" t="str">
            <v>SS-BHA-1612</v>
          </cell>
          <cell r="AS835" t="str">
            <v/>
          </cell>
          <cell r="AU835" t="str">
            <v/>
          </cell>
        </row>
        <row r="836">
          <cell r="A836" t="str">
            <v>FB-210-HA</v>
          </cell>
          <cell r="AS836" t="str">
            <v/>
          </cell>
          <cell r="AU836" t="str">
            <v/>
          </cell>
        </row>
        <row r="837">
          <cell r="A837" t="str">
            <v>SAB209-3</v>
          </cell>
          <cell r="AS837" t="str">
            <v/>
          </cell>
          <cell r="AU837" t="str">
            <v/>
          </cell>
        </row>
        <row r="838">
          <cell r="A838" t="str">
            <v>F-211-L</v>
          </cell>
          <cell r="AS838">
            <v>1.5956571148047325</v>
          </cell>
          <cell r="AU838">
            <v>0.77100968627682809</v>
          </cell>
        </row>
        <row r="839">
          <cell r="A839" t="str">
            <v>51106</v>
          </cell>
          <cell r="AS839">
            <v>0.24583725239201848</v>
          </cell>
          <cell r="AU839">
            <v>0.11878673750351607</v>
          </cell>
        </row>
        <row r="840">
          <cell r="A840" t="str">
            <v>PA-208</v>
          </cell>
          <cell r="AS840">
            <v>1.7002167410624915</v>
          </cell>
          <cell r="AU840">
            <v>0.82153212238809914</v>
          </cell>
        </row>
        <row r="841">
          <cell r="A841" t="str">
            <v>6008</v>
          </cell>
          <cell r="AS841">
            <v>0.62231494211287219</v>
          </cell>
          <cell r="AU841">
            <v>0.30069796564191342</v>
          </cell>
        </row>
        <row r="842">
          <cell r="A842" t="str">
            <v>51207</v>
          </cell>
          <cell r="AS842">
            <v>0.45416856499602376</v>
          </cell>
          <cell r="AU842">
            <v>0.21945088300329055</v>
          </cell>
        </row>
        <row r="843">
          <cell r="A843" t="str">
            <v>KY3116ABS</v>
          </cell>
          <cell r="AS843" t="str">
            <v/>
          </cell>
          <cell r="AU843" t="str">
            <v/>
          </cell>
        </row>
        <row r="844">
          <cell r="A844" t="str">
            <v>SNL520</v>
          </cell>
          <cell r="AS844">
            <v>19.773320561819254</v>
          </cell>
          <cell r="AU844">
            <v>9.5543218787860109</v>
          </cell>
        </row>
        <row r="845">
          <cell r="A845" t="str">
            <v>GE-25-ES-2RS</v>
          </cell>
          <cell r="AS845">
            <v>0.60184351279280435</v>
          </cell>
          <cell r="AU845">
            <v>0.29080632278753027</v>
          </cell>
        </row>
        <row r="846">
          <cell r="A846" t="str">
            <v>6802-2RS</v>
          </cell>
          <cell r="AS846" t="str">
            <v/>
          </cell>
          <cell r="AU846" t="str">
            <v/>
          </cell>
        </row>
        <row r="847">
          <cell r="A847" t="str">
            <v>DAC-37720033</v>
          </cell>
          <cell r="AS847">
            <v>1.7859937437736604</v>
          </cell>
          <cell r="AU847">
            <v>0.86297893407244919</v>
          </cell>
        </row>
        <row r="848">
          <cell r="A848" t="str">
            <v>9010</v>
          </cell>
          <cell r="AS848" t="str">
            <v/>
          </cell>
          <cell r="AU848" t="str">
            <v/>
          </cell>
        </row>
        <row r="849">
          <cell r="A849" t="str">
            <v>SS-6303-SB</v>
          </cell>
          <cell r="AS849" t="str">
            <v/>
          </cell>
          <cell r="AU849" t="str">
            <v/>
          </cell>
        </row>
        <row r="850">
          <cell r="A850" t="str">
            <v>BF5023</v>
          </cell>
          <cell r="AS850" t="str">
            <v/>
          </cell>
          <cell r="AU850" t="str">
            <v/>
          </cell>
        </row>
        <row r="851">
          <cell r="A851" t="str">
            <v>PFF-6-Z</v>
          </cell>
          <cell r="AS851">
            <v>0.37226221119425995</v>
          </cell>
          <cell r="AU851">
            <v>0.17987434017159026</v>
          </cell>
        </row>
        <row r="852">
          <cell r="A852" t="str">
            <v>2210</v>
          </cell>
          <cell r="AS852">
            <v>1.9722341534709509</v>
          </cell>
          <cell r="AU852">
            <v>0.95296891908896575</v>
          </cell>
        </row>
        <row r="853">
          <cell r="A853" t="str">
            <v>51211</v>
          </cell>
          <cell r="AS853">
            <v>0.9412730182932858</v>
          </cell>
          <cell r="AU853">
            <v>0.45481614301827011</v>
          </cell>
        </row>
        <row r="854">
          <cell r="A854" t="str">
            <v>SNL517</v>
          </cell>
          <cell r="AS854">
            <v>12.58844320229437</v>
          </cell>
          <cell r="AU854">
            <v>6.0826424136255577</v>
          </cell>
        </row>
        <row r="855">
          <cell r="A855" t="str">
            <v>628-ZZ</v>
          </cell>
          <cell r="AS855">
            <v>9.5687422854124085E-2</v>
          </cell>
          <cell r="AU855">
            <v>4.6235453212907014E-2</v>
          </cell>
        </row>
        <row r="856">
          <cell r="A856" t="str">
            <v>DAC-30620030</v>
          </cell>
          <cell r="AS856">
            <v>1.5063835228303231</v>
          </cell>
          <cell r="AU856">
            <v>0.72787334858724995</v>
          </cell>
        </row>
        <row r="857">
          <cell r="A857" t="str">
            <v>628-2RLD</v>
          </cell>
          <cell r="AS857">
            <v>0.13231360361032354</v>
          </cell>
          <cell r="AU857">
            <v>6.3932952175778796E-2</v>
          </cell>
        </row>
        <row r="858">
          <cell r="A858" t="str">
            <v>ECL212-60DG</v>
          </cell>
          <cell r="AS858" t="str">
            <v/>
          </cell>
          <cell r="AU858" t="str">
            <v/>
          </cell>
        </row>
        <row r="859">
          <cell r="A859" t="str">
            <v>UCF-212-60MM</v>
          </cell>
          <cell r="AS859" t="str">
            <v/>
          </cell>
          <cell r="AU859" t="str">
            <v/>
          </cell>
        </row>
        <row r="860">
          <cell r="A860" t="str">
            <v>SAB206-30DG</v>
          </cell>
          <cell r="AS860">
            <v>1.0123451983117475</v>
          </cell>
          <cell r="AU860">
            <v>0.48915769341191473</v>
          </cell>
        </row>
        <row r="861">
          <cell r="A861" t="str">
            <v>ECL-205-14DG</v>
          </cell>
          <cell r="AS861">
            <v>1.2945432649772211</v>
          </cell>
          <cell r="AU861">
            <v>0.62551370676149964</v>
          </cell>
        </row>
        <row r="862">
          <cell r="A862" t="str">
            <v>DAC-42820036</v>
          </cell>
          <cell r="AS862" t="str">
            <v/>
          </cell>
          <cell r="AU862" t="str">
            <v/>
          </cell>
        </row>
        <row r="863">
          <cell r="A863" t="str">
            <v>ASA-60-3</v>
          </cell>
          <cell r="AS863" t="str">
            <v/>
          </cell>
          <cell r="AU863" t="str">
            <v/>
          </cell>
        </row>
        <row r="864">
          <cell r="A864" t="str">
            <v>33215-MX</v>
          </cell>
          <cell r="AS864">
            <v>2.8130242780921315</v>
          </cell>
          <cell r="AU864">
            <v>1.3592324729528933</v>
          </cell>
        </row>
        <row r="865">
          <cell r="A865" t="str">
            <v>HM-803110</v>
          </cell>
          <cell r="AS865" t="str">
            <v/>
          </cell>
          <cell r="AU865" t="str">
            <v/>
          </cell>
        </row>
        <row r="866">
          <cell r="A866" t="str">
            <v>PA-206</v>
          </cell>
          <cell r="AS866">
            <v>1.1241346110020327</v>
          </cell>
          <cell r="AU866">
            <v>0.54317350871942538</v>
          </cell>
        </row>
        <row r="867">
          <cell r="A867" t="str">
            <v>H-2308</v>
          </cell>
          <cell r="AS867">
            <v>0.86413370095617503</v>
          </cell>
          <cell r="AU867">
            <v>0.41754299685931429</v>
          </cell>
        </row>
        <row r="868">
          <cell r="A868" t="str">
            <v>ACL-209-28</v>
          </cell>
          <cell r="AS868">
            <v>2.9962495738584458</v>
          </cell>
          <cell r="AU868">
            <v>1.4477655772746527</v>
          </cell>
        </row>
        <row r="869">
          <cell r="A869" t="str">
            <v>62309-2RLD</v>
          </cell>
          <cell r="AS869">
            <v>1.0799504427195525</v>
          </cell>
          <cell r="AU869">
            <v>0.5218240462253817</v>
          </cell>
        </row>
        <row r="870">
          <cell r="A870" t="str">
            <v>51113</v>
          </cell>
          <cell r="AS870">
            <v>0.95860769634656917</v>
          </cell>
          <cell r="AU870">
            <v>0.46319213091915901</v>
          </cell>
        </row>
        <row r="871">
          <cell r="A871" t="str">
            <v>CL-100-1HR</v>
          </cell>
          <cell r="AS871">
            <v>0.39557777961327051</v>
          </cell>
          <cell r="AU871">
            <v>0.19114024994964876</v>
          </cell>
        </row>
        <row r="872">
          <cell r="A872" t="str">
            <v>SAB204-12DG</v>
          </cell>
          <cell r="AS872">
            <v>0.89320099647235129</v>
          </cell>
          <cell r="AU872">
            <v>0.43158809852239022</v>
          </cell>
        </row>
        <row r="873">
          <cell r="A873" t="str">
            <v>1310-K</v>
          </cell>
          <cell r="AS873" t="str">
            <v/>
          </cell>
          <cell r="AU873" t="str">
            <v/>
          </cell>
        </row>
        <row r="874">
          <cell r="A874" t="str">
            <v>GE-45</v>
          </cell>
          <cell r="AS874">
            <v>1.2316288756857821</v>
          </cell>
          <cell r="AU874">
            <v>0.59511394035816012</v>
          </cell>
        </row>
        <row r="875">
          <cell r="A875" t="str">
            <v>51206</v>
          </cell>
          <cell r="AS875">
            <v>0.30422359983512276</v>
          </cell>
          <cell r="AU875">
            <v>0.14699858766060109</v>
          </cell>
        </row>
        <row r="876">
          <cell r="A876" t="str">
            <v>6220-2RS</v>
          </cell>
          <cell r="AS876" t="str">
            <v/>
          </cell>
          <cell r="AU876" t="str">
            <v/>
          </cell>
        </row>
        <row r="877">
          <cell r="A877" t="str">
            <v>POS-16-Der.</v>
          </cell>
          <cell r="AS877">
            <v>1.2368292791017672</v>
          </cell>
          <cell r="AU877">
            <v>0.59762673672842692</v>
          </cell>
        </row>
        <row r="878">
          <cell r="A878" t="str">
            <v>SAB210-50LG</v>
          </cell>
          <cell r="AS878" t="str">
            <v/>
          </cell>
          <cell r="AU878" t="str">
            <v/>
          </cell>
        </row>
        <row r="879">
          <cell r="A879" t="str">
            <v>LS10-2RST</v>
          </cell>
          <cell r="AS879" t="str">
            <v/>
          </cell>
          <cell r="AU879" t="str">
            <v/>
          </cell>
        </row>
        <row r="880">
          <cell r="A880" t="str">
            <v>51210</v>
          </cell>
          <cell r="AS880">
            <v>0.97940931001050913</v>
          </cell>
          <cell r="AU880">
            <v>0.47324331640022571</v>
          </cell>
        </row>
        <row r="881">
          <cell r="A881" t="str">
            <v>FT-210</v>
          </cell>
          <cell r="AS881">
            <v>1.761999748394415</v>
          </cell>
          <cell r="AU881">
            <v>0.85138521341765583</v>
          </cell>
        </row>
        <row r="882">
          <cell r="A882" t="str">
            <v>ECL308-40DG</v>
          </cell>
          <cell r="AS882">
            <v>4.3864602751769519</v>
          </cell>
          <cell r="AU882">
            <v>2.1195050799142532</v>
          </cell>
        </row>
        <row r="883">
          <cell r="A883" t="str">
            <v>MS04-D-C3</v>
          </cell>
          <cell r="AS883" t="str">
            <v/>
          </cell>
          <cell r="AU883" t="str">
            <v/>
          </cell>
        </row>
        <row r="884">
          <cell r="A884" t="str">
            <v>51107</v>
          </cell>
          <cell r="AS884">
            <v>0.2721544454365486</v>
          </cell>
          <cell r="AU884">
            <v>0.13150301004395656</v>
          </cell>
        </row>
        <row r="885">
          <cell r="A885" t="str">
            <v>H-209</v>
          </cell>
          <cell r="AS885">
            <v>0.57519613540440218</v>
          </cell>
          <cell r="AU885">
            <v>0.27793050762040622</v>
          </cell>
        </row>
        <row r="886">
          <cell r="A886" t="str">
            <v>SNL518</v>
          </cell>
          <cell r="AS886">
            <v>15.789811545174739</v>
          </cell>
          <cell r="AU886">
            <v>7.6295198591617295</v>
          </cell>
        </row>
        <row r="887">
          <cell r="A887" t="str">
            <v>6904-2RLD-C3</v>
          </cell>
          <cell r="AS887" t="str">
            <v/>
          </cell>
          <cell r="AU887" t="str">
            <v/>
          </cell>
        </row>
        <row r="888">
          <cell r="A888" t="str">
            <v>SNL515</v>
          </cell>
          <cell r="AS888">
            <v>10.337535257075528</v>
          </cell>
          <cell r="AU888">
            <v>4.9950203846951275</v>
          </cell>
        </row>
        <row r="889">
          <cell r="A889" t="str">
            <v>SS-6204-2RS</v>
          </cell>
          <cell r="AS889" t="str">
            <v/>
          </cell>
          <cell r="AU889" t="str">
            <v/>
          </cell>
        </row>
        <row r="890">
          <cell r="A890" t="str">
            <v>PFF-10-ZM</v>
          </cell>
          <cell r="AS890">
            <v>1.9978216456409064</v>
          </cell>
          <cell r="AU890">
            <v>0.96533260557745182</v>
          </cell>
        </row>
        <row r="891">
          <cell r="A891" t="str">
            <v>DAC-40720037</v>
          </cell>
          <cell r="AS891" t="str">
            <v/>
          </cell>
          <cell r="AU891" t="str">
            <v/>
          </cell>
        </row>
        <row r="892">
          <cell r="A892" t="str">
            <v>RNB3X15-A1</v>
          </cell>
          <cell r="AS892" t="str">
            <v/>
          </cell>
          <cell r="AU892" t="str">
            <v/>
          </cell>
        </row>
        <row r="893">
          <cell r="A893" t="str">
            <v>CL-100-1</v>
          </cell>
          <cell r="AS893">
            <v>0.36749517472960702</v>
          </cell>
          <cell r="AU893">
            <v>0.17757094349884581</v>
          </cell>
        </row>
        <row r="894">
          <cell r="A894" t="str">
            <v>FC-210-H</v>
          </cell>
          <cell r="AS894" t="str">
            <v/>
          </cell>
          <cell r="AU894" t="str">
            <v/>
          </cell>
        </row>
        <row r="895">
          <cell r="A895" t="str">
            <v>51214</v>
          </cell>
          <cell r="AS895">
            <v>1.7291341358150143</v>
          </cell>
          <cell r="AU895">
            <v>0.83550479311367309</v>
          </cell>
        </row>
        <row r="896">
          <cell r="A896" t="str">
            <v>2209-TN-C3</v>
          </cell>
          <cell r="AS896">
            <v>1.8356185867137544</v>
          </cell>
          <cell r="AU896">
            <v>0.88695729021913361</v>
          </cell>
        </row>
        <row r="897">
          <cell r="A897" t="str">
            <v>SL209-45RR</v>
          </cell>
          <cell r="AS897" t="str">
            <v/>
          </cell>
          <cell r="AU897" t="str">
            <v/>
          </cell>
        </row>
        <row r="898">
          <cell r="A898" t="str">
            <v>2206-TN-C3</v>
          </cell>
          <cell r="AS898">
            <v>0.77843256002405115</v>
          </cell>
          <cell r="AU898">
            <v>0.37613284102409333</v>
          </cell>
        </row>
        <row r="899">
          <cell r="A899" t="str">
            <v>POS-6-Der.</v>
          </cell>
          <cell r="AS899">
            <v>0.5207626198507207</v>
          </cell>
          <cell r="AU899">
            <v>0.25162863652253897</v>
          </cell>
        </row>
        <row r="900">
          <cell r="A900" t="str">
            <v>FS-211</v>
          </cell>
          <cell r="AS900">
            <v>1.9739575721875529</v>
          </cell>
          <cell r="AU900">
            <v>0.95380166223389473</v>
          </cell>
        </row>
        <row r="901">
          <cell r="A901" t="str">
            <v>ECL-212-60mm</v>
          </cell>
          <cell r="AS901" t="str">
            <v/>
          </cell>
          <cell r="AU901" t="str">
            <v/>
          </cell>
        </row>
        <row r="902">
          <cell r="A902" t="str">
            <v>22206-CW33C3</v>
          </cell>
          <cell r="AS902" t="str">
            <v/>
          </cell>
          <cell r="AU902" t="str">
            <v/>
          </cell>
        </row>
        <row r="903">
          <cell r="A903" t="str">
            <v>H-312</v>
          </cell>
          <cell r="AS903" t="str">
            <v/>
          </cell>
          <cell r="AU903" t="str">
            <v/>
          </cell>
        </row>
        <row r="904">
          <cell r="A904" t="str">
            <v>51118</v>
          </cell>
          <cell r="AS904">
            <v>1.5540538874768521</v>
          </cell>
          <cell r="AU904">
            <v>0.75090731531469457</v>
          </cell>
        </row>
        <row r="905">
          <cell r="A905" t="str">
            <v>FC-212-H</v>
          </cell>
          <cell r="AS905">
            <v>4.8285745717420774</v>
          </cell>
          <cell r="AU905">
            <v>2.3331314297926178</v>
          </cell>
        </row>
        <row r="906">
          <cell r="A906" t="str">
            <v>BP-21001-BD</v>
          </cell>
          <cell r="AS906" t="str">
            <v/>
          </cell>
          <cell r="AU906" t="str">
            <v/>
          </cell>
        </row>
        <row r="907">
          <cell r="A907" t="str">
            <v>BP-21001-BI</v>
          </cell>
          <cell r="AS907" t="str">
            <v/>
          </cell>
          <cell r="AU907" t="str">
            <v/>
          </cell>
        </row>
        <row r="908">
          <cell r="A908" t="str">
            <v>2207-TN-C3</v>
          </cell>
          <cell r="AS908">
            <v>0.91613773511602503</v>
          </cell>
          <cell r="AU908">
            <v>0.44267096056198113</v>
          </cell>
        </row>
        <row r="909">
          <cell r="A909" t="str">
            <v>OL-415-H</v>
          </cell>
          <cell r="AS909">
            <v>7.8006051239775082E-2</v>
          </cell>
          <cell r="AU909">
            <v>3.7691945554000288E-2</v>
          </cell>
        </row>
        <row r="910">
          <cell r="A910" t="str">
            <v>PFT-6-ZM</v>
          </cell>
          <cell r="AS910" t="str">
            <v/>
          </cell>
          <cell r="AU910" t="str">
            <v/>
          </cell>
        </row>
        <row r="911">
          <cell r="A911" t="str">
            <v>6216</v>
          </cell>
          <cell r="AS911" t="str">
            <v/>
          </cell>
          <cell r="AU911" t="str">
            <v/>
          </cell>
        </row>
        <row r="912">
          <cell r="A912" t="str">
            <v>H-2313</v>
          </cell>
          <cell r="AS912">
            <v>1.3836132147353044</v>
          </cell>
          <cell r="AU912">
            <v>0.66855164604213058</v>
          </cell>
        </row>
        <row r="913">
          <cell r="A913" t="str">
            <v>ASL207-35RR</v>
          </cell>
          <cell r="AS913">
            <v>1.5805759448983756</v>
          </cell>
          <cell r="AU913">
            <v>0.76372257680305455</v>
          </cell>
        </row>
        <row r="914">
          <cell r="A914" t="str">
            <v>FB-207</v>
          </cell>
          <cell r="AS914">
            <v>1.3346618683649851</v>
          </cell>
          <cell r="AU914">
            <v>0.64489871844406887</v>
          </cell>
        </row>
        <row r="915">
          <cell r="A915" t="str">
            <v>GEG-35-ES-2R</v>
          </cell>
          <cell r="AS915" t="str">
            <v/>
          </cell>
          <cell r="AU915" t="str">
            <v/>
          </cell>
        </row>
        <row r="916">
          <cell r="A916" t="str">
            <v>PF-4-ZM</v>
          </cell>
          <cell r="AS916">
            <v>0.42036594279212131</v>
          </cell>
          <cell r="AU916">
            <v>0.20311770659655712</v>
          </cell>
        </row>
        <row r="917">
          <cell r="A917" t="str">
            <v>H-208</v>
          </cell>
          <cell r="AS917">
            <v>0.59246462650511833</v>
          </cell>
          <cell r="AU917">
            <v>0.28627451447658259</v>
          </cell>
        </row>
        <row r="918">
          <cell r="A918" t="str">
            <v>HD07-2RST</v>
          </cell>
          <cell r="AS918" t="str">
            <v/>
          </cell>
          <cell r="AU918" t="str">
            <v/>
          </cell>
        </row>
        <row r="919">
          <cell r="A919" t="str">
            <v>H-309</v>
          </cell>
          <cell r="AS919">
            <v>0.73092336730055907</v>
          </cell>
          <cell r="AU919">
            <v>0.35317675137479071</v>
          </cell>
        </row>
        <row r="920">
          <cell r="A920" t="str">
            <v>C2060-H-A1</v>
          </cell>
          <cell r="AS920">
            <v>7.5596530990368693</v>
          </cell>
          <cell r="AU920">
            <v>3.6527683235776718</v>
          </cell>
        </row>
        <row r="921">
          <cell r="A921" t="str">
            <v>51102</v>
          </cell>
          <cell r="AS921">
            <v>0.18981472468345273</v>
          </cell>
          <cell r="AU921">
            <v>9.1717067514734046E-2</v>
          </cell>
        </row>
        <row r="922">
          <cell r="A922" t="str">
            <v>51310</v>
          </cell>
          <cell r="AS922">
            <v>1.7456020799656333</v>
          </cell>
          <cell r="AU922">
            <v>0.84346198161951758</v>
          </cell>
        </row>
        <row r="923">
          <cell r="A923" t="str">
            <v>CL-100-3</v>
          </cell>
          <cell r="AS923" t="str">
            <v/>
          </cell>
          <cell r="AU923" t="str">
            <v/>
          </cell>
        </row>
        <row r="924">
          <cell r="A924" t="str">
            <v>3TY-12047</v>
          </cell>
          <cell r="AS924" t="str">
            <v/>
          </cell>
          <cell r="AU924" t="str">
            <v/>
          </cell>
        </row>
        <row r="925">
          <cell r="A925" t="str">
            <v>BALL-15/64</v>
          </cell>
          <cell r="AS925">
            <v>2.0807230772558897E-3</v>
          </cell>
          <cell r="AU925">
            <v>1.0053899626301232E-3</v>
          </cell>
        </row>
        <row r="926">
          <cell r="A926" t="str">
            <v>ECL207-20MG</v>
          </cell>
          <cell r="AS926" t="str">
            <v/>
          </cell>
          <cell r="AU926" t="str">
            <v/>
          </cell>
        </row>
        <row r="927">
          <cell r="A927" t="str">
            <v>P-209-L</v>
          </cell>
          <cell r="AS927" t="str">
            <v/>
          </cell>
          <cell r="AU927" t="str">
            <v/>
          </cell>
        </row>
        <row r="928">
          <cell r="A928" t="str">
            <v>DAC-35650035</v>
          </cell>
          <cell r="AS928" t="str">
            <v/>
          </cell>
          <cell r="AU928" t="str">
            <v/>
          </cell>
        </row>
        <row r="929">
          <cell r="A929" t="str">
            <v>SER-12</v>
          </cell>
          <cell r="AS929">
            <v>1.026386287534907</v>
          </cell>
          <cell r="AU929">
            <v>0.49594224361163491</v>
          </cell>
        </row>
        <row r="930">
          <cell r="A930" t="str">
            <v>1206-K-C3</v>
          </cell>
          <cell r="AS930">
            <v>0.68274993332591005</v>
          </cell>
          <cell r="AU930">
            <v>0.3298997052781944</v>
          </cell>
        </row>
        <row r="931">
          <cell r="A931" t="str">
            <v>AG59509</v>
          </cell>
          <cell r="AS931" t="str">
            <v/>
          </cell>
          <cell r="AU931" t="str">
            <v/>
          </cell>
        </row>
        <row r="932">
          <cell r="A932" t="str">
            <v>H-318</v>
          </cell>
          <cell r="AS932">
            <v>2.7894386100741788</v>
          </cell>
          <cell r="AU932">
            <v>1.3478360530513804</v>
          </cell>
        </row>
        <row r="933">
          <cell r="A933" t="str">
            <v>HK-2520</v>
          </cell>
          <cell r="AS933">
            <v>0.21073190286774793</v>
          </cell>
          <cell r="AU933">
            <v>0.10182409291514004</v>
          </cell>
        </row>
        <row r="934">
          <cell r="A934" t="str">
            <v>PFL-4-Z</v>
          </cell>
          <cell r="AS934">
            <v>0.23091892340070794</v>
          </cell>
          <cell r="AU934">
            <v>0.111578311552448</v>
          </cell>
        </row>
        <row r="935">
          <cell r="A935" t="str">
            <v>2210-K</v>
          </cell>
          <cell r="AS935">
            <v>2.5915343689658612</v>
          </cell>
          <cell r="AU935">
            <v>1.2522101911828984</v>
          </cell>
        </row>
        <row r="936">
          <cell r="A936" t="str">
            <v>1308-TN-C3</v>
          </cell>
          <cell r="AS936">
            <v>1.5235015174079403</v>
          </cell>
          <cell r="AU936">
            <v>0.73614463663937779</v>
          </cell>
        </row>
        <row r="937">
          <cell r="A937" t="str">
            <v>H-2312</v>
          </cell>
          <cell r="AS937">
            <v>1.0877510478435302</v>
          </cell>
          <cell r="AU937">
            <v>0.52559324078078173</v>
          </cell>
        </row>
        <row r="938">
          <cell r="A938" t="str">
            <v>T-209</v>
          </cell>
          <cell r="AS938">
            <v>1.7351049693667007</v>
          </cell>
          <cell r="AU938">
            <v>0.83838985561286805</v>
          </cell>
        </row>
        <row r="939">
          <cell r="A939" t="str">
            <v>H-314</v>
          </cell>
          <cell r="AS939" t="str">
            <v/>
          </cell>
          <cell r="AU939" t="str">
            <v/>
          </cell>
        </row>
        <row r="940">
          <cell r="A940" t="str">
            <v>SC-310-2RST</v>
          </cell>
          <cell r="AS940">
            <v>1.8189855503911998</v>
          </cell>
          <cell r="AU940">
            <v>0.87892033039994744</v>
          </cell>
        </row>
        <row r="941">
          <cell r="A941" t="str">
            <v>GE-35-ES-2RS</v>
          </cell>
          <cell r="AS941">
            <v>1.711799457761731</v>
          </cell>
          <cell r="AU941">
            <v>0.82712880521278398</v>
          </cell>
        </row>
        <row r="942">
          <cell r="A942" t="str">
            <v>KY3057</v>
          </cell>
          <cell r="AS942" t="str">
            <v/>
          </cell>
          <cell r="AU942" t="str">
            <v/>
          </cell>
        </row>
        <row r="943">
          <cell r="A943" t="str">
            <v>FD-204</v>
          </cell>
          <cell r="AS943">
            <v>0.57117764185568642</v>
          </cell>
          <cell r="AU943">
            <v>0.27598880133429099</v>
          </cell>
        </row>
        <row r="944">
          <cell r="A944" t="str">
            <v>PFT-4-Z</v>
          </cell>
          <cell r="AS944">
            <v>0.3149711002281585</v>
          </cell>
          <cell r="AU944">
            <v>0.15219170015915229</v>
          </cell>
        </row>
        <row r="945">
          <cell r="A945" t="str">
            <v>SABFC208-40L</v>
          </cell>
          <cell r="AS945" t="str">
            <v/>
          </cell>
          <cell r="AU945" t="str">
            <v/>
          </cell>
        </row>
        <row r="946">
          <cell r="A946" t="str">
            <v>CL-180-1H</v>
          </cell>
          <cell r="AS946">
            <v>2.9849505376799415</v>
          </cell>
          <cell r="AU946">
            <v>1.4423059667741314</v>
          </cell>
        </row>
        <row r="947">
          <cell r="A947" t="str">
            <v>DAC447208331</v>
          </cell>
          <cell r="AS947" t="str">
            <v/>
          </cell>
          <cell r="AU947" t="str">
            <v/>
          </cell>
        </row>
        <row r="948">
          <cell r="A948" t="str">
            <v>ECL206-18DG</v>
          </cell>
          <cell r="AS948">
            <v>1.6595230215181862</v>
          </cell>
          <cell r="AU948">
            <v>0.80186921884310336</v>
          </cell>
        </row>
        <row r="949">
          <cell r="A949" t="str">
            <v>LS26-2RS-C0</v>
          </cell>
          <cell r="AS949" t="str">
            <v/>
          </cell>
          <cell r="AU949" t="str">
            <v/>
          </cell>
        </row>
        <row r="950">
          <cell r="A950" t="str">
            <v>ASA-41-1</v>
          </cell>
          <cell r="AS950">
            <v>0.13365128097816059</v>
          </cell>
          <cell r="AU950">
            <v>6.4579307961208213E-2</v>
          </cell>
        </row>
        <row r="951">
          <cell r="A951" t="str">
            <v>81215-TN</v>
          </cell>
          <cell r="AS951" t="str">
            <v/>
          </cell>
          <cell r="AU951" t="str">
            <v/>
          </cell>
        </row>
        <row r="952">
          <cell r="A952" t="str">
            <v>POSB-10-Izq.</v>
          </cell>
          <cell r="AS952" t="str">
            <v/>
          </cell>
          <cell r="AU952" t="str">
            <v/>
          </cell>
        </row>
        <row r="953">
          <cell r="A953" t="str">
            <v>300849-811</v>
          </cell>
          <cell r="AS953" t="str">
            <v/>
          </cell>
          <cell r="AU953" t="str">
            <v/>
          </cell>
        </row>
        <row r="954">
          <cell r="A954" t="str">
            <v>W-5203-2RS</v>
          </cell>
          <cell r="AS954">
            <v>0.88493531462011499</v>
          </cell>
          <cell r="AU954">
            <v>0.42759418234038099</v>
          </cell>
        </row>
        <row r="955">
          <cell r="A955" t="str">
            <v>F3X-207</v>
          </cell>
          <cell r="AS955" t="str">
            <v/>
          </cell>
          <cell r="AU955" t="str">
            <v/>
          </cell>
        </row>
        <row r="956">
          <cell r="A956" t="str">
            <v>7207-B</v>
          </cell>
          <cell r="AS956" t="str">
            <v/>
          </cell>
          <cell r="AU956" t="str">
            <v/>
          </cell>
        </row>
        <row r="957">
          <cell r="A957" t="str">
            <v>CL-415-H</v>
          </cell>
          <cell r="AS957">
            <v>3.9869759522551708E-2</v>
          </cell>
          <cell r="AU957">
            <v>1.9264772172044593E-2</v>
          </cell>
        </row>
        <row r="958">
          <cell r="A958" t="str">
            <v>ECL212-60D46</v>
          </cell>
          <cell r="AS958" t="str">
            <v/>
          </cell>
          <cell r="AU958" t="str">
            <v/>
          </cell>
        </row>
        <row r="959">
          <cell r="A959" t="str">
            <v>DTR3572-FM</v>
          </cell>
          <cell r="AS959">
            <v>5.4049526170137483</v>
          </cell>
          <cell r="AU959">
            <v>2.6116330274971755</v>
          </cell>
        </row>
        <row r="960">
          <cell r="A960" t="str">
            <v>HD18-2RS</v>
          </cell>
          <cell r="AS960">
            <v>9.2532511448426522</v>
          </cell>
          <cell r="AU960">
            <v>4.4711023414945226</v>
          </cell>
        </row>
        <row r="961">
          <cell r="A961" t="str">
            <v>1311</v>
          </cell>
          <cell r="AS961">
            <v>3.7711592104917928</v>
          </cell>
          <cell r="AU961">
            <v>1.8221961678383916</v>
          </cell>
        </row>
        <row r="962">
          <cell r="A962" t="str">
            <v>H-310</v>
          </cell>
          <cell r="AS962" t="str">
            <v/>
          </cell>
          <cell r="AU962" t="str">
            <v/>
          </cell>
        </row>
        <row r="963">
          <cell r="A963" t="str">
            <v>AG59512</v>
          </cell>
          <cell r="AS963" t="str">
            <v/>
          </cell>
          <cell r="AU963" t="str">
            <v/>
          </cell>
        </row>
        <row r="964">
          <cell r="A964" t="str">
            <v>F-217</v>
          </cell>
          <cell r="AS964" t="str">
            <v/>
          </cell>
          <cell r="AU964" t="str">
            <v/>
          </cell>
        </row>
        <row r="965">
          <cell r="A965" t="str">
            <v>22314-C3W33</v>
          </cell>
          <cell r="AS965" t="str">
            <v/>
          </cell>
          <cell r="AU965" t="str">
            <v/>
          </cell>
        </row>
        <row r="966">
          <cell r="A966" t="str">
            <v>W24-5303-2RL</v>
          </cell>
          <cell r="AS966" t="str">
            <v/>
          </cell>
          <cell r="AU966" t="str">
            <v/>
          </cell>
        </row>
        <row r="967">
          <cell r="A967" t="str">
            <v>EX150-LENS</v>
          </cell>
          <cell r="AS967" t="str">
            <v/>
          </cell>
          <cell r="AU967" t="str">
            <v/>
          </cell>
        </row>
        <row r="968">
          <cell r="A968" t="str">
            <v>1207-K</v>
          </cell>
          <cell r="AS968" t="str">
            <v/>
          </cell>
          <cell r="AU968" t="str">
            <v/>
          </cell>
        </row>
        <row r="969">
          <cell r="A969" t="str">
            <v>1306-TN-C3</v>
          </cell>
          <cell r="AS969">
            <v>0.93607261487730087</v>
          </cell>
          <cell r="AU969">
            <v>0.45230334664800337</v>
          </cell>
        </row>
        <row r="970">
          <cell r="A970" t="str">
            <v>22207CKW33C3</v>
          </cell>
          <cell r="AS970">
            <v>2.5091946482127652</v>
          </cell>
          <cell r="AU970">
            <v>1.212424248653676</v>
          </cell>
        </row>
        <row r="971">
          <cell r="A971" t="str">
            <v>6309</v>
          </cell>
          <cell r="AS971">
            <v>2.414705251825088</v>
          </cell>
          <cell r="AU971">
            <v>1.1667676729461405</v>
          </cell>
        </row>
        <row r="972">
          <cell r="A972" t="str">
            <v>SER-208-24</v>
          </cell>
          <cell r="AS972">
            <v>2.5145033933665828</v>
          </cell>
          <cell r="AU972">
            <v>1.214989394948323</v>
          </cell>
        </row>
        <row r="973">
          <cell r="A973" t="str">
            <v>PHS-6-Izq.</v>
          </cell>
          <cell r="AS973">
            <v>0.64515149624393697</v>
          </cell>
          <cell r="AU973">
            <v>0.31173241926786716</v>
          </cell>
        </row>
        <row r="974">
          <cell r="A974" t="str">
            <v>SS-UC-207</v>
          </cell>
          <cell r="AS974">
            <v>4.2234305912786523</v>
          </cell>
          <cell r="AU974">
            <v>2.0407303454991963</v>
          </cell>
        </row>
        <row r="975">
          <cell r="A975" t="str">
            <v>51208</v>
          </cell>
          <cell r="AS975">
            <v>0.6286709907324094</v>
          </cell>
          <cell r="AU975">
            <v>0.30376916120557268</v>
          </cell>
        </row>
        <row r="976">
          <cell r="A976" t="str">
            <v>H-308</v>
          </cell>
          <cell r="AS976">
            <v>0.51157936778677893</v>
          </cell>
          <cell r="AU976">
            <v>0.24719135721790136</v>
          </cell>
        </row>
        <row r="977">
          <cell r="A977" t="str">
            <v>POSB-6-Izq.</v>
          </cell>
          <cell r="AS977">
            <v>1.1830917771365885</v>
          </cell>
          <cell r="AU977">
            <v>0.57166117423567098</v>
          </cell>
        </row>
        <row r="978">
          <cell r="A978" t="str">
            <v>BP-24003</v>
          </cell>
          <cell r="AS978">
            <v>6.4190312831308241</v>
          </cell>
          <cell r="AU978">
            <v>3.101628319699179</v>
          </cell>
        </row>
        <row r="979">
          <cell r="A979" t="str">
            <v>626-2RLD</v>
          </cell>
          <cell r="AS979">
            <v>8.9435186430838157E-2</v>
          </cell>
          <cell r="AU979">
            <v>4.3214418932721987E-2</v>
          </cell>
        </row>
        <row r="980">
          <cell r="A980" t="str">
            <v>5304</v>
          </cell>
          <cell r="AS980" t="str">
            <v/>
          </cell>
          <cell r="AU980" t="str">
            <v/>
          </cell>
        </row>
        <row r="981">
          <cell r="A981" t="str">
            <v>GE-17-ES-2RS</v>
          </cell>
          <cell r="AS981">
            <v>0.46630283963332209</v>
          </cell>
          <cell r="AU981">
            <v>0.22531407453391283</v>
          </cell>
        </row>
        <row r="982">
          <cell r="A982" t="str">
            <v>UCFB-209-45</v>
          </cell>
          <cell r="AS982" t="str">
            <v/>
          </cell>
          <cell r="AU982" t="str">
            <v/>
          </cell>
        </row>
        <row r="983">
          <cell r="A983" t="str">
            <v>TS00-2RS</v>
          </cell>
          <cell r="AS983" t="str">
            <v/>
          </cell>
          <cell r="AU983" t="str">
            <v/>
          </cell>
        </row>
        <row r="984">
          <cell r="A984" t="str">
            <v>PFL-204-KRR6</v>
          </cell>
          <cell r="AS984" t="str">
            <v/>
          </cell>
          <cell r="AU984" t="str">
            <v/>
          </cell>
        </row>
        <row r="985">
          <cell r="A985" t="str">
            <v>F-208-L</v>
          </cell>
          <cell r="AS985" t="str">
            <v/>
          </cell>
          <cell r="AU985" t="str">
            <v/>
          </cell>
        </row>
        <row r="986">
          <cell r="A986" t="str">
            <v>PHS-16-Der.</v>
          </cell>
          <cell r="AS986">
            <v>1.1978262534818795</v>
          </cell>
          <cell r="AU986">
            <v>0.57878076395142664</v>
          </cell>
        </row>
        <row r="987">
          <cell r="A987" t="str">
            <v>GEZ-108-ES-2</v>
          </cell>
          <cell r="AS987" t="str">
            <v/>
          </cell>
          <cell r="AU987" t="str">
            <v/>
          </cell>
        </row>
        <row r="988">
          <cell r="A988" t="str">
            <v>FT-211</v>
          </cell>
          <cell r="AS988">
            <v>1.992837925700587</v>
          </cell>
          <cell r="AU988">
            <v>0.96292450905594618</v>
          </cell>
        </row>
        <row r="989">
          <cell r="A989" t="str">
            <v>1308</v>
          </cell>
          <cell r="AS989" t="str">
            <v/>
          </cell>
          <cell r="AU989" t="str">
            <v/>
          </cell>
        </row>
        <row r="990">
          <cell r="A990" t="str">
            <v>PE-216</v>
          </cell>
          <cell r="AS990">
            <v>8.9158027454054025</v>
          </cell>
          <cell r="AU990">
            <v>4.3080497770238848</v>
          </cell>
        </row>
        <row r="991">
          <cell r="A991" t="str">
            <v>UK-207-M</v>
          </cell>
          <cell r="AS991" t="str">
            <v/>
          </cell>
          <cell r="AU991" t="str">
            <v/>
          </cell>
        </row>
        <row r="992">
          <cell r="A992" t="str">
            <v>B-17-107D</v>
          </cell>
          <cell r="AS992" t="str">
            <v/>
          </cell>
          <cell r="AU992" t="str">
            <v/>
          </cell>
        </row>
        <row r="993">
          <cell r="A993" t="str">
            <v>FD-204-XH</v>
          </cell>
          <cell r="AS993" t="str">
            <v/>
          </cell>
          <cell r="AU993" t="str">
            <v/>
          </cell>
        </row>
        <row r="994">
          <cell r="A994" t="str">
            <v>22316CKW33C3</v>
          </cell>
          <cell r="AS994">
            <v>8.9750295620874549</v>
          </cell>
          <cell r="AU994">
            <v>4.3366677356852552</v>
          </cell>
        </row>
        <row r="995">
          <cell r="A995" t="str">
            <v>32308</v>
          </cell>
          <cell r="AS995" t="str">
            <v/>
          </cell>
          <cell r="AU995" t="str">
            <v/>
          </cell>
        </row>
        <row r="996">
          <cell r="A996" t="str">
            <v>SS-6207-2RS</v>
          </cell>
          <cell r="AS996" t="str">
            <v/>
          </cell>
          <cell r="AU996" t="str">
            <v/>
          </cell>
        </row>
        <row r="997">
          <cell r="A997" t="str">
            <v>UC-209-DBL</v>
          </cell>
          <cell r="AS997">
            <v>2.1615585552225283</v>
          </cell>
          <cell r="AU997">
            <v>1.0444490661987005</v>
          </cell>
        </row>
        <row r="998">
          <cell r="A998" t="str">
            <v>1207-K-TN-C3</v>
          </cell>
          <cell r="AS998">
            <v>0.92994356799417588</v>
          </cell>
          <cell r="AU998">
            <v>0.44934183664018923</v>
          </cell>
        </row>
        <row r="999">
          <cell r="A999" t="str">
            <v>F3X-204</v>
          </cell>
          <cell r="AS999" t="str">
            <v/>
          </cell>
          <cell r="AU999" t="str">
            <v/>
          </cell>
        </row>
        <row r="1000">
          <cell r="A1000" t="str">
            <v>PHS-14-Der.</v>
          </cell>
          <cell r="AS1000">
            <v>0.95031955340234331</v>
          </cell>
          <cell r="AU1000">
            <v>0.45918736170404661</v>
          </cell>
        </row>
        <row r="1001">
          <cell r="A1001" t="str">
            <v>POSB-7-Izq.</v>
          </cell>
          <cell r="AS1001" t="str">
            <v/>
          </cell>
          <cell r="AU1001" t="str">
            <v/>
          </cell>
        </row>
        <row r="1002">
          <cell r="A1002" t="str">
            <v>POS-22-Der.</v>
          </cell>
          <cell r="AS1002" t="str">
            <v/>
          </cell>
          <cell r="AU1002" t="str">
            <v/>
          </cell>
        </row>
        <row r="1003">
          <cell r="A1003" t="str">
            <v>MS07-2RLD</v>
          </cell>
          <cell r="AS1003">
            <v>0.51638005765571104</v>
          </cell>
          <cell r="AU1003">
            <v>0.24951101496605776</v>
          </cell>
        </row>
        <row r="1004">
          <cell r="A1004" t="str">
            <v>5208-2RS</v>
          </cell>
          <cell r="AS1004">
            <v>3.3941299628328796</v>
          </cell>
          <cell r="AU1004">
            <v>1.6400184309940569</v>
          </cell>
        </row>
        <row r="1005">
          <cell r="A1005" t="str">
            <v>POS-25-Der.</v>
          </cell>
          <cell r="AS1005">
            <v>2.9639410358105649</v>
          </cell>
          <cell r="AU1005">
            <v>1.4321543312536626</v>
          </cell>
        </row>
        <row r="1006">
          <cell r="A1006" t="str">
            <v>H-210</v>
          </cell>
          <cell r="AS1006">
            <v>0.59420799984076278</v>
          </cell>
          <cell r="AU1006">
            <v>0.28711689954547198</v>
          </cell>
        </row>
        <row r="1007">
          <cell r="A1007" t="str">
            <v>FD-203</v>
          </cell>
          <cell r="AS1007">
            <v>0.76792623776045232</v>
          </cell>
          <cell r="AU1007">
            <v>0.37105626400938058</v>
          </cell>
        </row>
        <row r="1008">
          <cell r="A1008" t="str">
            <v>F-208-PBT</v>
          </cell>
          <cell r="AS1008" t="str">
            <v/>
          </cell>
          <cell r="AU1008" t="str">
            <v/>
          </cell>
        </row>
        <row r="1009">
          <cell r="A1009" t="str">
            <v>HA-205</v>
          </cell>
          <cell r="AS1009">
            <v>0.90920386389471175</v>
          </cell>
          <cell r="AU1009">
            <v>0.43932056540162562</v>
          </cell>
        </row>
        <row r="1010">
          <cell r="A1010" t="str">
            <v>NJ-2205</v>
          </cell>
          <cell r="AS1010">
            <v>0.69754744486412201</v>
          </cell>
          <cell r="AU1010">
            <v>0.33704975313177149</v>
          </cell>
        </row>
        <row r="1011">
          <cell r="A1011" t="str">
            <v>SABP213-65L</v>
          </cell>
          <cell r="AS1011" t="str">
            <v/>
          </cell>
          <cell r="AU1011" t="str">
            <v/>
          </cell>
        </row>
        <row r="1012">
          <cell r="A1012" t="str">
            <v>607-ZZ</v>
          </cell>
          <cell r="AS1012">
            <v>8.1770152759916614E-2</v>
          </cell>
          <cell r="AU1012">
            <v>3.951073149819332E-2</v>
          </cell>
        </row>
        <row r="1013">
          <cell r="A1013" t="str">
            <v>P-206-PBT</v>
          </cell>
          <cell r="AS1013" t="str">
            <v/>
          </cell>
          <cell r="AU1013" t="str">
            <v/>
          </cell>
        </row>
        <row r="1014">
          <cell r="A1014" t="str">
            <v>22219-CW33</v>
          </cell>
          <cell r="AS1014" t="str">
            <v/>
          </cell>
          <cell r="AU1014" t="str">
            <v/>
          </cell>
        </row>
        <row r="1015">
          <cell r="A1015" t="str">
            <v>H-307</v>
          </cell>
          <cell r="AS1015" t="str">
            <v/>
          </cell>
          <cell r="AU1015" t="str">
            <v/>
          </cell>
        </row>
        <row r="1016">
          <cell r="A1016" t="str">
            <v>RNA69/28</v>
          </cell>
          <cell r="AS1016">
            <v>2.4077867816010579</v>
          </cell>
          <cell r="AU1016">
            <v>1.1634247194334757</v>
          </cell>
        </row>
        <row r="1017">
          <cell r="A1017" t="str">
            <v>33207-MX</v>
          </cell>
          <cell r="AS1017" t="str">
            <v/>
          </cell>
          <cell r="AU1017" t="str">
            <v/>
          </cell>
        </row>
        <row r="1018">
          <cell r="A1018" t="str">
            <v>T-212-L</v>
          </cell>
          <cell r="AS1018" t="str">
            <v/>
          </cell>
          <cell r="AU1018" t="str">
            <v/>
          </cell>
        </row>
        <row r="1019">
          <cell r="A1019" t="str">
            <v>CL-410</v>
          </cell>
          <cell r="AS1019">
            <v>3.8125805824864828E-2</v>
          </cell>
          <cell r="AU1019">
            <v>1.8422106676519622E-2</v>
          </cell>
        </row>
        <row r="1020">
          <cell r="A1020" t="str">
            <v>DAC-39680037</v>
          </cell>
          <cell r="AS1020" t="str">
            <v/>
          </cell>
          <cell r="AU1020" t="str">
            <v/>
          </cell>
        </row>
        <row r="1021">
          <cell r="A1021" t="str">
            <v>UK-210-M</v>
          </cell>
          <cell r="AS1021">
            <v>1.5930569130967398</v>
          </cell>
          <cell r="AU1021">
            <v>0.76975328809169463</v>
          </cell>
        </row>
        <row r="1022">
          <cell r="A1022" t="str">
            <v>SAB215-75DG</v>
          </cell>
          <cell r="AS1022" t="str">
            <v/>
          </cell>
          <cell r="AU1022" t="str">
            <v/>
          </cell>
        </row>
        <row r="1023">
          <cell r="A1023" t="str">
            <v>F3X-206</v>
          </cell>
          <cell r="AS1023" t="str">
            <v/>
          </cell>
          <cell r="AU1023" t="str">
            <v/>
          </cell>
        </row>
        <row r="1024">
          <cell r="A1024" t="str">
            <v>SABF210-50L</v>
          </cell>
          <cell r="AS1024" t="str">
            <v/>
          </cell>
          <cell r="AU1024" t="str">
            <v/>
          </cell>
        </row>
        <row r="1025">
          <cell r="A1025" t="str">
            <v>2309-TN-C3</v>
          </cell>
          <cell r="AS1025" t="str">
            <v/>
          </cell>
          <cell r="AU1025" t="str">
            <v/>
          </cell>
        </row>
        <row r="1026">
          <cell r="A1026" t="str">
            <v>PFL-8-ZM</v>
          </cell>
          <cell r="AS1026" t="str">
            <v/>
          </cell>
          <cell r="AU1026" t="str">
            <v/>
          </cell>
        </row>
        <row r="1027">
          <cell r="A1027" t="str">
            <v>BALL-11/32</v>
          </cell>
          <cell r="AS1027">
            <v>1.3867742442626681E-2</v>
          </cell>
          <cell r="AU1027">
            <v>6.7007903207111624E-3</v>
          </cell>
        </row>
        <row r="1028">
          <cell r="A1028" t="str">
            <v>CL-120</v>
          </cell>
          <cell r="AS1028" t="str">
            <v/>
          </cell>
          <cell r="AU1028" t="str">
            <v/>
          </cell>
        </row>
        <row r="1029">
          <cell r="A1029" t="str">
            <v>POS-14-Izq.</v>
          </cell>
          <cell r="AS1029">
            <v>0.88060164510679428</v>
          </cell>
          <cell r="AU1029">
            <v>0.42550018536515882</v>
          </cell>
        </row>
        <row r="1030">
          <cell r="A1030" t="str">
            <v>SUPL.140X180</v>
          </cell>
          <cell r="AS1030" t="str">
            <v/>
          </cell>
          <cell r="AU1030" t="str">
            <v/>
          </cell>
        </row>
        <row r="1031">
          <cell r="A1031" t="str">
            <v>HA-204</v>
          </cell>
          <cell r="AS1031">
            <v>0.72372280872457972</v>
          </cell>
          <cell r="AU1031">
            <v>0.34969749486211377</v>
          </cell>
        </row>
        <row r="1032">
          <cell r="A1032" t="str">
            <v>H-2311</v>
          </cell>
          <cell r="AS1032">
            <v>1.1375015738564536</v>
          </cell>
          <cell r="AU1032">
            <v>0.54963232605633316</v>
          </cell>
        </row>
        <row r="1033">
          <cell r="A1033" t="str">
            <v>OL-410</v>
          </cell>
          <cell r="AS1033">
            <v>8.6673390266416753E-2</v>
          </cell>
          <cell r="AU1033">
            <v>4.1879939504444769E-2</v>
          </cell>
        </row>
        <row r="1034">
          <cell r="A1034" t="str">
            <v>POS-25-Izq.</v>
          </cell>
          <cell r="AS1034">
            <v>2.7926166343839474</v>
          </cell>
          <cell r="AU1034">
            <v>1.3493716508332101</v>
          </cell>
        </row>
        <row r="1035">
          <cell r="A1035" t="str">
            <v>DAC-45800045</v>
          </cell>
          <cell r="AS1035" t="str">
            <v/>
          </cell>
          <cell r="AU1035" t="str">
            <v/>
          </cell>
        </row>
        <row r="1036">
          <cell r="A1036" t="str">
            <v>Ball-9/32</v>
          </cell>
          <cell r="AS1036" t="str">
            <v/>
          </cell>
          <cell r="AU1036" t="str">
            <v/>
          </cell>
        </row>
        <row r="1037">
          <cell r="A1037" t="str">
            <v>PHS-18-Der.</v>
          </cell>
          <cell r="AS1037" t="str">
            <v/>
          </cell>
          <cell r="AU1037" t="str">
            <v/>
          </cell>
        </row>
        <row r="1038">
          <cell r="A1038" t="str">
            <v>PFT-4-ZM</v>
          </cell>
          <cell r="AS1038" t="str">
            <v/>
          </cell>
          <cell r="AU1038" t="str">
            <v/>
          </cell>
        </row>
        <row r="1039">
          <cell r="A1039" t="str">
            <v>627-ZZ</v>
          </cell>
          <cell r="AS1039">
            <v>7.973951904510343E-2</v>
          </cell>
          <cell r="AU1039">
            <v>3.8529544344089187E-2</v>
          </cell>
        </row>
        <row r="1040">
          <cell r="A1040" t="str">
            <v>DAC-40108001</v>
          </cell>
          <cell r="AS1040" t="str">
            <v/>
          </cell>
          <cell r="AU1040" t="str">
            <v/>
          </cell>
        </row>
        <row r="1041">
          <cell r="A1041" t="str">
            <v>NJ-2209-ECPC</v>
          </cell>
          <cell r="AS1041">
            <v>1.2021599229952005</v>
          </cell>
          <cell r="AU1041">
            <v>0.58087476092664891</v>
          </cell>
        </row>
        <row r="1042">
          <cell r="A1042" t="str">
            <v>DAC-29530037</v>
          </cell>
          <cell r="AS1042" t="str">
            <v/>
          </cell>
          <cell r="AU1042" t="str">
            <v/>
          </cell>
        </row>
        <row r="1043">
          <cell r="A1043" t="str">
            <v>SS-6203-2RSM</v>
          </cell>
          <cell r="AS1043" t="str">
            <v/>
          </cell>
          <cell r="AU1043" t="str">
            <v/>
          </cell>
        </row>
        <row r="1044">
          <cell r="A1044" t="str">
            <v>SAB209-28DG</v>
          </cell>
          <cell r="AS1044">
            <v>2.1975644132094212</v>
          </cell>
          <cell r="AU1044">
            <v>1.0618468297990586</v>
          </cell>
        </row>
        <row r="1045">
          <cell r="A1045" t="str">
            <v>12649-610</v>
          </cell>
          <cell r="AS1045" t="str">
            <v/>
          </cell>
          <cell r="AU1045" t="str">
            <v/>
          </cell>
        </row>
        <row r="1046">
          <cell r="A1046" t="str">
            <v>1212</v>
          </cell>
          <cell r="AS1046">
            <v>2.0177565254021816</v>
          </cell>
          <cell r="AU1046">
            <v>0.97496499166347395</v>
          </cell>
        </row>
        <row r="1047">
          <cell r="A1047" t="str">
            <v>H-207</v>
          </cell>
          <cell r="AS1047">
            <v>0.47352562215552346</v>
          </cell>
          <cell r="AU1047">
            <v>0.22880406949261653</v>
          </cell>
        </row>
        <row r="1048">
          <cell r="A1048" t="str">
            <v>5203-2RS</v>
          </cell>
          <cell r="AS1048" t="str">
            <v/>
          </cell>
          <cell r="AU1048" t="str">
            <v/>
          </cell>
        </row>
        <row r="1049">
          <cell r="A1049" t="str">
            <v>22206CKW33C3</v>
          </cell>
          <cell r="AS1049">
            <v>2.0662936239513754</v>
          </cell>
          <cell r="AU1049">
            <v>0.99841775778596309</v>
          </cell>
        </row>
        <row r="1050">
          <cell r="A1050" t="str">
            <v>NAV-4011</v>
          </cell>
          <cell r="AS1050">
            <v>2.5568650128592942</v>
          </cell>
          <cell r="AU1050">
            <v>1.2354582153811207</v>
          </cell>
        </row>
        <row r="1051">
          <cell r="A1051" t="str">
            <v>F-218</v>
          </cell>
          <cell r="AS1051" t="str">
            <v/>
          </cell>
          <cell r="AU1051" t="str">
            <v/>
          </cell>
        </row>
        <row r="1052">
          <cell r="A1052" t="str">
            <v>62201-2RLD</v>
          </cell>
          <cell r="AS1052" t="str">
            <v/>
          </cell>
          <cell r="AU1052" t="str">
            <v/>
          </cell>
        </row>
        <row r="1053">
          <cell r="A1053" t="str">
            <v>2209</v>
          </cell>
          <cell r="AS1053">
            <v>1.541919612839554</v>
          </cell>
          <cell r="AU1053">
            <v>0.74504412378407237</v>
          </cell>
        </row>
        <row r="1054">
          <cell r="A1054" t="str">
            <v>CCL-60-1</v>
          </cell>
          <cell r="AS1054">
            <v>7.0914592036159171E-2</v>
          </cell>
          <cell r="AU1054">
            <v>3.4265405049091167E-2</v>
          </cell>
        </row>
        <row r="1055">
          <cell r="A1055" t="str">
            <v>22205CKW33C3</v>
          </cell>
          <cell r="AS1055">
            <v>1.8322754702320503</v>
          </cell>
          <cell r="AU1055">
            <v>0.88534192112396237</v>
          </cell>
        </row>
        <row r="1056">
          <cell r="A1056" t="str">
            <v>PHS-14-Izq.</v>
          </cell>
          <cell r="AS1056">
            <v>0.89880305706274166</v>
          </cell>
          <cell r="AU1056">
            <v>0.43429497266109213</v>
          </cell>
        </row>
        <row r="1057">
          <cell r="A1057" t="str">
            <v>206-PP19</v>
          </cell>
          <cell r="AS1057" t="str">
            <v/>
          </cell>
          <cell r="AU1057" t="str">
            <v/>
          </cell>
        </row>
        <row r="1058">
          <cell r="A1058" t="str">
            <v>UK-217-M</v>
          </cell>
          <cell r="AS1058">
            <v>10.531683651272301</v>
          </cell>
          <cell r="AU1058">
            <v>5.0888314491850837</v>
          </cell>
        </row>
        <row r="1059">
          <cell r="A1059" t="str">
            <v>625-2RLD</v>
          </cell>
          <cell r="AS1059">
            <v>8.038154415818799E-2</v>
          </cell>
          <cell r="AU1059">
            <v>3.8839766118196187E-2</v>
          </cell>
        </row>
        <row r="1060">
          <cell r="A1060" t="str">
            <v>SER-19</v>
          </cell>
          <cell r="AS1060" t="str">
            <v/>
          </cell>
          <cell r="AU1060" t="str">
            <v/>
          </cell>
        </row>
        <row r="1061">
          <cell r="A1061" t="str">
            <v>POS-18-Izq.</v>
          </cell>
          <cell r="AS1061">
            <v>1.867811560241281</v>
          </cell>
          <cell r="AU1061">
            <v>0.90251269632078468</v>
          </cell>
        </row>
        <row r="1062">
          <cell r="A1062" t="str">
            <v>Ball-3/16</v>
          </cell>
          <cell r="AS1062" t="str">
            <v/>
          </cell>
          <cell r="AU1062" t="str">
            <v/>
          </cell>
        </row>
        <row r="1063">
          <cell r="A1063" t="str">
            <v>H-211</v>
          </cell>
          <cell r="AS1063">
            <v>0.63114723049815225</v>
          </cell>
          <cell r="AU1063">
            <v>0.30496566189937319</v>
          </cell>
        </row>
        <row r="1064">
          <cell r="A1064" t="str">
            <v>NK-2920</v>
          </cell>
          <cell r="AS1064">
            <v>1.2849330106996282</v>
          </cell>
          <cell r="AU1064">
            <v>0.62087010315339364</v>
          </cell>
        </row>
        <row r="1065">
          <cell r="A1065" t="str">
            <v>HM-88649</v>
          </cell>
          <cell r="AS1065" t="str">
            <v/>
          </cell>
          <cell r="AU1065" t="str">
            <v/>
          </cell>
        </row>
        <row r="1066">
          <cell r="A1066" t="str">
            <v>SS-6210-2RS</v>
          </cell>
          <cell r="AS1066" t="str">
            <v/>
          </cell>
          <cell r="AU1066" t="str">
            <v/>
          </cell>
        </row>
        <row r="1067">
          <cell r="A1067" t="str">
            <v>CL-80-2-SB</v>
          </cell>
          <cell r="AS1067" t="str">
            <v/>
          </cell>
          <cell r="AU1067" t="str">
            <v/>
          </cell>
        </row>
        <row r="1068">
          <cell r="A1068" t="str">
            <v>POS-6-Izq.</v>
          </cell>
          <cell r="AS1068">
            <v>0.47670364646529212</v>
          </cell>
          <cell r="AU1068">
            <v>0.23033966727444621</v>
          </cell>
        </row>
        <row r="1069">
          <cell r="A1069" t="str">
            <v>PFX-7-Z</v>
          </cell>
          <cell r="AS1069">
            <v>0.36272813826495409</v>
          </cell>
          <cell r="AU1069">
            <v>0.17526754682610132</v>
          </cell>
        </row>
        <row r="1070">
          <cell r="A1070" t="str">
            <v>624-2Z</v>
          </cell>
          <cell r="AS1070">
            <v>7.3094559124678132E-2</v>
          </cell>
          <cell r="AU1070">
            <v>3.5318748982081753E-2</v>
          </cell>
        </row>
        <row r="1071">
          <cell r="A1071" t="str">
            <v>POSB-7-Der.</v>
          </cell>
          <cell r="AS1071" t="str">
            <v/>
          </cell>
          <cell r="AU1071" t="str">
            <v/>
          </cell>
        </row>
        <row r="1072">
          <cell r="A1072" t="str">
            <v>H-213</v>
          </cell>
          <cell r="AS1072">
            <v>0.94820688951459919</v>
          </cell>
          <cell r="AU1072">
            <v>0.45816653817862568</v>
          </cell>
        </row>
        <row r="1073">
          <cell r="A1073" t="str">
            <v>POS-16-Izq.</v>
          </cell>
          <cell r="AS1073" t="str">
            <v/>
          </cell>
          <cell r="AU1073" t="str">
            <v/>
          </cell>
        </row>
        <row r="1074">
          <cell r="A1074" t="str">
            <v>PA-207-HT</v>
          </cell>
          <cell r="AS1074">
            <v>0.89446938754942085</v>
          </cell>
          <cell r="AU1074">
            <v>0.43220097568586996</v>
          </cell>
        </row>
        <row r="1075">
          <cell r="A1075" t="str">
            <v>5206-2RS</v>
          </cell>
          <cell r="AS1075" t="str">
            <v/>
          </cell>
          <cell r="AU1075" t="str">
            <v/>
          </cell>
        </row>
        <row r="1076">
          <cell r="A1076" t="str">
            <v>KY2813</v>
          </cell>
          <cell r="AS1076">
            <v>5.0989955493732975</v>
          </cell>
          <cell r="AU1076">
            <v>2.4637968410464857</v>
          </cell>
        </row>
        <row r="1077">
          <cell r="A1077" t="str">
            <v>F-216-MAMX</v>
          </cell>
          <cell r="AS1077" t="str">
            <v/>
          </cell>
          <cell r="AU1077" t="str">
            <v/>
          </cell>
        </row>
        <row r="1078">
          <cell r="A1078" t="str">
            <v>HK-2526</v>
          </cell>
          <cell r="AS1078">
            <v>0.37096211034026361</v>
          </cell>
          <cell r="AU1078">
            <v>0.17924614107902356</v>
          </cell>
        </row>
        <row r="1079">
          <cell r="A1079" t="str">
            <v>PFF-10-Z</v>
          </cell>
          <cell r="AS1079" t="str">
            <v/>
          </cell>
          <cell r="AU1079" t="str">
            <v/>
          </cell>
        </row>
        <row r="1080">
          <cell r="A1080" t="str">
            <v>H-306</v>
          </cell>
          <cell r="AS1080" t="str">
            <v/>
          </cell>
          <cell r="AU1080" t="str">
            <v/>
          </cell>
        </row>
        <row r="1081">
          <cell r="A1081" t="str">
            <v>6310.2RS</v>
          </cell>
          <cell r="AS1081" t="str">
            <v/>
          </cell>
          <cell r="AU1081" t="str">
            <v/>
          </cell>
        </row>
        <row r="1082">
          <cell r="A1082" t="str">
            <v>3309</v>
          </cell>
          <cell r="AS1082">
            <v>1.4651269890635088</v>
          </cell>
          <cell r="AU1082">
            <v>0.7079384973831343</v>
          </cell>
        </row>
        <row r="1083">
          <cell r="A1083" t="str">
            <v>33010</v>
          </cell>
          <cell r="AS1083" t="str">
            <v/>
          </cell>
          <cell r="AU1083" t="str">
            <v/>
          </cell>
        </row>
        <row r="1084">
          <cell r="A1084" t="str">
            <v>GE-15-ES-2RS</v>
          </cell>
          <cell r="AS1084" t="str">
            <v/>
          </cell>
          <cell r="AU1084" t="str">
            <v/>
          </cell>
        </row>
        <row r="1085">
          <cell r="A1085" t="str">
            <v>PHS-25-Izq.</v>
          </cell>
          <cell r="AS1085" t="str">
            <v/>
          </cell>
          <cell r="AU1085" t="str">
            <v/>
          </cell>
        </row>
        <row r="1086">
          <cell r="A1086" t="str">
            <v>EX150-5</v>
          </cell>
          <cell r="AS1086" t="str">
            <v/>
          </cell>
          <cell r="AU1086" t="str">
            <v/>
          </cell>
        </row>
        <row r="1087">
          <cell r="A1087" t="str">
            <v>1307-K-TN-C3</v>
          </cell>
          <cell r="AS1087" t="str">
            <v/>
          </cell>
          <cell r="AU1087" t="str">
            <v/>
          </cell>
        </row>
        <row r="1088">
          <cell r="A1088" t="str">
            <v>HA-215</v>
          </cell>
          <cell r="AS1088">
            <v>8.2435061482388967</v>
          </cell>
          <cell r="AU1088">
            <v>3.9832010462677414</v>
          </cell>
        </row>
        <row r="1089">
          <cell r="A1089" t="str">
            <v>RX-84</v>
          </cell>
          <cell r="AS1089" t="str">
            <v/>
          </cell>
          <cell r="AU1089" t="str">
            <v/>
          </cell>
        </row>
        <row r="1090">
          <cell r="A1090" t="str">
            <v>368A-362A</v>
          </cell>
          <cell r="AS1090" t="str">
            <v/>
          </cell>
          <cell r="AU1090" t="str">
            <v/>
          </cell>
        </row>
        <row r="1091">
          <cell r="A1091" t="str">
            <v>1309</v>
          </cell>
          <cell r="AS1091" t="str">
            <v/>
          </cell>
          <cell r="AU1091" t="str">
            <v/>
          </cell>
        </row>
        <row r="1092">
          <cell r="A1092" t="str">
            <v>205-KYR2</v>
          </cell>
          <cell r="AS1092">
            <v>0.87968675932064866</v>
          </cell>
          <cell r="AU1092">
            <v>0.42505811933705634</v>
          </cell>
        </row>
        <row r="1093">
          <cell r="A1093" t="str">
            <v>H-2317</v>
          </cell>
          <cell r="AS1093" t="str">
            <v/>
          </cell>
          <cell r="AU1093" t="str">
            <v/>
          </cell>
        </row>
        <row r="1094">
          <cell r="A1094" t="str">
            <v>ECL-205-14-D</v>
          </cell>
          <cell r="AS1094" t="str">
            <v/>
          </cell>
          <cell r="AU1094" t="str">
            <v/>
          </cell>
        </row>
        <row r="1095">
          <cell r="A1095" t="str">
            <v>GEZ-200-ES-2</v>
          </cell>
          <cell r="AS1095" t="str">
            <v/>
          </cell>
          <cell r="AU1095" t="str">
            <v/>
          </cell>
        </row>
        <row r="1096">
          <cell r="A1096" t="str">
            <v>KY3031ABS</v>
          </cell>
          <cell r="AS1096">
            <v>7.7409738314742143</v>
          </cell>
          <cell r="AU1096">
            <v>3.7403811570209715</v>
          </cell>
        </row>
        <row r="1097">
          <cell r="A1097" t="str">
            <v>T-204</v>
          </cell>
          <cell r="AS1097">
            <v>0.83495365956648138</v>
          </cell>
          <cell r="AU1097">
            <v>0.40344341722615124</v>
          </cell>
        </row>
        <row r="1098">
          <cell r="A1098" t="str">
            <v>3310</v>
          </cell>
          <cell r="AS1098" t="str">
            <v/>
          </cell>
          <cell r="AU1098" t="str">
            <v/>
          </cell>
        </row>
        <row r="1099">
          <cell r="A1099" t="str">
            <v>203-KRR5</v>
          </cell>
          <cell r="AS1099">
            <v>0.50617259915587387</v>
          </cell>
          <cell r="AU1099">
            <v>0.24457884670595742</v>
          </cell>
        </row>
        <row r="1100">
          <cell r="A1100" t="str">
            <v>F-206-PBT</v>
          </cell>
          <cell r="AS1100" t="str">
            <v/>
          </cell>
          <cell r="AU1100" t="str">
            <v/>
          </cell>
        </row>
        <row r="1101">
          <cell r="A1101" t="str">
            <v>ASA-35-1</v>
          </cell>
          <cell r="AS1101">
            <v>0.22361734688735518</v>
          </cell>
          <cell r="AU1101">
            <v>0.10805024392146748</v>
          </cell>
        </row>
        <row r="1102">
          <cell r="A1102" t="str">
            <v>F-215</v>
          </cell>
          <cell r="AS1102">
            <v>4.8207739666180993</v>
          </cell>
          <cell r="AU1102">
            <v>2.3293622352372174</v>
          </cell>
        </row>
        <row r="1103">
          <cell r="A1103" t="str">
            <v>ECL-212-DBL</v>
          </cell>
          <cell r="AS1103" t="str">
            <v/>
          </cell>
          <cell r="AU1103" t="str">
            <v/>
          </cell>
        </row>
        <row r="1104">
          <cell r="A1104" t="str">
            <v>H-212</v>
          </cell>
          <cell r="AS1104">
            <v>0.70714652283612756</v>
          </cell>
          <cell r="AU1104">
            <v>0.34168795643188865</v>
          </cell>
        </row>
        <row r="1105">
          <cell r="A1105" t="str">
            <v>FHR-208-24</v>
          </cell>
          <cell r="AS1105" t="str">
            <v/>
          </cell>
          <cell r="AU1105" t="str">
            <v/>
          </cell>
        </row>
        <row r="1106">
          <cell r="A1106" t="str">
            <v>FD-205-C</v>
          </cell>
          <cell r="AS1106" t="str">
            <v/>
          </cell>
          <cell r="AU1106" t="str">
            <v/>
          </cell>
        </row>
        <row r="1107">
          <cell r="A1107" t="str">
            <v>AG5950702</v>
          </cell>
          <cell r="AS1107" t="str">
            <v/>
          </cell>
          <cell r="AU1107" t="str">
            <v/>
          </cell>
        </row>
        <row r="1108">
          <cell r="A1108" t="str">
            <v>FB-204</v>
          </cell>
          <cell r="AS1108">
            <v>0.58937905381163391</v>
          </cell>
          <cell r="AU1108">
            <v>0.2847835886302244</v>
          </cell>
        </row>
        <row r="1109">
          <cell r="A1109" t="str">
            <v>W209-YYB2</v>
          </cell>
          <cell r="AS1109">
            <v>1.0799504427195525</v>
          </cell>
          <cell r="AU1109">
            <v>0.5218240462253817</v>
          </cell>
        </row>
        <row r="1110">
          <cell r="A1110" t="str">
            <v>SABP208-40L</v>
          </cell>
          <cell r="AS1110" t="str">
            <v/>
          </cell>
          <cell r="AU1110" t="str">
            <v/>
          </cell>
        </row>
        <row r="1111">
          <cell r="A1111" t="str">
            <v>POSB-12-Izq.</v>
          </cell>
          <cell r="AS1111">
            <v>3.196514633025449</v>
          </cell>
          <cell r="AU1111">
            <v>1.5445321689239226</v>
          </cell>
        </row>
        <row r="1112">
          <cell r="A1112" t="str">
            <v>F-210-C</v>
          </cell>
          <cell r="AS1112">
            <v>2.0099559202782045</v>
          </cell>
          <cell r="AU1112">
            <v>0.97119579710807391</v>
          </cell>
        </row>
        <row r="1113">
          <cell r="A1113" t="str">
            <v>CL-60-3</v>
          </cell>
          <cell r="AS1113">
            <v>0.29162641277604096</v>
          </cell>
          <cell r="AU1113">
            <v>0.14091172028021046</v>
          </cell>
        </row>
        <row r="1114">
          <cell r="A1114" t="str">
            <v>81208</v>
          </cell>
          <cell r="AS1114" t="str">
            <v/>
          </cell>
          <cell r="AU1114" t="str">
            <v/>
          </cell>
        </row>
        <row r="1115">
          <cell r="A1115" t="str">
            <v>6306-2RLD-C3</v>
          </cell>
          <cell r="AS1115" t="str">
            <v/>
          </cell>
          <cell r="AU1115" t="str">
            <v/>
          </cell>
        </row>
        <row r="1116">
          <cell r="A1116" t="str">
            <v>LM-44649</v>
          </cell>
          <cell r="AS1116" t="str">
            <v/>
          </cell>
          <cell r="AU1116" t="str">
            <v/>
          </cell>
        </row>
        <row r="1117">
          <cell r="A1117" t="str">
            <v>PHS-16-Izq.</v>
          </cell>
          <cell r="AS1117">
            <v>1.1978262534818795</v>
          </cell>
          <cell r="AU1117">
            <v>0.57878076395142664</v>
          </cell>
        </row>
        <row r="1118">
          <cell r="A1118" t="str">
            <v>SER-25MM</v>
          </cell>
          <cell r="AS1118" t="str">
            <v/>
          </cell>
          <cell r="AU1118" t="str">
            <v/>
          </cell>
        </row>
        <row r="1119">
          <cell r="A1119" t="str">
            <v>ECL209-28MM</v>
          </cell>
          <cell r="AS1119">
            <v>2.6876031547371571</v>
          </cell>
          <cell r="AU1119">
            <v>1.2986299161296251</v>
          </cell>
        </row>
        <row r="1120">
          <cell r="A1120" t="str">
            <v>OL-160-1H</v>
          </cell>
          <cell r="AS1120" t="str">
            <v/>
          </cell>
          <cell r="AU1120" t="str">
            <v/>
          </cell>
        </row>
        <row r="1121">
          <cell r="A1121" t="str">
            <v>44649-610</v>
          </cell>
          <cell r="AS1121" t="str">
            <v/>
          </cell>
          <cell r="AU1121" t="str">
            <v/>
          </cell>
        </row>
        <row r="1122">
          <cell r="A1122" t="str">
            <v>HA-206</v>
          </cell>
          <cell r="AS1122">
            <v>1.1414885498087084</v>
          </cell>
          <cell r="AU1122">
            <v>0.55155880327353746</v>
          </cell>
        </row>
        <row r="1123">
          <cell r="A1123" t="str">
            <v>OL-140-1</v>
          </cell>
          <cell r="AS1123" t="str">
            <v/>
          </cell>
          <cell r="AU1123" t="str">
            <v/>
          </cell>
        </row>
        <row r="1124">
          <cell r="A1124" t="str">
            <v>SER-14</v>
          </cell>
          <cell r="AS1124" t="str">
            <v/>
          </cell>
          <cell r="AU1124" t="str">
            <v/>
          </cell>
        </row>
        <row r="1125">
          <cell r="A1125" t="str">
            <v>POS-22-Izq.</v>
          </cell>
          <cell r="AS1125">
            <v>2.9832980929700641</v>
          </cell>
          <cell r="AU1125">
            <v>1.4415075177429886</v>
          </cell>
        </row>
        <row r="1126">
          <cell r="A1126" t="str">
            <v>PHS-5-Der.</v>
          </cell>
          <cell r="AS1126">
            <v>0.50877280086386645</v>
          </cell>
          <cell r="AU1126">
            <v>0.24583524489109079</v>
          </cell>
        </row>
        <row r="1127">
          <cell r="A1127" t="str">
            <v>2207</v>
          </cell>
          <cell r="AS1127" t="str">
            <v/>
          </cell>
          <cell r="AU1127" t="str">
            <v/>
          </cell>
        </row>
        <row r="1128">
          <cell r="A1128" t="str">
            <v>206-KRRB</v>
          </cell>
          <cell r="AS1128">
            <v>0.57771148204500089</v>
          </cell>
          <cell r="AU1128">
            <v>0.2791459044661645</v>
          </cell>
        </row>
        <row r="1129">
          <cell r="A1129" t="str">
            <v>81211</v>
          </cell>
          <cell r="AS1129" t="str">
            <v/>
          </cell>
          <cell r="AU1129" t="str">
            <v/>
          </cell>
        </row>
        <row r="1130">
          <cell r="A1130" t="str">
            <v>SS-6203-2RS</v>
          </cell>
          <cell r="AS1130" t="str">
            <v/>
          </cell>
          <cell r="AU1130" t="str">
            <v/>
          </cell>
        </row>
        <row r="1131">
          <cell r="A1131" t="str">
            <v>22314-CW33C3</v>
          </cell>
          <cell r="AS1131">
            <v>6.0213737685885027</v>
          </cell>
          <cell r="AU1131">
            <v>2.9094831572527857</v>
          </cell>
        </row>
        <row r="1132">
          <cell r="A1132" t="str">
            <v>PP-5-Z</v>
          </cell>
          <cell r="AS1132">
            <v>0.24829037198319523</v>
          </cell>
          <cell r="AU1132">
            <v>0.11997206670039945</v>
          </cell>
        </row>
        <row r="1133">
          <cell r="A1133" t="str">
            <v>99502-H</v>
          </cell>
          <cell r="AS1133" t="str">
            <v/>
          </cell>
          <cell r="AU1133" t="str">
            <v/>
          </cell>
        </row>
        <row r="1134">
          <cell r="A1134" t="str">
            <v>H-206</v>
          </cell>
          <cell r="AS1134">
            <v>0.35401264735483112</v>
          </cell>
          <cell r="AU1134">
            <v>0.17105628624259886</v>
          </cell>
        </row>
        <row r="1135">
          <cell r="A1135" t="str">
            <v>OL-80-2-SB</v>
          </cell>
          <cell r="AS1135" t="str">
            <v/>
          </cell>
          <cell r="AU1135" t="str">
            <v/>
          </cell>
        </row>
        <row r="1136">
          <cell r="A1136" t="str">
            <v>F-205-PBT</v>
          </cell>
          <cell r="AS1136" t="str">
            <v/>
          </cell>
          <cell r="AU1136" t="str">
            <v/>
          </cell>
        </row>
        <row r="1137">
          <cell r="A1137" t="str">
            <v>SPD-10KV</v>
          </cell>
          <cell r="AS1137" t="str">
            <v/>
          </cell>
          <cell r="AU1137" t="str">
            <v/>
          </cell>
        </row>
        <row r="1138">
          <cell r="A1138" t="str">
            <v>OL-50-1-SS</v>
          </cell>
          <cell r="AS1138" t="str">
            <v/>
          </cell>
          <cell r="AU1138" t="str">
            <v/>
          </cell>
        </row>
        <row r="1139">
          <cell r="A1139" t="str">
            <v>6908-2RLD</v>
          </cell>
          <cell r="AS1139">
            <v>0.26175363860457862</v>
          </cell>
          <cell r="AU1139">
            <v>0.12647741730342318</v>
          </cell>
        </row>
        <row r="1140">
          <cell r="A1140" t="str">
            <v>GEZ-012-ES</v>
          </cell>
          <cell r="AS1140" t="str">
            <v/>
          </cell>
          <cell r="AU1140" t="str">
            <v/>
          </cell>
        </row>
        <row r="1141">
          <cell r="A1141" t="str">
            <v>51101</v>
          </cell>
          <cell r="AS1141">
            <v>0.16953315136111119</v>
          </cell>
          <cell r="AU1141">
            <v>8.1917161670693975E-2</v>
          </cell>
        </row>
        <row r="1142">
          <cell r="A1142" t="str">
            <v>FWD-351309-K</v>
          </cell>
          <cell r="AS1142" t="str">
            <v/>
          </cell>
          <cell r="AU1142" t="str">
            <v/>
          </cell>
        </row>
        <row r="1143">
          <cell r="A1143" t="str">
            <v>PHS-20-Der.</v>
          </cell>
          <cell r="AS1143" t="str">
            <v/>
          </cell>
          <cell r="AU1143" t="str">
            <v/>
          </cell>
        </row>
        <row r="1144">
          <cell r="A1144" t="str">
            <v>PHS-20-Izq.</v>
          </cell>
          <cell r="AS1144" t="str">
            <v/>
          </cell>
          <cell r="AU1144" t="str">
            <v/>
          </cell>
        </row>
        <row r="1145">
          <cell r="A1145" t="str">
            <v>MS07-2RSTX</v>
          </cell>
          <cell r="AS1145">
            <v>1.7276895793105735</v>
          </cell>
          <cell r="AU1145">
            <v>0.83480679412193215</v>
          </cell>
        </row>
        <row r="1146">
          <cell r="A1146" t="str">
            <v>OL-40-2</v>
          </cell>
          <cell r="AS1146">
            <v>0.14946344632608755</v>
          </cell>
          <cell r="AU1146">
            <v>7.2219629012109196E-2</v>
          </cell>
        </row>
        <row r="1147">
          <cell r="A1147" t="str">
            <v>22224CW33C3</v>
          </cell>
          <cell r="AS1147" t="str">
            <v/>
          </cell>
          <cell r="AU1147" t="str">
            <v/>
          </cell>
        </row>
        <row r="1148">
          <cell r="A1148" t="str">
            <v>22214-CKW3</v>
          </cell>
          <cell r="AS1148" t="str">
            <v/>
          </cell>
          <cell r="AU1148" t="str">
            <v/>
          </cell>
        </row>
        <row r="1149">
          <cell r="A1149" t="str">
            <v>GEZ-014-ES-2</v>
          </cell>
          <cell r="AS1149">
            <v>1.1111528632154628</v>
          </cell>
          <cell r="AU1149">
            <v>0.53690082444698184</v>
          </cell>
        </row>
        <row r="1150">
          <cell r="A1150" t="str">
            <v>UCT-205</v>
          </cell>
          <cell r="AS1150" t="str">
            <v/>
          </cell>
          <cell r="AU1150" t="str">
            <v/>
          </cell>
        </row>
        <row r="1151">
          <cell r="A1151" t="str">
            <v>1308-K-TN-C3</v>
          </cell>
          <cell r="AS1151">
            <v>1.6225258657873214</v>
          </cell>
          <cell r="AU1151">
            <v>0.78399246752320595</v>
          </cell>
        </row>
        <row r="1152">
          <cell r="A1152" t="str">
            <v>H-2309</v>
          </cell>
          <cell r="AS1152">
            <v>0.65785103212210316</v>
          </cell>
          <cell r="AU1152">
            <v>0.31786874083873579</v>
          </cell>
        </row>
        <row r="1153">
          <cell r="A1153" t="str">
            <v>SQME9</v>
          </cell>
          <cell r="AS1153" t="str">
            <v/>
          </cell>
          <cell r="AU1153" t="str">
            <v/>
          </cell>
        </row>
        <row r="1154">
          <cell r="A1154" t="str">
            <v>1310</v>
          </cell>
          <cell r="AS1154" t="str">
            <v/>
          </cell>
          <cell r="AU1154" t="str">
            <v/>
          </cell>
        </row>
        <row r="1155">
          <cell r="A1155" t="str">
            <v>6312</v>
          </cell>
          <cell r="AS1155" t="str">
            <v/>
          </cell>
          <cell r="AU1155" t="str">
            <v/>
          </cell>
        </row>
        <row r="1156">
          <cell r="A1156" t="str">
            <v>H-2316</v>
          </cell>
          <cell r="AS1156">
            <v>2.490126502354153</v>
          </cell>
          <cell r="AU1156">
            <v>1.2032106619626979</v>
          </cell>
        </row>
        <row r="1157">
          <cell r="A1157" t="str">
            <v>P-208-PBT</v>
          </cell>
          <cell r="AS1157" t="str">
            <v/>
          </cell>
          <cell r="AU1157" t="str">
            <v/>
          </cell>
        </row>
        <row r="1158">
          <cell r="A1158" t="str">
            <v>HCR-206-20</v>
          </cell>
          <cell r="AS1158" t="str">
            <v/>
          </cell>
          <cell r="AU1158" t="str">
            <v/>
          </cell>
        </row>
        <row r="1159">
          <cell r="A1159" t="str">
            <v>PP-7-Z</v>
          </cell>
          <cell r="AS1159">
            <v>0.47246628071893404</v>
          </cell>
          <cell r="AU1159">
            <v>0.22829220356534</v>
          </cell>
        </row>
        <row r="1160">
          <cell r="A1160" t="str">
            <v>22309-CW33C3</v>
          </cell>
          <cell r="AS1160" t="str">
            <v/>
          </cell>
          <cell r="AU1160" t="str">
            <v/>
          </cell>
        </row>
        <row r="1161">
          <cell r="A1161" t="str">
            <v>CCL-50-1</v>
          </cell>
          <cell r="AS1161" t="str">
            <v/>
          </cell>
          <cell r="AU1161" t="str">
            <v/>
          </cell>
        </row>
        <row r="1162">
          <cell r="A1162" t="str">
            <v>HM-88610</v>
          </cell>
          <cell r="AS1162" t="str">
            <v/>
          </cell>
          <cell r="AU1162" t="str">
            <v/>
          </cell>
        </row>
        <row r="1163">
          <cell r="A1163" t="str">
            <v>GEZ-104-ES-2</v>
          </cell>
          <cell r="AS1163" t="str">
            <v/>
          </cell>
          <cell r="AU1163" t="str">
            <v/>
          </cell>
        </row>
        <row r="1164">
          <cell r="A1164" t="str">
            <v>ASLR205-16</v>
          </cell>
          <cell r="AS1164">
            <v>0.84944254139940534</v>
          </cell>
          <cell r="AU1164">
            <v>0.41044433749458353</v>
          </cell>
        </row>
        <row r="1165">
          <cell r="A1165" t="str">
            <v>SS-6301-HO</v>
          </cell>
          <cell r="AS1165">
            <v>1.6355268743272842</v>
          </cell>
          <cell r="AU1165">
            <v>0.79027445844887256</v>
          </cell>
        </row>
        <row r="1166">
          <cell r="A1166" t="str">
            <v>1306-K-TN-C3</v>
          </cell>
          <cell r="AS1166" t="str">
            <v/>
          </cell>
          <cell r="AU1166" t="str">
            <v/>
          </cell>
        </row>
        <row r="1167">
          <cell r="A1167" t="str">
            <v>H-215</v>
          </cell>
          <cell r="AS1167" t="str">
            <v/>
          </cell>
          <cell r="AU1167" t="str">
            <v/>
          </cell>
        </row>
        <row r="1168">
          <cell r="A1168" t="str">
            <v>P-207-PBT</v>
          </cell>
          <cell r="AS1168" t="str">
            <v/>
          </cell>
          <cell r="AU1168" t="str">
            <v/>
          </cell>
        </row>
        <row r="1169">
          <cell r="A1169" t="str">
            <v>FD-208</v>
          </cell>
          <cell r="AS1169">
            <v>1.0348802797810159</v>
          </cell>
          <cell r="AU1169">
            <v>0.50004647768307042</v>
          </cell>
        </row>
        <row r="1170">
          <cell r="A1170" t="str">
            <v>6010</v>
          </cell>
          <cell r="AS1170" t="str">
            <v/>
          </cell>
          <cell r="AU1170" t="str">
            <v/>
          </cell>
        </row>
        <row r="1171">
          <cell r="A1171" t="str">
            <v>CL-140-1</v>
          </cell>
          <cell r="AS1171" t="str">
            <v/>
          </cell>
          <cell r="AU1171" t="str">
            <v/>
          </cell>
        </row>
        <row r="1172">
          <cell r="A1172" t="str">
            <v>H-2314</v>
          </cell>
          <cell r="AS1172" t="str">
            <v/>
          </cell>
          <cell r="AU1172" t="str">
            <v/>
          </cell>
        </row>
        <row r="1173">
          <cell r="A1173" t="str">
            <v>MS07-2RLD-K</v>
          </cell>
          <cell r="AS1173" t="str">
            <v/>
          </cell>
          <cell r="AU1173" t="str">
            <v/>
          </cell>
        </row>
        <row r="1174">
          <cell r="A1174" t="str">
            <v>H-2307</v>
          </cell>
          <cell r="AS1174">
            <v>0.55124276209441059</v>
          </cell>
          <cell r="AU1174">
            <v>0.2663564152482687</v>
          </cell>
        </row>
        <row r="1175">
          <cell r="A1175" t="str">
            <v>DAC-30600337</v>
          </cell>
          <cell r="AS1175">
            <v>0.97792348046308497</v>
          </cell>
          <cell r="AU1175">
            <v>0.47252537458014965</v>
          </cell>
        </row>
        <row r="1176">
          <cell r="A1176" t="str">
            <v>F3X-205-XH</v>
          </cell>
          <cell r="AS1176" t="str">
            <v/>
          </cell>
          <cell r="AU1176" t="str">
            <v/>
          </cell>
        </row>
        <row r="1177">
          <cell r="A1177" t="str">
            <v>1209-K</v>
          </cell>
          <cell r="AS1177" t="str">
            <v/>
          </cell>
          <cell r="AU1177" t="str">
            <v/>
          </cell>
        </row>
        <row r="1178">
          <cell r="A1178" t="str">
            <v>HD08-D</v>
          </cell>
          <cell r="AS1178">
            <v>1.3390692102600323</v>
          </cell>
          <cell r="AU1178">
            <v>0.64702831336786981</v>
          </cell>
        </row>
        <row r="1179">
          <cell r="A1179" t="str">
            <v>LS05-D</v>
          </cell>
          <cell r="AS1179" t="str">
            <v/>
          </cell>
          <cell r="AU1179" t="str">
            <v/>
          </cell>
        </row>
        <row r="1180">
          <cell r="A1180" t="str">
            <v>1210-K-C3</v>
          </cell>
          <cell r="AS1180" t="str">
            <v/>
          </cell>
          <cell r="AU1180" t="str">
            <v/>
          </cell>
        </row>
        <row r="1181">
          <cell r="A1181" t="str">
            <v>30204-MX</v>
          </cell>
          <cell r="AS1181" t="str">
            <v/>
          </cell>
          <cell r="AU1181" t="str">
            <v/>
          </cell>
        </row>
        <row r="1182">
          <cell r="A1182" t="str">
            <v>UK-209</v>
          </cell>
          <cell r="AS1182">
            <v>1.3018343218015798</v>
          </cell>
          <cell r="AU1182">
            <v>0.62903669135676044</v>
          </cell>
        </row>
        <row r="1183">
          <cell r="A1183" t="str">
            <v>SABP207-35L</v>
          </cell>
          <cell r="AS1183" t="str">
            <v/>
          </cell>
          <cell r="AU1183" t="str">
            <v/>
          </cell>
        </row>
        <row r="1184">
          <cell r="A1184" t="str">
            <v>RUB-7</v>
          </cell>
          <cell r="AS1184">
            <v>0.42643308011077036</v>
          </cell>
          <cell r="AU1184">
            <v>0.20604930236186822</v>
          </cell>
        </row>
        <row r="1185">
          <cell r="A1185" t="str">
            <v>FC-204</v>
          </cell>
          <cell r="AS1185" t="str">
            <v/>
          </cell>
          <cell r="AU1185" t="str">
            <v/>
          </cell>
        </row>
        <row r="1186">
          <cell r="A1186" t="str">
            <v>UK-206-M</v>
          </cell>
          <cell r="AS1186">
            <v>0.92220487243467419</v>
          </cell>
          <cell r="AU1186">
            <v>0.44560255632729229</v>
          </cell>
        </row>
        <row r="1187">
          <cell r="A1187" t="str">
            <v>PHS-5-Izq.</v>
          </cell>
          <cell r="AS1187">
            <v>0.50877280086386634</v>
          </cell>
          <cell r="AU1187">
            <v>0.24583524489109077</v>
          </cell>
        </row>
        <row r="1188">
          <cell r="A1188" t="str">
            <v>OL-120</v>
          </cell>
          <cell r="AS1188" t="str">
            <v/>
          </cell>
          <cell r="AU1188" t="str">
            <v/>
          </cell>
        </row>
        <row r="1189">
          <cell r="A1189" t="str">
            <v>PP-6-Z</v>
          </cell>
          <cell r="AS1189">
            <v>0.26695404202056361</v>
          </cell>
          <cell r="AU1189">
            <v>0.12899021367368987</v>
          </cell>
        </row>
        <row r="1190">
          <cell r="A1190" t="str">
            <v>FDECL209-35</v>
          </cell>
          <cell r="AS1190">
            <v>2.9763642217487511</v>
          </cell>
          <cell r="AU1190">
            <v>1.4381571225826333</v>
          </cell>
        </row>
        <row r="1191">
          <cell r="A1191" t="str">
            <v>SNL513-TG</v>
          </cell>
          <cell r="AS1191">
            <v>0.24709139008450975</v>
          </cell>
          <cell r="AU1191">
            <v>0.11939272753725461</v>
          </cell>
        </row>
        <row r="1192">
          <cell r="A1192" t="str">
            <v>LM-44610</v>
          </cell>
          <cell r="AS1192" t="str">
            <v/>
          </cell>
          <cell r="AU1192" t="str">
            <v/>
          </cell>
        </row>
        <row r="1193">
          <cell r="A1193" t="str">
            <v>GEZ-12ES-2RS</v>
          </cell>
          <cell r="AS1193" t="str">
            <v/>
          </cell>
          <cell r="AU1193" t="str">
            <v/>
          </cell>
        </row>
        <row r="1194">
          <cell r="A1194" t="str">
            <v>PHS-18-Izq.</v>
          </cell>
          <cell r="AS1194" t="str">
            <v/>
          </cell>
          <cell r="AU1194" t="str">
            <v/>
          </cell>
        </row>
        <row r="1195">
          <cell r="A1195" t="str">
            <v>MS06-2RLD</v>
          </cell>
          <cell r="AS1195" t="str">
            <v/>
          </cell>
          <cell r="AU1195" t="str">
            <v/>
          </cell>
        </row>
        <row r="1196">
          <cell r="A1196" t="str">
            <v>H-305</v>
          </cell>
          <cell r="AS1196">
            <v>0.31425294928023673</v>
          </cell>
          <cell r="AU1196">
            <v>0.15184469494611544</v>
          </cell>
        </row>
        <row r="1197">
          <cell r="A1197" t="str">
            <v>H-2306</v>
          </cell>
          <cell r="AS1197">
            <v>0.4446344920667179</v>
          </cell>
          <cell r="AU1197">
            <v>0.21484408965780161</v>
          </cell>
        </row>
        <row r="1198">
          <cell r="A1198" t="str">
            <v>POS-5-Der.</v>
          </cell>
          <cell r="AS1198">
            <v>0.46023570231467292</v>
          </cell>
          <cell r="AU1198">
            <v>0.22238247876860168</v>
          </cell>
        </row>
        <row r="1199">
          <cell r="A1199" t="str">
            <v>POS-5-Izq.</v>
          </cell>
          <cell r="AS1199">
            <v>0.46023570231467292</v>
          </cell>
          <cell r="AU1199">
            <v>0.22238247876860168</v>
          </cell>
        </row>
        <row r="1200">
          <cell r="A1200" t="str">
            <v>P-205-PBT</v>
          </cell>
          <cell r="AS1200" t="str">
            <v/>
          </cell>
          <cell r="AU1200" t="str">
            <v/>
          </cell>
        </row>
        <row r="1201">
          <cell r="A1201" t="str">
            <v>NE-50-KRRB</v>
          </cell>
          <cell r="AS1201" t="str">
            <v/>
          </cell>
          <cell r="AU1201" t="str">
            <v/>
          </cell>
        </row>
        <row r="1202">
          <cell r="A1202" t="str">
            <v>PF-3-ZM</v>
          </cell>
          <cell r="AS1202">
            <v>0.27141153066283646</v>
          </cell>
          <cell r="AU1202">
            <v>0.13114403913391845</v>
          </cell>
        </row>
        <row r="1203">
          <cell r="A1203" t="str">
            <v>OL-120-1H</v>
          </cell>
          <cell r="AS1203">
            <v>1.0322800780730232</v>
          </cell>
          <cell r="AU1203">
            <v>0.49879007949793708</v>
          </cell>
        </row>
        <row r="1204">
          <cell r="A1204" t="str">
            <v>PP-4-Z</v>
          </cell>
          <cell r="AS1204">
            <v>0.31852470922908155</v>
          </cell>
          <cell r="AU1204">
            <v>0.15390877767883451</v>
          </cell>
        </row>
        <row r="1205">
          <cell r="A1205" t="str">
            <v>PFL-3-Z</v>
          </cell>
          <cell r="AS1205">
            <v>0.15427863467422182</v>
          </cell>
          <cell r="AU1205">
            <v>7.4546292317911669E-2</v>
          </cell>
        </row>
        <row r="1206">
          <cell r="A1206" t="str">
            <v>CL-120-1H</v>
          </cell>
          <cell r="AS1206">
            <v>0.48403890183710124</v>
          </cell>
          <cell r="AU1206">
            <v>0.23388400828010836</v>
          </cell>
        </row>
        <row r="1207">
          <cell r="A1207" t="str">
            <v>GE-35-E</v>
          </cell>
          <cell r="AS1207">
            <v>0.84939922461088424</v>
          </cell>
          <cell r="AU1207">
            <v>0.41042340714355874</v>
          </cell>
        </row>
        <row r="1208">
          <cell r="A1208" t="str">
            <v>LS11-2RST</v>
          </cell>
          <cell r="AS1208" t="str">
            <v/>
          </cell>
          <cell r="AU1208" t="str">
            <v/>
          </cell>
        </row>
        <row r="1209">
          <cell r="A1209" t="str">
            <v>FC-204-HMX</v>
          </cell>
          <cell r="AS1209">
            <v>0.72892321214056499</v>
          </cell>
          <cell r="AU1209">
            <v>0.35221029123238051</v>
          </cell>
        </row>
        <row r="1210">
          <cell r="A1210" t="str">
            <v>ECL205-16MM</v>
          </cell>
          <cell r="AS1210" t="str">
            <v/>
          </cell>
          <cell r="AU1210" t="str">
            <v/>
          </cell>
        </row>
        <row r="1211">
          <cell r="A1211" t="str">
            <v>PHS-22-Izq.</v>
          </cell>
          <cell r="AS1211" t="str">
            <v/>
          </cell>
          <cell r="AU1211" t="str">
            <v/>
          </cell>
        </row>
        <row r="1212">
          <cell r="A1212" t="str">
            <v>PHS-22-Der.</v>
          </cell>
          <cell r="AS1212" t="str">
            <v/>
          </cell>
          <cell r="AU1212" t="str">
            <v/>
          </cell>
        </row>
        <row r="1213">
          <cell r="A1213" t="str">
            <v>GE30-UK2RS</v>
          </cell>
          <cell r="AS1213" t="str">
            <v/>
          </cell>
          <cell r="AU1213" t="str">
            <v/>
          </cell>
        </row>
        <row r="1214">
          <cell r="A1214" t="str">
            <v>6806-2RS</v>
          </cell>
          <cell r="AS1214">
            <v>0.26191122658688115</v>
          </cell>
          <cell r="AU1214">
            <v>0.12655356264797674</v>
          </cell>
        </row>
        <row r="1215">
          <cell r="A1215" t="str">
            <v>H-2315</v>
          </cell>
          <cell r="AS1215" t="str">
            <v/>
          </cell>
          <cell r="AU1215" t="str">
            <v/>
          </cell>
        </row>
        <row r="1216">
          <cell r="A1216" t="str">
            <v>RNA-6904</v>
          </cell>
          <cell r="AS1216">
            <v>1.0186723558011961</v>
          </cell>
          <cell r="AU1216">
            <v>0.49221492899573932</v>
          </cell>
        </row>
        <row r="1217">
          <cell r="A1217" t="str">
            <v>6903-2Z</v>
          </cell>
          <cell r="AS1217" t="str">
            <v/>
          </cell>
          <cell r="AU1217" t="str">
            <v/>
          </cell>
        </row>
        <row r="1218">
          <cell r="A1218" t="str">
            <v>FT-209-MX</v>
          </cell>
          <cell r="AS1218" t="str">
            <v/>
          </cell>
          <cell r="AU1218" t="str">
            <v/>
          </cell>
        </row>
        <row r="1219">
          <cell r="A1219" t="str">
            <v>FT-203</v>
          </cell>
          <cell r="AS1219">
            <v>0.73629045031321039</v>
          </cell>
          <cell r="AU1219">
            <v>0.35577008609025829</v>
          </cell>
        </row>
        <row r="1220">
          <cell r="A1220" t="str">
            <v>BB205KRP2</v>
          </cell>
          <cell r="AS1220">
            <v>1.2794246329203798</v>
          </cell>
          <cell r="AU1220">
            <v>0.61820849585438908</v>
          </cell>
        </row>
        <row r="1221">
          <cell r="A1221" t="str">
            <v>GU-2047</v>
          </cell>
          <cell r="AS1221" t="str">
            <v/>
          </cell>
          <cell r="AU1221" t="str">
            <v/>
          </cell>
        </row>
        <row r="1222">
          <cell r="A1222" t="str">
            <v>SABFL205-25L</v>
          </cell>
          <cell r="AS1222" t="str">
            <v/>
          </cell>
          <cell r="AU1222" t="str">
            <v/>
          </cell>
        </row>
        <row r="1223">
          <cell r="A1223" t="str">
            <v>H-205</v>
          </cell>
          <cell r="AS1223">
            <v>0.21953131563193842</v>
          </cell>
          <cell r="AU1223">
            <v>0.10607590391625794</v>
          </cell>
        </row>
        <row r="1224">
          <cell r="A1224" t="str">
            <v>UK-207</v>
          </cell>
          <cell r="AS1224">
            <v>1.2186278671458195</v>
          </cell>
          <cell r="AU1224">
            <v>0.5888319494324934</v>
          </cell>
        </row>
        <row r="1225">
          <cell r="A1225" t="str">
            <v>SNL509-TG</v>
          </cell>
          <cell r="AS1225">
            <v>0.16002074677937192</v>
          </cell>
          <cell r="AU1225">
            <v>7.7320838310081144E-2</v>
          </cell>
        </row>
        <row r="1226">
          <cell r="A1226" t="str">
            <v>SR120x14</v>
          </cell>
          <cell r="AS1226">
            <v>0.25308629957793688</v>
          </cell>
          <cell r="AU1226">
            <v>0.1222894233529787</v>
          </cell>
        </row>
        <row r="1227">
          <cell r="A1227" t="str">
            <v>SNL516-TG</v>
          </cell>
          <cell r="AS1227">
            <v>0.35216178525757519</v>
          </cell>
          <cell r="AU1227">
            <v>0.17016196340111445</v>
          </cell>
        </row>
        <row r="1228">
          <cell r="A1228" t="str">
            <v>1305-K-TN-C3</v>
          </cell>
          <cell r="AS1228" t="str">
            <v/>
          </cell>
          <cell r="AU1228" t="str">
            <v/>
          </cell>
        </row>
        <row r="1229">
          <cell r="A1229" t="str">
            <v>LS16-2RS</v>
          </cell>
          <cell r="AS1229">
            <v>1.7473355477709618</v>
          </cell>
          <cell r="AU1229">
            <v>0.84429958040960651</v>
          </cell>
        </row>
        <row r="1230">
          <cell r="A1230" t="str">
            <v>SER-18</v>
          </cell>
          <cell r="AS1230" t="str">
            <v/>
          </cell>
          <cell r="AU1230" t="str">
            <v/>
          </cell>
        </row>
        <row r="1231">
          <cell r="A1231" t="str">
            <v>SABF213-65L</v>
          </cell>
          <cell r="AS1231">
            <v>3.468669078461998</v>
          </cell>
          <cell r="AU1231">
            <v>1.6760351789678791</v>
          </cell>
        </row>
        <row r="1232">
          <cell r="A1232" t="str">
            <v>MS13</v>
          </cell>
          <cell r="AS1232" t="str">
            <v/>
          </cell>
          <cell r="AU1232" t="str">
            <v/>
          </cell>
        </row>
        <row r="1233">
          <cell r="A1233" t="str">
            <v>POS-12</v>
          </cell>
          <cell r="AS1233" t="str">
            <v/>
          </cell>
          <cell r="AU1233" t="str">
            <v/>
          </cell>
        </row>
        <row r="1234">
          <cell r="A1234" t="str">
            <v>PFT-3-Z</v>
          </cell>
          <cell r="AS1234">
            <v>0.21607676193417694</v>
          </cell>
          <cell r="AU1234">
            <v>0.10440668918458079</v>
          </cell>
        </row>
        <row r="1235">
          <cell r="A1235" t="str">
            <v>SNL511-TG</v>
          </cell>
          <cell r="AS1235">
            <v>0.20855784532856533</v>
          </cell>
          <cell r="AU1235">
            <v>0.10077360443257022</v>
          </cell>
        </row>
        <row r="1236">
          <cell r="A1236" t="str">
            <v>RNA-6905</v>
          </cell>
          <cell r="AS1236">
            <v>1.6060579216367024</v>
          </cell>
          <cell r="AU1236">
            <v>0.77603527901736147</v>
          </cell>
        </row>
        <row r="1237">
          <cell r="A1237" t="str">
            <v>5209-TN</v>
          </cell>
          <cell r="AS1237" t="str">
            <v/>
          </cell>
          <cell r="AU1237" t="str">
            <v/>
          </cell>
        </row>
        <row r="1238">
          <cell r="A1238" t="str">
            <v>5207-2RS</v>
          </cell>
          <cell r="AS1238" t="str">
            <v/>
          </cell>
          <cell r="AU1238" t="str">
            <v/>
          </cell>
        </row>
        <row r="1239">
          <cell r="A1239" t="str">
            <v>51305</v>
          </cell>
          <cell r="AS1239" t="str">
            <v/>
          </cell>
          <cell r="AU1239" t="str">
            <v/>
          </cell>
        </row>
        <row r="1240">
          <cell r="A1240" t="str">
            <v>ASL-203-17mm</v>
          </cell>
          <cell r="AS1240">
            <v>1.4821149735557266</v>
          </cell>
          <cell r="AU1240">
            <v>0.71614696552600554</v>
          </cell>
        </row>
        <row r="1241">
          <cell r="A1241" t="str">
            <v>203-KPP51</v>
          </cell>
          <cell r="AS1241">
            <v>0.71158853408728162</v>
          </cell>
          <cell r="AU1241">
            <v>0.34383430333149156</v>
          </cell>
        </row>
        <row r="1242">
          <cell r="A1242" t="str">
            <v>W-209-PPB5</v>
          </cell>
          <cell r="AS1242" t="str">
            <v/>
          </cell>
          <cell r="AU1242" t="str">
            <v/>
          </cell>
        </row>
        <row r="1243">
          <cell r="A1243" t="str">
            <v>H-216</v>
          </cell>
          <cell r="AS1243" t="str">
            <v/>
          </cell>
          <cell r="AU1243" t="str">
            <v/>
          </cell>
        </row>
        <row r="1244">
          <cell r="A1244" t="str">
            <v>H-214</v>
          </cell>
          <cell r="AS1244" t="str">
            <v/>
          </cell>
          <cell r="AU1244" t="str">
            <v/>
          </cell>
        </row>
        <row r="1245">
          <cell r="A1245" t="str">
            <v>SR120x10</v>
          </cell>
          <cell r="AS1245">
            <v>0.18028065175414684</v>
          </cell>
          <cell r="AU1245">
            <v>8.7110274169245105E-2</v>
          </cell>
        </row>
        <row r="1246">
          <cell r="A1246" t="str">
            <v>FHRL-205KRR2</v>
          </cell>
          <cell r="AS1246" t="str">
            <v/>
          </cell>
          <cell r="AU1246" t="str">
            <v/>
          </cell>
        </row>
        <row r="1247">
          <cell r="A1247" t="str">
            <v>6303-2RLD-C3</v>
          </cell>
          <cell r="AS1247" t="str">
            <v/>
          </cell>
          <cell r="AU1247" t="str">
            <v/>
          </cell>
        </row>
        <row r="1248">
          <cell r="A1248" t="str">
            <v>SAB-213-65DG</v>
          </cell>
          <cell r="AS1248">
            <v>2.372770731933425</v>
          </cell>
          <cell r="AU1248">
            <v>1.1465052238736799</v>
          </cell>
        </row>
        <row r="1249">
          <cell r="A1249" t="str">
            <v>UK-205-M</v>
          </cell>
          <cell r="AS1249">
            <v>0.77919377849508653</v>
          </cell>
          <cell r="AU1249">
            <v>0.37650065614495842</v>
          </cell>
        </row>
        <row r="1250">
          <cell r="A1250" t="str">
            <v>SNL522-TG</v>
          </cell>
          <cell r="AS1250">
            <v>0.57828485985753253</v>
          </cell>
          <cell r="AU1250">
            <v>0.27942295637365544</v>
          </cell>
        </row>
        <row r="1251">
          <cell r="A1251" t="str">
            <v>SR130x15.5</v>
          </cell>
          <cell r="AS1251">
            <v>0.38049618326956947</v>
          </cell>
          <cell r="AU1251">
            <v>0.18385293442451248</v>
          </cell>
        </row>
        <row r="1252">
          <cell r="A1252" t="str">
            <v>PP-3-ZSET</v>
          </cell>
          <cell r="AS1252">
            <v>0.27172107848521648</v>
          </cell>
          <cell r="AU1252">
            <v>0.13129361034643433</v>
          </cell>
        </row>
        <row r="1253">
          <cell r="A1253" t="str">
            <v>2204</v>
          </cell>
          <cell r="AS1253">
            <v>0.71158853408728151</v>
          </cell>
          <cell r="AU1253">
            <v>0.34383430333149151</v>
          </cell>
        </row>
        <row r="1254">
          <cell r="A1254" t="str">
            <v>SNL515-TG</v>
          </cell>
          <cell r="AS1254">
            <v>0.33975968984435373</v>
          </cell>
          <cell r="AU1254">
            <v>0.16416936285742348</v>
          </cell>
        </row>
        <row r="1255">
          <cell r="A1255" t="str">
            <v>2307</v>
          </cell>
          <cell r="AS1255">
            <v>0.67466566983378795</v>
          </cell>
          <cell r="AU1255">
            <v>0.32599344910259798</v>
          </cell>
        </row>
        <row r="1256">
          <cell r="A1256" t="str">
            <v>6003</v>
          </cell>
          <cell r="AS1256" t="str">
            <v/>
          </cell>
          <cell r="AU1256" t="str">
            <v/>
          </cell>
        </row>
        <row r="1257">
          <cell r="A1257" t="str">
            <v>SNL517-TG</v>
          </cell>
          <cell r="AS1257">
            <v>0.327972108768121</v>
          </cell>
          <cell r="AU1257">
            <v>0.15847369108481899</v>
          </cell>
        </row>
        <row r="1258">
          <cell r="A1258" t="str">
            <v>2210-K-TN-C3</v>
          </cell>
          <cell r="AS1258">
            <v>1.9440841436757277</v>
          </cell>
          <cell r="AU1258">
            <v>0.93936704308469599</v>
          </cell>
        </row>
        <row r="1259">
          <cell r="A1259" t="str">
            <v>SNL520-TG</v>
          </cell>
          <cell r="AS1259">
            <v>0.48467759836980245</v>
          </cell>
          <cell r="AU1259">
            <v>0.2341926217088551</v>
          </cell>
        </row>
        <row r="1260">
          <cell r="A1260" t="str">
            <v>SR140x16</v>
          </cell>
          <cell r="AS1260">
            <v>0.47674048265615537</v>
          </cell>
          <cell r="AU1260">
            <v>0.2303574662487356</v>
          </cell>
        </row>
        <row r="1261">
          <cell r="A1261" t="str">
            <v>HK-3020</v>
          </cell>
          <cell r="AS1261" t="str">
            <v/>
          </cell>
          <cell r="AU1261" t="str">
            <v/>
          </cell>
        </row>
        <row r="1262">
          <cell r="A1262" t="str">
            <v>2306</v>
          </cell>
          <cell r="AS1262" t="str">
            <v/>
          </cell>
          <cell r="AU1262" t="str">
            <v/>
          </cell>
        </row>
        <row r="1263">
          <cell r="A1263" t="str">
            <v>62203-2RS</v>
          </cell>
          <cell r="AS1263" t="str">
            <v/>
          </cell>
          <cell r="AU1263" t="str">
            <v/>
          </cell>
        </row>
        <row r="1264">
          <cell r="A1264" t="str">
            <v>MS10-2RLD</v>
          </cell>
          <cell r="AS1264" t="str">
            <v/>
          </cell>
          <cell r="AU1264" t="str">
            <v/>
          </cell>
        </row>
        <row r="1265">
          <cell r="A1265" t="str">
            <v>SNL518-TG</v>
          </cell>
          <cell r="AS1265">
            <v>0.34253323833287896</v>
          </cell>
          <cell r="AU1265">
            <v>0.16550952092156568</v>
          </cell>
        </row>
        <row r="1266">
          <cell r="A1266" t="str">
            <v>SR130x12.5</v>
          </cell>
          <cell r="AS1266">
            <v>0.21755020956870608</v>
          </cell>
          <cell r="AU1266">
            <v>0.10511864815615639</v>
          </cell>
        </row>
        <row r="1267">
          <cell r="A1267" t="str">
            <v>SR140x12.5</v>
          </cell>
          <cell r="AS1267">
            <v>0.29902969692340781</v>
          </cell>
          <cell r="AU1267">
            <v>0.14448893228579726</v>
          </cell>
        </row>
        <row r="1268">
          <cell r="A1268" t="str">
            <v>7206-B</v>
          </cell>
          <cell r="AS1268" t="str">
            <v/>
          </cell>
          <cell r="AU1268" t="str">
            <v/>
          </cell>
        </row>
        <row r="1269">
          <cell r="A1269" t="str">
            <v>CA-550</v>
          </cell>
          <cell r="AS1269" t="str">
            <v/>
          </cell>
          <cell r="AU1269" t="str">
            <v/>
          </cell>
        </row>
        <row r="1270">
          <cell r="A1270" t="str">
            <v>SR110x10</v>
          </cell>
          <cell r="AS1270" t="str">
            <v/>
          </cell>
          <cell r="AU1270" t="str">
            <v/>
          </cell>
        </row>
        <row r="1271">
          <cell r="A1271" t="str">
            <v>SR90x10.5</v>
          </cell>
          <cell r="AS1271" t="str">
            <v/>
          </cell>
          <cell r="AU1271" t="str">
            <v/>
          </cell>
        </row>
        <row r="1272">
          <cell r="A1272" t="str">
            <v>HM-803146/10</v>
          </cell>
          <cell r="AS1272" t="str">
            <v/>
          </cell>
          <cell r="AU1272" t="str">
            <v/>
          </cell>
        </row>
        <row r="1273">
          <cell r="A1273" t="str">
            <v>RUB-4</v>
          </cell>
          <cell r="AS1273" t="str">
            <v/>
          </cell>
          <cell r="AU1273" t="str">
            <v/>
          </cell>
        </row>
        <row r="1274">
          <cell r="A1274" t="str">
            <v>5304-C3</v>
          </cell>
          <cell r="AS1274" t="str">
            <v/>
          </cell>
          <cell r="AU1274" t="str">
            <v/>
          </cell>
        </row>
        <row r="1275">
          <cell r="A1275" t="str">
            <v>2202</v>
          </cell>
          <cell r="AS1275" t="str">
            <v/>
          </cell>
          <cell r="AU1275" t="str">
            <v/>
          </cell>
        </row>
        <row r="1276">
          <cell r="A1276" t="str">
            <v>SR100x11.5</v>
          </cell>
          <cell r="AS1276">
            <v>0.16121250589553515</v>
          </cell>
          <cell r="AU1276">
            <v>7.7896687478267251E-2</v>
          </cell>
        </row>
        <row r="1277">
          <cell r="A1277" t="str">
            <v>63001-2RLD</v>
          </cell>
          <cell r="AS1277" t="str">
            <v/>
          </cell>
          <cell r="AU1277" t="str">
            <v/>
          </cell>
        </row>
        <row r="1278">
          <cell r="A1278" t="str">
            <v>SR100x9.5</v>
          </cell>
          <cell r="AS1278">
            <v>0.11007520563834929</v>
          </cell>
          <cell r="AU1278">
            <v>5.3187523170644853E-2</v>
          </cell>
        </row>
        <row r="1279">
          <cell r="A1279" t="str">
            <v>DD59205SC</v>
          </cell>
          <cell r="AS1279">
            <v>8.6673390266416753E-2</v>
          </cell>
          <cell r="AU1279">
            <v>4.1879939504444762E-2</v>
          </cell>
        </row>
        <row r="1280">
          <cell r="A1280" t="str">
            <v>F-207-PBT</v>
          </cell>
          <cell r="AS1280" t="str">
            <v/>
          </cell>
          <cell r="AU1280" t="str">
            <v/>
          </cell>
        </row>
        <row r="1281">
          <cell r="A1281" t="str">
            <v>C2060-H-SK1</v>
          </cell>
          <cell r="AS1281" t="str">
            <v/>
          </cell>
          <cell r="AU1281" t="str">
            <v/>
          </cell>
        </row>
        <row r="1282">
          <cell r="AS1282" t="str">
            <v/>
          </cell>
          <cell r="AU1282" t="str">
            <v/>
          </cell>
        </row>
        <row r="1283">
          <cell r="AS1283" t="str">
            <v/>
          </cell>
          <cell r="AU1283" t="str">
            <v/>
          </cell>
        </row>
        <row r="1284">
          <cell r="AS1284" t="str">
            <v/>
          </cell>
          <cell r="AU1284" t="str">
            <v/>
          </cell>
        </row>
        <row r="1285">
          <cell r="AS1285" t="str">
            <v/>
          </cell>
          <cell r="AU1285" t="str">
            <v/>
          </cell>
        </row>
        <row r="1286">
          <cell r="AS1286" t="str">
            <v/>
          </cell>
          <cell r="AU1286" t="str">
            <v/>
          </cell>
        </row>
        <row r="1287">
          <cell r="AS1287" t="str">
            <v/>
          </cell>
          <cell r="AU1287" t="str">
            <v/>
          </cell>
        </row>
        <row r="1288">
          <cell r="AS1288" t="str">
            <v/>
          </cell>
          <cell r="AU1288" t="str">
            <v/>
          </cell>
        </row>
        <row r="1289">
          <cell r="AS1289" t="str">
            <v/>
          </cell>
          <cell r="AU1289" t="str">
            <v/>
          </cell>
        </row>
        <row r="1290">
          <cell r="AS1290" t="str">
            <v/>
          </cell>
          <cell r="AU1290" t="str">
            <v/>
          </cell>
        </row>
        <row r="1291">
          <cell r="AS1291" t="str">
            <v/>
          </cell>
          <cell r="AU1291" t="str">
            <v/>
          </cell>
        </row>
        <row r="1292">
          <cell r="AS1292" t="str">
            <v/>
          </cell>
          <cell r="AU1292" t="str">
            <v/>
          </cell>
        </row>
        <row r="1293">
          <cell r="AS1293" t="str">
            <v/>
          </cell>
          <cell r="AU1293" t="str">
            <v/>
          </cell>
        </row>
        <row r="1294">
          <cell r="AS1294" t="str">
            <v/>
          </cell>
          <cell r="AU1294" t="str">
            <v/>
          </cell>
        </row>
        <row r="1295">
          <cell r="AS1295" t="str">
            <v/>
          </cell>
          <cell r="AU1295" t="str">
            <v/>
          </cell>
        </row>
        <row r="1296">
          <cell r="AS1296" t="str">
            <v/>
          </cell>
          <cell r="AU1296" t="str">
            <v/>
          </cell>
        </row>
        <row r="1297">
          <cell r="AS1297" t="str">
            <v/>
          </cell>
          <cell r="AU1297" t="str">
            <v/>
          </cell>
        </row>
        <row r="1298">
          <cell r="AS1298" t="str">
            <v/>
          </cell>
          <cell r="AU1298" t="str">
            <v/>
          </cell>
        </row>
        <row r="1299">
          <cell r="AS1299" t="str">
            <v/>
          </cell>
          <cell r="AU1299" t="str">
            <v/>
          </cell>
        </row>
        <row r="1300">
          <cell r="AS1300" t="str">
            <v/>
          </cell>
          <cell r="AU1300" t="str">
            <v/>
          </cell>
        </row>
        <row r="1301">
          <cell r="AS1301" t="str">
            <v/>
          </cell>
          <cell r="AU1301" t="str">
            <v/>
          </cell>
        </row>
        <row r="1302">
          <cell r="AS1302" t="str">
            <v/>
          </cell>
          <cell r="AU1302" t="str">
            <v/>
          </cell>
        </row>
        <row r="1303">
          <cell r="AS1303" t="str">
            <v/>
          </cell>
          <cell r="AU1303" t="str">
            <v/>
          </cell>
        </row>
        <row r="1304">
          <cell r="AS1304" t="str">
            <v/>
          </cell>
          <cell r="AU1304" t="str">
            <v/>
          </cell>
        </row>
        <row r="1305">
          <cell r="AS1305" t="str">
            <v/>
          </cell>
          <cell r="AU1305" t="str">
            <v/>
          </cell>
        </row>
        <row r="1306">
          <cell r="AS1306" t="str">
            <v/>
          </cell>
          <cell r="AU1306" t="str">
            <v/>
          </cell>
        </row>
        <row r="1307">
          <cell r="AS1307" t="str">
            <v/>
          </cell>
          <cell r="AU1307" t="str">
            <v/>
          </cell>
        </row>
        <row r="1308">
          <cell r="AS1308" t="str">
            <v/>
          </cell>
          <cell r="AU1308" t="str">
            <v/>
          </cell>
        </row>
        <row r="1309">
          <cell r="AS1309" t="str">
            <v/>
          </cell>
          <cell r="AU1309" t="str">
            <v/>
          </cell>
        </row>
        <row r="1310">
          <cell r="AS1310" t="str">
            <v/>
          </cell>
          <cell r="AU1310" t="str">
            <v/>
          </cell>
        </row>
        <row r="1311">
          <cell r="AS1311" t="str">
            <v/>
          </cell>
          <cell r="AU1311" t="str">
            <v/>
          </cell>
        </row>
        <row r="1312">
          <cell r="AS1312" t="str">
            <v/>
          </cell>
          <cell r="AU1312" t="str">
            <v/>
          </cell>
        </row>
        <row r="1313">
          <cell r="AS1313" t="str">
            <v/>
          </cell>
          <cell r="AU1313" t="str">
            <v/>
          </cell>
        </row>
        <row r="1314">
          <cell r="AS1314" t="str">
            <v/>
          </cell>
          <cell r="AU1314" t="str">
            <v/>
          </cell>
        </row>
        <row r="1315">
          <cell r="AS1315" t="str">
            <v/>
          </cell>
          <cell r="AU1315" t="str">
            <v/>
          </cell>
        </row>
        <row r="1316">
          <cell r="AS1316" t="str">
            <v/>
          </cell>
          <cell r="AU1316" t="str">
            <v/>
          </cell>
        </row>
        <row r="1317">
          <cell r="AS1317" t="str">
            <v/>
          </cell>
          <cell r="AU1317" t="str">
            <v/>
          </cell>
        </row>
        <row r="1318">
          <cell r="AS1318" t="str">
            <v/>
          </cell>
          <cell r="AU1318" t="str">
            <v/>
          </cell>
        </row>
        <row r="1319">
          <cell r="AS1319" t="str">
            <v/>
          </cell>
          <cell r="AU1319" t="str">
            <v/>
          </cell>
        </row>
        <row r="1320">
          <cell r="AS1320" t="str">
            <v/>
          </cell>
          <cell r="AU1320" t="str">
            <v/>
          </cell>
        </row>
        <row r="1321">
          <cell r="AS1321" t="str">
            <v/>
          </cell>
          <cell r="AU1321" t="str">
            <v/>
          </cell>
        </row>
        <row r="1322">
          <cell r="AS1322" t="str">
            <v/>
          </cell>
          <cell r="AU1322" t="str">
            <v/>
          </cell>
        </row>
        <row r="1323">
          <cell r="AS1323" t="str">
            <v/>
          </cell>
          <cell r="AU1323" t="str">
            <v/>
          </cell>
        </row>
        <row r="1324">
          <cell r="AS1324" t="str">
            <v/>
          </cell>
          <cell r="AU1324" t="str">
            <v/>
          </cell>
        </row>
        <row r="1325">
          <cell r="AS1325" t="str">
            <v/>
          </cell>
          <cell r="AU1325" t="str">
            <v/>
          </cell>
        </row>
        <row r="1326">
          <cell r="AS1326" t="str">
            <v/>
          </cell>
          <cell r="AU1326" t="str">
            <v/>
          </cell>
        </row>
        <row r="1327">
          <cell r="AS1327" t="str">
            <v/>
          </cell>
          <cell r="AU1327" t="str">
            <v/>
          </cell>
        </row>
        <row r="1328">
          <cell r="AS1328" t="str">
            <v/>
          </cell>
          <cell r="AU1328" t="str">
            <v/>
          </cell>
        </row>
        <row r="1329">
          <cell r="AS1329" t="str">
            <v/>
          </cell>
          <cell r="AU1329" t="str">
            <v/>
          </cell>
        </row>
        <row r="1330">
          <cell r="AS1330" t="str">
            <v/>
          </cell>
          <cell r="AU1330" t="str">
            <v/>
          </cell>
        </row>
        <row r="1331">
          <cell r="AS1331" t="str">
            <v/>
          </cell>
          <cell r="AU1331" t="str">
            <v/>
          </cell>
        </row>
        <row r="1332">
          <cell r="AS1332" t="str">
            <v/>
          </cell>
          <cell r="AU1332" t="str">
            <v/>
          </cell>
        </row>
        <row r="1333">
          <cell r="AS1333" t="str">
            <v/>
          </cell>
          <cell r="AU1333" t="str">
            <v/>
          </cell>
        </row>
        <row r="1334">
          <cell r="AS1334" t="str">
            <v/>
          </cell>
          <cell r="AU1334" t="str">
            <v/>
          </cell>
        </row>
        <row r="1335">
          <cell r="AS1335" t="str">
            <v/>
          </cell>
          <cell r="AU1335" t="str">
            <v/>
          </cell>
        </row>
        <row r="1336">
          <cell r="AS1336" t="str">
            <v/>
          </cell>
          <cell r="AU1336" t="str">
            <v/>
          </cell>
        </row>
        <row r="1337">
          <cell r="AS1337" t="str">
            <v/>
          </cell>
          <cell r="AU1337" t="str">
            <v/>
          </cell>
        </row>
        <row r="1338">
          <cell r="AS1338" t="str">
            <v/>
          </cell>
          <cell r="AU1338" t="str">
            <v/>
          </cell>
        </row>
        <row r="1339">
          <cell r="AS1339" t="str">
            <v/>
          </cell>
          <cell r="AU1339" t="str">
            <v/>
          </cell>
        </row>
        <row r="1340">
          <cell r="AS1340" t="str">
            <v/>
          </cell>
          <cell r="AU1340" t="str">
            <v/>
          </cell>
        </row>
        <row r="1341">
          <cell r="AS1341" t="str">
            <v/>
          </cell>
          <cell r="AU1341" t="str">
            <v/>
          </cell>
        </row>
        <row r="1342">
          <cell r="AS1342" t="str">
            <v/>
          </cell>
          <cell r="AU1342" t="str">
            <v/>
          </cell>
        </row>
        <row r="1343">
          <cell r="AS1343" t="str">
            <v/>
          </cell>
          <cell r="AU1343" t="str">
            <v/>
          </cell>
        </row>
        <row r="1344">
          <cell r="AS1344" t="str">
            <v/>
          </cell>
          <cell r="AU1344" t="str">
            <v/>
          </cell>
        </row>
        <row r="1345">
          <cell r="AS1345" t="str">
            <v/>
          </cell>
          <cell r="AU1345" t="str">
            <v/>
          </cell>
        </row>
        <row r="1346">
          <cell r="AS1346" t="str">
            <v/>
          </cell>
          <cell r="AU1346" t="str">
            <v/>
          </cell>
        </row>
        <row r="1347">
          <cell r="AS1347" t="str">
            <v/>
          </cell>
          <cell r="AU1347" t="str">
            <v/>
          </cell>
        </row>
        <row r="1348">
          <cell r="AS1348" t="str">
            <v/>
          </cell>
          <cell r="AU1348" t="str">
            <v/>
          </cell>
        </row>
        <row r="1349">
          <cell r="AS1349" t="str">
            <v/>
          </cell>
          <cell r="AU1349" t="str">
            <v/>
          </cell>
        </row>
        <row r="1350">
          <cell r="AS1350" t="str">
            <v/>
          </cell>
          <cell r="AU1350" t="str">
            <v/>
          </cell>
        </row>
        <row r="1351">
          <cell r="AS1351" t="str">
            <v/>
          </cell>
          <cell r="AU1351" t="str">
            <v/>
          </cell>
        </row>
        <row r="1352">
          <cell r="AS1352" t="str">
            <v/>
          </cell>
          <cell r="AU1352" t="str">
            <v/>
          </cell>
        </row>
        <row r="1353">
          <cell r="AS1353" t="str">
            <v/>
          </cell>
          <cell r="AU1353" t="str">
            <v/>
          </cell>
        </row>
        <row r="1354">
          <cell r="AS1354" t="str">
            <v/>
          </cell>
          <cell r="AU1354" t="str">
            <v/>
          </cell>
        </row>
        <row r="1355">
          <cell r="AS1355" t="str">
            <v/>
          </cell>
          <cell r="AU1355" t="str">
            <v/>
          </cell>
        </row>
        <row r="1356">
          <cell r="AS1356" t="str">
            <v/>
          </cell>
          <cell r="AU1356" t="str">
            <v/>
          </cell>
        </row>
        <row r="1357">
          <cell r="AS1357" t="str">
            <v/>
          </cell>
          <cell r="AU1357" t="str">
            <v/>
          </cell>
        </row>
        <row r="1358">
          <cell r="AS1358" t="str">
            <v/>
          </cell>
          <cell r="AU1358" t="str">
            <v/>
          </cell>
        </row>
        <row r="1359">
          <cell r="AS1359" t="str">
            <v/>
          </cell>
          <cell r="AU1359" t="str">
            <v/>
          </cell>
        </row>
        <row r="1360">
          <cell r="AS1360" t="str">
            <v/>
          </cell>
          <cell r="AU1360" t="str">
            <v/>
          </cell>
        </row>
        <row r="1361">
          <cell r="AS1361" t="str">
            <v/>
          </cell>
          <cell r="AU1361" t="str">
            <v/>
          </cell>
        </row>
        <row r="1362">
          <cell r="AS1362" t="str">
            <v/>
          </cell>
          <cell r="AU1362" t="str">
            <v/>
          </cell>
        </row>
        <row r="1363">
          <cell r="AS1363" t="str">
            <v/>
          </cell>
          <cell r="AU1363" t="str">
            <v/>
          </cell>
        </row>
        <row r="1364">
          <cell r="AS1364" t="str">
            <v/>
          </cell>
          <cell r="AU1364" t="str">
            <v/>
          </cell>
        </row>
        <row r="1365">
          <cell r="AS1365" t="str">
            <v/>
          </cell>
          <cell r="AU1365" t="str">
            <v/>
          </cell>
        </row>
        <row r="1366">
          <cell r="AS1366" t="str">
            <v/>
          </cell>
          <cell r="AU1366" t="str">
            <v/>
          </cell>
        </row>
        <row r="1367">
          <cell r="AS1367" t="str">
            <v/>
          </cell>
          <cell r="AU1367" t="str">
            <v/>
          </cell>
        </row>
        <row r="1368">
          <cell r="AS1368" t="str">
            <v/>
          </cell>
          <cell r="AU1368" t="str">
            <v/>
          </cell>
        </row>
        <row r="1369">
          <cell r="AS1369" t="str">
            <v/>
          </cell>
          <cell r="AU1369" t="str">
            <v/>
          </cell>
        </row>
        <row r="1370">
          <cell r="AS1370" t="str">
            <v/>
          </cell>
          <cell r="AU1370" t="str">
            <v/>
          </cell>
        </row>
        <row r="1371">
          <cell r="AS1371" t="str">
            <v/>
          </cell>
          <cell r="AU1371" t="str">
            <v/>
          </cell>
        </row>
        <row r="1372">
          <cell r="AS1372" t="str">
            <v/>
          </cell>
          <cell r="AU1372" t="str">
            <v/>
          </cell>
        </row>
        <row r="1373">
          <cell r="AS1373" t="str">
            <v/>
          </cell>
          <cell r="AU1373" t="str">
            <v/>
          </cell>
        </row>
        <row r="1374">
          <cell r="AS1374" t="str">
            <v/>
          </cell>
          <cell r="AU1374" t="str">
            <v/>
          </cell>
        </row>
        <row r="1375">
          <cell r="AS1375" t="str">
            <v/>
          </cell>
          <cell r="AU1375" t="str">
            <v/>
          </cell>
        </row>
        <row r="1376">
          <cell r="AS1376" t="str">
            <v/>
          </cell>
          <cell r="AU1376" t="str">
            <v/>
          </cell>
        </row>
        <row r="1377">
          <cell r="AS1377" t="str">
            <v/>
          </cell>
          <cell r="AU1377" t="str">
            <v/>
          </cell>
        </row>
        <row r="1378">
          <cell r="AS1378" t="str">
            <v/>
          </cell>
          <cell r="AU1378" t="str">
            <v/>
          </cell>
        </row>
        <row r="1379">
          <cell r="AS1379" t="str">
            <v/>
          </cell>
          <cell r="AU1379" t="str">
            <v/>
          </cell>
        </row>
        <row r="1380">
          <cell r="AS1380" t="str">
            <v/>
          </cell>
          <cell r="AU1380" t="str">
            <v/>
          </cell>
        </row>
        <row r="1381">
          <cell r="AS1381" t="str">
            <v/>
          </cell>
          <cell r="AU1381" t="str">
            <v/>
          </cell>
        </row>
        <row r="1382">
          <cell r="AS1382" t="str">
            <v/>
          </cell>
          <cell r="AU1382" t="str">
            <v/>
          </cell>
        </row>
        <row r="1383">
          <cell r="AS1383" t="str">
            <v/>
          </cell>
          <cell r="AU1383" t="str">
            <v/>
          </cell>
        </row>
        <row r="1384">
          <cell r="AS1384" t="str">
            <v/>
          </cell>
          <cell r="AU1384" t="str">
            <v/>
          </cell>
        </row>
        <row r="1385">
          <cell r="AS1385" t="str">
            <v/>
          </cell>
          <cell r="AU1385" t="str">
            <v/>
          </cell>
        </row>
        <row r="1386">
          <cell r="AS1386" t="str">
            <v/>
          </cell>
          <cell r="AU1386" t="str">
            <v/>
          </cell>
        </row>
        <row r="1387">
          <cell r="AS1387" t="str">
            <v/>
          </cell>
          <cell r="AU1387" t="str">
            <v/>
          </cell>
        </row>
        <row r="1388">
          <cell r="AS1388" t="str">
            <v/>
          </cell>
          <cell r="AU1388" t="str">
            <v/>
          </cell>
        </row>
        <row r="1389">
          <cell r="AS1389" t="str">
            <v/>
          </cell>
          <cell r="AU1389" t="str">
            <v/>
          </cell>
        </row>
        <row r="1390">
          <cell r="AS1390" t="str">
            <v/>
          </cell>
          <cell r="AU1390" t="str">
            <v/>
          </cell>
        </row>
        <row r="1391">
          <cell r="AS1391" t="str">
            <v/>
          </cell>
          <cell r="AU1391" t="str">
            <v/>
          </cell>
        </row>
        <row r="1392">
          <cell r="AS1392" t="str">
            <v/>
          </cell>
          <cell r="AU1392" t="str">
            <v/>
          </cell>
        </row>
        <row r="1393">
          <cell r="AS1393" t="str">
            <v/>
          </cell>
          <cell r="AU1393" t="str">
            <v/>
          </cell>
        </row>
        <row r="1394">
          <cell r="AS1394" t="str">
            <v/>
          </cell>
          <cell r="AU1394" t="str">
            <v/>
          </cell>
        </row>
        <row r="1395">
          <cell r="AS1395" t="str">
            <v/>
          </cell>
          <cell r="AU1395" t="str">
            <v/>
          </cell>
        </row>
        <row r="1396">
          <cell r="AS1396" t="str">
            <v/>
          </cell>
          <cell r="AU1396" t="str">
            <v/>
          </cell>
        </row>
        <row r="1397">
          <cell r="AS1397" t="str">
            <v/>
          </cell>
          <cell r="AU1397" t="str">
            <v/>
          </cell>
        </row>
        <row r="1398">
          <cell r="AS1398" t="str">
            <v/>
          </cell>
          <cell r="AU1398" t="str">
            <v/>
          </cell>
        </row>
        <row r="1399">
          <cell r="AS1399" t="str">
            <v/>
          </cell>
          <cell r="AU1399" t="str">
            <v/>
          </cell>
        </row>
        <row r="1400">
          <cell r="AS1400" t="str">
            <v/>
          </cell>
          <cell r="AU1400" t="str">
            <v/>
          </cell>
        </row>
        <row r="1401">
          <cell r="AS1401" t="str">
            <v/>
          </cell>
          <cell r="AU1401" t="str">
            <v/>
          </cell>
        </row>
        <row r="1402">
          <cell r="AS1402" t="str">
            <v/>
          </cell>
          <cell r="AU1402" t="str">
            <v/>
          </cell>
        </row>
        <row r="1403">
          <cell r="AS1403" t="str">
            <v/>
          </cell>
          <cell r="AU1403" t="str">
            <v/>
          </cell>
        </row>
        <row r="1404">
          <cell r="AS1404" t="str">
            <v/>
          </cell>
          <cell r="AU1404" t="str">
            <v/>
          </cell>
        </row>
        <row r="1405">
          <cell r="AS1405" t="str">
            <v/>
          </cell>
          <cell r="AU1405" t="str">
            <v/>
          </cell>
        </row>
        <row r="1406">
          <cell r="AS1406" t="str">
            <v/>
          </cell>
          <cell r="AU1406" t="str">
            <v/>
          </cell>
        </row>
        <row r="1407">
          <cell r="AS1407" t="str">
            <v/>
          </cell>
          <cell r="AU1407" t="str">
            <v/>
          </cell>
        </row>
        <row r="1408">
          <cell r="AS1408" t="str">
            <v/>
          </cell>
          <cell r="AU1408" t="str">
            <v/>
          </cell>
        </row>
        <row r="1409">
          <cell r="AS1409" t="str">
            <v/>
          </cell>
          <cell r="AU1409" t="str">
            <v/>
          </cell>
        </row>
        <row r="1410">
          <cell r="AS1410" t="str">
            <v/>
          </cell>
          <cell r="AU1410" t="str">
            <v/>
          </cell>
        </row>
        <row r="1411">
          <cell r="AS1411" t="str">
            <v/>
          </cell>
          <cell r="AU1411" t="str">
            <v/>
          </cell>
        </row>
        <row r="1412">
          <cell r="AS1412" t="str">
            <v/>
          </cell>
          <cell r="AU1412" t="str">
            <v/>
          </cell>
        </row>
        <row r="1413">
          <cell r="AS1413" t="str">
            <v/>
          </cell>
          <cell r="AU1413" t="str">
            <v/>
          </cell>
        </row>
        <row r="1414">
          <cell r="AS1414" t="str">
            <v/>
          </cell>
          <cell r="AU1414" t="str">
            <v/>
          </cell>
        </row>
        <row r="1415">
          <cell r="AS1415" t="str">
            <v/>
          </cell>
          <cell r="AU1415" t="str">
            <v/>
          </cell>
        </row>
        <row r="1416">
          <cell r="AS1416" t="str">
            <v/>
          </cell>
          <cell r="AU1416" t="str">
            <v/>
          </cell>
        </row>
        <row r="1417">
          <cell r="AS1417" t="str">
            <v/>
          </cell>
          <cell r="AU1417" t="str">
            <v/>
          </cell>
        </row>
        <row r="1418">
          <cell r="AS1418" t="str">
            <v/>
          </cell>
          <cell r="AU1418" t="str">
            <v/>
          </cell>
        </row>
        <row r="1419">
          <cell r="AS1419" t="str">
            <v/>
          </cell>
          <cell r="AU1419" t="str">
            <v/>
          </cell>
        </row>
        <row r="1420">
          <cell r="AS1420" t="str">
            <v/>
          </cell>
          <cell r="AU1420" t="str">
            <v/>
          </cell>
        </row>
        <row r="1421">
          <cell r="AS1421" t="str">
            <v/>
          </cell>
          <cell r="AU1421" t="str">
            <v/>
          </cell>
        </row>
        <row r="1422">
          <cell r="AS1422" t="str">
            <v/>
          </cell>
          <cell r="AU1422" t="str">
            <v/>
          </cell>
        </row>
        <row r="1423">
          <cell r="AS1423" t="str">
            <v/>
          </cell>
          <cell r="AU1423" t="str">
            <v/>
          </cell>
        </row>
        <row r="1424">
          <cell r="AS1424" t="str">
            <v/>
          </cell>
          <cell r="AU1424" t="str">
            <v/>
          </cell>
        </row>
        <row r="1425">
          <cell r="AS1425" t="str">
            <v/>
          </cell>
          <cell r="AU1425" t="str">
            <v/>
          </cell>
        </row>
        <row r="1426">
          <cell r="AS1426" t="str">
            <v/>
          </cell>
          <cell r="AU1426" t="str">
            <v/>
          </cell>
        </row>
        <row r="1427">
          <cell r="AS1427" t="str">
            <v/>
          </cell>
          <cell r="AU1427" t="str">
            <v/>
          </cell>
        </row>
        <row r="1428">
          <cell r="AS1428" t="str">
            <v/>
          </cell>
          <cell r="AU1428" t="str">
            <v/>
          </cell>
        </row>
        <row r="1429">
          <cell r="AS1429" t="str">
            <v/>
          </cell>
          <cell r="AU1429" t="str">
            <v/>
          </cell>
        </row>
        <row r="1430">
          <cell r="AS1430" t="str">
            <v/>
          </cell>
          <cell r="AU1430" t="str">
            <v/>
          </cell>
        </row>
        <row r="1431">
          <cell r="AS1431" t="str">
            <v/>
          </cell>
          <cell r="AU1431" t="str">
            <v/>
          </cell>
        </row>
        <row r="1432">
          <cell r="AS1432" t="str">
            <v/>
          </cell>
          <cell r="AU1432" t="str">
            <v/>
          </cell>
        </row>
        <row r="1433">
          <cell r="AS1433" t="str">
            <v/>
          </cell>
          <cell r="AU1433" t="str">
            <v/>
          </cell>
        </row>
        <row r="1434">
          <cell r="AS1434" t="str">
            <v/>
          </cell>
          <cell r="AU1434" t="str">
            <v/>
          </cell>
        </row>
        <row r="1435">
          <cell r="AS1435" t="str">
            <v/>
          </cell>
          <cell r="AU1435" t="str">
            <v/>
          </cell>
        </row>
        <row r="1436">
          <cell r="AS1436" t="str">
            <v/>
          </cell>
          <cell r="AU1436" t="str">
            <v/>
          </cell>
        </row>
        <row r="1437">
          <cell r="AS1437" t="str">
            <v/>
          </cell>
          <cell r="AU1437" t="str">
            <v/>
          </cell>
        </row>
        <row r="1438">
          <cell r="AS1438" t="str">
            <v/>
          </cell>
          <cell r="AU1438" t="str">
            <v/>
          </cell>
        </row>
        <row r="1439">
          <cell r="AS1439" t="str">
            <v/>
          </cell>
          <cell r="AU1439" t="str">
            <v/>
          </cell>
        </row>
        <row r="1440">
          <cell r="AS1440" t="str">
            <v/>
          </cell>
          <cell r="AU1440" t="str">
            <v/>
          </cell>
        </row>
        <row r="1441">
          <cell r="AS1441" t="str">
            <v/>
          </cell>
          <cell r="AU1441" t="str">
            <v/>
          </cell>
        </row>
        <row r="1442">
          <cell r="AS1442" t="str">
            <v/>
          </cell>
          <cell r="AU1442" t="str">
            <v/>
          </cell>
        </row>
        <row r="1443">
          <cell r="AS1443" t="str">
            <v/>
          </cell>
          <cell r="AU1443" t="str">
            <v/>
          </cell>
        </row>
        <row r="1444">
          <cell r="AS1444" t="str">
            <v/>
          </cell>
          <cell r="AU1444" t="str">
            <v/>
          </cell>
        </row>
        <row r="1445">
          <cell r="AS1445" t="str">
            <v/>
          </cell>
          <cell r="AU1445" t="str">
            <v/>
          </cell>
        </row>
        <row r="1446">
          <cell r="AS1446" t="str">
            <v/>
          </cell>
          <cell r="AU1446" t="str">
            <v/>
          </cell>
        </row>
        <row r="1447">
          <cell r="AS1447" t="str">
            <v/>
          </cell>
          <cell r="AU1447" t="str">
            <v/>
          </cell>
        </row>
        <row r="1448">
          <cell r="AS1448" t="str">
            <v/>
          </cell>
          <cell r="AU1448" t="str">
            <v/>
          </cell>
        </row>
        <row r="1449">
          <cell r="AS1449" t="str">
            <v/>
          </cell>
          <cell r="AU1449" t="str">
            <v/>
          </cell>
        </row>
        <row r="1450">
          <cell r="AS1450" t="str">
            <v/>
          </cell>
          <cell r="AU1450" t="str">
            <v/>
          </cell>
        </row>
        <row r="1451">
          <cell r="AS1451" t="str">
            <v/>
          </cell>
          <cell r="AU1451" t="str">
            <v/>
          </cell>
        </row>
        <row r="1452">
          <cell r="AS1452" t="str">
            <v/>
          </cell>
          <cell r="AU1452" t="str">
            <v/>
          </cell>
        </row>
        <row r="1453">
          <cell r="AS1453" t="str">
            <v/>
          </cell>
          <cell r="AU1453" t="str">
            <v/>
          </cell>
        </row>
        <row r="1454">
          <cell r="AS1454" t="str">
            <v/>
          </cell>
          <cell r="AU1454" t="str">
            <v/>
          </cell>
        </row>
        <row r="1455">
          <cell r="AS1455" t="str">
            <v/>
          </cell>
          <cell r="AU1455" t="str">
            <v/>
          </cell>
        </row>
        <row r="1456">
          <cell r="AS1456" t="str">
            <v/>
          </cell>
          <cell r="AU1456" t="str">
            <v/>
          </cell>
        </row>
        <row r="1457">
          <cell r="AS1457" t="str">
            <v/>
          </cell>
          <cell r="AU1457" t="str">
            <v/>
          </cell>
        </row>
        <row r="1458">
          <cell r="AS1458" t="str">
            <v/>
          </cell>
          <cell r="AU1458" t="str">
            <v/>
          </cell>
        </row>
        <row r="1459">
          <cell r="AS1459" t="str">
            <v/>
          </cell>
          <cell r="AU1459" t="str">
            <v/>
          </cell>
        </row>
        <row r="1460">
          <cell r="AS1460" t="str">
            <v/>
          </cell>
          <cell r="AU1460" t="str">
            <v/>
          </cell>
        </row>
        <row r="1461">
          <cell r="AS1461" t="str">
            <v/>
          </cell>
          <cell r="AU1461" t="str">
            <v/>
          </cell>
        </row>
        <row r="1462">
          <cell r="AS1462" t="str">
            <v/>
          </cell>
          <cell r="AU1462" t="str">
            <v/>
          </cell>
        </row>
        <row r="1463">
          <cell r="AS1463" t="str">
            <v/>
          </cell>
          <cell r="AU1463" t="str">
            <v/>
          </cell>
        </row>
        <row r="1464">
          <cell r="AS1464" t="str">
            <v/>
          </cell>
          <cell r="AU1464" t="str">
            <v/>
          </cell>
        </row>
        <row r="1465">
          <cell r="AS1465" t="str">
            <v/>
          </cell>
          <cell r="AU1465" t="str">
            <v/>
          </cell>
        </row>
        <row r="1466">
          <cell r="AU1466" t="str">
            <v/>
          </cell>
        </row>
        <row r="1467">
          <cell r="AU1467" t="str">
            <v/>
          </cell>
        </row>
        <row r="1468">
          <cell r="AU1468" t="str">
            <v/>
          </cell>
        </row>
        <row r="1469">
          <cell r="AU1469" t="str">
            <v/>
          </cell>
        </row>
        <row r="1470">
          <cell r="AU1470" t="str">
            <v/>
          </cell>
        </row>
        <row r="1471">
          <cell r="AU1471" t="str">
            <v/>
          </cell>
        </row>
        <row r="1472">
          <cell r="AU1472" t="str">
            <v/>
          </cell>
        </row>
        <row r="1473">
          <cell r="AU1473" t="str">
            <v/>
          </cell>
        </row>
        <row r="1474">
          <cell r="AU1474" t="str">
            <v/>
          </cell>
        </row>
        <row r="1475">
          <cell r="AU1475" t="str">
            <v/>
          </cell>
        </row>
        <row r="1476">
          <cell r="AU1476" t="str">
            <v/>
          </cell>
        </row>
        <row r="1477">
          <cell r="AU1477" t="str">
            <v/>
          </cell>
        </row>
        <row r="1478">
          <cell r="AU1478" t="str">
            <v/>
          </cell>
        </row>
        <row r="1479">
          <cell r="AU1479" t="str">
            <v/>
          </cell>
        </row>
        <row r="1480">
          <cell r="AU1480" t="str">
            <v/>
          </cell>
        </row>
        <row r="1481">
          <cell r="AU1481" t="str">
            <v/>
          </cell>
        </row>
        <row r="1482">
          <cell r="AU1482" t="str">
            <v/>
          </cell>
        </row>
        <row r="1483">
          <cell r="AU1483" t="str">
            <v/>
          </cell>
        </row>
        <row r="1484">
          <cell r="AU1484" t="str">
            <v/>
          </cell>
        </row>
        <row r="1485">
          <cell r="AU1485" t="str">
            <v/>
          </cell>
        </row>
        <row r="1486">
          <cell r="AU1486" t="str">
            <v/>
          </cell>
        </row>
        <row r="1487">
          <cell r="AU1487" t="str">
            <v/>
          </cell>
        </row>
        <row r="1488">
          <cell r="AU1488" t="str">
            <v/>
          </cell>
        </row>
        <row r="1489">
          <cell r="AU1489" t="str">
            <v/>
          </cell>
        </row>
        <row r="1490">
          <cell r="AU1490" t="str">
            <v/>
          </cell>
        </row>
        <row r="1491">
          <cell r="AU1491" t="str">
            <v/>
          </cell>
        </row>
        <row r="1492">
          <cell r="AU1492" t="str">
            <v/>
          </cell>
        </row>
        <row r="1493">
          <cell r="AU1493" t="str">
            <v/>
          </cell>
        </row>
        <row r="1494">
          <cell r="AU1494" t="str">
            <v/>
          </cell>
        </row>
        <row r="1495">
          <cell r="AU1495" t="str">
            <v/>
          </cell>
        </row>
        <row r="1496">
          <cell r="AU1496" t="str">
            <v/>
          </cell>
        </row>
        <row r="1497">
          <cell r="AU1497" t="str">
            <v/>
          </cell>
        </row>
        <row r="1498">
          <cell r="AU1498" t="str">
            <v/>
          </cell>
        </row>
        <row r="1499">
          <cell r="AU1499" t="str">
            <v/>
          </cell>
        </row>
        <row r="1500">
          <cell r="AU1500" t="str">
            <v/>
          </cell>
        </row>
        <row r="1501">
          <cell r="AU1501" t="str">
            <v/>
          </cell>
        </row>
        <row r="1502">
          <cell r="AU1502" t="str">
            <v/>
          </cell>
        </row>
        <row r="1503">
          <cell r="AU1503" t="str">
            <v/>
          </cell>
        </row>
        <row r="1504">
          <cell r="AU1504" t="str">
            <v/>
          </cell>
        </row>
        <row r="1505">
          <cell r="AU1505" t="str">
            <v/>
          </cell>
        </row>
        <row r="1506">
          <cell r="AU1506" t="str">
            <v/>
          </cell>
        </row>
        <row r="1507">
          <cell r="AU1507" t="str">
            <v/>
          </cell>
        </row>
        <row r="1508">
          <cell r="AU1508" t="str">
            <v/>
          </cell>
        </row>
        <row r="1509">
          <cell r="AU1509" t="str">
            <v/>
          </cell>
        </row>
        <row r="1510">
          <cell r="AU1510" t="str">
            <v/>
          </cell>
        </row>
        <row r="1511">
          <cell r="AU1511" t="str">
            <v/>
          </cell>
        </row>
        <row r="1512">
          <cell r="AU1512" t="str">
            <v/>
          </cell>
        </row>
        <row r="1513">
          <cell r="AU1513" t="str">
            <v/>
          </cell>
        </row>
        <row r="1514">
          <cell r="AU1514" t="str">
            <v/>
          </cell>
        </row>
        <row r="1515">
          <cell r="AU1515" t="str">
            <v/>
          </cell>
        </row>
        <row r="1516">
          <cell r="AU1516" t="str">
            <v/>
          </cell>
        </row>
        <row r="1517">
          <cell r="AU1517" t="str">
            <v/>
          </cell>
        </row>
        <row r="1518">
          <cell r="AU1518" t="str">
            <v/>
          </cell>
        </row>
        <row r="1519">
          <cell r="AU1519" t="str">
            <v/>
          </cell>
        </row>
        <row r="1520">
          <cell r="AU1520" t="str">
            <v/>
          </cell>
        </row>
        <row r="1521">
          <cell r="AU1521" t="str">
            <v/>
          </cell>
        </row>
        <row r="1522">
          <cell r="AU1522" t="str">
            <v/>
          </cell>
        </row>
        <row r="1523">
          <cell r="AU1523" t="str">
            <v/>
          </cell>
        </row>
        <row r="1524">
          <cell r="AU1524" t="str">
            <v/>
          </cell>
        </row>
        <row r="1525">
          <cell r="AU1525" t="str">
            <v/>
          </cell>
        </row>
        <row r="1526">
          <cell r="AU1526" t="str">
            <v/>
          </cell>
        </row>
        <row r="1527">
          <cell r="AU1527" t="str">
            <v/>
          </cell>
        </row>
        <row r="1528">
          <cell r="AU1528" t="str">
            <v/>
          </cell>
        </row>
        <row r="1529">
          <cell r="AU1529" t="str">
            <v/>
          </cell>
        </row>
        <row r="1530">
          <cell r="AU1530" t="str">
            <v/>
          </cell>
        </row>
        <row r="1531">
          <cell r="AU1531" t="str">
            <v/>
          </cell>
        </row>
        <row r="1532">
          <cell r="AU1532" t="str">
            <v/>
          </cell>
        </row>
        <row r="1533">
          <cell r="AU1533" t="str">
            <v/>
          </cell>
        </row>
        <row r="1534">
          <cell r="AU1534" t="str">
            <v/>
          </cell>
        </row>
        <row r="1535">
          <cell r="AU1535" t="str">
            <v/>
          </cell>
        </row>
        <row r="1536">
          <cell r="AU1536" t="str">
            <v/>
          </cell>
        </row>
        <row r="1537">
          <cell r="AU1537" t="str">
            <v/>
          </cell>
        </row>
        <row r="1538">
          <cell r="AU1538" t="str">
            <v/>
          </cell>
        </row>
        <row r="1539">
          <cell r="AU1539" t="str">
            <v/>
          </cell>
        </row>
        <row r="1540">
          <cell r="AU1540" t="str">
            <v/>
          </cell>
        </row>
        <row r="1541">
          <cell r="AU1541" t="str">
            <v/>
          </cell>
        </row>
        <row r="1542">
          <cell r="AU1542" t="str">
            <v/>
          </cell>
        </row>
        <row r="1543">
          <cell r="AU1543" t="str">
            <v/>
          </cell>
        </row>
        <row r="1544">
          <cell r="AU1544" t="str">
            <v/>
          </cell>
        </row>
        <row r="1545">
          <cell r="AU1545" t="str">
            <v/>
          </cell>
        </row>
        <row r="1546">
          <cell r="AU1546" t="str">
            <v/>
          </cell>
        </row>
        <row r="1547">
          <cell r="AU1547" t="str">
            <v/>
          </cell>
        </row>
        <row r="1548">
          <cell r="AU1548" t="str">
            <v/>
          </cell>
        </row>
        <row r="1549">
          <cell r="AU1549" t="str">
            <v/>
          </cell>
        </row>
        <row r="1550">
          <cell r="AU1550" t="str">
            <v/>
          </cell>
        </row>
        <row r="1551">
          <cell r="AU1551" t="str">
            <v/>
          </cell>
        </row>
        <row r="1552">
          <cell r="AU1552" t="str">
            <v/>
          </cell>
        </row>
        <row r="1553">
          <cell r="AU1553" t="str">
            <v/>
          </cell>
        </row>
        <row r="1554">
          <cell r="AU1554" t="str">
            <v/>
          </cell>
        </row>
        <row r="1555">
          <cell r="AU1555" t="str">
            <v/>
          </cell>
        </row>
        <row r="1556">
          <cell r="AU1556" t="str">
            <v/>
          </cell>
        </row>
        <row r="1557">
          <cell r="AU1557" t="str">
            <v/>
          </cell>
        </row>
        <row r="1558">
          <cell r="AU1558" t="str">
            <v/>
          </cell>
        </row>
        <row r="1559">
          <cell r="AU1559" t="str">
            <v/>
          </cell>
        </row>
        <row r="1560">
          <cell r="AU1560" t="str">
            <v/>
          </cell>
        </row>
        <row r="1561">
          <cell r="AU1561" t="str">
            <v/>
          </cell>
        </row>
        <row r="1562">
          <cell r="AU1562" t="str">
            <v/>
          </cell>
        </row>
        <row r="1563">
          <cell r="AU1563" t="str">
            <v/>
          </cell>
        </row>
        <row r="1564">
          <cell r="AU1564" t="str">
            <v/>
          </cell>
        </row>
        <row r="1565">
          <cell r="AU1565" t="str">
            <v/>
          </cell>
        </row>
        <row r="1566">
          <cell r="AU1566" t="str">
            <v/>
          </cell>
        </row>
        <row r="1567">
          <cell r="AU1567" t="str">
            <v/>
          </cell>
        </row>
        <row r="1568">
          <cell r="AU1568" t="str">
            <v/>
          </cell>
        </row>
        <row r="1569">
          <cell r="AU1569" t="str">
            <v/>
          </cell>
        </row>
        <row r="1570">
          <cell r="AU1570" t="str">
            <v/>
          </cell>
        </row>
        <row r="1571">
          <cell r="AU1571" t="str">
            <v/>
          </cell>
        </row>
        <row r="1572">
          <cell r="AU1572" t="str">
            <v/>
          </cell>
        </row>
        <row r="1573">
          <cell r="AU1573" t="str">
            <v/>
          </cell>
        </row>
        <row r="1574">
          <cell r="AU1574" t="str">
            <v/>
          </cell>
        </row>
        <row r="1575">
          <cell r="AU1575" t="str">
            <v/>
          </cell>
        </row>
        <row r="1576">
          <cell r="AU1576" t="str">
            <v/>
          </cell>
        </row>
        <row r="1577">
          <cell r="AU1577" t="str">
            <v/>
          </cell>
        </row>
        <row r="1578">
          <cell r="AU1578" t="str">
            <v/>
          </cell>
        </row>
        <row r="1579">
          <cell r="AU1579" t="str">
            <v/>
          </cell>
        </row>
        <row r="1580">
          <cell r="AU1580" t="str">
            <v/>
          </cell>
        </row>
        <row r="1581">
          <cell r="AU1581" t="str">
            <v/>
          </cell>
        </row>
        <row r="1582">
          <cell r="AU1582" t="str">
            <v/>
          </cell>
        </row>
        <row r="1583">
          <cell r="AU1583" t="str">
            <v/>
          </cell>
        </row>
        <row r="1584">
          <cell r="AU1584" t="str">
            <v/>
          </cell>
        </row>
        <row r="1585">
          <cell r="AU1585" t="str">
            <v/>
          </cell>
        </row>
        <row r="1586">
          <cell r="AU1586" t="str">
            <v/>
          </cell>
        </row>
        <row r="1587">
          <cell r="AU1587" t="str">
            <v/>
          </cell>
        </row>
        <row r="1588">
          <cell r="AU1588" t="str">
            <v/>
          </cell>
        </row>
        <row r="1589">
          <cell r="AU1589" t="str">
            <v/>
          </cell>
        </row>
        <row r="1590">
          <cell r="AU1590" t="str">
            <v/>
          </cell>
        </row>
        <row r="1591">
          <cell r="AU1591" t="str">
            <v/>
          </cell>
        </row>
        <row r="1592">
          <cell r="AU1592" t="str">
            <v/>
          </cell>
        </row>
        <row r="1593">
          <cell r="AU1593" t="str">
            <v/>
          </cell>
        </row>
        <row r="1594">
          <cell r="AU1594" t="str">
            <v/>
          </cell>
        </row>
        <row r="1595">
          <cell r="AU1595" t="str">
            <v/>
          </cell>
        </row>
        <row r="1596">
          <cell r="AU1596" t="str">
            <v/>
          </cell>
        </row>
        <row r="1597">
          <cell r="AU1597" t="str">
            <v/>
          </cell>
        </row>
        <row r="1598">
          <cell r="AU1598" t="str">
            <v/>
          </cell>
        </row>
        <row r="1599">
          <cell r="AU1599" t="str">
            <v/>
          </cell>
        </row>
        <row r="1600">
          <cell r="AU1600" t="str">
            <v/>
          </cell>
        </row>
        <row r="1601">
          <cell r="AU1601" t="str">
            <v/>
          </cell>
        </row>
        <row r="1602">
          <cell r="AU1602" t="str">
            <v/>
          </cell>
        </row>
        <row r="1603">
          <cell r="AU1603" t="str">
            <v/>
          </cell>
        </row>
        <row r="1604">
          <cell r="AU1604" t="str">
            <v/>
          </cell>
        </row>
        <row r="1605">
          <cell r="AU1605" t="str">
            <v/>
          </cell>
        </row>
        <row r="1606">
          <cell r="AU1606" t="str">
            <v/>
          </cell>
        </row>
        <row r="1607">
          <cell r="AU1607" t="str">
            <v/>
          </cell>
        </row>
        <row r="1608">
          <cell r="AU1608" t="str">
            <v/>
          </cell>
        </row>
        <row r="1609">
          <cell r="AU1609" t="str">
            <v/>
          </cell>
        </row>
        <row r="1610">
          <cell r="AU1610" t="str">
            <v/>
          </cell>
        </row>
        <row r="1611">
          <cell r="AU1611" t="str">
            <v/>
          </cell>
        </row>
        <row r="1612">
          <cell r="AU1612" t="str">
            <v/>
          </cell>
        </row>
        <row r="1613">
          <cell r="AU1613" t="str">
            <v/>
          </cell>
        </row>
        <row r="1614">
          <cell r="AU1614" t="str">
            <v/>
          </cell>
        </row>
        <row r="1615">
          <cell r="AU1615" t="str">
            <v/>
          </cell>
        </row>
        <row r="1616">
          <cell r="AU1616" t="str">
            <v/>
          </cell>
        </row>
        <row r="1617">
          <cell r="AU1617" t="str">
            <v/>
          </cell>
        </row>
        <row r="1618">
          <cell r="AU1618" t="str">
            <v/>
          </cell>
        </row>
        <row r="1619">
          <cell r="AU1619" t="str">
            <v/>
          </cell>
        </row>
        <row r="1620">
          <cell r="AU1620" t="str">
            <v/>
          </cell>
        </row>
        <row r="1621">
          <cell r="AU1621" t="str">
            <v/>
          </cell>
        </row>
        <row r="1622">
          <cell r="AU1622" t="str">
            <v/>
          </cell>
        </row>
        <row r="1623">
          <cell r="AU1623" t="str">
            <v/>
          </cell>
        </row>
        <row r="1624">
          <cell r="AU1624" t="str">
            <v/>
          </cell>
        </row>
        <row r="1625">
          <cell r="AU1625" t="str">
            <v/>
          </cell>
        </row>
        <row r="1626">
          <cell r="AU1626" t="str">
            <v/>
          </cell>
        </row>
        <row r="1627">
          <cell r="AU1627" t="str">
            <v/>
          </cell>
        </row>
        <row r="1628">
          <cell r="AU1628" t="str">
            <v/>
          </cell>
        </row>
        <row r="1629">
          <cell r="AU1629" t="str">
            <v/>
          </cell>
        </row>
        <row r="1630">
          <cell r="AU1630" t="str">
            <v/>
          </cell>
        </row>
        <row r="1631">
          <cell r="AU1631" t="str">
            <v/>
          </cell>
        </row>
        <row r="1632">
          <cell r="AU1632" t="str">
            <v/>
          </cell>
        </row>
        <row r="1633">
          <cell r="AU1633" t="str">
            <v/>
          </cell>
        </row>
        <row r="1634">
          <cell r="AU1634" t="str">
            <v/>
          </cell>
        </row>
        <row r="1635">
          <cell r="AU1635" t="str">
            <v/>
          </cell>
        </row>
        <row r="1636">
          <cell r="AU1636" t="str">
            <v/>
          </cell>
        </row>
        <row r="1637">
          <cell r="AU1637" t="str">
            <v/>
          </cell>
        </row>
        <row r="1638">
          <cell r="AU1638" t="str">
            <v/>
          </cell>
        </row>
        <row r="1639">
          <cell r="AU1639" t="str">
            <v/>
          </cell>
        </row>
        <row r="1640">
          <cell r="AU1640" t="str">
            <v/>
          </cell>
        </row>
        <row r="1641">
          <cell r="AU1641" t="str">
            <v/>
          </cell>
        </row>
        <row r="1642">
          <cell r="AU1642" t="str">
            <v/>
          </cell>
        </row>
        <row r="1643">
          <cell r="AU1643" t="str">
            <v/>
          </cell>
        </row>
        <row r="1644">
          <cell r="AU1644" t="str">
            <v/>
          </cell>
        </row>
        <row r="1645">
          <cell r="AU1645" t="str">
            <v/>
          </cell>
        </row>
        <row r="1646">
          <cell r="AU1646" t="str">
            <v/>
          </cell>
        </row>
        <row r="1647">
          <cell r="AU1647" t="str">
            <v/>
          </cell>
        </row>
        <row r="1648">
          <cell r="AU1648" t="str">
            <v/>
          </cell>
        </row>
        <row r="1649">
          <cell r="AU1649" t="str">
            <v/>
          </cell>
        </row>
        <row r="1650">
          <cell r="AU1650" t="str">
            <v/>
          </cell>
        </row>
        <row r="1651">
          <cell r="AU1651" t="str">
            <v/>
          </cell>
        </row>
        <row r="1652">
          <cell r="AU1652" t="str">
            <v/>
          </cell>
        </row>
        <row r="1653">
          <cell r="AU1653" t="str">
            <v/>
          </cell>
        </row>
        <row r="1654">
          <cell r="AU1654" t="str">
            <v/>
          </cell>
        </row>
        <row r="1655">
          <cell r="AU1655" t="str">
            <v/>
          </cell>
        </row>
        <row r="1656">
          <cell r="AU1656" t="str">
            <v/>
          </cell>
        </row>
        <row r="1657">
          <cell r="AU1657" t="str">
            <v/>
          </cell>
        </row>
        <row r="1658">
          <cell r="AU1658" t="str">
            <v/>
          </cell>
        </row>
        <row r="1659">
          <cell r="AU1659" t="str">
            <v/>
          </cell>
        </row>
        <row r="1660">
          <cell r="AU1660" t="str">
            <v/>
          </cell>
        </row>
        <row r="1661">
          <cell r="AU1661" t="str">
            <v/>
          </cell>
        </row>
        <row r="1662">
          <cell r="AU1662" t="str">
            <v/>
          </cell>
        </row>
        <row r="1663">
          <cell r="AU1663" t="str">
            <v/>
          </cell>
        </row>
        <row r="1664">
          <cell r="AU1664" t="str">
            <v/>
          </cell>
        </row>
        <row r="1665">
          <cell r="AU1665" t="str">
            <v/>
          </cell>
        </row>
        <row r="1666">
          <cell r="AU1666" t="str">
            <v/>
          </cell>
        </row>
        <row r="1667">
          <cell r="AU1667" t="str">
            <v/>
          </cell>
        </row>
        <row r="1668">
          <cell r="AU1668" t="str">
            <v/>
          </cell>
        </row>
        <row r="1669">
          <cell r="AU1669" t="str">
            <v/>
          </cell>
        </row>
        <row r="1670">
          <cell r="AU1670" t="str">
            <v/>
          </cell>
        </row>
        <row r="1671">
          <cell r="AU1671" t="str">
            <v/>
          </cell>
        </row>
        <row r="1672">
          <cell r="AU1672" t="str">
            <v/>
          </cell>
        </row>
        <row r="1673">
          <cell r="AU1673" t="str">
            <v/>
          </cell>
        </row>
        <row r="1674">
          <cell r="AU1674" t="str">
            <v/>
          </cell>
        </row>
        <row r="1675">
          <cell r="AU1675" t="str">
            <v/>
          </cell>
        </row>
        <row r="1676">
          <cell r="AU1676" t="str">
            <v/>
          </cell>
        </row>
        <row r="1677">
          <cell r="AU1677" t="str">
            <v/>
          </cell>
        </row>
        <row r="1678">
          <cell r="AU1678" t="str">
            <v/>
          </cell>
        </row>
        <row r="1679">
          <cell r="AU1679" t="str">
            <v/>
          </cell>
        </row>
        <row r="1680">
          <cell r="AU1680" t="str">
            <v/>
          </cell>
        </row>
        <row r="1681">
          <cell r="AU1681" t="str">
            <v/>
          </cell>
        </row>
        <row r="1682">
          <cell r="AU1682" t="str">
            <v/>
          </cell>
        </row>
        <row r="1683">
          <cell r="AU1683" t="str">
            <v/>
          </cell>
        </row>
        <row r="1684">
          <cell r="AU1684" t="str">
            <v/>
          </cell>
        </row>
        <row r="1685">
          <cell r="AU1685" t="str">
            <v/>
          </cell>
        </row>
        <row r="1686">
          <cell r="AU1686" t="str">
            <v/>
          </cell>
        </row>
        <row r="1687">
          <cell r="AU1687" t="str">
            <v/>
          </cell>
        </row>
        <row r="1688">
          <cell r="AU1688" t="str">
            <v/>
          </cell>
        </row>
        <row r="1689">
          <cell r="AU1689" t="str">
            <v/>
          </cell>
        </row>
        <row r="1690">
          <cell r="AU1690" t="str">
            <v/>
          </cell>
        </row>
        <row r="1691">
          <cell r="AU1691" t="str">
            <v/>
          </cell>
        </row>
        <row r="1692">
          <cell r="AU1692" t="str">
            <v/>
          </cell>
        </row>
        <row r="1693">
          <cell r="AU1693" t="str">
            <v/>
          </cell>
        </row>
        <row r="1694">
          <cell r="AU1694" t="str">
            <v/>
          </cell>
        </row>
        <row r="1695">
          <cell r="AU1695" t="str">
            <v/>
          </cell>
        </row>
        <row r="1696">
          <cell r="AU1696" t="str">
            <v/>
          </cell>
        </row>
        <row r="1697">
          <cell r="AU1697" t="str">
            <v/>
          </cell>
        </row>
        <row r="1698">
          <cell r="AU1698" t="str">
            <v/>
          </cell>
        </row>
        <row r="1699">
          <cell r="AU1699" t="str">
            <v/>
          </cell>
        </row>
        <row r="1700">
          <cell r="AU1700" t="str">
            <v/>
          </cell>
        </row>
        <row r="1701">
          <cell r="AU1701" t="str">
            <v/>
          </cell>
        </row>
        <row r="1702">
          <cell r="AU1702" t="str">
            <v/>
          </cell>
        </row>
        <row r="1703">
          <cell r="AU1703" t="str">
            <v/>
          </cell>
        </row>
        <row r="1704">
          <cell r="AU1704" t="str">
            <v/>
          </cell>
        </row>
        <row r="1705">
          <cell r="AU1705" t="str">
            <v/>
          </cell>
        </row>
        <row r="1706">
          <cell r="AU1706" t="str">
            <v/>
          </cell>
        </row>
        <row r="1707">
          <cell r="AU1707" t="str">
            <v/>
          </cell>
        </row>
        <row r="1708">
          <cell r="AU1708" t="str">
            <v/>
          </cell>
        </row>
        <row r="1709">
          <cell r="AU1709" t="str">
            <v/>
          </cell>
        </row>
        <row r="1710">
          <cell r="AU1710" t="str">
            <v/>
          </cell>
        </row>
        <row r="1711">
          <cell r="AU1711" t="str">
            <v/>
          </cell>
        </row>
        <row r="1712">
          <cell r="AU1712" t="str">
            <v/>
          </cell>
        </row>
        <row r="1713">
          <cell r="AU1713" t="str">
            <v/>
          </cell>
        </row>
        <row r="1714">
          <cell r="AU1714" t="str">
            <v/>
          </cell>
        </row>
        <row r="1715">
          <cell r="AU1715" t="str">
            <v/>
          </cell>
        </row>
        <row r="1716">
          <cell r="AU1716" t="str">
            <v/>
          </cell>
        </row>
        <row r="1717">
          <cell r="AU1717" t="str">
            <v/>
          </cell>
        </row>
        <row r="1718">
          <cell r="AU1718" t="str">
            <v/>
          </cell>
        </row>
        <row r="1719">
          <cell r="AU1719" t="str">
            <v/>
          </cell>
        </row>
        <row r="1720">
          <cell r="AU1720" t="str">
            <v/>
          </cell>
        </row>
        <row r="1721">
          <cell r="AU1721" t="str">
            <v/>
          </cell>
        </row>
        <row r="1722">
          <cell r="AU1722" t="str">
            <v/>
          </cell>
        </row>
        <row r="1723">
          <cell r="AU1723" t="str">
            <v/>
          </cell>
        </row>
        <row r="1724">
          <cell r="AU1724" t="str">
            <v/>
          </cell>
        </row>
        <row r="1725">
          <cell r="AU1725" t="str">
            <v/>
          </cell>
        </row>
        <row r="1726">
          <cell r="AU1726" t="str">
            <v/>
          </cell>
        </row>
        <row r="1727">
          <cell r="AU1727" t="str">
            <v/>
          </cell>
        </row>
        <row r="1728">
          <cell r="AU1728" t="str">
            <v/>
          </cell>
        </row>
        <row r="1729">
          <cell r="AU1729" t="str">
            <v/>
          </cell>
        </row>
        <row r="1730">
          <cell r="AU1730" t="str">
            <v/>
          </cell>
        </row>
        <row r="1731">
          <cell r="AU1731" t="str">
            <v/>
          </cell>
        </row>
        <row r="1732">
          <cell r="AU1732" t="str">
            <v/>
          </cell>
        </row>
        <row r="1733">
          <cell r="AU1733" t="str">
            <v/>
          </cell>
        </row>
        <row r="1734">
          <cell r="AU1734" t="str">
            <v/>
          </cell>
        </row>
        <row r="1735">
          <cell r="AU1735" t="str">
            <v/>
          </cell>
        </row>
        <row r="1736">
          <cell r="AU1736" t="str">
            <v/>
          </cell>
        </row>
        <row r="1737">
          <cell r="AU1737" t="str">
            <v/>
          </cell>
        </row>
        <row r="1738">
          <cell r="AU1738" t="str">
            <v/>
          </cell>
        </row>
        <row r="1739">
          <cell r="AU1739" t="str">
            <v/>
          </cell>
        </row>
        <row r="1740">
          <cell r="AU1740" t="str">
            <v/>
          </cell>
        </row>
        <row r="1741">
          <cell r="AU1741" t="str">
            <v/>
          </cell>
        </row>
        <row r="1742">
          <cell r="AU1742" t="str">
            <v/>
          </cell>
        </row>
        <row r="1743">
          <cell r="AU1743" t="str">
            <v/>
          </cell>
        </row>
        <row r="1744">
          <cell r="AU1744" t="str">
            <v/>
          </cell>
        </row>
        <row r="1745">
          <cell r="AU1745" t="str">
            <v/>
          </cell>
        </row>
        <row r="1746">
          <cell r="AU1746" t="str">
            <v/>
          </cell>
        </row>
        <row r="1747">
          <cell r="AU1747" t="str">
            <v/>
          </cell>
        </row>
        <row r="1748">
          <cell r="AU1748" t="str">
            <v/>
          </cell>
        </row>
        <row r="1749">
          <cell r="AU1749" t="str">
            <v/>
          </cell>
        </row>
        <row r="1750">
          <cell r="AU1750" t="str">
            <v/>
          </cell>
        </row>
        <row r="1751">
          <cell r="AU1751" t="str">
            <v/>
          </cell>
        </row>
        <row r="1752">
          <cell r="AU1752" t="str">
            <v/>
          </cell>
        </row>
        <row r="1753">
          <cell r="AU1753" t="str">
            <v/>
          </cell>
        </row>
        <row r="1754">
          <cell r="AU1754" t="str">
            <v/>
          </cell>
        </row>
        <row r="1755">
          <cell r="AU1755" t="str">
            <v/>
          </cell>
        </row>
        <row r="1756">
          <cell r="AU1756" t="str">
            <v/>
          </cell>
        </row>
        <row r="1757">
          <cell r="AU1757" t="str">
            <v/>
          </cell>
        </row>
        <row r="1758">
          <cell r="AU1758" t="str">
            <v/>
          </cell>
        </row>
        <row r="1759">
          <cell r="AU1759" t="str">
            <v/>
          </cell>
        </row>
        <row r="1760">
          <cell r="AU1760" t="str">
            <v/>
          </cell>
        </row>
        <row r="1761">
          <cell r="AU1761" t="str">
            <v/>
          </cell>
        </row>
        <row r="1762">
          <cell r="AU1762" t="str">
            <v/>
          </cell>
        </row>
        <row r="1763">
          <cell r="AU1763" t="str">
            <v/>
          </cell>
        </row>
        <row r="1764">
          <cell r="AU1764" t="str">
            <v/>
          </cell>
        </row>
        <row r="1765">
          <cell r="AU1765" t="str">
            <v/>
          </cell>
        </row>
        <row r="1766">
          <cell r="AU1766" t="str">
            <v/>
          </cell>
        </row>
        <row r="1767">
          <cell r="AU1767" t="str">
            <v/>
          </cell>
        </row>
        <row r="1768">
          <cell r="AU1768" t="str">
            <v/>
          </cell>
        </row>
        <row r="1769">
          <cell r="AU1769" t="str">
            <v/>
          </cell>
        </row>
        <row r="1770">
          <cell r="AU1770" t="str">
            <v/>
          </cell>
        </row>
        <row r="1771">
          <cell r="AU1771" t="str">
            <v/>
          </cell>
        </row>
        <row r="1772">
          <cell r="AU1772" t="str">
            <v/>
          </cell>
        </row>
        <row r="1773">
          <cell r="AU1773" t="str">
            <v/>
          </cell>
        </row>
        <row r="1774">
          <cell r="AU1774" t="str">
            <v/>
          </cell>
        </row>
        <row r="1775">
          <cell r="AU1775" t="str">
            <v/>
          </cell>
        </row>
        <row r="1776">
          <cell r="AU1776" t="str">
            <v/>
          </cell>
        </row>
        <row r="1777">
          <cell r="AU1777" t="str">
            <v/>
          </cell>
        </row>
        <row r="1778">
          <cell r="AU1778" t="str">
            <v/>
          </cell>
        </row>
        <row r="1779">
          <cell r="AU1779" t="str">
            <v/>
          </cell>
        </row>
        <row r="1780">
          <cell r="AU1780" t="str">
            <v/>
          </cell>
        </row>
        <row r="1781">
          <cell r="AU1781" t="str">
            <v/>
          </cell>
        </row>
        <row r="1782">
          <cell r="AU1782" t="str">
            <v/>
          </cell>
        </row>
        <row r="1783">
          <cell r="AU1783" t="str">
            <v/>
          </cell>
        </row>
        <row r="1784">
          <cell r="AU1784" t="str">
            <v/>
          </cell>
        </row>
        <row r="1785">
          <cell r="AU1785" t="str">
            <v/>
          </cell>
        </row>
        <row r="1786">
          <cell r="AU1786" t="str">
            <v/>
          </cell>
        </row>
        <row r="1787">
          <cell r="AU1787" t="str">
            <v/>
          </cell>
        </row>
        <row r="1788">
          <cell r="AU1788" t="str">
            <v/>
          </cell>
        </row>
        <row r="1789">
          <cell r="AU1789" t="str">
            <v/>
          </cell>
        </row>
        <row r="1790">
          <cell r="AU1790" t="str">
            <v/>
          </cell>
        </row>
        <row r="1791">
          <cell r="AU1791" t="str">
            <v/>
          </cell>
        </row>
        <row r="1792">
          <cell r="AU1792" t="str">
            <v/>
          </cell>
        </row>
        <row r="1793">
          <cell r="AU1793" t="str">
            <v/>
          </cell>
        </row>
        <row r="1794">
          <cell r="AU1794" t="str">
            <v/>
          </cell>
        </row>
        <row r="1795">
          <cell r="AU1795" t="str">
            <v/>
          </cell>
        </row>
        <row r="1796">
          <cell r="AU1796" t="str">
            <v/>
          </cell>
        </row>
        <row r="1797">
          <cell r="AU1797" t="str">
            <v/>
          </cell>
        </row>
        <row r="1798">
          <cell r="AU1798" t="str">
            <v/>
          </cell>
        </row>
        <row r="1799">
          <cell r="AU1799" t="str">
            <v/>
          </cell>
        </row>
        <row r="1800">
          <cell r="AU1800" t="str">
            <v/>
          </cell>
        </row>
        <row r="1801">
          <cell r="AU1801" t="str">
            <v/>
          </cell>
        </row>
        <row r="1802">
          <cell r="AU1802" t="str">
            <v/>
          </cell>
        </row>
        <row r="1803">
          <cell r="AU1803" t="str">
            <v/>
          </cell>
        </row>
        <row r="1804">
          <cell r="AU1804" t="str">
            <v/>
          </cell>
        </row>
        <row r="1805">
          <cell r="AU1805" t="str">
            <v/>
          </cell>
        </row>
        <row r="1806">
          <cell r="AU1806" t="str">
            <v/>
          </cell>
        </row>
        <row r="1807">
          <cell r="AU1807" t="str">
            <v/>
          </cell>
        </row>
        <row r="1808">
          <cell r="AU1808" t="str">
            <v/>
          </cell>
        </row>
        <row r="1809">
          <cell r="AU1809" t="str">
            <v/>
          </cell>
        </row>
        <row r="1810">
          <cell r="AU1810" t="str">
            <v/>
          </cell>
        </row>
        <row r="1811">
          <cell r="AU1811" t="str">
            <v/>
          </cell>
        </row>
        <row r="1812">
          <cell r="AU1812" t="str">
            <v/>
          </cell>
        </row>
        <row r="1813">
          <cell r="AU1813" t="str">
            <v/>
          </cell>
        </row>
        <row r="1814">
          <cell r="AU1814" t="str">
            <v/>
          </cell>
        </row>
        <row r="1815">
          <cell r="AU1815" t="str">
            <v/>
          </cell>
        </row>
        <row r="1816">
          <cell r="AU1816" t="str">
            <v/>
          </cell>
        </row>
        <row r="1817">
          <cell r="AU1817" t="str">
            <v/>
          </cell>
        </row>
        <row r="1818">
          <cell r="AU1818" t="str">
            <v/>
          </cell>
        </row>
        <row r="1819">
          <cell r="AU1819" t="str">
            <v/>
          </cell>
        </row>
        <row r="1820">
          <cell r="AU1820" t="str">
            <v/>
          </cell>
        </row>
        <row r="1821">
          <cell r="AU1821" t="str">
            <v/>
          </cell>
        </row>
        <row r="1822">
          <cell r="AU1822" t="str">
            <v/>
          </cell>
        </row>
        <row r="1823">
          <cell r="AU1823" t="str">
            <v/>
          </cell>
        </row>
        <row r="1824">
          <cell r="AU1824" t="str">
            <v/>
          </cell>
        </row>
        <row r="1825">
          <cell r="AU1825" t="str">
            <v/>
          </cell>
        </row>
        <row r="1826">
          <cell r="AU1826" t="str">
            <v/>
          </cell>
        </row>
        <row r="1827">
          <cell r="AU1827" t="str">
            <v/>
          </cell>
        </row>
        <row r="1828">
          <cell r="AU1828" t="str">
            <v/>
          </cell>
        </row>
        <row r="1829">
          <cell r="AU1829" t="str">
            <v/>
          </cell>
        </row>
        <row r="1830">
          <cell r="AU1830" t="str">
            <v/>
          </cell>
        </row>
        <row r="1831">
          <cell r="AU1831" t="str">
            <v/>
          </cell>
        </row>
        <row r="1832">
          <cell r="AU1832" t="str">
            <v/>
          </cell>
        </row>
        <row r="1833">
          <cell r="AU1833" t="str">
            <v/>
          </cell>
        </row>
        <row r="1834">
          <cell r="AU1834" t="str">
            <v/>
          </cell>
        </row>
        <row r="1835">
          <cell r="AU1835" t="str">
            <v/>
          </cell>
        </row>
        <row r="1836">
          <cell r="AU1836" t="str">
            <v/>
          </cell>
        </row>
        <row r="1837">
          <cell r="AU1837" t="str">
            <v/>
          </cell>
        </row>
        <row r="1838">
          <cell r="AU1838" t="str">
            <v/>
          </cell>
        </row>
      </sheetData>
      <sheetData sheetId="7">
        <row r="6">
          <cell r="A6" t="str">
            <v>AG-353040CHS</v>
          </cell>
          <cell r="AS6">
            <v>13.727967599360678</v>
          </cell>
          <cell r="AU6">
            <v>1.9807661093815692</v>
          </cell>
        </row>
        <row r="7">
          <cell r="A7" t="str">
            <v>AG-2565-CHS</v>
          </cell>
          <cell r="AS7">
            <v>10.7840462559226</v>
          </cell>
          <cell r="AU7">
            <v>1.5559967774639469</v>
          </cell>
        </row>
        <row r="8">
          <cell r="A8" t="str">
            <v>HM-518445-41</v>
          </cell>
          <cell r="AS8">
            <v>10.159366699289404</v>
          </cell>
          <cell r="AU8">
            <v>1.465863690679843</v>
          </cell>
        </row>
        <row r="9">
          <cell r="A9" t="str">
            <v>M040000075</v>
          </cell>
          <cell r="AS9">
            <v>305.05017907571136</v>
          </cell>
          <cell r="AU9">
            <v>44.014749597900234</v>
          </cell>
        </row>
        <row r="10">
          <cell r="A10" t="str">
            <v>30207-MX</v>
          </cell>
          <cell r="AS10">
            <v>2.002913594176881</v>
          </cell>
          <cell r="AU10">
            <v>0.28899422574030231</v>
          </cell>
        </row>
        <row r="11">
          <cell r="A11" t="str">
            <v>AG-3565-CH9</v>
          </cell>
          <cell r="AS11">
            <v>14.141301912862799</v>
          </cell>
          <cell r="AU11">
            <v>2.0404048427995902</v>
          </cell>
        </row>
        <row r="12">
          <cell r="A12" t="str">
            <v>30206-MX</v>
          </cell>
          <cell r="AS12">
            <v>1.4635260485149297</v>
          </cell>
          <cell r="AU12">
            <v>0.21116766018813327</v>
          </cell>
        </row>
        <row r="13">
          <cell r="A13" t="str">
            <v>FT-205-KYYB5</v>
          </cell>
          <cell r="AS13">
            <v>4.120197898528704</v>
          </cell>
          <cell r="AU13">
            <v>0.5944906485451561</v>
          </cell>
        </row>
        <row r="14">
          <cell r="A14" t="str">
            <v>30208-MX</v>
          </cell>
          <cell r="AS14">
            <v>2.5089582548892566</v>
          </cell>
          <cell r="AU14">
            <v>0.36200984924885782</v>
          </cell>
        </row>
        <row r="15">
          <cell r="A15" t="str">
            <v>9010</v>
          </cell>
          <cell r="AS15" t="str">
            <v/>
          </cell>
          <cell r="AU15" t="str">
            <v/>
          </cell>
        </row>
        <row r="16">
          <cell r="A16" t="str">
            <v>AGHUB39FM20</v>
          </cell>
          <cell r="AS16" t="str">
            <v/>
          </cell>
          <cell r="AU16" t="str">
            <v/>
          </cell>
        </row>
        <row r="17">
          <cell r="A17" t="str">
            <v>30209-MX</v>
          </cell>
          <cell r="AS17">
            <v>2.4690127991080577</v>
          </cell>
          <cell r="AU17">
            <v>0.35624624262154592</v>
          </cell>
        </row>
        <row r="18">
          <cell r="A18" t="str">
            <v>30210-MX</v>
          </cell>
          <cell r="AS18">
            <v>2.4731815005482054</v>
          </cell>
          <cell r="AU18">
            <v>0.35684773169653172</v>
          </cell>
        </row>
        <row r="19">
          <cell r="A19" t="str">
            <v>30205-MX</v>
          </cell>
          <cell r="AS19">
            <v>1.0877063044409914</v>
          </cell>
          <cell r="AU19">
            <v>0.15694178830213174</v>
          </cell>
        </row>
        <row r="20">
          <cell r="A20" t="str">
            <v>9011</v>
          </cell>
          <cell r="AS20" t="str">
            <v/>
          </cell>
          <cell r="AU20" t="str">
            <v/>
          </cell>
        </row>
        <row r="21">
          <cell r="A21" t="str">
            <v>AG-353016CHS</v>
          </cell>
          <cell r="AS21">
            <v>10.218082804924952</v>
          </cell>
          <cell r="AU21">
            <v>1.4743356564880357</v>
          </cell>
        </row>
        <row r="22">
          <cell r="A22" t="str">
            <v>30204-MX</v>
          </cell>
          <cell r="AS22">
            <v>1.0359161130698999</v>
          </cell>
          <cell r="AU22">
            <v>0.14946914130440564</v>
          </cell>
        </row>
        <row r="23">
          <cell r="A23" t="str">
            <v>DTR3062-FM</v>
          </cell>
          <cell r="AS23">
            <v>10.82334431508267</v>
          </cell>
          <cell r="AU23">
            <v>1.5616669732292954</v>
          </cell>
        </row>
        <row r="24">
          <cell r="A24" t="str">
            <v>30212-MX</v>
          </cell>
          <cell r="AS24">
            <v>3.195936475374261</v>
          </cell>
          <cell r="AU24">
            <v>0.46113181811796611</v>
          </cell>
        </row>
        <row r="25">
          <cell r="A25" t="str">
            <v>DTR2549-FM</v>
          </cell>
          <cell r="AS25">
            <v>9.8391547928699783</v>
          </cell>
          <cell r="AU25">
            <v>1.4196613022006046</v>
          </cell>
        </row>
        <row r="26">
          <cell r="A26" t="str">
            <v>30211-MX</v>
          </cell>
          <cell r="AS26">
            <v>3.6874056235880373</v>
          </cell>
          <cell r="AU26">
            <v>0.53204438587736358</v>
          </cell>
        </row>
        <row r="27">
          <cell r="A27" t="str">
            <v>32218-MX</v>
          </cell>
          <cell r="AS27">
            <v>13.363742367377348</v>
          </cell>
          <cell r="AU27">
            <v>1.9282131738889317</v>
          </cell>
        </row>
        <row r="28">
          <cell r="A28" t="str">
            <v>S410000034</v>
          </cell>
          <cell r="AS28" t="str">
            <v/>
          </cell>
          <cell r="AU28" t="str">
            <v/>
          </cell>
        </row>
        <row r="29">
          <cell r="A29" t="str">
            <v>12025-P</v>
          </cell>
          <cell r="AS29">
            <v>6.6703375540517662</v>
          </cell>
          <cell r="AU29">
            <v>0.96244243509259175</v>
          </cell>
        </row>
        <row r="30">
          <cell r="A30" t="str">
            <v>AG-04.038.1</v>
          </cell>
          <cell r="AS30">
            <v>8.9633577681139638</v>
          </cell>
          <cell r="AU30">
            <v>1.2932952503594921</v>
          </cell>
        </row>
        <row r="31">
          <cell r="A31" t="str">
            <v>LS06-2RST</v>
          </cell>
          <cell r="AS31" t="str">
            <v/>
          </cell>
          <cell r="AU31" t="str">
            <v/>
          </cell>
        </row>
        <row r="32">
          <cell r="A32" t="str">
            <v>320-32X</v>
          </cell>
          <cell r="AS32">
            <v>2.1640478610669707</v>
          </cell>
          <cell r="AU32">
            <v>0.3122437921896577</v>
          </cell>
        </row>
        <row r="33">
          <cell r="A33" t="str">
            <v>32213-MX</v>
          </cell>
          <cell r="AS33">
            <v>6.3514193554238902</v>
          </cell>
          <cell r="AU33">
            <v>0.91642671172094436</v>
          </cell>
        </row>
        <row r="34">
          <cell r="A34" t="str">
            <v>32209-MX</v>
          </cell>
          <cell r="AS34">
            <v>3.3568509948709773</v>
          </cell>
          <cell r="AU34">
            <v>0.48434967789360839</v>
          </cell>
        </row>
        <row r="35">
          <cell r="A35" t="str">
            <v>SAB207-P</v>
          </cell>
          <cell r="AS35">
            <v>7.8686261843724381</v>
          </cell>
          <cell r="AU35">
            <v>1.1353398061722688</v>
          </cell>
        </row>
        <row r="36">
          <cell r="A36" t="str">
            <v>HCFTS206-20</v>
          </cell>
          <cell r="AS36" t="str">
            <v/>
          </cell>
          <cell r="AU36" t="str">
            <v/>
          </cell>
        </row>
        <row r="37">
          <cell r="A37" t="str">
            <v>HCP210-31-HA</v>
          </cell>
          <cell r="AS37" t="str">
            <v/>
          </cell>
          <cell r="AU37" t="str">
            <v/>
          </cell>
        </row>
        <row r="38">
          <cell r="A38" t="str">
            <v>32216-MX</v>
          </cell>
          <cell r="AS38">
            <v>7.7610788547964313</v>
          </cell>
          <cell r="AU38">
            <v>1.1198221336517884</v>
          </cell>
        </row>
        <row r="39">
          <cell r="A39" t="str">
            <v>32211-MX</v>
          </cell>
          <cell r="AS39">
            <v>5.0965747615538541</v>
          </cell>
          <cell r="AU39">
            <v>0.73536905507305128</v>
          </cell>
        </row>
        <row r="40">
          <cell r="A40" t="str">
            <v>AG307516-CHS</v>
          </cell>
          <cell r="AS40">
            <v>22.165942637533313</v>
          </cell>
          <cell r="AU40">
            <v>3.198255505859922</v>
          </cell>
        </row>
        <row r="41">
          <cell r="A41" t="str">
            <v>MG-206-RR3</v>
          </cell>
          <cell r="AS41" t="str">
            <v/>
          </cell>
          <cell r="AU41" t="str">
            <v/>
          </cell>
        </row>
        <row r="42">
          <cell r="A42" t="str">
            <v>BP-22002</v>
          </cell>
          <cell r="AS42" t="str">
            <v/>
          </cell>
          <cell r="AU42" t="str">
            <v/>
          </cell>
        </row>
        <row r="43">
          <cell r="A43" t="str">
            <v>30203-MX</v>
          </cell>
          <cell r="AS43">
            <v>0.94403303868369026</v>
          </cell>
          <cell r="AU43">
            <v>0.13621161585843464</v>
          </cell>
        </row>
        <row r="44">
          <cell r="A44" t="str">
            <v>MS04-2RST</v>
          </cell>
          <cell r="AS44">
            <v>1.0392116839293706</v>
          </cell>
          <cell r="AU44">
            <v>0.14994464906054347</v>
          </cell>
        </row>
        <row r="45">
          <cell r="A45" t="str">
            <v>32212-MX</v>
          </cell>
          <cell r="AS45">
            <v>5.0321521353177978</v>
          </cell>
          <cell r="AU45">
            <v>0.72607371300568813</v>
          </cell>
        </row>
        <row r="46">
          <cell r="A46" t="str">
            <v>04330121-01</v>
          </cell>
          <cell r="AS46">
            <v>147.39501498103994</v>
          </cell>
          <cell r="AU46">
            <v>21.267172161728382</v>
          </cell>
        </row>
        <row r="47">
          <cell r="A47" t="str">
            <v>S41211-DTR</v>
          </cell>
          <cell r="AS47">
            <v>16.519579755951941</v>
          </cell>
          <cell r="AU47">
            <v>2.383559218433712</v>
          </cell>
        </row>
        <row r="48">
          <cell r="A48" t="str">
            <v>AG-3565-CH</v>
          </cell>
          <cell r="AS48">
            <v>14.973122932295039</v>
          </cell>
          <cell r="AU48">
            <v>2.1604257324496605</v>
          </cell>
        </row>
        <row r="49">
          <cell r="A49" t="str">
            <v>32010-MX</v>
          </cell>
          <cell r="AS49">
            <v>2.3071049554732315</v>
          </cell>
          <cell r="AU49">
            <v>0.33288505916931738</v>
          </cell>
        </row>
        <row r="50">
          <cell r="A50" t="str">
            <v>MS06-2RST</v>
          </cell>
          <cell r="AS50" t="str">
            <v/>
          </cell>
          <cell r="AU50" t="str">
            <v/>
          </cell>
        </row>
        <row r="51">
          <cell r="A51" t="str">
            <v>SAB207-35DG</v>
          </cell>
          <cell r="AS51">
            <v>4.9133437842641419</v>
          </cell>
          <cell r="AU51">
            <v>0.70893122242393958</v>
          </cell>
        </row>
        <row r="52">
          <cell r="A52" t="str">
            <v>BP-18030</v>
          </cell>
          <cell r="AS52">
            <v>364.40195606402244</v>
          </cell>
          <cell r="AU52">
            <v>52.578434465243191</v>
          </cell>
        </row>
        <row r="53">
          <cell r="A53" t="str">
            <v>BP-20001</v>
          </cell>
          <cell r="AS53" t="str">
            <v/>
          </cell>
          <cell r="AU53" t="str">
            <v/>
          </cell>
        </row>
        <row r="54">
          <cell r="A54" t="str">
            <v>BP-16003</v>
          </cell>
          <cell r="AS54">
            <v>3.0862212603494465</v>
          </cell>
          <cell r="AU54">
            <v>0.44530134809159566</v>
          </cell>
        </row>
        <row r="55">
          <cell r="A55" t="str">
            <v>ECL210-50D-3</v>
          </cell>
          <cell r="AS55">
            <v>14.623286197830481</v>
          </cell>
          <cell r="AU55">
            <v>2.1099488688914754</v>
          </cell>
        </row>
        <row r="56">
          <cell r="A56" t="str">
            <v>LS05-2RLD</v>
          </cell>
          <cell r="AS56">
            <v>1.0915148491728974</v>
          </cell>
          <cell r="AU56">
            <v>0.15749131147636872</v>
          </cell>
        </row>
        <row r="57">
          <cell r="A57" t="str">
            <v>ASA-80-2-10</v>
          </cell>
          <cell r="AS57">
            <v>22.086576091005064</v>
          </cell>
          <cell r="AU57">
            <v>3.1868039516189919</v>
          </cell>
        </row>
        <row r="58">
          <cell r="A58" t="str">
            <v>PB000155</v>
          </cell>
          <cell r="AS58">
            <v>1.9559601939935884</v>
          </cell>
          <cell r="AU58">
            <v>0.28221946442693596</v>
          </cell>
        </row>
        <row r="59">
          <cell r="A59" t="str">
            <v>PB006004</v>
          </cell>
          <cell r="AS59">
            <v>3.0111318888878129</v>
          </cell>
          <cell r="AU59">
            <v>0.43446693425069371</v>
          </cell>
        </row>
        <row r="60">
          <cell r="A60" t="str">
            <v>BP-12011-BI2</v>
          </cell>
          <cell r="AS60" t="str">
            <v/>
          </cell>
          <cell r="AU60" t="str">
            <v/>
          </cell>
        </row>
        <row r="61">
          <cell r="A61" t="str">
            <v>BP-12011-BD2</v>
          </cell>
          <cell r="AS61" t="str">
            <v/>
          </cell>
          <cell r="AU61" t="str">
            <v/>
          </cell>
        </row>
        <row r="62">
          <cell r="A62" t="str">
            <v>32217-MX</v>
          </cell>
          <cell r="AS62">
            <v>11.465503996768618</v>
          </cell>
          <cell r="AU62">
            <v>1.6543222133504929</v>
          </cell>
        </row>
        <row r="63">
          <cell r="A63" t="str">
            <v>32013-MX</v>
          </cell>
          <cell r="AS63">
            <v>5.0403320151621198</v>
          </cell>
          <cell r="AU63">
            <v>0.72725396264258269</v>
          </cell>
        </row>
        <row r="64">
          <cell r="A64" t="str">
            <v>MS05-D</v>
          </cell>
          <cell r="AS64" t="str">
            <v/>
          </cell>
          <cell r="AU64" t="str">
            <v/>
          </cell>
        </row>
        <row r="65">
          <cell r="A65" t="str">
            <v>32011-MX</v>
          </cell>
          <cell r="AS65">
            <v>2.8577852601260836</v>
          </cell>
          <cell r="AU65">
            <v>0.41234102209066681</v>
          </cell>
        </row>
        <row r="66">
          <cell r="A66" t="str">
            <v>PB002860</v>
          </cell>
          <cell r="AS66">
            <v>3.2993807199602019</v>
          </cell>
          <cell r="AU66">
            <v>0.47605746915868913</v>
          </cell>
        </row>
        <row r="67">
          <cell r="A67" t="str">
            <v>112-CB</v>
          </cell>
          <cell r="AS67">
            <v>2442.334420815308</v>
          </cell>
          <cell r="AU67">
            <v>352.39690169084616</v>
          </cell>
        </row>
        <row r="68">
          <cell r="A68" t="str">
            <v>6204-2RS-RC</v>
          </cell>
          <cell r="AS68">
            <v>1.1979145435142424</v>
          </cell>
          <cell r="AU68">
            <v>0.17284339524801959</v>
          </cell>
        </row>
        <row r="69">
          <cell r="A69" t="str">
            <v>32214-MX</v>
          </cell>
          <cell r="AS69">
            <v>7.0119429283699821</v>
          </cell>
          <cell r="AU69">
            <v>1.0117316210798633</v>
          </cell>
        </row>
        <row r="70">
          <cell r="A70" t="str">
            <v>PFF-9-M</v>
          </cell>
          <cell r="AS70">
            <v>5.7620547750844766</v>
          </cell>
          <cell r="AU70">
            <v>0.83138911395879878</v>
          </cell>
        </row>
        <row r="71">
          <cell r="A71" t="str">
            <v>MS07-2RST1</v>
          </cell>
          <cell r="AS71">
            <v>2.4173926550926605</v>
          </cell>
          <cell r="AU71">
            <v>0.34879813123236575</v>
          </cell>
        </row>
        <row r="72">
          <cell r="A72" t="str">
            <v>ASA-80-2-12</v>
          </cell>
          <cell r="AS72">
            <v>23.163693508174198</v>
          </cell>
          <cell r="AU72">
            <v>3.3422179020316216</v>
          </cell>
        </row>
        <row r="73">
          <cell r="A73" t="str">
            <v>LM104949-911</v>
          </cell>
          <cell r="AS73">
            <v>2.4726802181032568</v>
          </cell>
          <cell r="AU73">
            <v>0.35677540319844969</v>
          </cell>
        </row>
        <row r="74">
          <cell r="A74" t="str">
            <v>33117-MX</v>
          </cell>
          <cell r="AS74">
            <v>15.06830576229247</v>
          </cell>
          <cell r="AU74">
            <v>2.1741593694566941</v>
          </cell>
        </row>
        <row r="75">
          <cell r="A75" t="str">
            <v>PB004772</v>
          </cell>
          <cell r="AS75">
            <v>2.8221184959711136</v>
          </cell>
          <cell r="AU75">
            <v>0.40719477468309273</v>
          </cell>
        </row>
        <row r="76">
          <cell r="A76" t="str">
            <v>33207-MX</v>
          </cell>
          <cell r="AS76">
            <v>4.0990005168294337</v>
          </cell>
          <cell r="AU76">
            <v>0.59143214371014363</v>
          </cell>
        </row>
        <row r="77">
          <cell r="A77" t="str">
            <v>BP-18020</v>
          </cell>
          <cell r="AS77">
            <v>272.24693683012919</v>
          </cell>
          <cell r="AU77">
            <v>39.281670935847664</v>
          </cell>
        </row>
        <row r="78">
          <cell r="A78" t="str">
            <v>PB001184</v>
          </cell>
          <cell r="AS78">
            <v>2.0347489346199179</v>
          </cell>
          <cell r="AU78">
            <v>0.2935876488361675</v>
          </cell>
        </row>
        <row r="79">
          <cell r="A79" t="str">
            <v>PB003367A</v>
          </cell>
          <cell r="AS79" t="str">
            <v/>
          </cell>
          <cell r="AU79" t="str">
            <v/>
          </cell>
        </row>
        <row r="80">
          <cell r="A80" t="str">
            <v>32007-MX</v>
          </cell>
          <cell r="AS80">
            <v>2.0939475317645644</v>
          </cell>
          <cell r="AU80">
            <v>0.30212923185625773</v>
          </cell>
        </row>
        <row r="81">
          <cell r="A81" t="str">
            <v>SAB-207-35DG</v>
          </cell>
          <cell r="AS81">
            <v>4.7360965610486225</v>
          </cell>
          <cell r="AU81">
            <v>0.68335676719695881</v>
          </cell>
        </row>
        <row r="82">
          <cell r="A82" t="str">
            <v>LM68149-110</v>
          </cell>
          <cell r="AS82">
            <v>1.2946667902421154</v>
          </cell>
          <cell r="AU82">
            <v>0.18680347855518153</v>
          </cell>
        </row>
        <row r="83">
          <cell r="A83" t="str">
            <v>PB004848</v>
          </cell>
          <cell r="AS83">
            <v>1.7989750546403849</v>
          </cell>
          <cell r="AU83">
            <v>0.25956856279442847</v>
          </cell>
        </row>
        <row r="84">
          <cell r="A84" t="str">
            <v>32208-MX</v>
          </cell>
          <cell r="AS84">
            <v>2.6991104721363177</v>
          </cell>
          <cell r="AU84">
            <v>0.3894463262670787</v>
          </cell>
        </row>
        <row r="85">
          <cell r="A85" t="str">
            <v>DS2565C25CHS</v>
          </cell>
          <cell r="AS85">
            <v>10.909073623183826</v>
          </cell>
          <cell r="AU85">
            <v>1.5740365907155289</v>
          </cell>
        </row>
        <row r="86">
          <cell r="A86" t="str">
            <v>32210-MX</v>
          </cell>
          <cell r="AS86">
            <v>3.421371870452933</v>
          </cell>
          <cell r="AU86">
            <v>0.49365919605610126</v>
          </cell>
        </row>
        <row r="87">
          <cell r="A87" t="str">
            <v>SAB206-30DG</v>
          </cell>
          <cell r="AS87">
            <v>3.6295512633412228</v>
          </cell>
          <cell r="AU87">
            <v>0.52369675865378384</v>
          </cell>
        </row>
        <row r="88">
          <cell r="A88" t="str">
            <v>PB000864</v>
          </cell>
          <cell r="AS88">
            <v>2.9875835728849252</v>
          </cell>
          <cell r="AU88">
            <v>0.43106922035503292</v>
          </cell>
        </row>
        <row r="89">
          <cell r="A89" t="str">
            <v>AG-5575CHS</v>
          </cell>
          <cell r="AS89">
            <v>13.28255846540679</v>
          </cell>
          <cell r="AU89">
            <v>1.9164993990357537</v>
          </cell>
        </row>
        <row r="90">
          <cell r="A90" t="str">
            <v>32207-MX</v>
          </cell>
          <cell r="AS90">
            <v>2.4752300911105349</v>
          </cell>
          <cell r="AU90">
            <v>0.35714331651114412</v>
          </cell>
        </row>
        <row r="91">
          <cell r="A91" t="str">
            <v>32219-MX</v>
          </cell>
          <cell r="AS91">
            <v>18.570641210958769</v>
          </cell>
          <cell r="AU91">
            <v>2.6795005505305025</v>
          </cell>
        </row>
        <row r="92">
          <cell r="A92" t="str">
            <v>F-210-C</v>
          </cell>
          <cell r="AS92" t="str">
            <v/>
          </cell>
          <cell r="AU92" t="str">
            <v/>
          </cell>
        </row>
        <row r="93">
          <cell r="A93" t="str">
            <v>ECL212-60D-3</v>
          </cell>
          <cell r="AS93" t="str">
            <v/>
          </cell>
          <cell r="AU93" t="str">
            <v/>
          </cell>
        </row>
        <row r="94">
          <cell r="A94" t="str">
            <v>30213-MX</v>
          </cell>
          <cell r="AS94">
            <v>4.9815263284313209</v>
          </cell>
          <cell r="AU94">
            <v>0.71876907145441438</v>
          </cell>
        </row>
        <row r="95">
          <cell r="A95" t="str">
            <v>LS05-ZZ</v>
          </cell>
          <cell r="AS95" t="str">
            <v/>
          </cell>
          <cell r="AU95" t="str">
            <v/>
          </cell>
        </row>
        <row r="96">
          <cell r="A96" t="str">
            <v>HCFS210-31</v>
          </cell>
          <cell r="AS96" t="str">
            <v/>
          </cell>
          <cell r="AU96" t="str">
            <v/>
          </cell>
        </row>
        <row r="97">
          <cell r="A97" t="str">
            <v>FB-210-C</v>
          </cell>
          <cell r="AS97">
            <v>6.4918017135860442</v>
          </cell>
          <cell r="AU97">
            <v>0.93668204925653198</v>
          </cell>
        </row>
        <row r="98">
          <cell r="A98" t="str">
            <v>207-KRRB12</v>
          </cell>
          <cell r="AS98">
            <v>6.2153029431628335</v>
          </cell>
          <cell r="AU98">
            <v>0.89678689436372205</v>
          </cell>
        </row>
        <row r="99">
          <cell r="A99" t="str">
            <v>32008-MX</v>
          </cell>
          <cell r="AS99">
            <v>1.9420208991596568</v>
          </cell>
          <cell r="AU99">
            <v>0.28020820656258788</v>
          </cell>
        </row>
        <row r="100">
          <cell r="A100" t="str">
            <v>M040000059</v>
          </cell>
          <cell r="AS100" t="str">
            <v/>
          </cell>
          <cell r="AU100" t="str">
            <v/>
          </cell>
        </row>
        <row r="101">
          <cell r="A101" t="str">
            <v>LS05-2RST</v>
          </cell>
          <cell r="AS101">
            <v>0.9985103847898692</v>
          </cell>
          <cell r="AU101">
            <v>0.1440719841259992</v>
          </cell>
        </row>
        <row r="102">
          <cell r="A102" t="str">
            <v>PB000721</v>
          </cell>
          <cell r="AS102">
            <v>0.82881350731646297</v>
          </cell>
          <cell r="AU102">
            <v>0.11958694500171882</v>
          </cell>
        </row>
        <row r="103">
          <cell r="A103" t="str">
            <v>SAB208-40DG</v>
          </cell>
          <cell r="AS103">
            <v>7.166937717898529</v>
          </cell>
          <cell r="AU103">
            <v>1.0340953412741891</v>
          </cell>
        </row>
        <row r="104">
          <cell r="A104" t="str">
            <v>MS06-D-C3</v>
          </cell>
          <cell r="AS104">
            <v>1.2769459966017447</v>
          </cell>
          <cell r="AU104">
            <v>0.18424659988977549</v>
          </cell>
        </row>
        <row r="105">
          <cell r="A105" t="str">
            <v>PB000852</v>
          </cell>
          <cell r="AS105">
            <v>1.5407851363605065</v>
          </cell>
          <cell r="AU105">
            <v>0.22231513571490963</v>
          </cell>
        </row>
        <row r="106">
          <cell r="A106" t="str">
            <v>HD04-2RST</v>
          </cell>
          <cell r="AS106">
            <v>1.5760564403004582</v>
          </cell>
          <cell r="AU106">
            <v>0.2274043233876141</v>
          </cell>
        </row>
        <row r="107">
          <cell r="A107" t="str">
            <v>207-KRRB9</v>
          </cell>
          <cell r="AS107" t="str">
            <v/>
          </cell>
          <cell r="AU107" t="str">
            <v/>
          </cell>
        </row>
        <row r="108">
          <cell r="A108" t="str">
            <v>PB003292</v>
          </cell>
          <cell r="AS108">
            <v>1.7159472537335971</v>
          </cell>
          <cell r="AU108">
            <v>0.24758873745012155</v>
          </cell>
        </row>
        <row r="109">
          <cell r="A109" t="str">
            <v>BP-17010</v>
          </cell>
          <cell r="AS109" t="str">
            <v/>
          </cell>
          <cell r="AU109" t="str">
            <v/>
          </cell>
        </row>
        <row r="110">
          <cell r="A110" t="str">
            <v>AG59520-62</v>
          </cell>
          <cell r="AS110" t="str">
            <v/>
          </cell>
          <cell r="AU110" t="str">
            <v/>
          </cell>
        </row>
        <row r="111">
          <cell r="A111" t="str">
            <v>PB004759</v>
          </cell>
          <cell r="AS111">
            <v>2.0408540535836304</v>
          </cell>
          <cell r="AU111">
            <v>0.29446853762393144</v>
          </cell>
        </row>
        <row r="112">
          <cell r="A112" t="str">
            <v>UCF211-32G</v>
          </cell>
          <cell r="AS112" t="str">
            <v/>
          </cell>
          <cell r="AU112" t="str">
            <v/>
          </cell>
        </row>
        <row r="113">
          <cell r="A113" t="str">
            <v>ECL207-35DD</v>
          </cell>
          <cell r="AS113">
            <v>6.4409166903934709</v>
          </cell>
          <cell r="AU113">
            <v>0.92934000618384605</v>
          </cell>
        </row>
        <row r="114">
          <cell r="A114" t="str">
            <v>PB004771</v>
          </cell>
          <cell r="AS114">
            <v>1.7403949845838176</v>
          </cell>
          <cell r="AU114">
            <v>0.25111622514040816</v>
          </cell>
        </row>
        <row r="115">
          <cell r="A115" t="str">
            <v>32006-MX</v>
          </cell>
          <cell r="AS115">
            <v>1.6007301197586037</v>
          </cell>
          <cell r="AU115">
            <v>0.23096441250573779</v>
          </cell>
        </row>
        <row r="116">
          <cell r="A116" t="str">
            <v>ECL-205-25DG</v>
          </cell>
          <cell r="AS116" t="str">
            <v/>
          </cell>
          <cell r="AU116" t="str">
            <v/>
          </cell>
        </row>
        <row r="117">
          <cell r="A117" t="str">
            <v>01.10.016</v>
          </cell>
          <cell r="AS117">
            <v>24.331515549947053</v>
          </cell>
          <cell r="AU117">
            <v>3.5107193430053156</v>
          </cell>
        </row>
        <row r="118">
          <cell r="A118" t="str">
            <v>SAB5209-3</v>
          </cell>
          <cell r="AS118">
            <v>15.623871587990235</v>
          </cell>
          <cell r="AU118">
            <v>2.2543202491432086</v>
          </cell>
        </row>
        <row r="119">
          <cell r="A119" t="str">
            <v>PB002452</v>
          </cell>
          <cell r="AS119">
            <v>5.0624518606949476</v>
          </cell>
          <cell r="AU119">
            <v>0.73044556693936324</v>
          </cell>
        </row>
        <row r="120">
          <cell r="A120" t="str">
            <v>32206-MX</v>
          </cell>
          <cell r="AS120">
            <v>2.2715188878729999</v>
          </cell>
          <cell r="AU120">
            <v>0.32775045521876739</v>
          </cell>
        </row>
        <row r="121">
          <cell r="A121" t="str">
            <v>30309-MX</v>
          </cell>
          <cell r="AS121">
            <v>5.1819139742355267</v>
          </cell>
          <cell r="AU121">
            <v>0.74768238689421873</v>
          </cell>
        </row>
        <row r="122">
          <cell r="A122" t="str">
            <v>F490306</v>
          </cell>
          <cell r="AS122">
            <v>11.434893353854962</v>
          </cell>
          <cell r="AU122">
            <v>1.6499054980843106</v>
          </cell>
        </row>
        <row r="123">
          <cell r="A123" t="str">
            <v>203-KRR3-E2</v>
          </cell>
          <cell r="AS123" t="str">
            <v/>
          </cell>
          <cell r="AU123" t="str">
            <v/>
          </cell>
        </row>
        <row r="124">
          <cell r="A124" t="str">
            <v>F-211-M</v>
          </cell>
          <cell r="AS124">
            <v>5.9530063568041687</v>
          </cell>
          <cell r="AU124">
            <v>0.8589409288116242</v>
          </cell>
        </row>
        <row r="125">
          <cell r="A125" t="str">
            <v>PB001096</v>
          </cell>
          <cell r="AS125">
            <v>1.7805143377739234</v>
          </cell>
          <cell r="AU125">
            <v>0.25690492288857097</v>
          </cell>
        </row>
        <row r="126">
          <cell r="A126" t="str">
            <v>PB002861</v>
          </cell>
          <cell r="AS126">
            <v>2.5624056450550028</v>
          </cell>
          <cell r="AU126">
            <v>0.36972160835004736</v>
          </cell>
        </row>
        <row r="127">
          <cell r="A127" t="str">
            <v>M040000077</v>
          </cell>
          <cell r="AS127" t="str">
            <v/>
          </cell>
          <cell r="AU127" t="str">
            <v/>
          </cell>
        </row>
        <row r="128">
          <cell r="A128" t="str">
            <v>32220-MX</v>
          </cell>
          <cell r="AS128">
            <v>16.30753589194445</v>
          </cell>
          <cell r="AU128">
            <v>2.3529640632158406</v>
          </cell>
        </row>
        <row r="129">
          <cell r="A129" t="str">
            <v>209-KYYB2</v>
          </cell>
          <cell r="AS129">
            <v>9.4622802738641862</v>
          </cell>
          <cell r="AU129">
            <v>1.365283240092495</v>
          </cell>
        </row>
        <row r="130">
          <cell r="A130" t="str">
            <v>205KYR2</v>
          </cell>
          <cell r="AS130">
            <v>3.3778537438286196</v>
          </cell>
          <cell r="AU130">
            <v>0.48738009977055718</v>
          </cell>
        </row>
        <row r="131">
          <cell r="A131" t="str">
            <v>MS02-2RLD-C3</v>
          </cell>
          <cell r="AS131" t="str">
            <v/>
          </cell>
          <cell r="AU131" t="str">
            <v/>
          </cell>
        </row>
        <row r="132">
          <cell r="A132" t="str">
            <v>01.10.017</v>
          </cell>
          <cell r="AS132">
            <v>26.735188101945557</v>
          </cell>
          <cell r="AU132">
            <v>3.8575378428735023</v>
          </cell>
        </row>
        <row r="133">
          <cell r="A133" t="str">
            <v>ECL-207-35DG</v>
          </cell>
          <cell r="AS133">
            <v>6.0994174889770081</v>
          </cell>
          <cell r="AU133">
            <v>0.88006613955714275</v>
          </cell>
        </row>
        <row r="134">
          <cell r="A134" t="str">
            <v>PB006186</v>
          </cell>
          <cell r="AS134">
            <v>2.4121761105550958</v>
          </cell>
          <cell r="AU134">
            <v>0.34804545210828564</v>
          </cell>
        </row>
        <row r="135">
          <cell r="A135" t="str">
            <v>HCP211-32G</v>
          </cell>
          <cell r="AS135" t="str">
            <v/>
          </cell>
          <cell r="AU135" t="str">
            <v/>
          </cell>
        </row>
        <row r="136">
          <cell r="A136" t="str">
            <v>ACL-210-50mm</v>
          </cell>
          <cell r="AS136">
            <v>7.8469197322674402</v>
          </cell>
          <cell r="AU136">
            <v>1.1322078491383305</v>
          </cell>
        </row>
        <row r="137">
          <cell r="A137" t="str">
            <v>UCF205-16G</v>
          </cell>
          <cell r="AS137" t="str">
            <v/>
          </cell>
          <cell r="AU137" t="str">
            <v/>
          </cell>
        </row>
        <row r="138">
          <cell r="A138" t="str">
            <v>5203-KYY5</v>
          </cell>
          <cell r="AS138">
            <v>5.4770045836218166</v>
          </cell>
          <cell r="AU138">
            <v>0.7902601008958412</v>
          </cell>
        </row>
        <row r="139">
          <cell r="A139" t="str">
            <v>PB005307</v>
          </cell>
          <cell r="AS139">
            <v>2.6814554648473803</v>
          </cell>
          <cell r="AU139">
            <v>0.38689893971144323</v>
          </cell>
        </row>
        <row r="140">
          <cell r="A140" t="str">
            <v>SAB209-45DG</v>
          </cell>
          <cell r="AS140">
            <v>7.945680652234322</v>
          </cell>
          <cell r="AU140">
            <v>1.1464577577126234</v>
          </cell>
        </row>
        <row r="141">
          <cell r="A141" t="str">
            <v>PB001842</v>
          </cell>
          <cell r="AS141">
            <v>2.5453985279418054</v>
          </cell>
          <cell r="AU141">
            <v>0.36726770386984786</v>
          </cell>
        </row>
        <row r="142">
          <cell r="A142" t="str">
            <v>ACLR208-40RG</v>
          </cell>
          <cell r="AS142">
            <v>12.324490868030033</v>
          </cell>
          <cell r="AU142">
            <v>1.7782627799845192</v>
          </cell>
        </row>
        <row r="143">
          <cell r="A143" t="str">
            <v>FHP208-24G</v>
          </cell>
          <cell r="AS143" t="str">
            <v/>
          </cell>
          <cell r="AU143" t="str">
            <v/>
          </cell>
        </row>
        <row r="144">
          <cell r="A144" t="str">
            <v>30308-MX</v>
          </cell>
          <cell r="AS144">
            <v>3.685800329959986</v>
          </cell>
          <cell r="AU144">
            <v>0.53181276301031954</v>
          </cell>
        </row>
        <row r="145">
          <cell r="A145" t="str">
            <v>207-KYYB2</v>
          </cell>
          <cell r="AS145" t="str">
            <v/>
          </cell>
          <cell r="AU145" t="str">
            <v/>
          </cell>
        </row>
        <row r="146">
          <cell r="A146" t="str">
            <v>PB004010</v>
          </cell>
          <cell r="AS146" t="str">
            <v/>
          </cell>
          <cell r="AU146" t="str">
            <v/>
          </cell>
        </row>
        <row r="147">
          <cell r="A147" t="str">
            <v>PB001335</v>
          </cell>
          <cell r="AS147">
            <v>1.1848291588860516</v>
          </cell>
          <cell r="AU147">
            <v>0.17095534545389349</v>
          </cell>
        </row>
        <row r="148">
          <cell r="A148" t="str">
            <v>PB001029</v>
          </cell>
          <cell r="AS148">
            <v>2.5687045773191488</v>
          </cell>
          <cell r="AU148">
            <v>0.37063046186123216</v>
          </cell>
        </row>
        <row r="149">
          <cell r="A149" t="str">
            <v>LS06-D</v>
          </cell>
          <cell r="AS149" t="str">
            <v/>
          </cell>
          <cell r="AU149" t="str">
            <v/>
          </cell>
        </row>
        <row r="150">
          <cell r="A150" t="str">
            <v>PB004758</v>
          </cell>
          <cell r="AS150" t="str">
            <v/>
          </cell>
          <cell r="AU150" t="str">
            <v/>
          </cell>
        </row>
        <row r="151">
          <cell r="A151" t="str">
            <v>PB000157</v>
          </cell>
          <cell r="AS151">
            <v>3.5091351643562967</v>
          </cell>
          <cell r="AU151">
            <v>0.50632229108114868</v>
          </cell>
        </row>
        <row r="152">
          <cell r="A152" t="str">
            <v>HCFTS205-16</v>
          </cell>
          <cell r="AS152" t="str">
            <v/>
          </cell>
          <cell r="AU152" t="str">
            <v/>
          </cell>
        </row>
        <row r="153">
          <cell r="A153" t="str">
            <v>PB000840</v>
          </cell>
          <cell r="AS153">
            <v>1.7765688527293477</v>
          </cell>
          <cell r="AU153">
            <v>0.25633564101892764</v>
          </cell>
        </row>
        <row r="154">
          <cell r="A154" t="str">
            <v>ECL-206-19DG</v>
          </cell>
          <cell r="AS154">
            <v>6.2019027025129132</v>
          </cell>
          <cell r="AU154">
            <v>0.89485341496520154</v>
          </cell>
        </row>
        <row r="155">
          <cell r="A155" t="str">
            <v>SAB207-35DD</v>
          </cell>
          <cell r="AS155" t="str">
            <v/>
          </cell>
          <cell r="AU155" t="str">
            <v/>
          </cell>
        </row>
        <row r="156">
          <cell r="A156" t="str">
            <v>PB006001</v>
          </cell>
          <cell r="AS156" t="str">
            <v/>
          </cell>
          <cell r="AU156" t="str">
            <v/>
          </cell>
        </row>
        <row r="157">
          <cell r="A157" t="str">
            <v>SAB207-3</v>
          </cell>
          <cell r="AS157">
            <v>11.073522920370436</v>
          </cell>
          <cell r="AU157">
            <v>1.5977644726631834</v>
          </cell>
        </row>
        <row r="158">
          <cell r="A158" t="str">
            <v>MS06-2RLD-C3</v>
          </cell>
          <cell r="AS158" t="str">
            <v/>
          </cell>
          <cell r="AU158" t="str">
            <v/>
          </cell>
        </row>
        <row r="159">
          <cell r="A159" t="str">
            <v>PB001097</v>
          </cell>
          <cell r="AS159">
            <v>1.3442708818222728</v>
          </cell>
          <cell r="AU159">
            <v>0.19396069995576318</v>
          </cell>
        </row>
        <row r="160">
          <cell r="A160" t="str">
            <v>PB002862</v>
          </cell>
          <cell r="AS160" t="str">
            <v/>
          </cell>
          <cell r="AU160" t="str">
            <v/>
          </cell>
        </row>
        <row r="161">
          <cell r="A161" t="str">
            <v>PB004011</v>
          </cell>
          <cell r="AS161" t="str">
            <v/>
          </cell>
          <cell r="AU161" t="str">
            <v/>
          </cell>
        </row>
        <row r="162">
          <cell r="A162" t="str">
            <v>LS05-D</v>
          </cell>
          <cell r="AS162" t="str">
            <v/>
          </cell>
          <cell r="AU162" t="str">
            <v/>
          </cell>
        </row>
        <row r="163">
          <cell r="A163" t="str">
            <v>ECL-205-14DG</v>
          </cell>
          <cell r="AS163" t="str">
            <v/>
          </cell>
          <cell r="AU163" t="str">
            <v/>
          </cell>
        </row>
        <row r="164">
          <cell r="A164" t="str">
            <v>FD-205-C</v>
          </cell>
          <cell r="AS164">
            <v>2.3583202396966394</v>
          </cell>
          <cell r="AU164">
            <v>0.34027475458765416</v>
          </cell>
        </row>
        <row r="165">
          <cell r="A165" t="str">
            <v>F-209-A</v>
          </cell>
          <cell r="AS165">
            <v>9.7681200064668108</v>
          </cell>
          <cell r="AU165">
            <v>1.4094119119338977</v>
          </cell>
        </row>
        <row r="166">
          <cell r="A166" t="str">
            <v>PB004008</v>
          </cell>
          <cell r="AS166" t="str">
            <v/>
          </cell>
          <cell r="AU166" t="str">
            <v/>
          </cell>
        </row>
        <row r="167">
          <cell r="A167" t="str">
            <v>30310-MX</v>
          </cell>
          <cell r="AS167">
            <v>5.8139538481343376</v>
          </cell>
          <cell r="AU167">
            <v>0.83887747115817557</v>
          </cell>
        </row>
        <row r="168">
          <cell r="A168" t="str">
            <v>MS04-D-C3</v>
          </cell>
          <cell r="AS168" t="str">
            <v/>
          </cell>
          <cell r="AU168" t="str">
            <v/>
          </cell>
        </row>
        <row r="169">
          <cell r="A169" t="str">
            <v>PB003254</v>
          </cell>
          <cell r="AS169">
            <v>1.4989884055603839</v>
          </cell>
          <cell r="AU169">
            <v>0.21628441432424414</v>
          </cell>
        </row>
        <row r="170">
          <cell r="A170" t="str">
            <v>AG59517-65</v>
          </cell>
          <cell r="AS170">
            <v>21.865483568533499</v>
          </cell>
          <cell r="AU170">
            <v>3.154903193376398</v>
          </cell>
        </row>
        <row r="171">
          <cell r="A171" t="str">
            <v>33213-MX</v>
          </cell>
          <cell r="AS171">
            <v>9.6311871115937926</v>
          </cell>
          <cell r="AU171">
            <v>1.3896542868185371</v>
          </cell>
        </row>
        <row r="172">
          <cell r="A172" t="str">
            <v>PB005350</v>
          </cell>
          <cell r="AS172">
            <v>1.5045936040684118</v>
          </cell>
          <cell r="AU172">
            <v>0.21709317113115664</v>
          </cell>
        </row>
        <row r="173">
          <cell r="A173" t="str">
            <v>30214-MX</v>
          </cell>
          <cell r="AS173">
            <v>5.8924782786892527</v>
          </cell>
          <cell r="AU173">
            <v>0.85020751908230563</v>
          </cell>
        </row>
        <row r="174">
          <cell r="A174" t="str">
            <v>ACL205-14RG</v>
          </cell>
          <cell r="AS174" t="str">
            <v/>
          </cell>
          <cell r="AU174" t="str">
            <v/>
          </cell>
        </row>
        <row r="175">
          <cell r="A175" t="str">
            <v>206-KRRB6</v>
          </cell>
          <cell r="AS175" t="str">
            <v/>
          </cell>
          <cell r="AU175" t="str">
            <v/>
          </cell>
        </row>
        <row r="176">
          <cell r="A176" t="str">
            <v>SAB209-3</v>
          </cell>
          <cell r="AS176">
            <v>9.920818316031534</v>
          </cell>
          <cell r="AU176">
            <v>1.4314442801163334</v>
          </cell>
        </row>
        <row r="177">
          <cell r="A177" t="str">
            <v>ASL-205-25MM</v>
          </cell>
          <cell r="AS177">
            <v>1.4632746748507617</v>
          </cell>
          <cell r="AU177">
            <v>0.21113139025733899</v>
          </cell>
        </row>
        <row r="178">
          <cell r="A178" t="str">
            <v>ACL206-18RG</v>
          </cell>
          <cell r="AS178">
            <v>6.3405269375464597</v>
          </cell>
          <cell r="AU178">
            <v>0.91485507833641933</v>
          </cell>
        </row>
        <row r="179">
          <cell r="A179" t="str">
            <v>AG256514-CH</v>
          </cell>
          <cell r="AS179" t="str">
            <v/>
          </cell>
          <cell r="AU179" t="str">
            <v/>
          </cell>
        </row>
        <row r="180">
          <cell r="A180" t="str">
            <v>HM-803146/10</v>
          </cell>
          <cell r="AS180">
            <v>3.9768308849692122</v>
          </cell>
          <cell r="AU180">
            <v>0.57380466428663313</v>
          </cell>
        </row>
        <row r="181">
          <cell r="A181" t="str">
            <v>F208-M</v>
          </cell>
          <cell r="AS181">
            <v>4.0817081071672598</v>
          </cell>
          <cell r="AU181">
            <v>0.58893707524786287</v>
          </cell>
        </row>
        <row r="182">
          <cell r="A182" t="str">
            <v>5203-KYY9-A</v>
          </cell>
          <cell r="AS182">
            <v>2.9649074167339959</v>
          </cell>
          <cell r="AU182">
            <v>0.42779734771476713</v>
          </cell>
        </row>
        <row r="183">
          <cell r="A183" t="str">
            <v>30307-MX</v>
          </cell>
          <cell r="AS183">
            <v>3.446865246083942</v>
          </cell>
          <cell r="AU183">
            <v>0.4973375566071554</v>
          </cell>
        </row>
        <row r="184">
          <cell r="A184" t="str">
            <v>PB002091</v>
          </cell>
          <cell r="AS184">
            <v>3.3560711103375249</v>
          </cell>
          <cell r="AU184">
            <v>0.48423715075935397</v>
          </cell>
        </row>
        <row r="185">
          <cell r="A185" t="str">
            <v>PB004013</v>
          </cell>
          <cell r="AS185" t="str">
            <v/>
          </cell>
          <cell r="AU185" t="str">
            <v/>
          </cell>
        </row>
        <row r="186">
          <cell r="A186" t="str">
            <v>3T-12012-MX</v>
          </cell>
          <cell r="AS186" t="str">
            <v/>
          </cell>
          <cell r="AU186" t="str">
            <v/>
          </cell>
        </row>
        <row r="187">
          <cell r="A187" t="str">
            <v>32014-MX</v>
          </cell>
          <cell r="AS187">
            <v>4.431938431718855</v>
          </cell>
          <cell r="AU187">
            <v>0.63947072870591848</v>
          </cell>
        </row>
        <row r="188">
          <cell r="A188" t="str">
            <v>PB004009</v>
          </cell>
          <cell r="AS188" t="str">
            <v/>
          </cell>
          <cell r="AU188" t="str">
            <v/>
          </cell>
        </row>
        <row r="189">
          <cell r="A189" t="str">
            <v>ASLLF205-14R</v>
          </cell>
          <cell r="AS189">
            <v>3.9739787048925956</v>
          </cell>
          <cell r="AU189">
            <v>0.57339313201918518</v>
          </cell>
        </row>
        <row r="190">
          <cell r="A190" t="str">
            <v>AG593062</v>
          </cell>
          <cell r="AS190" t="str">
            <v/>
          </cell>
          <cell r="AU190" t="str">
            <v/>
          </cell>
        </row>
        <row r="191">
          <cell r="A191" t="str">
            <v>FT208-M</v>
          </cell>
          <cell r="AS191">
            <v>2.9354296493994179</v>
          </cell>
          <cell r="AU191">
            <v>0.42354409157222733</v>
          </cell>
        </row>
        <row r="192">
          <cell r="A192" t="str">
            <v>30305-MX</v>
          </cell>
          <cell r="AS192">
            <v>1.6218103429495914</v>
          </cell>
          <cell r="AU192">
            <v>0.23400601290089407</v>
          </cell>
        </row>
        <row r="193">
          <cell r="A193" t="str">
            <v>30216-MX</v>
          </cell>
          <cell r="AS193">
            <v>10.289305853484134</v>
          </cell>
          <cell r="AU193">
            <v>1.4846122105206543</v>
          </cell>
        </row>
        <row r="194">
          <cell r="A194" t="str">
            <v>PB005305</v>
          </cell>
          <cell r="AS194" t="str">
            <v/>
          </cell>
          <cell r="AU194" t="str">
            <v/>
          </cell>
        </row>
        <row r="195">
          <cell r="A195" t="str">
            <v>ACL-207-22</v>
          </cell>
          <cell r="AS195">
            <v>8.0457836543015748</v>
          </cell>
          <cell r="AU195">
            <v>1.1609013111743465</v>
          </cell>
        </row>
        <row r="196">
          <cell r="A196" t="str">
            <v>HA-212</v>
          </cell>
          <cell r="AS196" t="str">
            <v/>
          </cell>
          <cell r="AU196" t="str">
            <v/>
          </cell>
        </row>
        <row r="197">
          <cell r="A197" t="str">
            <v>204-JY5</v>
          </cell>
          <cell r="AS197">
            <v>6.4345197523272351</v>
          </cell>
          <cell r="AU197">
            <v>0.92841701171771662</v>
          </cell>
        </row>
        <row r="198">
          <cell r="A198" t="str">
            <v>E080001012</v>
          </cell>
          <cell r="AS198" t="str">
            <v/>
          </cell>
          <cell r="AU198" t="str">
            <v/>
          </cell>
        </row>
        <row r="199">
          <cell r="A199" t="str">
            <v>32009-MX</v>
          </cell>
          <cell r="AS199">
            <v>2.5493937197295793</v>
          </cell>
          <cell r="AU199">
            <v>0.36784415777217722</v>
          </cell>
        </row>
        <row r="200">
          <cell r="A200" t="str">
            <v>BP-13014</v>
          </cell>
          <cell r="AS200" t="str">
            <v/>
          </cell>
          <cell r="AU200" t="str">
            <v/>
          </cell>
        </row>
        <row r="201">
          <cell r="A201" t="str">
            <v>SAB205-25DG</v>
          </cell>
          <cell r="AS201" t="str">
            <v/>
          </cell>
          <cell r="AU201" t="str">
            <v/>
          </cell>
        </row>
        <row r="202">
          <cell r="A202" t="str">
            <v>33110-MX</v>
          </cell>
          <cell r="AS202">
            <v>4.2670698736320771</v>
          </cell>
          <cell r="AU202">
            <v>0.61568235289593287</v>
          </cell>
        </row>
        <row r="203">
          <cell r="A203" t="str">
            <v>F4X-208</v>
          </cell>
          <cell r="AS203">
            <v>24.172782456890552</v>
          </cell>
          <cell r="AU203">
            <v>3.4878162345234545</v>
          </cell>
        </row>
        <row r="204">
          <cell r="A204" t="str">
            <v>22218-CW33C3</v>
          </cell>
          <cell r="AS204" t="str">
            <v/>
          </cell>
          <cell r="AU204" t="str">
            <v/>
          </cell>
        </row>
        <row r="205">
          <cell r="A205" t="str">
            <v>W207-KYYB3</v>
          </cell>
          <cell r="AS205">
            <v>5.8268272909491872</v>
          </cell>
          <cell r="AU205">
            <v>0.84073494052165976</v>
          </cell>
        </row>
        <row r="206">
          <cell r="A206" t="str">
            <v>3984-20</v>
          </cell>
          <cell r="AS206">
            <v>6.3096404489960563</v>
          </cell>
          <cell r="AU206">
            <v>0.91039856215398807</v>
          </cell>
        </row>
        <row r="207">
          <cell r="A207" t="str">
            <v>PB005519</v>
          </cell>
          <cell r="AS207">
            <v>1.624746588214079</v>
          </cell>
          <cell r="AU207">
            <v>0.23442967467505213</v>
          </cell>
        </row>
        <row r="208">
          <cell r="A208" t="str">
            <v>ACL-205-25MM</v>
          </cell>
          <cell r="AS208" t="str">
            <v/>
          </cell>
          <cell r="AU208" t="str">
            <v/>
          </cell>
        </row>
        <row r="209">
          <cell r="A209" t="str">
            <v>ECL-305DG</v>
          </cell>
          <cell r="AS209" t="str">
            <v/>
          </cell>
          <cell r="AU209" t="str">
            <v/>
          </cell>
        </row>
        <row r="210">
          <cell r="A210" t="str">
            <v>FHF205-16G</v>
          </cell>
          <cell r="AS210" t="str">
            <v/>
          </cell>
          <cell r="AU210" t="str">
            <v/>
          </cell>
        </row>
        <row r="211">
          <cell r="A211" t="str">
            <v>MS08-2RSTX</v>
          </cell>
          <cell r="AS211">
            <v>2.8739803913680291</v>
          </cell>
          <cell r="AU211">
            <v>0.41467776763357778</v>
          </cell>
        </row>
        <row r="212">
          <cell r="A212" t="str">
            <v>FB-211</v>
          </cell>
          <cell r="AS212" t="str">
            <v/>
          </cell>
          <cell r="AU212" t="str">
            <v/>
          </cell>
        </row>
        <row r="213">
          <cell r="A213" t="str">
            <v>PB004763</v>
          </cell>
          <cell r="AS213" t="str">
            <v/>
          </cell>
          <cell r="AU213" t="str">
            <v/>
          </cell>
        </row>
        <row r="214">
          <cell r="A214" t="str">
            <v>30306-MX</v>
          </cell>
          <cell r="AS214">
            <v>1.9606645541761287</v>
          </cell>
          <cell r="AU214">
            <v>0.2828982420499494</v>
          </cell>
        </row>
        <row r="215">
          <cell r="A215" t="str">
            <v>BP-23005-ST</v>
          </cell>
          <cell r="AS215" t="str">
            <v/>
          </cell>
          <cell r="AU215" t="str">
            <v/>
          </cell>
        </row>
        <row r="216">
          <cell r="A216" t="str">
            <v>ECL209-45D-3</v>
          </cell>
          <cell r="AS216">
            <v>11.887596926188795</v>
          </cell>
          <cell r="AU216">
            <v>1.7152247004487293</v>
          </cell>
        </row>
        <row r="217">
          <cell r="A217" t="str">
            <v>PB004520</v>
          </cell>
          <cell r="AS217">
            <v>3.6338540231864078</v>
          </cell>
          <cell r="AU217">
            <v>0.52431759060261129</v>
          </cell>
        </row>
        <row r="218">
          <cell r="A218" t="str">
            <v>PB005641</v>
          </cell>
          <cell r="AS218" t="str">
            <v/>
          </cell>
          <cell r="AU218" t="str">
            <v/>
          </cell>
        </row>
        <row r="219">
          <cell r="A219" t="str">
            <v>6307</v>
          </cell>
          <cell r="AS219" t="str">
            <v/>
          </cell>
          <cell r="AU219" t="str">
            <v/>
          </cell>
        </row>
        <row r="220">
          <cell r="A220" t="str">
            <v>205-KYR2</v>
          </cell>
          <cell r="AS220" t="str">
            <v/>
          </cell>
          <cell r="AU220" t="str">
            <v/>
          </cell>
        </row>
        <row r="221">
          <cell r="A221" t="str">
            <v>BP-23005-MM</v>
          </cell>
          <cell r="AS221" t="str">
            <v/>
          </cell>
          <cell r="AU221" t="str">
            <v/>
          </cell>
        </row>
        <row r="222">
          <cell r="A222" t="str">
            <v>ASL207-35RR</v>
          </cell>
          <cell r="AS222" t="str">
            <v/>
          </cell>
          <cell r="AU222" t="str">
            <v/>
          </cell>
        </row>
        <row r="223">
          <cell r="A223" t="str">
            <v>PB006005</v>
          </cell>
          <cell r="AS223" t="str">
            <v/>
          </cell>
          <cell r="AU223" t="str">
            <v/>
          </cell>
        </row>
        <row r="224">
          <cell r="A224" t="str">
            <v>32311-MX</v>
          </cell>
          <cell r="AS224">
            <v>10.381200976285776</v>
          </cell>
          <cell r="AU224">
            <v>1.4978714743953321</v>
          </cell>
        </row>
        <row r="225">
          <cell r="A225" t="str">
            <v>33208-MX</v>
          </cell>
          <cell r="AS225">
            <v>3.6411427876634916</v>
          </cell>
          <cell r="AU225">
            <v>0.52536926395126815</v>
          </cell>
        </row>
        <row r="226">
          <cell r="A226" t="str">
            <v>32308-MX</v>
          </cell>
          <cell r="AS226">
            <v>5.3912561248834212</v>
          </cell>
          <cell r="AU226">
            <v>0.77788772022321873</v>
          </cell>
        </row>
        <row r="227">
          <cell r="A227" t="str">
            <v>ASL206-30RG</v>
          </cell>
          <cell r="AS227">
            <v>3.992443119667016</v>
          </cell>
          <cell r="AU227">
            <v>0.57605730548477807</v>
          </cell>
        </row>
        <row r="228">
          <cell r="A228" t="str">
            <v>F-208-C</v>
          </cell>
          <cell r="AS228" t="str">
            <v/>
          </cell>
          <cell r="AU228" t="str">
            <v/>
          </cell>
        </row>
        <row r="229">
          <cell r="A229" t="str">
            <v>FC-207-M</v>
          </cell>
          <cell r="AS229" t="str">
            <v/>
          </cell>
          <cell r="AU229" t="str">
            <v/>
          </cell>
        </row>
        <row r="230">
          <cell r="A230" t="str">
            <v>HCP209-28</v>
          </cell>
          <cell r="AS230" t="str">
            <v/>
          </cell>
          <cell r="AU230" t="str">
            <v/>
          </cell>
        </row>
        <row r="231">
          <cell r="A231" t="str">
            <v>PB000849</v>
          </cell>
          <cell r="AS231">
            <v>2.6247650744700572</v>
          </cell>
          <cell r="AU231">
            <v>0.37871925811077845</v>
          </cell>
        </row>
        <row r="232">
          <cell r="A232" t="str">
            <v>32205-MX</v>
          </cell>
          <cell r="AS232">
            <v>2.0187676887611601</v>
          </cell>
          <cell r="AU232">
            <v>0.29128176415559787</v>
          </cell>
        </row>
        <row r="233">
          <cell r="A233" t="str">
            <v>BP15009</v>
          </cell>
          <cell r="AS233">
            <v>7.377455242136854</v>
          </cell>
          <cell r="AU233">
            <v>1.0644702656338305</v>
          </cell>
        </row>
        <row r="234">
          <cell r="A234" t="str">
            <v>33010-MX</v>
          </cell>
          <cell r="AS234">
            <v>4.8980497286007116</v>
          </cell>
          <cell r="AU234">
            <v>0.70672449029743556</v>
          </cell>
        </row>
        <row r="235">
          <cell r="A235" t="str">
            <v>SAB210-50DG</v>
          </cell>
          <cell r="AS235" t="str">
            <v/>
          </cell>
          <cell r="AU235" t="str">
            <v/>
          </cell>
        </row>
        <row r="236">
          <cell r="A236" t="str">
            <v>33209-MX</v>
          </cell>
          <cell r="AS236">
            <v>6.4078428349077399</v>
          </cell>
          <cell r="AU236">
            <v>0.9245678815719135</v>
          </cell>
        </row>
        <row r="237">
          <cell r="A237" t="str">
            <v>CF5202-RM16</v>
          </cell>
          <cell r="AS237" t="str">
            <v/>
          </cell>
          <cell r="AU237" t="str">
            <v/>
          </cell>
        </row>
        <row r="238">
          <cell r="A238" t="str">
            <v>BP15010</v>
          </cell>
          <cell r="AS238">
            <v>9.4788092067826888</v>
          </cell>
          <cell r="AU238">
            <v>1.3676681488499089</v>
          </cell>
        </row>
        <row r="239">
          <cell r="A239" t="str">
            <v>207-KRRB17</v>
          </cell>
          <cell r="AS239">
            <v>5.3374002540249652</v>
          </cell>
          <cell r="AU239">
            <v>0.77011702270258731</v>
          </cell>
        </row>
        <row r="240">
          <cell r="A240" t="str">
            <v>HCP207-22G</v>
          </cell>
          <cell r="AS240" t="str">
            <v/>
          </cell>
          <cell r="AU240" t="str">
            <v/>
          </cell>
        </row>
        <row r="241">
          <cell r="A241" t="str">
            <v>FHLP205-16</v>
          </cell>
          <cell r="AS241" t="str">
            <v/>
          </cell>
          <cell r="AU241" t="str">
            <v/>
          </cell>
        </row>
        <row r="242">
          <cell r="A242" t="str">
            <v>ACL206-20</v>
          </cell>
          <cell r="AS242" t="str">
            <v/>
          </cell>
          <cell r="AU242" t="str">
            <v/>
          </cell>
        </row>
        <row r="243">
          <cell r="A243" t="str">
            <v>32310-MX</v>
          </cell>
          <cell r="AS243">
            <v>7.5257123119122769</v>
          </cell>
          <cell r="AU243">
            <v>1.085861821023359</v>
          </cell>
        </row>
        <row r="244">
          <cell r="A244" t="str">
            <v>32309-MX</v>
          </cell>
          <cell r="AS244" t="str">
            <v/>
          </cell>
          <cell r="AU244" t="str">
            <v/>
          </cell>
        </row>
        <row r="245">
          <cell r="A245" t="str">
            <v>DTR2047-FM</v>
          </cell>
          <cell r="AS245" t="str">
            <v/>
          </cell>
          <cell r="AU245" t="str">
            <v/>
          </cell>
        </row>
        <row r="246">
          <cell r="A246" t="str">
            <v>205-KYYB5</v>
          </cell>
          <cell r="AS246" t="str">
            <v/>
          </cell>
          <cell r="AU246" t="str">
            <v/>
          </cell>
        </row>
        <row r="247">
          <cell r="A247" t="str">
            <v>SAB-206-30DG</v>
          </cell>
          <cell r="AS247" t="str">
            <v/>
          </cell>
          <cell r="AU247" t="str">
            <v/>
          </cell>
        </row>
        <row r="248">
          <cell r="A248" t="str">
            <v>ECL207-23</v>
          </cell>
          <cell r="AS248">
            <v>5.8416750211279131</v>
          </cell>
          <cell r="AU248">
            <v>0.84287727372039434</v>
          </cell>
        </row>
        <row r="249">
          <cell r="A249" t="str">
            <v>32016-MX</v>
          </cell>
          <cell r="AS249">
            <v>6.5007579275556058</v>
          </cell>
          <cell r="AU249">
            <v>0.93797431375022899</v>
          </cell>
        </row>
        <row r="250">
          <cell r="A250" t="str">
            <v>FT206-M</v>
          </cell>
          <cell r="AS250">
            <v>2.2296330535401152</v>
          </cell>
          <cell r="AU250">
            <v>0.32170687735414505</v>
          </cell>
        </row>
        <row r="251">
          <cell r="A251" t="str">
            <v>FHFD205-16</v>
          </cell>
          <cell r="AS251" t="str">
            <v/>
          </cell>
          <cell r="AU251" t="str">
            <v/>
          </cell>
        </row>
        <row r="252">
          <cell r="A252" t="str">
            <v>33013-MX</v>
          </cell>
          <cell r="AS252">
            <v>3.5138593635544075</v>
          </cell>
          <cell r="AU252">
            <v>0.50700393121453757</v>
          </cell>
        </row>
        <row r="253">
          <cell r="A253" t="str">
            <v>32012-MX</v>
          </cell>
          <cell r="AS253">
            <v>4.1965061476813394</v>
          </cell>
          <cell r="AU253">
            <v>0.60550093048920905</v>
          </cell>
        </row>
        <row r="254">
          <cell r="A254" t="str">
            <v>6202-2RLD-C3</v>
          </cell>
          <cell r="AS254" t="str">
            <v/>
          </cell>
          <cell r="AU254" t="str">
            <v/>
          </cell>
        </row>
        <row r="255">
          <cell r="A255" t="str">
            <v>PB004773</v>
          </cell>
          <cell r="AS255" t="str">
            <v/>
          </cell>
          <cell r="AU255" t="str">
            <v/>
          </cell>
        </row>
        <row r="256">
          <cell r="A256" t="str">
            <v>HCP207-20G</v>
          </cell>
          <cell r="AS256" t="str">
            <v/>
          </cell>
          <cell r="AU256" t="str">
            <v/>
          </cell>
        </row>
        <row r="257">
          <cell r="A257" t="str">
            <v>PB004012</v>
          </cell>
          <cell r="AS257" t="str">
            <v/>
          </cell>
          <cell r="AU257" t="str">
            <v/>
          </cell>
        </row>
        <row r="258">
          <cell r="A258" t="str">
            <v>32312-MX</v>
          </cell>
          <cell r="AS258">
            <v>10.38851403664445</v>
          </cell>
          <cell r="AU258">
            <v>1.4989266533218175</v>
          </cell>
        </row>
        <row r="259">
          <cell r="A259" t="str">
            <v>BP-21003</v>
          </cell>
          <cell r="AS259" t="str">
            <v/>
          </cell>
          <cell r="AU259" t="str">
            <v/>
          </cell>
        </row>
        <row r="260">
          <cell r="A260" t="str">
            <v>7209-B</v>
          </cell>
          <cell r="AS260" t="str">
            <v/>
          </cell>
          <cell r="AU260" t="str">
            <v/>
          </cell>
        </row>
        <row r="261">
          <cell r="A261" t="str">
            <v>204-KRRB2</v>
          </cell>
          <cell r="AS261" t="str">
            <v/>
          </cell>
          <cell r="AU261" t="str">
            <v/>
          </cell>
        </row>
        <row r="262">
          <cell r="A262" t="str">
            <v>CA627-M40A-9</v>
          </cell>
          <cell r="AS262" t="str">
            <v/>
          </cell>
          <cell r="AU262" t="str">
            <v/>
          </cell>
        </row>
        <row r="263">
          <cell r="A263" t="str">
            <v>BP-12011-01</v>
          </cell>
          <cell r="AS263" t="str">
            <v/>
          </cell>
          <cell r="AU263" t="str">
            <v/>
          </cell>
        </row>
        <row r="264">
          <cell r="A264" t="str">
            <v>30217-MX</v>
          </cell>
          <cell r="AS264">
            <v>11.884195502766156</v>
          </cell>
          <cell r="AU264">
            <v>1.7147339195526896</v>
          </cell>
        </row>
        <row r="265">
          <cell r="A265" t="str">
            <v>T060001020</v>
          </cell>
          <cell r="AS265" t="str">
            <v/>
          </cell>
          <cell r="AU265" t="str">
            <v/>
          </cell>
        </row>
        <row r="266">
          <cell r="A266" t="str">
            <v>30220-MX</v>
          </cell>
          <cell r="AS266" t="str">
            <v/>
          </cell>
          <cell r="AU266" t="str">
            <v/>
          </cell>
        </row>
        <row r="267">
          <cell r="A267" t="str">
            <v>W208PPB5</v>
          </cell>
          <cell r="AS267">
            <v>7.460455373655714</v>
          </cell>
          <cell r="AU267">
            <v>1.0764460986474826</v>
          </cell>
        </row>
        <row r="268">
          <cell r="A268" t="str">
            <v>SAB5207-35</v>
          </cell>
          <cell r="AS268" t="str">
            <v/>
          </cell>
          <cell r="AU268" t="str">
            <v/>
          </cell>
        </row>
        <row r="269">
          <cell r="A269" t="str">
            <v>PB005306</v>
          </cell>
          <cell r="AS269" t="str">
            <v/>
          </cell>
          <cell r="AU269" t="str">
            <v/>
          </cell>
        </row>
        <row r="270">
          <cell r="A270" t="str">
            <v>PB001284</v>
          </cell>
          <cell r="AS270">
            <v>1.5193024621122577</v>
          </cell>
          <cell r="AU270">
            <v>0.2192154668978156</v>
          </cell>
        </row>
        <row r="271">
          <cell r="A271" t="str">
            <v>33019-MX</v>
          </cell>
          <cell r="AS271">
            <v>12.990602954963578</v>
          </cell>
          <cell r="AU271">
            <v>1.8743740387923304</v>
          </cell>
        </row>
        <row r="272">
          <cell r="A272" t="str">
            <v>30219-MX</v>
          </cell>
          <cell r="AS272" t="str">
            <v/>
          </cell>
          <cell r="AU272" t="str">
            <v/>
          </cell>
        </row>
        <row r="273">
          <cell r="A273" t="str">
            <v>ECL206-18DG</v>
          </cell>
          <cell r="AS273" t="str">
            <v/>
          </cell>
          <cell r="AU273" t="str">
            <v/>
          </cell>
        </row>
        <row r="274">
          <cell r="A274" t="str">
            <v>33210-MX</v>
          </cell>
          <cell r="AS274">
            <v>6.9785870554484655</v>
          </cell>
          <cell r="AU274">
            <v>1.0069188050418318</v>
          </cell>
        </row>
        <row r="275">
          <cell r="A275" t="str">
            <v>ECLR205-16D</v>
          </cell>
          <cell r="AS275">
            <v>4.3635936140566072</v>
          </cell>
          <cell r="AU275">
            <v>0.62960946573327359</v>
          </cell>
        </row>
        <row r="276">
          <cell r="A276" t="str">
            <v>30218-MX</v>
          </cell>
          <cell r="AS276">
            <v>13.757812904736682</v>
          </cell>
          <cell r="AU276">
            <v>1.9850723964546597</v>
          </cell>
        </row>
        <row r="277">
          <cell r="A277" t="str">
            <v>DTR2047-TPL</v>
          </cell>
          <cell r="AS277">
            <v>10.222149544883306</v>
          </cell>
          <cell r="AU277">
            <v>1.4749224338552516</v>
          </cell>
        </row>
        <row r="278">
          <cell r="A278" t="str">
            <v>3T-12413-MX</v>
          </cell>
          <cell r="AS278" t="str">
            <v/>
          </cell>
          <cell r="AU278" t="str">
            <v/>
          </cell>
        </row>
        <row r="279">
          <cell r="A279" t="str">
            <v>32307-MX</v>
          </cell>
          <cell r="AS279">
            <v>3.1354037657937948</v>
          </cell>
          <cell r="AU279">
            <v>0.45239774012876632</v>
          </cell>
        </row>
        <row r="280">
          <cell r="A280" t="str">
            <v>G205-KYYB5</v>
          </cell>
          <cell r="AS280" t="str">
            <v/>
          </cell>
          <cell r="AU280" t="str">
            <v/>
          </cell>
        </row>
        <row r="281">
          <cell r="A281" t="str">
            <v>PB001030</v>
          </cell>
          <cell r="AS281" t="str">
            <v/>
          </cell>
          <cell r="AU281" t="str">
            <v/>
          </cell>
        </row>
        <row r="282">
          <cell r="A282" t="str">
            <v>ECL208-40D-3</v>
          </cell>
          <cell r="AS282" t="str">
            <v/>
          </cell>
          <cell r="AU282" t="str">
            <v/>
          </cell>
        </row>
        <row r="283">
          <cell r="A283" t="str">
            <v>PE208-M</v>
          </cell>
          <cell r="AS283" t="str">
            <v/>
          </cell>
          <cell r="AU283" t="str">
            <v/>
          </cell>
        </row>
        <row r="284">
          <cell r="A284" t="str">
            <v>FHF206-20G</v>
          </cell>
          <cell r="AS284" t="str">
            <v/>
          </cell>
          <cell r="AU284" t="str">
            <v/>
          </cell>
        </row>
        <row r="285">
          <cell r="A285" t="str">
            <v>ACL-206-19</v>
          </cell>
          <cell r="AS285" t="str">
            <v/>
          </cell>
          <cell r="AU285" t="str">
            <v/>
          </cell>
        </row>
        <row r="286">
          <cell r="A286" t="str">
            <v>BP-21001-BD</v>
          </cell>
          <cell r="AS286" t="str">
            <v/>
          </cell>
          <cell r="AU286" t="str">
            <v/>
          </cell>
        </row>
        <row r="287">
          <cell r="A287" t="str">
            <v>BP-21001-BI</v>
          </cell>
          <cell r="AS287" t="str">
            <v/>
          </cell>
          <cell r="AU287" t="str">
            <v/>
          </cell>
        </row>
        <row r="288">
          <cell r="A288" t="str">
            <v>BP-13002</v>
          </cell>
          <cell r="AS288" t="str">
            <v/>
          </cell>
          <cell r="AU288" t="str">
            <v/>
          </cell>
        </row>
        <row r="289">
          <cell r="A289" t="str">
            <v>32005-MX</v>
          </cell>
          <cell r="AS289">
            <v>1.3819699914231927</v>
          </cell>
          <cell r="AU289">
            <v>0.19940018822020522</v>
          </cell>
        </row>
        <row r="290">
          <cell r="A290" t="str">
            <v>PB004761</v>
          </cell>
          <cell r="AS290" t="str">
            <v/>
          </cell>
          <cell r="AU290" t="str">
            <v/>
          </cell>
        </row>
        <row r="291">
          <cell r="A291" t="str">
            <v>F-205</v>
          </cell>
          <cell r="AS291">
            <v>1.8055318943495877</v>
          </cell>
          <cell r="AU291">
            <v>0.26051462897550254</v>
          </cell>
        </row>
        <row r="292">
          <cell r="A292" t="str">
            <v>ACL-207-23</v>
          </cell>
          <cell r="AS292" t="str">
            <v/>
          </cell>
          <cell r="AU292" t="str">
            <v/>
          </cell>
        </row>
        <row r="293">
          <cell r="A293" t="str">
            <v>ECL-212-39-D</v>
          </cell>
          <cell r="AS293" t="str">
            <v/>
          </cell>
          <cell r="AU293" t="str">
            <v/>
          </cell>
        </row>
        <row r="294">
          <cell r="A294" t="str">
            <v>ACLR205-14R</v>
          </cell>
          <cell r="AS294" t="str">
            <v/>
          </cell>
          <cell r="AU294" t="str">
            <v/>
          </cell>
        </row>
        <row r="295">
          <cell r="A295" t="str">
            <v>MS03-D-C3</v>
          </cell>
          <cell r="AS295" t="str">
            <v/>
          </cell>
          <cell r="AU295" t="str">
            <v/>
          </cell>
        </row>
        <row r="296">
          <cell r="A296" t="str">
            <v>CB6203-1450</v>
          </cell>
          <cell r="AS296" t="str">
            <v/>
          </cell>
          <cell r="AU296" t="str">
            <v/>
          </cell>
        </row>
        <row r="297">
          <cell r="A297" t="str">
            <v>F-209-C</v>
          </cell>
          <cell r="AS297" t="str">
            <v/>
          </cell>
          <cell r="AU297" t="str">
            <v/>
          </cell>
        </row>
        <row r="298">
          <cell r="A298" t="str">
            <v>33211-MX</v>
          </cell>
          <cell r="AS298">
            <v>8.1010567849194626</v>
          </cell>
          <cell r="AU298">
            <v>1.1688765007349944</v>
          </cell>
        </row>
        <row r="299">
          <cell r="A299" t="str">
            <v>E080001004</v>
          </cell>
          <cell r="AS299" t="str">
            <v/>
          </cell>
          <cell r="AU299" t="str">
            <v/>
          </cell>
        </row>
        <row r="300">
          <cell r="A300" t="str">
            <v>32315-MX</v>
          </cell>
          <cell r="AS300">
            <v>26.375204123049549</v>
          </cell>
          <cell r="AU300">
            <v>3.8055968647092802</v>
          </cell>
        </row>
        <row r="301">
          <cell r="A301" t="str">
            <v>51118</v>
          </cell>
          <cell r="AS301" t="str">
            <v/>
          </cell>
          <cell r="AU301" t="str">
            <v/>
          </cell>
        </row>
        <row r="302">
          <cell r="A302" t="str">
            <v>MS00-2RST</v>
          </cell>
          <cell r="AS302" t="str">
            <v/>
          </cell>
          <cell r="AU302" t="str">
            <v/>
          </cell>
        </row>
        <row r="303">
          <cell r="A303" t="str">
            <v>32314-MX</v>
          </cell>
          <cell r="AS303">
            <v>16.443047728942553</v>
          </cell>
          <cell r="AU303">
            <v>2.3725166482728142</v>
          </cell>
        </row>
        <row r="304">
          <cell r="A304" t="str">
            <v>ECL-208-40DG</v>
          </cell>
          <cell r="AS304" t="str">
            <v/>
          </cell>
          <cell r="AU304" t="str">
            <v/>
          </cell>
        </row>
        <row r="305">
          <cell r="A305" t="str">
            <v>MS07-D-C3</v>
          </cell>
          <cell r="AS305" t="str">
            <v/>
          </cell>
          <cell r="AU305" t="str">
            <v/>
          </cell>
        </row>
        <row r="306">
          <cell r="A306" t="str">
            <v>F-207-M</v>
          </cell>
          <cell r="AS306">
            <v>3.3900853445639187</v>
          </cell>
          <cell r="AU306">
            <v>0.48914495971975275</v>
          </cell>
        </row>
        <row r="307">
          <cell r="A307" t="str">
            <v>F-209-M</v>
          </cell>
          <cell r="AS307">
            <v>4.8243522211101917</v>
          </cell>
          <cell r="AU307">
            <v>0.69609090421657127</v>
          </cell>
        </row>
        <row r="308">
          <cell r="A308" t="str">
            <v>33112-MX</v>
          </cell>
          <cell r="AS308">
            <v>6.675293466929789</v>
          </cell>
          <cell r="AU308">
            <v>0.96315750847827564</v>
          </cell>
        </row>
        <row r="309">
          <cell r="A309" t="str">
            <v>CF5202-P</v>
          </cell>
          <cell r="AS309" t="str">
            <v/>
          </cell>
          <cell r="AU309" t="str">
            <v/>
          </cell>
        </row>
        <row r="310">
          <cell r="A310" t="str">
            <v>32306-MX</v>
          </cell>
          <cell r="AS310">
            <v>3.5391000849843111</v>
          </cell>
          <cell r="AU310">
            <v>0.51064583707007161</v>
          </cell>
        </row>
        <row r="311">
          <cell r="A311" t="str">
            <v>32316-MX</v>
          </cell>
          <cell r="AS311">
            <v>30.82539976766941</v>
          </cell>
          <cell r="AU311">
            <v>4.4477018703614641</v>
          </cell>
        </row>
        <row r="312">
          <cell r="A312" t="str">
            <v>29685-620</v>
          </cell>
          <cell r="AS312" t="str">
            <v/>
          </cell>
          <cell r="AU312" t="str">
            <v/>
          </cell>
        </row>
        <row r="313">
          <cell r="A313" t="str">
            <v>7207-B</v>
          </cell>
          <cell r="AS313" t="str">
            <v/>
          </cell>
          <cell r="AU313" t="str">
            <v/>
          </cell>
        </row>
        <row r="314">
          <cell r="A314" t="str">
            <v>ASLR205-16</v>
          </cell>
          <cell r="AS314">
            <v>3.5828326718468171</v>
          </cell>
          <cell r="AU314">
            <v>0.51695587716201297</v>
          </cell>
        </row>
        <row r="315">
          <cell r="A315" t="str">
            <v>1WW30</v>
          </cell>
          <cell r="AS315" t="str">
            <v/>
          </cell>
          <cell r="AU315" t="str">
            <v/>
          </cell>
        </row>
        <row r="316">
          <cell r="A316" t="str">
            <v>MS03-2Z</v>
          </cell>
          <cell r="AS316">
            <v>0.75823397129669579</v>
          </cell>
          <cell r="AU316">
            <v>0.1094032414088912</v>
          </cell>
        </row>
        <row r="317">
          <cell r="A317" t="str">
            <v>30311-MX</v>
          </cell>
          <cell r="AS317">
            <v>10.374341439050118</v>
          </cell>
          <cell r="AU317">
            <v>1.4968817329216515</v>
          </cell>
        </row>
        <row r="318">
          <cell r="A318" t="str">
            <v>ENG458053CHS</v>
          </cell>
          <cell r="AS318" t="str">
            <v/>
          </cell>
          <cell r="AU318" t="str">
            <v/>
          </cell>
        </row>
        <row r="319">
          <cell r="A319" t="str">
            <v>ECL-207-22-D</v>
          </cell>
          <cell r="AS319" t="str">
            <v/>
          </cell>
          <cell r="AU319" t="str">
            <v/>
          </cell>
        </row>
        <row r="320">
          <cell r="A320" t="str">
            <v>F-206</v>
          </cell>
          <cell r="AS320" t="str">
            <v/>
          </cell>
          <cell r="AU320" t="str">
            <v/>
          </cell>
        </row>
        <row r="321">
          <cell r="A321" t="str">
            <v>FD-205</v>
          </cell>
          <cell r="AS321" t="str">
            <v/>
          </cell>
          <cell r="AU321" t="str">
            <v/>
          </cell>
        </row>
        <row r="322">
          <cell r="A322" t="str">
            <v>206-KYY6</v>
          </cell>
          <cell r="AS322" t="str">
            <v/>
          </cell>
          <cell r="AU322" t="str">
            <v/>
          </cell>
        </row>
        <row r="323">
          <cell r="A323" t="str">
            <v>PB008775</v>
          </cell>
          <cell r="AS323" t="str">
            <v/>
          </cell>
          <cell r="AU323" t="str">
            <v/>
          </cell>
        </row>
        <row r="324">
          <cell r="A324" t="str">
            <v>MS02-D-C3</v>
          </cell>
          <cell r="AS324">
            <v>0.64060141126375059</v>
          </cell>
          <cell r="AU324">
            <v>9.2430402087511826E-2</v>
          </cell>
        </row>
        <row r="325">
          <cell r="A325" t="str">
            <v>AG-1235-B</v>
          </cell>
          <cell r="AS325">
            <v>2.8486921164604837</v>
          </cell>
          <cell r="AU325">
            <v>0.41102900043340429</v>
          </cell>
        </row>
        <row r="326">
          <cell r="A326" t="str">
            <v>PB001098</v>
          </cell>
          <cell r="AS326" t="str">
            <v/>
          </cell>
          <cell r="AU326" t="str">
            <v/>
          </cell>
        </row>
        <row r="327">
          <cell r="A327" t="str">
            <v>6212-2RS</v>
          </cell>
          <cell r="AS327" t="str">
            <v/>
          </cell>
          <cell r="AU327" t="str">
            <v/>
          </cell>
        </row>
        <row r="328">
          <cell r="A328" t="str">
            <v>PB001027</v>
          </cell>
          <cell r="AS328" t="str">
            <v/>
          </cell>
          <cell r="AU328" t="str">
            <v/>
          </cell>
        </row>
        <row r="329">
          <cell r="A329" t="str">
            <v>F-211</v>
          </cell>
          <cell r="AS329" t="str">
            <v/>
          </cell>
          <cell r="AU329" t="str">
            <v/>
          </cell>
        </row>
        <row r="330">
          <cell r="A330" t="str">
            <v>PB003312</v>
          </cell>
          <cell r="AS330" t="str">
            <v/>
          </cell>
          <cell r="AU330" t="str">
            <v/>
          </cell>
        </row>
        <row r="331">
          <cell r="A331" t="str">
            <v>BP-18013</v>
          </cell>
          <cell r="AS331" t="str">
            <v/>
          </cell>
          <cell r="AU331" t="str">
            <v/>
          </cell>
        </row>
        <row r="332">
          <cell r="A332" t="str">
            <v>ACL205-16RG</v>
          </cell>
          <cell r="AS332" t="str">
            <v/>
          </cell>
          <cell r="AU332" t="str">
            <v/>
          </cell>
        </row>
        <row r="333">
          <cell r="A333" t="str">
            <v>ENG256553CHS</v>
          </cell>
          <cell r="AS333" t="str">
            <v/>
          </cell>
          <cell r="AU333" t="str">
            <v/>
          </cell>
        </row>
        <row r="334">
          <cell r="A334" t="str">
            <v>PB001028</v>
          </cell>
          <cell r="AS334" t="str">
            <v/>
          </cell>
          <cell r="AU334" t="str">
            <v/>
          </cell>
        </row>
        <row r="335">
          <cell r="A335" t="str">
            <v>PB001055</v>
          </cell>
          <cell r="AS335" t="str">
            <v/>
          </cell>
          <cell r="AU335" t="str">
            <v/>
          </cell>
        </row>
        <row r="336">
          <cell r="A336" t="str">
            <v>204-KRR2</v>
          </cell>
          <cell r="AS336" t="str">
            <v/>
          </cell>
          <cell r="AU336" t="str">
            <v/>
          </cell>
        </row>
        <row r="337">
          <cell r="A337" t="str">
            <v>PB006212</v>
          </cell>
          <cell r="AS337" t="str">
            <v/>
          </cell>
          <cell r="AU337" t="str">
            <v/>
          </cell>
        </row>
        <row r="338">
          <cell r="A338" t="str">
            <v>DTR2552-RG</v>
          </cell>
          <cell r="AS338" t="str">
            <v/>
          </cell>
          <cell r="AU338" t="str">
            <v/>
          </cell>
        </row>
        <row r="339">
          <cell r="AS339" t="str">
            <v/>
          </cell>
          <cell r="AU339" t="str">
            <v/>
          </cell>
        </row>
        <row r="340">
          <cell r="AS340" t="str">
            <v/>
          </cell>
          <cell r="AU340" t="str">
            <v/>
          </cell>
        </row>
        <row r="341">
          <cell r="AS341" t="str">
            <v/>
          </cell>
          <cell r="AU341" t="str">
            <v/>
          </cell>
        </row>
        <row r="342">
          <cell r="AS342" t="str">
            <v/>
          </cell>
          <cell r="AU342" t="str">
            <v/>
          </cell>
        </row>
        <row r="343">
          <cell r="AS343" t="str">
            <v/>
          </cell>
          <cell r="AU343" t="str">
            <v/>
          </cell>
        </row>
        <row r="344">
          <cell r="AS344" t="str">
            <v/>
          </cell>
          <cell r="AU344" t="str">
            <v/>
          </cell>
        </row>
        <row r="345">
          <cell r="AS345" t="str">
            <v/>
          </cell>
          <cell r="AU345" t="str">
            <v/>
          </cell>
        </row>
        <row r="346">
          <cell r="AS346" t="str">
            <v/>
          </cell>
          <cell r="AU346" t="str">
            <v/>
          </cell>
        </row>
        <row r="347">
          <cell r="AS347" t="str">
            <v/>
          </cell>
          <cell r="AU347" t="str">
            <v/>
          </cell>
        </row>
        <row r="348">
          <cell r="AS348" t="str">
            <v/>
          </cell>
          <cell r="AU348" t="str">
            <v/>
          </cell>
        </row>
        <row r="349">
          <cell r="AS349" t="str">
            <v/>
          </cell>
          <cell r="AU349" t="str">
            <v/>
          </cell>
        </row>
        <row r="350">
          <cell r="AS350" t="str">
            <v/>
          </cell>
          <cell r="AU350" t="str">
            <v/>
          </cell>
        </row>
        <row r="351">
          <cell r="AS351" t="str">
            <v/>
          </cell>
          <cell r="AU351" t="str">
            <v/>
          </cell>
        </row>
        <row r="352">
          <cell r="AS352" t="str">
            <v/>
          </cell>
          <cell r="AU352" t="str">
            <v/>
          </cell>
        </row>
        <row r="353">
          <cell r="AS353" t="str">
            <v/>
          </cell>
          <cell r="AU353" t="str">
            <v/>
          </cell>
        </row>
        <row r="354">
          <cell r="AS354" t="str">
            <v/>
          </cell>
          <cell r="AU354" t="str">
            <v/>
          </cell>
        </row>
        <row r="355">
          <cell r="AS355" t="str">
            <v/>
          </cell>
          <cell r="AU355" t="str">
            <v/>
          </cell>
        </row>
        <row r="356">
          <cell r="AS356" t="str">
            <v/>
          </cell>
          <cell r="AU356" t="str">
            <v/>
          </cell>
        </row>
        <row r="357">
          <cell r="AS357" t="str">
            <v/>
          </cell>
          <cell r="AU357" t="str">
            <v/>
          </cell>
        </row>
        <row r="358">
          <cell r="AS358" t="str">
            <v/>
          </cell>
          <cell r="AU358" t="str">
            <v/>
          </cell>
        </row>
        <row r="359">
          <cell r="AS359" t="str">
            <v/>
          </cell>
          <cell r="AU359" t="str">
            <v/>
          </cell>
        </row>
        <row r="360">
          <cell r="AS360" t="str">
            <v/>
          </cell>
          <cell r="AU360" t="str">
            <v/>
          </cell>
        </row>
        <row r="361">
          <cell r="AS361" t="str">
            <v/>
          </cell>
          <cell r="AU361" t="str">
            <v/>
          </cell>
        </row>
        <row r="362">
          <cell r="AS362" t="str">
            <v/>
          </cell>
          <cell r="AU362" t="str">
            <v/>
          </cell>
        </row>
        <row r="363">
          <cell r="AS363" t="str">
            <v/>
          </cell>
          <cell r="AU363" t="str">
            <v/>
          </cell>
        </row>
        <row r="364">
          <cell r="AS364" t="str">
            <v/>
          </cell>
          <cell r="AU364" t="str">
            <v/>
          </cell>
        </row>
        <row r="365">
          <cell r="AS365" t="str">
            <v/>
          </cell>
          <cell r="AU365" t="str">
            <v/>
          </cell>
        </row>
        <row r="366">
          <cell r="AS366" t="str">
            <v/>
          </cell>
          <cell r="AU366" t="str">
            <v/>
          </cell>
        </row>
        <row r="367">
          <cell r="AS367" t="str">
            <v/>
          </cell>
          <cell r="AU367" t="str">
            <v/>
          </cell>
        </row>
        <row r="368">
          <cell r="AS368" t="str">
            <v/>
          </cell>
          <cell r="AU368" t="str">
            <v/>
          </cell>
        </row>
        <row r="369">
          <cell r="AS369" t="str">
            <v/>
          </cell>
          <cell r="AU369" t="str">
            <v/>
          </cell>
        </row>
        <row r="370">
          <cell r="AS370" t="str">
            <v/>
          </cell>
          <cell r="AU370" t="str">
            <v/>
          </cell>
        </row>
        <row r="371">
          <cell r="AS371" t="str">
            <v/>
          </cell>
          <cell r="AU371" t="str">
            <v/>
          </cell>
        </row>
        <row r="372">
          <cell r="AS372" t="str">
            <v/>
          </cell>
          <cell r="AU372" t="str">
            <v/>
          </cell>
        </row>
        <row r="373">
          <cell r="AS373" t="str">
            <v/>
          </cell>
          <cell r="AU373" t="str">
            <v/>
          </cell>
        </row>
        <row r="374">
          <cell r="AS374" t="str">
            <v/>
          </cell>
          <cell r="AU374" t="str">
            <v/>
          </cell>
        </row>
        <row r="375">
          <cell r="AS375" t="str">
            <v/>
          </cell>
          <cell r="AU375" t="str">
            <v/>
          </cell>
        </row>
        <row r="376">
          <cell r="AS376" t="str">
            <v/>
          </cell>
          <cell r="AU376" t="str">
            <v/>
          </cell>
        </row>
        <row r="377">
          <cell r="AS377" t="str">
            <v/>
          </cell>
          <cell r="AU377" t="str">
            <v/>
          </cell>
        </row>
        <row r="378">
          <cell r="AS378" t="str">
            <v/>
          </cell>
          <cell r="AU378" t="str">
            <v/>
          </cell>
        </row>
        <row r="379">
          <cell r="AS379" t="str">
            <v/>
          </cell>
          <cell r="AU379" t="str">
            <v/>
          </cell>
        </row>
        <row r="380">
          <cell r="AS380" t="str">
            <v/>
          </cell>
          <cell r="AU380" t="str">
            <v/>
          </cell>
        </row>
        <row r="381">
          <cell r="AS381" t="str">
            <v/>
          </cell>
          <cell r="AU381" t="str">
            <v/>
          </cell>
        </row>
        <row r="382">
          <cell r="AS382" t="str">
            <v/>
          </cell>
          <cell r="AU382" t="str">
            <v/>
          </cell>
        </row>
        <row r="383">
          <cell r="AS383" t="str">
            <v/>
          </cell>
          <cell r="AU383" t="str">
            <v/>
          </cell>
        </row>
        <row r="384">
          <cell r="AS384" t="str">
            <v/>
          </cell>
          <cell r="AU384" t="str">
            <v/>
          </cell>
        </row>
        <row r="385">
          <cell r="AS385" t="str">
            <v/>
          </cell>
          <cell r="AU385" t="str">
            <v/>
          </cell>
        </row>
        <row r="386">
          <cell r="AS386" t="str">
            <v/>
          </cell>
          <cell r="AU386" t="str">
            <v/>
          </cell>
        </row>
        <row r="387">
          <cell r="AS387" t="str">
            <v/>
          </cell>
          <cell r="AU387" t="str">
            <v/>
          </cell>
        </row>
        <row r="388">
          <cell r="AS388" t="str">
            <v/>
          </cell>
          <cell r="AU388" t="str">
            <v/>
          </cell>
        </row>
        <row r="389">
          <cell r="AS389" t="str">
            <v/>
          </cell>
          <cell r="AU389" t="str">
            <v/>
          </cell>
        </row>
        <row r="390">
          <cell r="AS390" t="str">
            <v/>
          </cell>
          <cell r="AU390" t="str">
            <v/>
          </cell>
        </row>
        <row r="391">
          <cell r="AS391" t="str">
            <v/>
          </cell>
          <cell r="AU391" t="str">
            <v/>
          </cell>
        </row>
        <row r="392">
          <cell r="AS392" t="str">
            <v/>
          </cell>
          <cell r="AU392" t="str">
            <v/>
          </cell>
        </row>
        <row r="393">
          <cell r="AS393" t="str">
            <v/>
          </cell>
          <cell r="AU393" t="str">
            <v/>
          </cell>
        </row>
        <row r="394">
          <cell r="AS394" t="str">
            <v/>
          </cell>
          <cell r="AU394" t="str">
            <v/>
          </cell>
        </row>
        <row r="395">
          <cell r="AS395" t="str">
            <v/>
          </cell>
          <cell r="AU395" t="str">
            <v/>
          </cell>
        </row>
        <row r="396">
          <cell r="AS396" t="str">
            <v/>
          </cell>
          <cell r="AU396" t="str">
            <v/>
          </cell>
        </row>
        <row r="397">
          <cell r="AS397" t="str">
            <v/>
          </cell>
          <cell r="AU397" t="str">
            <v/>
          </cell>
        </row>
        <row r="398">
          <cell r="AS398" t="str">
            <v/>
          </cell>
          <cell r="AU398" t="str">
            <v/>
          </cell>
        </row>
        <row r="399">
          <cell r="AS399" t="str">
            <v/>
          </cell>
          <cell r="AU399" t="str">
            <v/>
          </cell>
        </row>
        <row r="400">
          <cell r="AS400" t="str">
            <v/>
          </cell>
          <cell r="AU400" t="str">
            <v/>
          </cell>
        </row>
        <row r="401">
          <cell r="AS401" t="str">
            <v/>
          </cell>
          <cell r="AU401" t="str">
            <v/>
          </cell>
        </row>
        <row r="402">
          <cell r="AS402" t="str">
            <v/>
          </cell>
          <cell r="AU402" t="str">
            <v/>
          </cell>
        </row>
        <row r="403">
          <cell r="AS403" t="str">
            <v/>
          </cell>
          <cell r="AU403" t="str">
            <v/>
          </cell>
        </row>
        <row r="404">
          <cell r="AS404" t="str">
            <v/>
          </cell>
          <cell r="AU404" t="str">
            <v/>
          </cell>
        </row>
        <row r="405">
          <cell r="AS405" t="str">
            <v/>
          </cell>
          <cell r="AU405" t="str">
            <v/>
          </cell>
        </row>
        <row r="406">
          <cell r="AS406" t="str">
            <v/>
          </cell>
          <cell r="AU406" t="str">
            <v/>
          </cell>
        </row>
        <row r="407">
          <cell r="AS407" t="str">
            <v/>
          </cell>
          <cell r="AU407" t="str">
            <v/>
          </cell>
        </row>
        <row r="408">
          <cell r="AS408" t="str">
            <v/>
          </cell>
          <cell r="AU408" t="str">
            <v/>
          </cell>
        </row>
        <row r="409">
          <cell r="AS409" t="str">
            <v/>
          </cell>
          <cell r="AU409" t="str">
            <v/>
          </cell>
        </row>
        <row r="410">
          <cell r="AS410" t="str">
            <v/>
          </cell>
          <cell r="AU410" t="str">
            <v/>
          </cell>
        </row>
        <row r="411">
          <cell r="AS411" t="str">
            <v/>
          </cell>
          <cell r="AU411" t="str">
            <v/>
          </cell>
        </row>
        <row r="412">
          <cell r="AS412" t="str">
            <v/>
          </cell>
          <cell r="AU412" t="str">
            <v/>
          </cell>
        </row>
        <row r="413">
          <cell r="AS413" t="str">
            <v/>
          </cell>
          <cell r="AU413" t="str">
            <v/>
          </cell>
        </row>
        <row r="414">
          <cell r="AS414" t="str">
            <v/>
          </cell>
          <cell r="AU414" t="str">
            <v/>
          </cell>
        </row>
        <row r="415">
          <cell r="AS415" t="str">
            <v/>
          </cell>
          <cell r="AU415" t="str">
            <v/>
          </cell>
        </row>
        <row r="416">
          <cell r="AS416" t="str">
            <v/>
          </cell>
          <cell r="AU416" t="str">
            <v/>
          </cell>
        </row>
        <row r="417">
          <cell r="AS417" t="str">
            <v/>
          </cell>
          <cell r="AU417" t="str">
            <v/>
          </cell>
        </row>
        <row r="418">
          <cell r="AS418" t="str">
            <v/>
          </cell>
          <cell r="AU418" t="str">
            <v/>
          </cell>
        </row>
        <row r="419">
          <cell r="AS419" t="str">
            <v/>
          </cell>
          <cell r="AU419" t="str">
            <v/>
          </cell>
        </row>
        <row r="420">
          <cell r="AS420" t="str">
            <v/>
          </cell>
          <cell r="AU420" t="str">
            <v/>
          </cell>
        </row>
        <row r="421">
          <cell r="AS421" t="str">
            <v/>
          </cell>
          <cell r="AU421" t="str">
            <v/>
          </cell>
        </row>
        <row r="422">
          <cell r="AS422" t="str">
            <v/>
          </cell>
          <cell r="AU422" t="str">
            <v/>
          </cell>
        </row>
        <row r="423">
          <cell r="AS423" t="str">
            <v/>
          </cell>
          <cell r="AU423" t="str">
            <v/>
          </cell>
        </row>
        <row r="424">
          <cell r="AS424" t="str">
            <v/>
          </cell>
          <cell r="AU424" t="str">
            <v/>
          </cell>
        </row>
        <row r="425">
          <cell r="AS425" t="str">
            <v/>
          </cell>
          <cell r="AU425" t="str">
            <v/>
          </cell>
        </row>
        <row r="426">
          <cell r="AS426" t="str">
            <v/>
          </cell>
          <cell r="AU426" t="str">
            <v/>
          </cell>
        </row>
        <row r="427">
          <cell r="AS427" t="str">
            <v/>
          </cell>
          <cell r="AU427" t="str">
            <v/>
          </cell>
        </row>
        <row r="428">
          <cell r="AS428" t="str">
            <v/>
          </cell>
          <cell r="AU428" t="str">
            <v/>
          </cell>
        </row>
        <row r="429">
          <cell r="AS429" t="str">
            <v/>
          </cell>
          <cell r="AU429" t="str">
            <v/>
          </cell>
        </row>
        <row r="430">
          <cell r="AS430" t="str">
            <v/>
          </cell>
          <cell r="AU430" t="str">
            <v/>
          </cell>
        </row>
        <row r="431">
          <cell r="AS431" t="str">
            <v/>
          </cell>
          <cell r="AU431" t="str">
            <v/>
          </cell>
        </row>
        <row r="432">
          <cell r="AS432" t="str">
            <v/>
          </cell>
          <cell r="AU432" t="str">
            <v/>
          </cell>
        </row>
        <row r="433">
          <cell r="AS433" t="str">
            <v/>
          </cell>
          <cell r="AU433" t="str">
            <v/>
          </cell>
        </row>
        <row r="434">
          <cell r="AS434" t="str">
            <v/>
          </cell>
          <cell r="AU434" t="str">
            <v/>
          </cell>
        </row>
        <row r="435">
          <cell r="AS435" t="str">
            <v/>
          </cell>
          <cell r="AU435" t="str">
            <v/>
          </cell>
        </row>
        <row r="436">
          <cell r="AS436" t="str">
            <v/>
          </cell>
          <cell r="AU436" t="str">
            <v/>
          </cell>
        </row>
        <row r="437">
          <cell r="AS437" t="str">
            <v/>
          </cell>
          <cell r="AU437" t="str">
            <v/>
          </cell>
        </row>
        <row r="438">
          <cell r="AS438" t="str">
            <v/>
          </cell>
          <cell r="AU438" t="str">
            <v/>
          </cell>
        </row>
        <row r="439">
          <cell r="AS439" t="str">
            <v/>
          </cell>
          <cell r="AU439" t="str">
            <v/>
          </cell>
        </row>
        <row r="440">
          <cell r="AS440" t="str">
            <v/>
          </cell>
          <cell r="AU440" t="str">
            <v/>
          </cell>
        </row>
        <row r="441">
          <cell r="AS441" t="str">
            <v/>
          </cell>
          <cell r="AU441" t="str">
            <v/>
          </cell>
        </row>
        <row r="442">
          <cell r="AS442" t="str">
            <v/>
          </cell>
          <cell r="AU442" t="str">
            <v/>
          </cell>
        </row>
        <row r="443">
          <cell r="AS443" t="str">
            <v/>
          </cell>
          <cell r="AU443" t="str">
            <v/>
          </cell>
        </row>
        <row r="444">
          <cell r="AS444" t="str">
            <v/>
          </cell>
          <cell r="AU444" t="str">
            <v/>
          </cell>
        </row>
        <row r="445">
          <cell r="AS445" t="str">
            <v/>
          </cell>
          <cell r="AU445" t="str">
            <v/>
          </cell>
        </row>
        <row r="446">
          <cell r="AS446" t="str">
            <v/>
          </cell>
          <cell r="AU446" t="str">
            <v/>
          </cell>
        </row>
        <row r="447">
          <cell r="AS447" t="str">
            <v/>
          </cell>
          <cell r="AU447" t="str">
            <v/>
          </cell>
        </row>
        <row r="448">
          <cell r="AS448" t="str">
            <v/>
          </cell>
          <cell r="AU448" t="str">
            <v/>
          </cell>
        </row>
        <row r="449">
          <cell r="AS449" t="str">
            <v/>
          </cell>
          <cell r="AU449" t="str">
            <v/>
          </cell>
        </row>
        <row r="450">
          <cell r="AS450" t="str">
            <v/>
          </cell>
          <cell r="AU450" t="str">
            <v/>
          </cell>
        </row>
        <row r="451">
          <cell r="AS451" t="str">
            <v/>
          </cell>
          <cell r="AU451" t="str">
            <v/>
          </cell>
        </row>
        <row r="452">
          <cell r="AS452" t="str">
            <v/>
          </cell>
          <cell r="AU452" t="str">
            <v/>
          </cell>
        </row>
        <row r="453">
          <cell r="AS453" t="str">
            <v/>
          </cell>
          <cell r="AU453" t="str">
            <v/>
          </cell>
        </row>
        <row r="454">
          <cell r="AS454" t="str">
            <v/>
          </cell>
          <cell r="AU454" t="str">
            <v/>
          </cell>
        </row>
        <row r="455">
          <cell r="AS455" t="str">
            <v/>
          </cell>
          <cell r="AU455" t="str">
            <v/>
          </cell>
        </row>
        <row r="456">
          <cell r="AS456" t="str">
            <v/>
          </cell>
          <cell r="AU456" t="str">
            <v/>
          </cell>
        </row>
        <row r="457">
          <cell r="AS457" t="str">
            <v/>
          </cell>
          <cell r="AU457" t="str">
            <v/>
          </cell>
        </row>
        <row r="458">
          <cell r="AS458" t="str">
            <v/>
          </cell>
          <cell r="AU458" t="str">
            <v/>
          </cell>
        </row>
        <row r="459">
          <cell r="AS459" t="str">
            <v/>
          </cell>
          <cell r="AU459" t="str">
            <v/>
          </cell>
        </row>
        <row r="460">
          <cell r="AS460" t="str">
            <v/>
          </cell>
          <cell r="AU460" t="str">
            <v/>
          </cell>
        </row>
        <row r="461">
          <cell r="AS461" t="str">
            <v/>
          </cell>
          <cell r="AU461" t="str">
            <v/>
          </cell>
        </row>
        <row r="462">
          <cell r="AS462" t="str">
            <v/>
          </cell>
          <cell r="AU462" t="str">
            <v/>
          </cell>
        </row>
        <row r="463">
          <cell r="AS463" t="str">
            <v/>
          </cell>
          <cell r="AU463" t="str">
            <v/>
          </cell>
        </row>
        <row r="464">
          <cell r="AS464" t="str">
            <v/>
          </cell>
          <cell r="AU464" t="str">
            <v/>
          </cell>
        </row>
        <row r="465">
          <cell r="AS465" t="str">
            <v/>
          </cell>
          <cell r="AU465" t="str">
            <v/>
          </cell>
        </row>
        <row r="466">
          <cell r="AS466" t="str">
            <v/>
          </cell>
          <cell r="AU466" t="str">
            <v/>
          </cell>
        </row>
        <row r="467">
          <cell r="AS467" t="str">
            <v/>
          </cell>
          <cell r="AU467" t="str">
            <v/>
          </cell>
        </row>
        <row r="468">
          <cell r="AS468" t="str">
            <v/>
          </cell>
          <cell r="AU468" t="str">
            <v/>
          </cell>
        </row>
        <row r="469">
          <cell r="AS469" t="str">
            <v/>
          </cell>
          <cell r="AU469" t="str">
            <v/>
          </cell>
        </row>
        <row r="470">
          <cell r="AS470" t="str">
            <v/>
          </cell>
          <cell r="AU470" t="str">
            <v/>
          </cell>
        </row>
        <row r="471">
          <cell r="AS471" t="str">
            <v/>
          </cell>
          <cell r="AU471" t="str">
            <v/>
          </cell>
        </row>
        <row r="472">
          <cell r="AS472" t="str">
            <v/>
          </cell>
          <cell r="AU472" t="str">
            <v/>
          </cell>
        </row>
        <row r="473">
          <cell r="AS473" t="str">
            <v/>
          </cell>
          <cell r="AU473" t="str">
            <v/>
          </cell>
        </row>
        <row r="474">
          <cell r="AS474" t="str">
            <v/>
          </cell>
          <cell r="AU474" t="str">
            <v/>
          </cell>
        </row>
        <row r="475">
          <cell r="AS475" t="str">
            <v/>
          </cell>
          <cell r="AU475" t="str">
            <v/>
          </cell>
        </row>
        <row r="476">
          <cell r="AS476" t="str">
            <v/>
          </cell>
          <cell r="AU476" t="str">
            <v/>
          </cell>
        </row>
        <row r="477">
          <cell r="AS477" t="str">
            <v/>
          </cell>
          <cell r="AU477" t="str">
            <v/>
          </cell>
        </row>
        <row r="478">
          <cell r="AS478" t="str">
            <v/>
          </cell>
          <cell r="AU478" t="str">
            <v/>
          </cell>
        </row>
        <row r="479">
          <cell r="AS479" t="str">
            <v/>
          </cell>
          <cell r="AU479" t="str">
            <v/>
          </cell>
        </row>
        <row r="480">
          <cell r="AS480" t="str">
            <v/>
          </cell>
          <cell r="AU480" t="str">
            <v/>
          </cell>
        </row>
        <row r="481">
          <cell r="AS481" t="str">
            <v/>
          </cell>
          <cell r="AU481" t="str">
            <v/>
          </cell>
        </row>
        <row r="482">
          <cell r="AS482" t="str">
            <v/>
          </cell>
          <cell r="AU482" t="str">
            <v/>
          </cell>
        </row>
        <row r="483">
          <cell r="AS483" t="str">
            <v/>
          </cell>
          <cell r="AU483" t="str">
            <v/>
          </cell>
        </row>
        <row r="484">
          <cell r="AS484" t="str">
            <v/>
          </cell>
          <cell r="AU484" t="str">
            <v/>
          </cell>
        </row>
        <row r="485">
          <cell r="AS485" t="str">
            <v/>
          </cell>
          <cell r="AU485" t="str">
            <v/>
          </cell>
        </row>
        <row r="486">
          <cell r="AS486" t="str">
            <v/>
          </cell>
          <cell r="AU486" t="str">
            <v/>
          </cell>
        </row>
        <row r="487">
          <cell r="AS487" t="str">
            <v/>
          </cell>
          <cell r="AU487" t="str">
            <v/>
          </cell>
        </row>
        <row r="488">
          <cell r="AS488" t="str">
            <v/>
          </cell>
          <cell r="AU488" t="str">
            <v/>
          </cell>
        </row>
        <row r="489">
          <cell r="AS489" t="str">
            <v/>
          </cell>
          <cell r="AU489" t="str">
            <v/>
          </cell>
        </row>
        <row r="490">
          <cell r="AS490" t="str">
            <v/>
          </cell>
          <cell r="AU490" t="str">
            <v/>
          </cell>
        </row>
        <row r="491">
          <cell r="AS491" t="str">
            <v/>
          </cell>
          <cell r="AU491" t="str">
            <v/>
          </cell>
        </row>
        <row r="492">
          <cell r="AS492" t="str">
            <v/>
          </cell>
          <cell r="AU492" t="str">
            <v/>
          </cell>
        </row>
        <row r="493">
          <cell r="AS493" t="str">
            <v/>
          </cell>
          <cell r="AU493" t="str">
            <v/>
          </cell>
        </row>
        <row r="494">
          <cell r="AS494" t="str">
            <v/>
          </cell>
          <cell r="AU494" t="str">
            <v/>
          </cell>
        </row>
        <row r="495">
          <cell r="AS495" t="str">
            <v/>
          </cell>
          <cell r="AU495" t="str">
            <v/>
          </cell>
        </row>
        <row r="496">
          <cell r="AS496" t="str">
            <v/>
          </cell>
          <cell r="AU496" t="str">
            <v/>
          </cell>
        </row>
        <row r="497">
          <cell r="AS497" t="str">
            <v/>
          </cell>
          <cell r="AU497" t="str">
            <v/>
          </cell>
        </row>
        <row r="498">
          <cell r="AS498" t="str">
            <v/>
          </cell>
          <cell r="AU498" t="str">
            <v/>
          </cell>
        </row>
        <row r="499">
          <cell r="AS499" t="str">
            <v/>
          </cell>
          <cell r="AU499" t="str">
            <v/>
          </cell>
        </row>
        <row r="500">
          <cell r="AS500" t="str">
            <v/>
          </cell>
          <cell r="AU500" t="str">
            <v/>
          </cell>
        </row>
        <row r="501">
          <cell r="AS501" t="str">
            <v/>
          </cell>
          <cell r="AU501" t="str">
            <v/>
          </cell>
        </row>
        <row r="502">
          <cell r="AS502" t="str">
            <v/>
          </cell>
          <cell r="AU502" t="str">
            <v/>
          </cell>
        </row>
        <row r="503">
          <cell r="AS503" t="str">
            <v/>
          </cell>
          <cell r="AU503" t="str">
            <v/>
          </cell>
        </row>
        <row r="504">
          <cell r="AS504" t="str">
            <v/>
          </cell>
          <cell r="AU504" t="str">
            <v/>
          </cell>
        </row>
        <row r="505">
          <cell r="AS505" t="str">
            <v/>
          </cell>
          <cell r="AU505" t="str">
            <v/>
          </cell>
        </row>
        <row r="506">
          <cell r="AS506" t="str">
            <v/>
          </cell>
          <cell r="AU506" t="str">
            <v/>
          </cell>
        </row>
        <row r="507">
          <cell r="AS507" t="str">
            <v/>
          </cell>
          <cell r="AU507" t="str">
            <v/>
          </cell>
        </row>
        <row r="508">
          <cell r="AS508" t="str">
            <v/>
          </cell>
          <cell r="AU508" t="str">
            <v/>
          </cell>
        </row>
        <row r="509">
          <cell r="AS509" t="str">
            <v/>
          </cell>
          <cell r="AU509" t="str">
            <v/>
          </cell>
        </row>
        <row r="510">
          <cell r="AS510" t="str">
            <v/>
          </cell>
          <cell r="AU510" t="str">
            <v/>
          </cell>
        </row>
        <row r="511">
          <cell r="AS511" t="str">
            <v/>
          </cell>
          <cell r="AU511" t="str">
            <v/>
          </cell>
        </row>
        <row r="512">
          <cell r="AS512" t="str">
            <v/>
          </cell>
          <cell r="AU512" t="str">
            <v/>
          </cell>
        </row>
        <row r="513">
          <cell r="AS513" t="str">
            <v/>
          </cell>
          <cell r="AU513" t="str">
            <v/>
          </cell>
        </row>
        <row r="514">
          <cell r="AS514" t="str">
            <v/>
          </cell>
          <cell r="AU514" t="str">
            <v/>
          </cell>
        </row>
        <row r="515">
          <cell r="AS515" t="str">
            <v/>
          </cell>
          <cell r="AU515" t="str">
            <v/>
          </cell>
        </row>
        <row r="516">
          <cell r="AS516" t="str">
            <v/>
          </cell>
          <cell r="AU516" t="str">
            <v/>
          </cell>
        </row>
        <row r="517">
          <cell r="AS517" t="str">
            <v/>
          </cell>
          <cell r="AU517" t="str">
            <v/>
          </cell>
        </row>
        <row r="518">
          <cell r="AS518" t="str">
            <v/>
          </cell>
          <cell r="AU518" t="str">
            <v/>
          </cell>
        </row>
        <row r="519">
          <cell r="AS519" t="str">
            <v/>
          </cell>
          <cell r="AU519" t="str">
            <v/>
          </cell>
        </row>
        <row r="520">
          <cell r="AS520" t="str">
            <v/>
          </cell>
          <cell r="AU520" t="str">
            <v/>
          </cell>
        </row>
        <row r="521">
          <cell r="AS521" t="str">
            <v/>
          </cell>
          <cell r="AU521" t="str">
            <v/>
          </cell>
        </row>
        <row r="522">
          <cell r="AS522" t="str">
            <v/>
          </cell>
          <cell r="AU522" t="str">
            <v/>
          </cell>
        </row>
        <row r="523">
          <cell r="AS523" t="str">
            <v/>
          </cell>
          <cell r="AU523" t="str">
            <v/>
          </cell>
        </row>
        <row r="524">
          <cell r="AS524" t="str">
            <v/>
          </cell>
          <cell r="AU524" t="str">
            <v/>
          </cell>
        </row>
        <row r="525">
          <cell r="AS525" t="str">
            <v/>
          </cell>
          <cell r="AU525" t="str">
            <v/>
          </cell>
        </row>
        <row r="526">
          <cell r="AS526" t="str">
            <v/>
          </cell>
          <cell r="AU526" t="str">
            <v/>
          </cell>
        </row>
        <row r="527">
          <cell r="AS527" t="str">
            <v/>
          </cell>
          <cell r="AU527" t="str">
            <v/>
          </cell>
        </row>
        <row r="528">
          <cell r="AS528" t="str">
            <v/>
          </cell>
          <cell r="AU528" t="str">
            <v/>
          </cell>
        </row>
        <row r="529">
          <cell r="AS529" t="str">
            <v/>
          </cell>
          <cell r="AU529" t="str">
            <v/>
          </cell>
        </row>
        <row r="530">
          <cell r="AS530" t="str">
            <v/>
          </cell>
          <cell r="AU530" t="str">
            <v/>
          </cell>
        </row>
        <row r="531">
          <cell r="AS531" t="str">
            <v/>
          </cell>
          <cell r="AU531" t="str">
            <v/>
          </cell>
        </row>
        <row r="532">
          <cell r="AS532" t="str">
            <v/>
          </cell>
          <cell r="AU532" t="str">
            <v/>
          </cell>
        </row>
        <row r="533">
          <cell r="AS533" t="str">
            <v/>
          </cell>
          <cell r="AU533" t="str">
            <v/>
          </cell>
        </row>
        <row r="534">
          <cell r="AS534" t="str">
            <v/>
          </cell>
          <cell r="AU534" t="str">
            <v/>
          </cell>
        </row>
        <row r="535">
          <cell r="AS535" t="str">
            <v/>
          </cell>
          <cell r="AU535" t="str">
            <v/>
          </cell>
        </row>
        <row r="536">
          <cell r="AS536" t="str">
            <v/>
          </cell>
          <cell r="AU536" t="str">
            <v/>
          </cell>
        </row>
        <row r="537">
          <cell r="AS537" t="str">
            <v/>
          </cell>
          <cell r="AU537" t="str">
            <v/>
          </cell>
        </row>
        <row r="538">
          <cell r="AS538" t="str">
            <v/>
          </cell>
          <cell r="AU538" t="str">
            <v/>
          </cell>
        </row>
        <row r="539">
          <cell r="AS539" t="str">
            <v/>
          </cell>
          <cell r="AU539" t="str">
            <v/>
          </cell>
        </row>
        <row r="540">
          <cell r="AS540" t="str">
            <v/>
          </cell>
          <cell r="AU540" t="str">
            <v/>
          </cell>
        </row>
        <row r="541">
          <cell r="AS541" t="str">
            <v/>
          </cell>
          <cell r="AU541" t="str">
            <v/>
          </cell>
        </row>
        <row r="542">
          <cell r="AS542" t="str">
            <v/>
          </cell>
          <cell r="AU542" t="str">
            <v/>
          </cell>
        </row>
        <row r="543">
          <cell r="AS543" t="str">
            <v/>
          </cell>
          <cell r="AU543" t="str">
            <v/>
          </cell>
        </row>
        <row r="544">
          <cell r="AS544" t="str">
            <v/>
          </cell>
          <cell r="AU544" t="str">
            <v/>
          </cell>
        </row>
        <row r="545">
          <cell r="AS545" t="str">
            <v/>
          </cell>
          <cell r="AU545" t="str">
            <v/>
          </cell>
        </row>
        <row r="546">
          <cell r="AS546" t="str">
            <v/>
          </cell>
          <cell r="AU546" t="str">
            <v/>
          </cell>
        </row>
        <row r="547">
          <cell r="AS547" t="str">
            <v/>
          </cell>
          <cell r="AU547" t="str">
            <v/>
          </cell>
        </row>
        <row r="548">
          <cell r="AS548" t="str">
            <v/>
          </cell>
          <cell r="AU548" t="str">
            <v/>
          </cell>
        </row>
        <row r="549">
          <cell r="AS549" t="str">
            <v/>
          </cell>
          <cell r="AU549" t="str">
            <v/>
          </cell>
        </row>
        <row r="550">
          <cell r="AS550" t="str">
            <v/>
          </cell>
          <cell r="AU550" t="str">
            <v/>
          </cell>
        </row>
        <row r="551">
          <cell r="AS551" t="str">
            <v/>
          </cell>
          <cell r="AU551" t="str">
            <v/>
          </cell>
        </row>
        <row r="552">
          <cell r="AS552" t="str">
            <v/>
          </cell>
          <cell r="AU552" t="str">
            <v/>
          </cell>
        </row>
        <row r="553">
          <cell r="AS553" t="str">
            <v/>
          </cell>
          <cell r="AU553" t="str">
            <v/>
          </cell>
        </row>
        <row r="554">
          <cell r="AS554" t="str">
            <v/>
          </cell>
          <cell r="AU554" t="str">
            <v/>
          </cell>
        </row>
        <row r="555">
          <cell r="AS555" t="str">
            <v/>
          </cell>
          <cell r="AU555" t="str">
            <v/>
          </cell>
        </row>
        <row r="556">
          <cell r="AS556" t="str">
            <v/>
          </cell>
          <cell r="AU556" t="str">
            <v/>
          </cell>
        </row>
        <row r="557">
          <cell r="AS557" t="str">
            <v/>
          </cell>
          <cell r="AU557" t="str">
            <v/>
          </cell>
        </row>
        <row r="558">
          <cell r="AS558" t="str">
            <v/>
          </cell>
          <cell r="AU558" t="str">
            <v/>
          </cell>
        </row>
        <row r="559">
          <cell r="AS559" t="str">
            <v/>
          </cell>
          <cell r="AU559" t="str">
            <v/>
          </cell>
        </row>
        <row r="560">
          <cell r="AS560" t="str">
            <v/>
          </cell>
          <cell r="AU560" t="str">
            <v/>
          </cell>
        </row>
        <row r="561">
          <cell r="AS561" t="str">
            <v/>
          </cell>
          <cell r="AU561" t="str">
            <v/>
          </cell>
        </row>
        <row r="562">
          <cell r="AS562" t="str">
            <v/>
          </cell>
          <cell r="AU562" t="str">
            <v/>
          </cell>
        </row>
        <row r="563">
          <cell r="AS563" t="str">
            <v/>
          </cell>
          <cell r="AU563" t="str">
            <v/>
          </cell>
        </row>
        <row r="564">
          <cell r="AS564" t="str">
            <v/>
          </cell>
          <cell r="AU564" t="str">
            <v/>
          </cell>
        </row>
        <row r="565">
          <cell r="AS565" t="str">
            <v/>
          </cell>
          <cell r="AU565" t="str">
            <v/>
          </cell>
        </row>
        <row r="566">
          <cell r="AS566" t="str">
            <v/>
          </cell>
          <cell r="AU566" t="str">
            <v/>
          </cell>
        </row>
        <row r="567">
          <cell r="AS567" t="str">
            <v/>
          </cell>
          <cell r="AU567" t="str">
            <v/>
          </cell>
        </row>
        <row r="568">
          <cell r="AS568" t="str">
            <v/>
          </cell>
          <cell r="AU568" t="str">
            <v/>
          </cell>
        </row>
        <row r="569">
          <cell r="AS569" t="str">
            <v/>
          </cell>
          <cell r="AU569" t="str">
            <v/>
          </cell>
        </row>
        <row r="570">
          <cell r="AS570" t="str">
            <v/>
          </cell>
          <cell r="AU570" t="str">
            <v/>
          </cell>
        </row>
        <row r="571">
          <cell r="AS571" t="str">
            <v/>
          </cell>
          <cell r="AU571" t="str">
            <v/>
          </cell>
        </row>
        <row r="572">
          <cell r="AS572" t="str">
            <v/>
          </cell>
          <cell r="AU572" t="str">
            <v/>
          </cell>
        </row>
        <row r="573">
          <cell r="AS573" t="str">
            <v/>
          </cell>
          <cell r="AU573" t="str">
            <v/>
          </cell>
        </row>
        <row r="574">
          <cell r="AS574" t="str">
            <v/>
          </cell>
          <cell r="AU574" t="str">
            <v/>
          </cell>
        </row>
        <row r="575">
          <cell r="AS575" t="str">
            <v/>
          </cell>
          <cell r="AU575" t="str">
            <v/>
          </cell>
        </row>
        <row r="576">
          <cell r="AS576" t="str">
            <v/>
          </cell>
          <cell r="AU576" t="str">
            <v/>
          </cell>
        </row>
        <row r="577">
          <cell r="AS577" t="str">
            <v/>
          </cell>
          <cell r="AU577" t="str">
            <v/>
          </cell>
        </row>
        <row r="578">
          <cell r="AS578" t="str">
            <v/>
          </cell>
          <cell r="AU578" t="str">
            <v/>
          </cell>
        </row>
        <row r="579">
          <cell r="AS579" t="str">
            <v/>
          </cell>
          <cell r="AU579" t="str">
            <v/>
          </cell>
        </row>
        <row r="580">
          <cell r="AS580" t="str">
            <v/>
          </cell>
          <cell r="AU580" t="str">
            <v/>
          </cell>
        </row>
        <row r="581">
          <cell r="AS581" t="str">
            <v/>
          </cell>
          <cell r="AU581" t="str">
            <v/>
          </cell>
        </row>
        <row r="582">
          <cell r="AS582" t="str">
            <v/>
          </cell>
          <cell r="AU582" t="str">
            <v/>
          </cell>
        </row>
        <row r="583">
          <cell r="AS583" t="str">
            <v/>
          </cell>
          <cell r="AU583" t="str">
            <v/>
          </cell>
        </row>
        <row r="584">
          <cell r="AS584" t="str">
            <v/>
          </cell>
          <cell r="AU584" t="str">
            <v/>
          </cell>
        </row>
        <row r="585">
          <cell r="AS585" t="str">
            <v/>
          </cell>
          <cell r="AU585" t="str">
            <v/>
          </cell>
        </row>
        <row r="586">
          <cell r="AS586" t="str">
            <v/>
          </cell>
          <cell r="AU586" t="str">
            <v/>
          </cell>
        </row>
        <row r="587">
          <cell r="AS587" t="str">
            <v/>
          </cell>
          <cell r="AU587" t="str">
            <v/>
          </cell>
        </row>
        <row r="588">
          <cell r="AS588" t="str">
            <v/>
          </cell>
          <cell r="AU588" t="str">
            <v/>
          </cell>
        </row>
        <row r="589">
          <cell r="AS589" t="str">
            <v/>
          </cell>
          <cell r="AU589" t="str">
            <v/>
          </cell>
        </row>
        <row r="590">
          <cell r="AS590" t="str">
            <v/>
          </cell>
          <cell r="AU590" t="str">
            <v/>
          </cell>
        </row>
        <row r="591">
          <cell r="AS591" t="str">
            <v/>
          </cell>
          <cell r="AU591" t="str">
            <v/>
          </cell>
        </row>
        <row r="592">
          <cell r="AS592" t="str">
            <v/>
          </cell>
          <cell r="AU592" t="str">
            <v/>
          </cell>
        </row>
        <row r="593">
          <cell r="AS593" t="str">
            <v/>
          </cell>
          <cell r="AU593" t="str">
            <v/>
          </cell>
        </row>
        <row r="594">
          <cell r="AS594" t="str">
            <v/>
          </cell>
          <cell r="AU594" t="str">
            <v/>
          </cell>
        </row>
        <row r="595">
          <cell r="AS595" t="str">
            <v/>
          </cell>
          <cell r="AU595" t="str">
            <v/>
          </cell>
        </row>
        <row r="596">
          <cell r="AS596" t="str">
            <v/>
          </cell>
          <cell r="AU596" t="str">
            <v/>
          </cell>
        </row>
        <row r="597">
          <cell r="AS597" t="str">
            <v/>
          </cell>
          <cell r="AU597" t="str">
            <v/>
          </cell>
        </row>
        <row r="598">
          <cell r="AS598" t="str">
            <v/>
          </cell>
          <cell r="AU598" t="str">
            <v/>
          </cell>
        </row>
        <row r="599">
          <cell r="AS599" t="str">
            <v/>
          </cell>
          <cell r="AU599" t="str">
            <v/>
          </cell>
        </row>
        <row r="600">
          <cell r="AS600" t="str">
            <v/>
          </cell>
          <cell r="AU600" t="str">
            <v/>
          </cell>
        </row>
        <row r="601">
          <cell r="AS601" t="str">
            <v/>
          </cell>
          <cell r="AU601" t="str">
            <v/>
          </cell>
        </row>
        <row r="602">
          <cell r="AS602" t="str">
            <v/>
          </cell>
          <cell r="AU602" t="str">
            <v/>
          </cell>
        </row>
        <row r="603">
          <cell r="AS603" t="str">
            <v/>
          </cell>
          <cell r="AU603" t="str">
            <v/>
          </cell>
        </row>
        <row r="604">
          <cell r="AS604" t="str">
            <v/>
          </cell>
          <cell r="AU604" t="str">
            <v/>
          </cell>
        </row>
        <row r="605">
          <cell r="AS605" t="str">
            <v/>
          </cell>
          <cell r="AU605" t="str">
            <v/>
          </cell>
        </row>
        <row r="606">
          <cell r="AS606" t="str">
            <v/>
          </cell>
          <cell r="AU606" t="str">
            <v/>
          </cell>
        </row>
        <row r="607">
          <cell r="AS607" t="str">
            <v/>
          </cell>
          <cell r="AU607" t="str">
            <v/>
          </cell>
        </row>
        <row r="608">
          <cell r="AS608" t="str">
            <v/>
          </cell>
          <cell r="AU608" t="str">
            <v/>
          </cell>
        </row>
        <row r="609">
          <cell r="AS609" t="str">
            <v/>
          </cell>
          <cell r="AU609" t="str">
            <v/>
          </cell>
        </row>
        <row r="610">
          <cell r="AS610" t="str">
            <v/>
          </cell>
          <cell r="AU610" t="str">
            <v/>
          </cell>
        </row>
        <row r="611">
          <cell r="AS611" t="str">
            <v/>
          </cell>
          <cell r="AU611" t="str">
            <v/>
          </cell>
        </row>
        <row r="612">
          <cell r="AS612" t="str">
            <v/>
          </cell>
          <cell r="AU612" t="str">
            <v/>
          </cell>
        </row>
        <row r="613">
          <cell r="AS613" t="str">
            <v/>
          </cell>
          <cell r="AU613" t="str">
            <v/>
          </cell>
        </row>
        <row r="614">
          <cell r="AS614" t="str">
            <v/>
          </cell>
          <cell r="AU614" t="str">
            <v/>
          </cell>
        </row>
        <row r="615">
          <cell r="AS615" t="str">
            <v/>
          </cell>
          <cell r="AU615" t="str">
            <v/>
          </cell>
        </row>
        <row r="616">
          <cell r="AS616" t="str">
            <v/>
          </cell>
          <cell r="AU616" t="str">
            <v/>
          </cell>
        </row>
        <row r="617">
          <cell r="AS617" t="str">
            <v/>
          </cell>
          <cell r="AU617" t="str">
            <v/>
          </cell>
        </row>
        <row r="618">
          <cell r="AS618" t="str">
            <v/>
          </cell>
          <cell r="AU618" t="str">
            <v/>
          </cell>
        </row>
        <row r="619">
          <cell r="AS619" t="str">
            <v/>
          </cell>
          <cell r="AU619" t="str">
            <v/>
          </cell>
        </row>
        <row r="620">
          <cell r="AS620" t="str">
            <v/>
          </cell>
          <cell r="AU620" t="str">
            <v/>
          </cell>
        </row>
        <row r="621">
          <cell r="AS621" t="str">
            <v/>
          </cell>
          <cell r="AU621" t="str">
            <v/>
          </cell>
        </row>
        <row r="622">
          <cell r="AS622" t="str">
            <v/>
          </cell>
          <cell r="AU622" t="str">
            <v/>
          </cell>
        </row>
        <row r="623">
          <cell r="AS623" t="str">
            <v/>
          </cell>
          <cell r="AU623" t="str">
            <v/>
          </cell>
        </row>
        <row r="624">
          <cell r="AS624" t="str">
            <v/>
          </cell>
          <cell r="AU624" t="str">
            <v/>
          </cell>
        </row>
        <row r="625">
          <cell r="AS625" t="str">
            <v/>
          </cell>
          <cell r="AU625" t="str">
            <v/>
          </cell>
        </row>
        <row r="626">
          <cell r="AS626" t="str">
            <v/>
          </cell>
          <cell r="AU626" t="str">
            <v/>
          </cell>
        </row>
        <row r="627">
          <cell r="AS627" t="str">
            <v/>
          </cell>
          <cell r="AU627" t="str">
            <v/>
          </cell>
        </row>
        <row r="628">
          <cell r="AS628" t="str">
            <v/>
          </cell>
          <cell r="AU628" t="str">
            <v/>
          </cell>
        </row>
        <row r="629">
          <cell r="AS629" t="str">
            <v/>
          </cell>
          <cell r="AU629" t="str">
            <v/>
          </cell>
        </row>
        <row r="630">
          <cell r="AS630" t="str">
            <v/>
          </cell>
          <cell r="AU630" t="str">
            <v/>
          </cell>
        </row>
        <row r="631">
          <cell r="AS631" t="str">
            <v/>
          </cell>
          <cell r="AU631" t="str">
            <v/>
          </cell>
        </row>
        <row r="632">
          <cell r="AS632" t="str">
            <v/>
          </cell>
          <cell r="AU632" t="str">
            <v/>
          </cell>
        </row>
        <row r="633">
          <cell r="AS633" t="str">
            <v/>
          </cell>
          <cell r="AU633" t="str">
            <v/>
          </cell>
        </row>
        <row r="634">
          <cell r="AS634" t="str">
            <v/>
          </cell>
          <cell r="AU634" t="str">
            <v/>
          </cell>
        </row>
        <row r="635">
          <cell r="AS635" t="str">
            <v/>
          </cell>
          <cell r="AU635" t="str">
            <v/>
          </cell>
        </row>
        <row r="636">
          <cell r="AS636" t="str">
            <v/>
          </cell>
          <cell r="AU636" t="str">
            <v/>
          </cell>
        </row>
        <row r="637">
          <cell r="AS637" t="str">
            <v/>
          </cell>
          <cell r="AU637" t="str">
            <v/>
          </cell>
        </row>
        <row r="638">
          <cell r="AS638" t="str">
            <v/>
          </cell>
          <cell r="AU638" t="str">
            <v/>
          </cell>
        </row>
        <row r="639">
          <cell r="AS639" t="str">
            <v/>
          </cell>
          <cell r="AU639" t="str">
            <v/>
          </cell>
        </row>
        <row r="640">
          <cell r="AS640" t="str">
            <v/>
          </cell>
          <cell r="AU640" t="str">
            <v/>
          </cell>
        </row>
        <row r="641">
          <cell r="AS641" t="str">
            <v/>
          </cell>
          <cell r="AU641" t="str">
            <v/>
          </cell>
        </row>
        <row r="642">
          <cell r="AS642" t="str">
            <v/>
          </cell>
          <cell r="AU642" t="str">
            <v/>
          </cell>
        </row>
        <row r="643">
          <cell r="AS643" t="str">
            <v/>
          </cell>
          <cell r="AU643" t="str">
            <v/>
          </cell>
        </row>
        <row r="644">
          <cell r="AS644" t="str">
            <v/>
          </cell>
          <cell r="AU644" t="str">
            <v/>
          </cell>
        </row>
        <row r="645">
          <cell r="AS645" t="str">
            <v/>
          </cell>
          <cell r="AU645" t="str">
            <v/>
          </cell>
        </row>
        <row r="646">
          <cell r="AS646" t="str">
            <v/>
          </cell>
          <cell r="AU646" t="str">
            <v/>
          </cell>
        </row>
        <row r="647">
          <cell r="AS647" t="str">
            <v/>
          </cell>
          <cell r="AU647" t="str">
            <v/>
          </cell>
        </row>
        <row r="648">
          <cell r="AS648" t="str">
            <v/>
          </cell>
          <cell r="AU648" t="str">
            <v/>
          </cell>
        </row>
        <row r="649">
          <cell r="AS649" t="str">
            <v/>
          </cell>
          <cell r="AU649" t="str">
            <v/>
          </cell>
        </row>
        <row r="650">
          <cell r="AS650" t="str">
            <v/>
          </cell>
          <cell r="AU650" t="str">
            <v/>
          </cell>
        </row>
        <row r="651">
          <cell r="AS651" t="str">
            <v/>
          </cell>
          <cell r="AU651" t="str">
            <v/>
          </cell>
        </row>
        <row r="652">
          <cell r="AS652" t="str">
            <v/>
          </cell>
          <cell r="AU652" t="str">
            <v/>
          </cell>
        </row>
        <row r="653">
          <cell r="AS653" t="str">
            <v/>
          </cell>
          <cell r="AU653" t="str">
            <v/>
          </cell>
        </row>
        <row r="654">
          <cell r="AS654" t="str">
            <v/>
          </cell>
          <cell r="AU654" t="str">
            <v/>
          </cell>
        </row>
        <row r="655">
          <cell r="AS655" t="str">
            <v/>
          </cell>
          <cell r="AU655" t="str">
            <v/>
          </cell>
        </row>
        <row r="656">
          <cell r="AS656" t="str">
            <v/>
          </cell>
          <cell r="AU656" t="str">
            <v/>
          </cell>
        </row>
        <row r="657">
          <cell r="AS657" t="str">
            <v/>
          </cell>
          <cell r="AU657" t="str">
            <v/>
          </cell>
        </row>
        <row r="658">
          <cell r="AS658" t="str">
            <v/>
          </cell>
          <cell r="AU658" t="str">
            <v/>
          </cell>
        </row>
        <row r="659">
          <cell r="AS659" t="str">
            <v/>
          </cell>
          <cell r="AU659" t="str">
            <v/>
          </cell>
        </row>
        <row r="660">
          <cell r="AS660" t="str">
            <v/>
          </cell>
          <cell r="AU660" t="str">
            <v/>
          </cell>
        </row>
        <row r="661">
          <cell r="AS661" t="str">
            <v/>
          </cell>
          <cell r="AU661" t="str">
            <v/>
          </cell>
        </row>
        <row r="662">
          <cell r="AS662" t="str">
            <v/>
          </cell>
          <cell r="AU662" t="str">
            <v/>
          </cell>
        </row>
        <row r="663">
          <cell r="AS663" t="str">
            <v/>
          </cell>
          <cell r="AU663" t="str">
            <v/>
          </cell>
        </row>
        <row r="664">
          <cell r="AS664" t="str">
            <v/>
          </cell>
          <cell r="AU664" t="str">
            <v/>
          </cell>
        </row>
        <row r="665">
          <cell r="AS665" t="str">
            <v/>
          </cell>
          <cell r="AU665" t="str">
            <v/>
          </cell>
        </row>
        <row r="666">
          <cell r="AS666" t="str">
            <v/>
          </cell>
          <cell r="AU666" t="str">
            <v/>
          </cell>
        </row>
        <row r="667">
          <cell r="AS667" t="str">
            <v/>
          </cell>
          <cell r="AU667" t="str">
            <v/>
          </cell>
        </row>
        <row r="668">
          <cell r="AS668" t="str">
            <v/>
          </cell>
          <cell r="AU668" t="str">
            <v/>
          </cell>
        </row>
        <row r="669">
          <cell r="AS669" t="str">
            <v/>
          </cell>
          <cell r="AU669" t="str">
            <v/>
          </cell>
        </row>
        <row r="670">
          <cell r="AS670" t="str">
            <v/>
          </cell>
          <cell r="AU670" t="str">
            <v/>
          </cell>
        </row>
        <row r="671">
          <cell r="AS671" t="str">
            <v/>
          </cell>
          <cell r="AU671" t="str">
            <v/>
          </cell>
        </row>
        <row r="672">
          <cell r="AS672" t="str">
            <v/>
          </cell>
          <cell r="AU672" t="str">
            <v/>
          </cell>
        </row>
        <row r="673">
          <cell r="AS673" t="str">
            <v/>
          </cell>
          <cell r="AU673" t="str">
            <v/>
          </cell>
        </row>
        <row r="674">
          <cell r="AS674" t="str">
            <v/>
          </cell>
          <cell r="AU674" t="str">
            <v/>
          </cell>
        </row>
        <row r="675">
          <cell r="AS675" t="str">
            <v/>
          </cell>
          <cell r="AU675" t="str">
            <v/>
          </cell>
        </row>
        <row r="676">
          <cell r="AS676" t="str">
            <v/>
          </cell>
          <cell r="AU676" t="str">
            <v/>
          </cell>
        </row>
        <row r="677">
          <cell r="AS677" t="str">
            <v/>
          </cell>
          <cell r="AU677" t="str">
            <v/>
          </cell>
        </row>
        <row r="678">
          <cell r="AS678" t="str">
            <v/>
          </cell>
          <cell r="AU678" t="str">
            <v/>
          </cell>
        </row>
        <row r="679">
          <cell r="AS679" t="str">
            <v/>
          </cell>
          <cell r="AU679" t="str">
            <v/>
          </cell>
        </row>
        <row r="680">
          <cell r="AS680" t="str">
            <v/>
          </cell>
          <cell r="AU680" t="str">
            <v/>
          </cell>
        </row>
        <row r="681">
          <cell r="AS681" t="str">
            <v/>
          </cell>
          <cell r="AU681" t="str">
            <v/>
          </cell>
        </row>
        <row r="682">
          <cell r="AS682" t="str">
            <v/>
          </cell>
          <cell r="AU682" t="str">
            <v/>
          </cell>
        </row>
        <row r="683">
          <cell r="AS683" t="str">
            <v/>
          </cell>
          <cell r="AU683" t="str">
            <v/>
          </cell>
        </row>
        <row r="684">
          <cell r="AS684" t="str">
            <v/>
          </cell>
          <cell r="AU684" t="str">
            <v/>
          </cell>
        </row>
        <row r="685">
          <cell r="AS685" t="str">
            <v/>
          </cell>
          <cell r="AU685" t="str">
            <v/>
          </cell>
        </row>
        <row r="686">
          <cell r="AS686" t="str">
            <v/>
          </cell>
          <cell r="AU686" t="str">
            <v/>
          </cell>
        </row>
        <row r="687">
          <cell r="AS687" t="str">
            <v/>
          </cell>
          <cell r="AU687" t="str">
            <v/>
          </cell>
        </row>
        <row r="688">
          <cell r="AS688" t="str">
            <v/>
          </cell>
          <cell r="AU688" t="str">
            <v/>
          </cell>
        </row>
        <row r="689">
          <cell r="AS689" t="str">
            <v/>
          </cell>
          <cell r="AU689" t="str">
            <v/>
          </cell>
        </row>
        <row r="690">
          <cell r="AS690" t="str">
            <v/>
          </cell>
          <cell r="AU690" t="str">
            <v/>
          </cell>
        </row>
        <row r="691">
          <cell r="AS691" t="str">
            <v/>
          </cell>
          <cell r="AU691" t="str">
            <v/>
          </cell>
        </row>
        <row r="692">
          <cell r="AS692" t="str">
            <v/>
          </cell>
          <cell r="AU692" t="str">
            <v/>
          </cell>
        </row>
        <row r="693">
          <cell r="AS693" t="str">
            <v/>
          </cell>
          <cell r="AU693" t="str">
            <v/>
          </cell>
        </row>
        <row r="694">
          <cell r="AS694" t="str">
            <v/>
          </cell>
          <cell r="AU694" t="str">
            <v/>
          </cell>
        </row>
        <row r="695">
          <cell r="AS695" t="str">
            <v/>
          </cell>
          <cell r="AU695" t="str">
            <v/>
          </cell>
        </row>
        <row r="696">
          <cell r="AS696" t="str">
            <v/>
          </cell>
          <cell r="AU696" t="str">
            <v/>
          </cell>
        </row>
        <row r="697">
          <cell r="AS697" t="str">
            <v/>
          </cell>
          <cell r="AU697" t="str">
            <v/>
          </cell>
        </row>
        <row r="698">
          <cell r="AS698" t="str">
            <v/>
          </cell>
          <cell r="AU698" t="str">
            <v/>
          </cell>
        </row>
        <row r="699">
          <cell r="AS699" t="str">
            <v/>
          </cell>
          <cell r="AU699" t="str">
            <v/>
          </cell>
        </row>
        <row r="700">
          <cell r="AS700" t="str">
            <v/>
          </cell>
          <cell r="AU700" t="str">
            <v/>
          </cell>
        </row>
        <row r="701">
          <cell r="AS701" t="str">
            <v/>
          </cell>
          <cell r="AU701" t="str">
            <v/>
          </cell>
        </row>
        <row r="702">
          <cell r="AS702" t="str">
            <v/>
          </cell>
          <cell r="AU702" t="str">
            <v/>
          </cell>
        </row>
        <row r="703">
          <cell r="AS703" t="str">
            <v/>
          </cell>
          <cell r="AU703" t="str">
            <v/>
          </cell>
        </row>
        <row r="704">
          <cell r="AS704" t="str">
            <v/>
          </cell>
          <cell r="AU704" t="str">
            <v/>
          </cell>
        </row>
        <row r="705">
          <cell r="AS705" t="str">
            <v/>
          </cell>
          <cell r="AU705" t="str">
            <v/>
          </cell>
        </row>
        <row r="706">
          <cell r="AS706" t="str">
            <v/>
          </cell>
          <cell r="AU706" t="str">
            <v/>
          </cell>
        </row>
        <row r="707">
          <cell r="AS707" t="str">
            <v/>
          </cell>
          <cell r="AU707" t="str">
            <v/>
          </cell>
        </row>
        <row r="708">
          <cell r="AS708" t="str">
            <v/>
          </cell>
          <cell r="AU708" t="str">
            <v/>
          </cell>
        </row>
        <row r="709">
          <cell r="AS709" t="str">
            <v/>
          </cell>
          <cell r="AU709" t="str">
            <v/>
          </cell>
        </row>
        <row r="710">
          <cell r="AS710" t="str">
            <v/>
          </cell>
          <cell r="AU710" t="str">
            <v/>
          </cell>
        </row>
        <row r="711">
          <cell r="AS711" t="str">
            <v/>
          </cell>
          <cell r="AU711" t="str">
            <v/>
          </cell>
        </row>
        <row r="712">
          <cell r="AS712" t="str">
            <v/>
          </cell>
          <cell r="AU712" t="str">
            <v/>
          </cell>
        </row>
        <row r="713">
          <cell r="AS713" t="str">
            <v/>
          </cell>
          <cell r="AU713" t="str">
            <v/>
          </cell>
        </row>
        <row r="714">
          <cell r="AS714" t="str">
            <v/>
          </cell>
          <cell r="AU714" t="str">
            <v/>
          </cell>
        </row>
        <row r="715">
          <cell r="AS715" t="str">
            <v/>
          </cell>
          <cell r="AU715" t="str">
            <v/>
          </cell>
        </row>
        <row r="716">
          <cell r="AS716" t="str">
            <v/>
          </cell>
          <cell r="AU716" t="str">
            <v/>
          </cell>
        </row>
        <row r="717">
          <cell r="AS717" t="str">
            <v/>
          </cell>
          <cell r="AU717" t="str">
            <v/>
          </cell>
        </row>
        <row r="718">
          <cell r="AS718" t="str">
            <v/>
          </cell>
          <cell r="AU718" t="str">
            <v/>
          </cell>
        </row>
        <row r="719">
          <cell r="AS719" t="str">
            <v/>
          </cell>
          <cell r="AU719" t="str">
            <v/>
          </cell>
        </row>
        <row r="720">
          <cell r="AS720" t="str">
            <v/>
          </cell>
          <cell r="AU720" t="str">
            <v/>
          </cell>
        </row>
        <row r="721">
          <cell r="AS721" t="str">
            <v/>
          </cell>
          <cell r="AU721" t="str">
            <v/>
          </cell>
        </row>
        <row r="722">
          <cell r="AS722" t="str">
            <v/>
          </cell>
          <cell r="AU722" t="str">
            <v/>
          </cell>
        </row>
        <row r="723">
          <cell r="AS723" t="str">
            <v/>
          </cell>
          <cell r="AU723" t="str">
            <v/>
          </cell>
        </row>
        <row r="724">
          <cell r="AS724" t="str">
            <v/>
          </cell>
          <cell r="AU724" t="str">
            <v/>
          </cell>
        </row>
        <row r="725">
          <cell r="AS725" t="str">
            <v/>
          </cell>
          <cell r="AU725" t="str">
            <v/>
          </cell>
        </row>
        <row r="726">
          <cell r="AS726" t="str">
            <v/>
          </cell>
          <cell r="AU726" t="str">
            <v/>
          </cell>
        </row>
        <row r="727">
          <cell r="AS727" t="str">
            <v/>
          </cell>
          <cell r="AU727" t="str">
            <v/>
          </cell>
        </row>
        <row r="728">
          <cell r="AS728" t="str">
            <v/>
          </cell>
          <cell r="AU728" t="str">
            <v/>
          </cell>
        </row>
        <row r="729">
          <cell r="AS729" t="str">
            <v/>
          </cell>
          <cell r="AU729" t="str">
            <v/>
          </cell>
        </row>
        <row r="730">
          <cell r="AS730" t="str">
            <v/>
          </cell>
          <cell r="AU730" t="str">
            <v/>
          </cell>
        </row>
        <row r="731">
          <cell r="AS731" t="str">
            <v/>
          </cell>
          <cell r="AU731" t="str">
            <v/>
          </cell>
        </row>
        <row r="732">
          <cell r="AS732" t="str">
            <v/>
          </cell>
          <cell r="AU732" t="str">
            <v/>
          </cell>
        </row>
        <row r="733">
          <cell r="AS733" t="str">
            <v/>
          </cell>
          <cell r="AU733" t="str">
            <v/>
          </cell>
        </row>
        <row r="734">
          <cell r="AS734" t="str">
            <v/>
          </cell>
          <cell r="AU734" t="str">
            <v/>
          </cell>
        </row>
        <row r="735">
          <cell r="AS735" t="str">
            <v/>
          </cell>
          <cell r="AU735" t="str">
            <v/>
          </cell>
        </row>
        <row r="736">
          <cell r="AS736" t="str">
            <v/>
          </cell>
          <cell r="AU736" t="str">
            <v/>
          </cell>
        </row>
        <row r="737">
          <cell r="AS737" t="str">
            <v/>
          </cell>
          <cell r="AU737" t="str">
            <v/>
          </cell>
        </row>
        <row r="738">
          <cell r="AS738" t="str">
            <v/>
          </cell>
          <cell r="AU738" t="str">
            <v/>
          </cell>
        </row>
        <row r="739">
          <cell r="AS739" t="str">
            <v/>
          </cell>
          <cell r="AU739" t="str">
            <v/>
          </cell>
        </row>
        <row r="740">
          <cell r="AS740" t="str">
            <v/>
          </cell>
          <cell r="AU740" t="str">
            <v/>
          </cell>
        </row>
        <row r="741">
          <cell r="AS741" t="str">
            <v/>
          </cell>
          <cell r="AU741" t="str">
            <v/>
          </cell>
        </row>
        <row r="742">
          <cell r="AS742" t="str">
            <v/>
          </cell>
          <cell r="AU742" t="str">
            <v/>
          </cell>
        </row>
        <row r="743">
          <cell r="AS743" t="str">
            <v/>
          </cell>
          <cell r="AU743" t="str">
            <v/>
          </cell>
        </row>
        <row r="744">
          <cell r="AS744" t="str">
            <v/>
          </cell>
          <cell r="AU744" t="str">
            <v/>
          </cell>
        </row>
        <row r="745">
          <cell r="AS745" t="str">
            <v/>
          </cell>
          <cell r="AU745" t="str">
            <v/>
          </cell>
        </row>
        <row r="746">
          <cell r="AS746" t="str">
            <v/>
          </cell>
          <cell r="AU746" t="str">
            <v/>
          </cell>
        </row>
        <row r="747">
          <cell r="AS747" t="str">
            <v/>
          </cell>
          <cell r="AU747" t="str">
            <v/>
          </cell>
        </row>
        <row r="748">
          <cell r="AS748" t="str">
            <v/>
          </cell>
          <cell r="AU748" t="str">
            <v/>
          </cell>
        </row>
        <row r="749">
          <cell r="AS749" t="str">
            <v/>
          </cell>
          <cell r="AU749" t="str">
            <v/>
          </cell>
        </row>
        <row r="750">
          <cell r="AS750" t="str">
            <v/>
          </cell>
          <cell r="AU750" t="str">
            <v/>
          </cell>
        </row>
        <row r="751">
          <cell r="AS751" t="str">
            <v/>
          </cell>
          <cell r="AU751" t="str">
            <v/>
          </cell>
        </row>
        <row r="752">
          <cell r="AS752" t="str">
            <v/>
          </cell>
          <cell r="AU752" t="str">
            <v/>
          </cell>
        </row>
        <row r="753">
          <cell r="AS753" t="str">
            <v/>
          </cell>
          <cell r="AU753" t="str">
            <v/>
          </cell>
        </row>
        <row r="754">
          <cell r="AS754" t="str">
            <v/>
          </cell>
          <cell r="AU754" t="str">
            <v/>
          </cell>
        </row>
        <row r="755">
          <cell r="AS755" t="str">
            <v/>
          </cell>
          <cell r="AU755" t="str">
            <v/>
          </cell>
        </row>
        <row r="756">
          <cell r="AS756" t="str">
            <v/>
          </cell>
          <cell r="AU756" t="str">
            <v/>
          </cell>
        </row>
        <row r="757">
          <cell r="AS757" t="str">
            <v/>
          </cell>
          <cell r="AU757" t="str">
            <v/>
          </cell>
        </row>
        <row r="758">
          <cell r="AS758" t="str">
            <v/>
          </cell>
          <cell r="AU758" t="str">
            <v/>
          </cell>
        </row>
        <row r="759">
          <cell r="AS759" t="str">
            <v/>
          </cell>
          <cell r="AU759" t="str">
            <v/>
          </cell>
        </row>
        <row r="760">
          <cell r="AS760" t="str">
            <v/>
          </cell>
          <cell r="AU760" t="str">
            <v/>
          </cell>
        </row>
        <row r="761">
          <cell r="AS761" t="str">
            <v/>
          </cell>
          <cell r="AU761" t="str">
            <v/>
          </cell>
        </row>
        <row r="762">
          <cell r="AS762" t="str">
            <v/>
          </cell>
          <cell r="AU762" t="str">
            <v/>
          </cell>
        </row>
        <row r="763">
          <cell r="AS763" t="str">
            <v/>
          </cell>
          <cell r="AU763" t="str">
            <v/>
          </cell>
        </row>
        <row r="764">
          <cell r="AS764" t="str">
            <v/>
          </cell>
          <cell r="AU764" t="str">
            <v/>
          </cell>
        </row>
        <row r="765">
          <cell r="AS765" t="str">
            <v/>
          </cell>
          <cell r="AU765" t="str">
            <v/>
          </cell>
        </row>
        <row r="766">
          <cell r="AS766" t="str">
            <v/>
          </cell>
          <cell r="AU766" t="str">
            <v/>
          </cell>
        </row>
        <row r="767">
          <cell r="AS767" t="str">
            <v/>
          </cell>
          <cell r="AU767" t="str">
            <v/>
          </cell>
        </row>
        <row r="768">
          <cell r="AS768" t="str">
            <v/>
          </cell>
          <cell r="AU768" t="str">
            <v/>
          </cell>
        </row>
        <row r="769">
          <cell r="AS769" t="str">
            <v/>
          </cell>
          <cell r="AU769" t="str">
            <v/>
          </cell>
        </row>
        <row r="770">
          <cell r="AS770" t="str">
            <v/>
          </cell>
          <cell r="AU770" t="str">
            <v/>
          </cell>
        </row>
        <row r="771">
          <cell r="AS771" t="str">
            <v/>
          </cell>
          <cell r="AU771" t="str">
            <v/>
          </cell>
        </row>
        <row r="772">
          <cell r="AS772" t="str">
            <v/>
          </cell>
          <cell r="AU772" t="str">
            <v/>
          </cell>
        </row>
        <row r="773">
          <cell r="AS773" t="str">
            <v/>
          </cell>
          <cell r="AU773" t="str">
            <v/>
          </cell>
        </row>
        <row r="774">
          <cell r="AS774" t="str">
            <v/>
          </cell>
          <cell r="AU774" t="str">
            <v/>
          </cell>
        </row>
        <row r="775">
          <cell r="AS775" t="str">
            <v/>
          </cell>
          <cell r="AU775" t="str">
            <v/>
          </cell>
        </row>
        <row r="776">
          <cell r="AS776" t="str">
            <v/>
          </cell>
          <cell r="AU776" t="str">
            <v/>
          </cell>
        </row>
        <row r="777">
          <cell r="AS777" t="str">
            <v/>
          </cell>
          <cell r="AU777" t="str">
            <v/>
          </cell>
        </row>
        <row r="778">
          <cell r="AS778" t="str">
            <v/>
          </cell>
          <cell r="AU778" t="str">
            <v/>
          </cell>
        </row>
        <row r="779">
          <cell r="AS779" t="str">
            <v/>
          </cell>
          <cell r="AU779" t="str">
            <v/>
          </cell>
        </row>
        <row r="780">
          <cell r="AS780" t="str">
            <v/>
          </cell>
          <cell r="AU780" t="str">
            <v/>
          </cell>
        </row>
        <row r="781">
          <cell r="AS781" t="str">
            <v/>
          </cell>
          <cell r="AU781" t="str">
            <v/>
          </cell>
        </row>
        <row r="782">
          <cell r="AS782" t="str">
            <v/>
          </cell>
          <cell r="AU782" t="str">
            <v/>
          </cell>
        </row>
        <row r="783">
          <cell r="AS783" t="str">
            <v/>
          </cell>
          <cell r="AU783" t="str">
            <v/>
          </cell>
        </row>
        <row r="784">
          <cell r="AS784" t="str">
            <v/>
          </cell>
          <cell r="AU784" t="str">
            <v/>
          </cell>
        </row>
        <row r="785">
          <cell r="AS785" t="str">
            <v/>
          </cell>
          <cell r="AU785" t="str">
            <v/>
          </cell>
        </row>
        <row r="786">
          <cell r="AS786" t="str">
            <v/>
          </cell>
          <cell r="AU786" t="str">
            <v/>
          </cell>
        </row>
        <row r="787">
          <cell r="AS787" t="str">
            <v/>
          </cell>
          <cell r="AU787" t="str">
            <v/>
          </cell>
        </row>
        <row r="788">
          <cell r="AS788" t="str">
            <v/>
          </cell>
          <cell r="AU788" t="str">
            <v/>
          </cell>
        </row>
        <row r="789">
          <cell r="AS789" t="str">
            <v/>
          </cell>
          <cell r="AU789" t="str">
            <v/>
          </cell>
        </row>
        <row r="790">
          <cell r="AS790" t="str">
            <v/>
          </cell>
          <cell r="AU790" t="str">
            <v/>
          </cell>
        </row>
        <row r="791">
          <cell r="AS791" t="str">
            <v/>
          </cell>
          <cell r="AU791" t="str">
            <v/>
          </cell>
        </row>
        <row r="792">
          <cell r="AS792" t="str">
            <v/>
          </cell>
          <cell r="AU792" t="str">
            <v/>
          </cell>
        </row>
        <row r="793">
          <cell r="AS793" t="str">
            <v/>
          </cell>
          <cell r="AU793" t="str">
            <v/>
          </cell>
        </row>
        <row r="794">
          <cell r="AS794" t="str">
            <v/>
          </cell>
          <cell r="AU794" t="str">
            <v/>
          </cell>
        </row>
        <row r="795">
          <cell r="AS795" t="str">
            <v/>
          </cell>
          <cell r="AU795" t="str">
            <v/>
          </cell>
        </row>
        <row r="796">
          <cell r="AS796" t="str">
            <v/>
          </cell>
          <cell r="AU796" t="str">
            <v/>
          </cell>
        </row>
        <row r="797">
          <cell r="AS797" t="str">
            <v/>
          </cell>
          <cell r="AU797" t="str">
            <v/>
          </cell>
        </row>
        <row r="798">
          <cell r="AS798" t="str">
            <v/>
          </cell>
          <cell r="AU798" t="str">
            <v/>
          </cell>
        </row>
        <row r="799">
          <cell r="AS799" t="str">
            <v/>
          </cell>
          <cell r="AU799" t="str">
            <v/>
          </cell>
        </row>
        <row r="800">
          <cell r="AS800" t="str">
            <v/>
          </cell>
          <cell r="AU800" t="str">
            <v/>
          </cell>
        </row>
        <row r="801">
          <cell r="AS801" t="str">
            <v/>
          </cell>
          <cell r="AU801" t="str">
            <v/>
          </cell>
        </row>
        <row r="802">
          <cell r="AS802" t="str">
            <v/>
          </cell>
          <cell r="AU802" t="str">
            <v/>
          </cell>
        </row>
        <row r="803">
          <cell r="AS803" t="str">
            <v/>
          </cell>
          <cell r="AU803" t="str">
            <v/>
          </cell>
        </row>
        <row r="804">
          <cell r="AS804" t="str">
            <v/>
          </cell>
          <cell r="AU804" t="str">
            <v/>
          </cell>
        </row>
        <row r="805">
          <cell r="AS805" t="str">
            <v/>
          </cell>
          <cell r="AU805" t="str">
            <v/>
          </cell>
        </row>
        <row r="806">
          <cell r="AS806" t="str">
            <v/>
          </cell>
          <cell r="AU806" t="str">
            <v/>
          </cell>
        </row>
        <row r="807">
          <cell r="AS807" t="str">
            <v/>
          </cell>
          <cell r="AU807" t="str">
            <v/>
          </cell>
        </row>
        <row r="808">
          <cell r="AS808" t="str">
            <v/>
          </cell>
          <cell r="AU808" t="str">
            <v/>
          </cell>
        </row>
        <row r="809">
          <cell r="AS809" t="str">
            <v/>
          </cell>
          <cell r="AU809" t="str">
            <v/>
          </cell>
        </row>
        <row r="810">
          <cell r="AS810" t="str">
            <v/>
          </cell>
          <cell r="AU810" t="str">
            <v/>
          </cell>
        </row>
        <row r="811">
          <cell r="AS811" t="str">
            <v/>
          </cell>
          <cell r="AU811" t="str">
            <v/>
          </cell>
        </row>
        <row r="812">
          <cell r="AS812" t="str">
            <v/>
          </cell>
          <cell r="AU812" t="str">
            <v/>
          </cell>
        </row>
        <row r="813">
          <cell r="AS813" t="str">
            <v/>
          </cell>
          <cell r="AU813" t="str">
            <v/>
          </cell>
        </row>
        <row r="814">
          <cell r="AS814" t="str">
            <v/>
          </cell>
          <cell r="AU814" t="str">
            <v/>
          </cell>
        </row>
        <row r="815">
          <cell r="AS815" t="str">
            <v/>
          </cell>
          <cell r="AU815" t="str">
            <v/>
          </cell>
        </row>
        <row r="816">
          <cell r="AS816" t="str">
            <v/>
          </cell>
          <cell r="AU816" t="str">
            <v/>
          </cell>
        </row>
        <row r="817">
          <cell r="AS817" t="str">
            <v/>
          </cell>
          <cell r="AU817" t="str">
            <v/>
          </cell>
        </row>
        <row r="818">
          <cell r="AS818" t="str">
            <v/>
          </cell>
          <cell r="AU818" t="str">
            <v/>
          </cell>
        </row>
        <row r="819">
          <cell r="AS819" t="str">
            <v/>
          </cell>
          <cell r="AU819" t="str">
            <v/>
          </cell>
        </row>
        <row r="820">
          <cell r="AS820" t="str">
            <v/>
          </cell>
          <cell r="AU820" t="str">
            <v/>
          </cell>
        </row>
        <row r="821">
          <cell r="AS821" t="str">
            <v/>
          </cell>
          <cell r="AU821" t="str">
            <v/>
          </cell>
        </row>
        <row r="822">
          <cell r="AS822" t="str">
            <v/>
          </cell>
          <cell r="AU822" t="str">
            <v/>
          </cell>
        </row>
        <row r="823">
          <cell r="AS823" t="str">
            <v/>
          </cell>
          <cell r="AU823" t="str">
            <v/>
          </cell>
        </row>
        <row r="824">
          <cell r="AS824" t="str">
            <v/>
          </cell>
          <cell r="AU824" t="str">
            <v/>
          </cell>
        </row>
        <row r="825">
          <cell r="AS825" t="str">
            <v/>
          </cell>
          <cell r="AU825" t="str">
            <v/>
          </cell>
        </row>
        <row r="826">
          <cell r="AS826" t="str">
            <v/>
          </cell>
          <cell r="AU826" t="str">
            <v/>
          </cell>
        </row>
        <row r="827">
          <cell r="AS827" t="str">
            <v/>
          </cell>
          <cell r="AU827" t="str">
            <v/>
          </cell>
        </row>
        <row r="828">
          <cell r="AS828" t="str">
            <v/>
          </cell>
          <cell r="AU828" t="str">
            <v/>
          </cell>
        </row>
        <row r="829">
          <cell r="AS829" t="str">
            <v/>
          </cell>
          <cell r="AU829" t="str">
            <v/>
          </cell>
        </row>
        <row r="830">
          <cell r="AS830" t="str">
            <v/>
          </cell>
          <cell r="AU830" t="str">
            <v/>
          </cell>
        </row>
        <row r="831">
          <cell r="AS831" t="str">
            <v/>
          </cell>
          <cell r="AU831" t="str">
            <v/>
          </cell>
        </row>
        <row r="832">
          <cell r="AS832" t="str">
            <v/>
          </cell>
          <cell r="AU832" t="str">
            <v/>
          </cell>
        </row>
        <row r="833">
          <cell r="AS833" t="str">
            <v/>
          </cell>
          <cell r="AU833" t="str">
            <v/>
          </cell>
        </row>
        <row r="834">
          <cell r="AS834" t="str">
            <v/>
          </cell>
          <cell r="AU834" t="str">
            <v/>
          </cell>
        </row>
        <row r="835">
          <cell r="AS835" t="str">
            <v/>
          </cell>
          <cell r="AU835" t="str">
            <v/>
          </cell>
        </row>
        <row r="836">
          <cell r="AS836" t="str">
            <v/>
          </cell>
          <cell r="AU836" t="str">
            <v/>
          </cell>
        </row>
        <row r="837">
          <cell r="AS837" t="str">
            <v/>
          </cell>
          <cell r="AU837" t="str">
            <v/>
          </cell>
        </row>
        <row r="838">
          <cell r="AS838" t="str">
            <v/>
          </cell>
          <cell r="AU838" t="str">
            <v/>
          </cell>
        </row>
        <row r="839">
          <cell r="AS839" t="str">
            <v/>
          </cell>
          <cell r="AU839" t="str">
            <v/>
          </cell>
        </row>
        <row r="840">
          <cell r="AS840" t="str">
            <v/>
          </cell>
          <cell r="AU840" t="str">
            <v/>
          </cell>
        </row>
        <row r="841">
          <cell r="AS841" t="str">
            <v/>
          </cell>
          <cell r="AU841" t="str">
            <v/>
          </cell>
        </row>
        <row r="842">
          <cell r="AS842" t="str">
            <v/>
          </cell>
          <cell r="AU842" t="str">
            <v/>
          </cell>
        </row>
        <row r="843">
          <cell r="AS843" t="str">
            <v/>
          </cell>
          <cell r="AU843" t="str">
            <v/>
          </cell>
        </row>
        <row r="844">
          <cell r="AS844" t="str">
            <v/>
          </cell>
          <cell r="AU844" t="str">
            <v/>
          </cell>
        </row>
        <row r="845">
          <cell r="AS845" t="str">
            <v/>
          </cell>
          <cell r="AU845" t="str">
            <v/>
          </cell>
        </row>
        <row r="846">
          <cell r="AS846" t="str">
            <v/>
          </cell>
          <cell r="AU846" t="str">
            <v/>
          </cell>
        </row>
        <row r="847">
          <cell r="AS847" t="str">
            <v/>
          </cell>
          <cell r="AU847" t="str">
            <v/>
          </cell>
        </row>
        <row r="848">
          <cell r="AS848" t="str">
            <v/>
          </cell>
          <cell r="AU848" t="str">
            <v/>
          </cell>
        </row>
        <row r="849">
          <cell r="AS849" t="str">
            <v/>
          </cell>
          <cell r="AU849" t="str">
            <v/>
          </cell>
        </row>
        <row r="850">
          <cell r="AS850" t="str">
            <v/>
          </cell>
          <cell r="AU850" t="str">
            <v/>
          </cell>
        </row>
        <row r="851">
          <cell r="AS851" t="str">
            <v/>
          </cell>
          <cell r="AU851" t="str">
            <v/>
          </cell>
        </row>
        <row r="852">
          <cell r="AS852" t="str">
            <v/>
          </cell>
          <cell r="AU852" t="str">
            <v/>
          </cell>
        </row>
        <row r="853">
          <cell r="AS853" t="str">
            <v/>
          </cell>
          <cell r="AU853" t="str">
            <v/>
          </cell>
        </row>
        <row r="854">
          <cell r="AS854" t="str">
            <v/>
          </cell>
          <cell r="AU854" t="str">
            <v/>
          </cell>
        </row>
        <row r="855">
          <cell r="AS855" t="str">
            <v/>
          </cell>
          <cell r="AU855" t="str">
            <v/>
          </cell>
        </row>
        <row r="856">
          <cell r="AS856" t="str">
            <v/>
          </cell>
          <cell r="AU856" t="str">
            <v/>
          </cell>
        </row>
        <row r="857">
          <cell r="AS857" t="str">
            <v/>
          </cell>
          <cell r="AU857" t="str">
            <v/>
          </cell>
        </row>
        <row r="858">
          <cell r="AS858" t="str">
            <v/>
          </cell>
          <cell r="AU858" t="str">
            <v/>
          </cell>
        </row>
        <row r="859">
          <cell r="AS859" t="str">
            <v/>
          </cell>
          <cell r="AU859" t="str">
            <v/>
          </cell>
        </row>
        <row r="860">
          <cell r="AS860" t="str">
            <v/>
          </cell>
          <cell r="AU860" t="str">
            <v/>
          </cell>
        </row>
        <row r="861">
          <cell r="AS861" t="str">
            <v/>
          </cell>
          <cell r="AU861" t="str">
            <v/>
          </cell>
        </row>
        <row r="862">
          <cell r="AS862" t="str">
            <v/>
          </cell>
          <cell r="AU862" t="str">
            <v/>
          </cell>
        </row>
        <row r="863">
          <cell r="AS863" t="str">
            <v/>
          </cell>
          <cell r="AU863" t="str">
            <v/>
          </cell>
        </row>
        <row r="864">
          <cell r="AS864" t="str">
            <v/>
          </cell>
          <cell r="AU864" t="str">
            <v/>
          </cell>
        </row>
        <row r="865">
          <cell r="AS865" t="str">
            <v/>
          </cell>
          <cell r="AU865" t="str">
            <v/>
          </cell>
        </row>
        <row r="866">
          <cell r="AS866" t="str">
            <v/>
          </cell>
          <cell r="AU866" t="str">
            <v/>
          </cell>
        </row>
        <row r="867">
          <cell r="AS867" t="str">
            <v/>
          </cell>
          <cell r="AU867" t="str">
            <v/>
          </cell>
        </row>
        <row r="868">
          <cell r="AS868" t="str">
            <v/>
          </cell>
          <cell r="AU868" t="str">
            <v/>
          </cell>
        </row>
        <row r="869">
          <cell r="AS869" t="str">
            <v/>
          </cell>
          <cell r="AU869" t="str">
            <v/>
          </cell>
        </row>
        <row r="870">
          <cell r="AS870" t="str">
            <v/>
          </cell>
          <cell r="AU870" t="str">
            <v/>
          </cell>
        </row>
        <row r="871">
          <cell r="AS871" t="str">
            <v/>
          </cell>
          <cell r="AU871" t="str">
            <v/>
          </cell>
        </row>
        <row r="872">
          <cell r="AS872" t="str">
            <v/>
          </cell>
          <cell r="AU872" t="str">
            <v/>
          </cell>
        </row>
        <row r="873">
          <cell r="AS873" t="str">
            <v/>
          </cell>
          <cell r="AU873" t="str">
            <v/>
          </cell>
        </row>
        <row r="874">
          <cell r="AS874" t="str">
            <v/>
          </cell>
          <cell r="AU874" t="str">
            <v/>
          </cell>
        </row>
        <row r="875">
          <cell r="AS875" t="str">
            <v/>
          </cell>
          <cell r="AU875" t="str">
            <v/>
          </cell>
        </row>
        <row r="876">
          <cell r="AS876" t="str">
            <v/>
          </cell>
          <cell r="AU876" t="str">
            <v/>
          </cell>
        </row>
        <row r="877">
          <cell r="AS877" t="str">
            <v/>
          </cell>
          <cell r="AU877" t="str">
            <v/>
          </cell>
        </row>
        <row r="878">
          <cell r="AS878" t="str">
            <v/>
          </cell>
          <cell r="AU878" t="str">
            <v/>
          </cell>
        </row>
        <row r="879">
          <cell r="AS879" t="str">
            <v/>
          </cell>
          <cell r="AU879" t="str">
            <v/>
          </cell>
        </row>
        <row r="880">
          <cell r="AS880" t="str">
            <v/>
          </cell>
          <cell r="AU880" t="str">
            <v/>
          </cell>
        </row>
        <row r="881">
          <cell r="AS881" t="str">
            <v/>
          </cell>
          <cell r="AU881" t="str">
            <v/>
          </cell>
        </row>
        <row r="882">
          <cell r="AS882" t="str">
            <v/>
          </cell>
          <cell r="AU882" t="str">
            <v/>
          </cell>
        </row>
        <row r="883">
          <cell r="AS883" t="str">
            <v/>
          </cell>
          <cell r="AU883" t="str">
            <v/>
          </cell>
        </row>
        <row r="884">
          <cell r="AS884" t="str">
            <v/>
          </cell>
          <cell r="AU884" t="str">
            <v/>
          </cell>
        </row>
        <row r="885">
          <cell r="AS885" t="str">
            <v/>
          </cell>
          <cell r="AU885" t="str">
            <v/>
          </cell>
        </row>
        <row r="886">
          <cell r="AS886" t="str">
            <v/>
          </cell>
          <cell r="AU886" t="str">
            <v/>
          </cell>
        </row>
        <row r="887">
          <cell r="AS887" t="str">
            <v/>
          </cell>
          <cell r="AU887" t="str">
            <v/>
          </cell>
        </row>
        <row r="888">
          <cell r="AS888" t="str">
            <v/>
          </cell>
          <cell r="AU888" t="str">
            <v/>
          </cell>
        </row>
        <row r="889">
          <cell r="AS889" t="str">
            <v/>
          </cell>
          <cell r="AU889" t="str">
            <v/>
          </cell>
        </row>
        <row r="890">
          <cell r="AS890" t="str">
            <v/>
          </cell>
          <cell r="AU890" t="str">
            <v/>
          </cell>
        </row>
        <row r="891">
          <cell r="AS891" t="str">
            <v/>
          </cell>
          <cell r="AU891" t="str">
            <v/>
          </cell>
        </row>
        <row r="892">
          <cell r="AS892" t="str">
            <v/>
          </cell>
          <cell r="AU892" t="str">
            <v/>
          </cell>
        </row>
        <row r="893">
          <cell r="AS893" t="str">
            <v/>
          </cell>
          <cell r="AU893" t="str">
            <v/>
          </cell>
        </row>
        <row r="894">
          <cell r="AS894" t="str">
            <v/>
          </cell>
          <cell r="AU894" t="str">
            <v/>
          </cell>
        </row>
        <row r="895">
          <cell r="AS895" t="str">
            <v/>
          </cell>
          <cell r="AU895" t="str">
            <v/>
          </cell>
        </row>
        <row r="896">
          <cell r="AS896" t="str">
            <v/>
          </cell>
          <cell r="AU896" t="str">
            <v/>
          </cell>
        </row>
        <row r="897">
          <cell r="AS897" t="str">
            <v/>
          </cell>
          <cell r="AU897" t="str">
            <v/>
          </cell>
        </row>
        <row r="898">
          <cell r="AS898" t="str">
            <v/>
          </cell>
          <cell r="AU898" t="str">
            <v/>
          </cell>
        </row>
        <row r="899">
          <cell r="AS899" t="str">
            <v/>
          </cell>
          <cell r="AU899" t="str">
            <v/>
          </cell>
        </row>
        <row r="900">
          <cell r="AS900" t="str">
            <v/>
          </cell>
          <cell r="AU900" t="str">
            <v/>
          </cell>
        </row>
        <row r="901">
          <cell r="AS901" t="str">
            <v/>
          </cell>
          <cell r="AU901" t="str">
            <v/>
          </cell>
        </row>
        <row r="902">
          <cell r="AS902" t="str">
            <v/>
          </cell>
          <cell r="AU902" t="str">
            <v/>
          </cell>
        </row>
        <row r="903">
          <cell r="AS903" t="str">
            <v/>
          </cell>
          <cell r="AU903" t="str">
            <v/>
          </cell>
        </row>
        <row r="904">
          <cell r="AS904" t="str">
            <v/>
          </cell>
          <cell r="AU904" t="str">
            <v/>
          </cell>
        </row>
        <row r="905">
          <cell r="AS905" t="str">
            <v/>
          </cell>
          <cell r="AU905" t="str">
            <v/>
          </cell>
        </row>
        <row r="906">
          <cell r="AS906" t="str">
            <v/>
          </cell>
          <cell r="AU906" t="str">
            <v/>
          </cell>
        </row>
        <row r="907">
          <cell r="AS907" t="str">
            <v/>
          </cell>
          <cell r="AU907" t="str">
            <v/>
          </cell>
        </row>
        <row r="908">
          <cell r="AS908" t="str">
            <v/>
          </cell>
          <cell r="AU908" t="str">
            <v/>
          </cell>
        </row>
        <row r="909">
          <cell r="AS909" t="str">
            <v/>
          </cell>
          <cell r="AU909" t="str">
            <v/>
          </cell>
        </row>
        <row r="910">
          <cell r="AS910" t="str">
            <v/>
          </cell>
          <cell r="AU910" t="str">
            <v/>
          </cell>
        </row>
        <row r="911">
          <cell r="AS911" t="str">
            <v/>
          </cell>
          <cell r="AU911" t="str">
            <v/>
          </cell>
        </row>
        <row r="912">
          <cell r="AS912" t="str">
            <v/>
          </cell>
          <cell r="AU912" t="str">
            <v/>
          </cell>
        </row>
        <row r="913">
          <cell r="AS913" t="str">
            <v/>
          </cell>
          <cell r="AU913" t="str">
            <v/>
          </cell>
        </row>
        <row r="914">
          <cell r="AS914" t="str">
            <v/>
          </cell>
          <cell r="AU914" t="str">
            <v/>
          </cell>
        </row>
        <row r="915">
          <cell r="AS915" t="str">
            <v/>
          </cell>
          <cell r="AU915" t="str">
            <v/>
          </cell>
        </row>
        <row r="916">
          <cell r="AS916" t="str">
            <v/>
          </cell>
          <cell r="AU916" t="str">
            <v/>
          </cell>
        </row>
        <row r="917">
          <cell r="AS917" t="str">
            <v/>
          </cell>
          <cell r="AU917" t="str">
            <v/>
          </cell>
        </row>
        <row r="918">
          <cell r="AS918" t="str">
            <v/>
          </cell>
          <cell r="AU918" t="str">
            <v/>
          </cell>
        </row>
        <row r="919">
          <cell r="AS919" t="str">
            <v/>
          </cell>
          <cell r="AU919" t="str">
            <v/>
          </cell>
        </row>
        <row r="920">
          <cell r="AS920" t="str">
            <v/>
          </cell>
          <cell r="AU920" t="str">
            <v/>
          </cell>
        </row>
        <row r="921">
          <cell r="AS921" t="str">
            <v/>
          </cell>
          <cell r="AU921" t="str">
            <v/>
          </cell>
        </row>
        <row r="922">
          <cell r="AS922" t="str">
            <v/>
          </cell>
          <cell r="AU922" t="str">
            <v/>
          </cell>
        </row>
        <row r="923">
          <cell r="AS923" t="str">
            <v/>
          </cell>
          <cell r="AU923" t="str">
            <v/>
          </cell>
        </row>
        <row r="924">
          <cell r="AS924" t="str">
            <v/>
          </cell>
          <cell r="AU924" t="str">
            <v/>
          </cell>
        </row>
        <row r="925">
          <cell r="AS925" t="str">
            <v/>
          </cell>
          <cell r="AU925" t="str">
            <v/>
          </cell>
        </row>
        <row r="926">
          <cell r="AS926" t="str">
            <v/>
          </cell>
          <cell r="AU926" t="str">
            <v/>
          </cell>
        </row>
        <row r="927">
          <cell r="AS927" t="str">
            <v/>
          </cell>
          <cell r="AU927" t="str">
            <v/>
          </cell>
        </row>
        <row r="928">
          <cell r="AS928" t="str">
            <v/>
          </cell>
          <cell r="AU928" t="str">
            <v/>
          </cell>
        </row>
        <row r="929">
          <cell r="AS929" t="str">
            <v/>
          </cell>
          <cell r="AU929" t="str">
            <v/>
          </cell>
        </row>
        <row r="930">
          <cell r="AS930" t="str">
            <v/>
          </cell>
          <cell r="AU930" t="str">
            <v/>
          </cell>
        </row>
        <row r="931">
          <cell r="AS931" t="str">
            <v/>
          </cell>
          <cell r="AU931" t="str">
            <v/>
          </cell>
        </row>
        <row r="932">
          <cell r="AS932" t="str">
            <v/>
          </cell>
          <cell r="AU932" t="str">
            <v/>
          </cell>
        </row>
        <row r="933">
          <cell r="AS933" t="str">
            <v/>
          </cell>
          <cell r="AU933" t="str">
            <v/>
          </cell>
        </row>
        <row r="934">
          <cell r="AS934" t="str">
            <v/>
          </cell>
          <cell r="AU934" t="str">
            <v/>
          </cell>
        </row>
        <row r="935">
          <cell r="AS935" t="str">
            <v/>
          </cell>
          <cell r="AU935" t="str">
            <v/>
          </cell>
        </row>
        <row r="936">
          <cell r="AS936" t="str">
            <v/>
          </cell>
          <cell r="AU936" t="str">
            <v/>
          </cell>
        </row>
        <row r="937">
          <cell r="AS937" t="str">
            <v/>
          </cell>
          <cell r="AU937" t="str">
            <v/>
          </cell>
        </row>
        <row r="938">
          <cell r="AS938" t="str">
            <v/>
          </cell>
          <cell r="AU938" t="str">
            <v/>
          </cell>
        </row>
        <row r="939">
          <cell r="AS939" t="str">
            <v/>
          </cell>
          <cell r="AU939" t="str">
            <v/>
          </cell>
        </row>
        <row r="940">
          <cell r="AS940" t="str">
            <v/>
          </cell>
          <cell r="AU940" t="str">
            <v/>
          </cell>
        </row>
        <row r="941">
          <cell r="AS941" t="str">
            <v/>
          </cell>
          <cell r="AU941" t="str">
            <v/>
          </cell>
        </row>
        <row r="942">
          <cell r="AS942" t="str">
            <v/>
          </cell>
          <cell r="AU942" t="str">
            <v/>
          </cell>
        </row>
        <row r="943">
          <cell r="AS943" t="str">
            <v/>
          </cell>
          <cell r="AU943" t="str">
            <v/>
          </cell>
        </row>
        <row r="944">
          <cell r="AS944" t="str">
            <v/>
          </cell>
          <cell r="AU944" t="str">
            <v/>
          </cell>
        </row>
        <row r="945">
          <cell r="AS945" t="str">
            <v/>
          </cell>
          <cell r="AU945" t="str">
            <v/>
          </cell>
        </row>
        <row r="946">
          <cell r="AS946" t="str">
            <v/>
          </cell>
          <cell r="AU946" t="str">
            <v/>
          </cell>
        </row>
        <row r="947">
          <cell r="AS947" t="str">
            <v/>
          </cell>
          <cell r="AU947" t="str">
            <v/>
          </cell>
        </row>
        <row r="948">
          <cell r="AS948" t="str">
            <v/>
          </cell>
          <cell r="AU948" t="str">
            <v/>
          </cell>
        </row>
        <row r="949">
          <cell r="AS949" t="str">
            <v/>
          </cell>
          <cell r="AU949" t="str">
            <v/>
          </cell>
        </row>
        <row r="950">
          <cell r="AS950" t="str">
            <v/>
          </cell>
          <cell r="AU950" t="str">
            <v/>
          </cell>
        </row>
        <row r="951">
          <cell r="AS951" t="str">
            <v/>
          </cell>
          <cell r="AU951" t="str">
            <v/>
          </cell>
        </row>
        <row r="952">
          <cell r="AS952" t="str">
            <v/>
          </cell>
          <cell r="AU952" t="str">
            <v/>
          </cell>
        </row>
        <row r="953">
          <cell r="AS953" t="str">
            <v/>
          </cell>
          <cell r="AU953" t="str">
            <v/>
          </cell>
        </row>
        <row r="954">
          <cell r="AS954" t="str">
            <v/>
          </cell>
          <cell r="AU954" t="str">
            <v/>
          </cell>
        </row>
        <row r="955">
          <cell r="AS955" t="str">
            <v/>
          </cell>
          <cell r="AU955" t="str">
            <v/>
          </cell>
        </row>
        <row r="956">
          <cell r="AS956" t="str">
            <v/>
          </cell>
          <cell r="AU956" t="str">
            <v/>
          </cell>
        </row>
        <row r="957">
          <cell r="AS957" t="str">
            <v/>
          </cell>
          <cell r="AU957" t="str">
            <v/>
          </cell>
        </row>
        <row r="958">
          <cell r="AS958" t="str">
            <v/>
          </cell>
          <cell r="AU958" t="str">
            <v/>
          </cell>
        </row>
        <row r="959">
          <cell r="AS959" t="str">
            <v/>
          </cell>
          <cell r="AU959" t="str">
            <v/>
          </cell>
        </row>
        <row r="960">
          <cell r="AS960" t="str">
            <v/>
          </cell>
          <cell r="AU960" t="str">
            <v/>
          </cell>
        </row>
        <row r="961">
          <cell r="AS961" t="str">
            <v/>
          </cell>
          <cell r="AU961" t="str">
            <v/>
          </cell>
        </row>
        <row r="962">
          <cell r="AS962" t="str">
            <v/>
          </cell>
          <cell r="AU962" t="str">
            <v/>
          </cell>
        </row>
        <row r="963">
          <cell r="AS963" t="str">
            <v/>
          </cell>
          <cell r="AU963" t="str">
            <v/>
          </cell>
        </row>
        <row r="964">
          <cell r="AS964" t="str">
            <v/>
          </cell>
          <cell r="AU964" t="str">
            <v/>
          </cell>
        </row>
        <row r="965">
          <cell r="AS965" t="str">
            <v/>
          </cell>
          <cell r="AU965" t="str">
            <v/>
          </cell>
        </row>
        <row r="966">
          <cell r="AS966" t="str">
            <v/>
          </cell>
          <cell r="AU966" t="str">
            <v/>
          </cell>
        </row>
        <row r="967">
          <cell r="AS967" t="str">
            <v/>
          </cell>
          <cell r="AU967" t="str">
            <v/>
          </cell>
        </row>
        <row r="968">
          <cell r="AS968" t="str">
            <v/>
          </cell>
          <cell r="AU968" t="str">
            <v/>
          </cell>
        </row>
        <row r="969">
          <cell r="AS969" t="str">
            <v/>
          </cell>
          <cell r="AU969" t="str">
            <v/>
          </cell>
        </row>
        <row r="970">
          <cell r="AS970" t="str">
            <v/>
          </cell>
          <cell r="AU970" t="str">
            <v/>
          </cell>
        </row>
        <row r="971">
          <cell r="AS971" t="str">
            <v/>
          </cell>
          <cell r="AU971" t="str">
            <v/>
          </cell>
        </row>
        <row r="972">
          <cell r="AS972" t="str">
            <v/>
          </cell>
          <cell r="AU972" t="str">
            <v/>
          </cell>
        </row>
        <row r="973">
          <cell r="AS973" t="str">
            <v/>
          </cell>
          <cell r="AU973" t="str">
            <v/>
          </cell>
        </row>
        <row r="974">
          <cell r="AS974" t="str">
            <v/>
          </cell>
          <cell r="AU974" t="str">
            <v/>
          </cell>
        </row>
        <row r="975">
          <cell r="AS975" t="str">
            <v/>
          </cell>
          <cell r="AU975" t="str">
            <v/>
          </cell>
        </row>
        <row r="976">
          <cell r="AS976" t="str">
            <v/>
          </cell>
          <cell r="AU976" t="str">
            <v/>
          </cell>
        </row>
        <row r="977">
          <cell r="AS977" t="str">
            <v/>
          </cell>
          <cell r="AU977" t="str">
            <v/>
          </cell>
        </row>
        <row r="978">
          <cell r="AS978" t="str">
            <v/>
          </cell>
          <cell r="AU978" t="str">
            <v/>
          </cell>
        </row>
        <row r="979">
          <cell r="AS979" t="str">
            <v/>
          </cell>
          <cell r="AU979" t="str">
            <v/>
          </cell>
        </row>
        <row r="980">
          <cell r="AS980" t="str">
            <v/>
          </cell>
          <cell r="AU980" t="str">
            <v/>
          </cell>
        </row>
        <row r="981">
          <cell r="AS981" t="str">
            <v/>
          </cell>
          <cell r="AU981" t="str">
            <v/>
          </cell>
        </row>
        <row r="982">
          <cell r="AS982" t="str">
            <v/>
          </cell>
          <cell r="AU982" t="str">
            <v/>
          </cell>
        </row>
        <row r="983">
          <cell r="AS983" t="str">
            <v/>
          </cell>
          <cell r="AU983" t="str">
            <v/>
          </cell>
        </row>
        <row r="984">
          <cell r="AS984" t="str">
            <v/>
          </cell>
          <cell r="AU984" t="str">
            <v/>
          </cell>
        </row>
        <row r="985">
          <cell r="AS985" t="str">
            <v/>
          </cell>
          <cell r="AU985" t="str">
            <v/>
          </cell>
        </row>
        <row r="986">
          <cell r="AS986" t="str">
            <v/>
          </cell>
          <cell r="AU986" t="str">
            <v/>
          </cell>
        </row>
        <row r="987">
          <cell r="AS987" t="str">
            <v/>
          </cell>
          <cell r="AU987" t="str">
            <v/>
          </cell>
        </row>
        <row r="988">
          <cell r="AS988" t="str">
            <v/>
          </cell>
          <cell r="AU988" t="str">
            <v/>
          </cell>
        </row>
        <row r="989">
          <cell r="AS989" t="str">
            <v/>
          </cell>
          <cell r="AU989" t="str">
            <v/>
          </cell>
        </row>
        <row r="990">
          <cell r="AS990" t="str">
            <v/>
          </cell>
          <cell r="AU990" t="str">
            <v/>
          </cell>
        </row>
        <row r="991">
          <cell r="AS991" t="str">
            <v/>
          </cell>
          <cell r="AU991" t="str">
            <v/>
          </cell>
        </row>
        <row r="992">
          <cell r="AS992" t="str">
            <v/>
          </cell>
          <cell r="AU992" t="str">
            <v/>
          </cell>
        </row>
        <row r="993">
          <cell r="AS993" t="str">
            <v/>
          </cell>
          <cell r="AU993" t="str">
            <v/>
          </cell>
        </row>
        <row r="994">
          <cell r="AS994" t="str">
            <v/>
          </cell>
          <cell r="AU994" t="str">
            <v/>
          </cell>
        </row>
        <row r="995">
          <cell r="AS995" t="str">
            <v/>
          </cell>
          <cell r="AU995" t="str">
            <v/>
          </cell>
        </row>
        <row r="996">
          <cell r="AS996" t="str">
            <v/>
          </cell>
          <cell r="AU996" t="str">
            <v/>
          </cell>
        </row>
        <row r="997">
          <cell r="AS997" t="str">
            <v/>
          </cell>
          <cell r="AU997" t="str">
            <v/>
          </cell>
        </row>
        <row r="998">
          <cell r="AS998" t="str">
            <v/>
          </cell>
          <cell r="AU998" t="str">
            <v/>
          </cell>
        </row>
        <row r="999">
          <cell r="AS999" t="str">
            <v/>
          </cell>
          <cell r="AU999" t="str">
            <v/>
          </cell>
        </row>
        <row r="1000">
          <cell r="AS1000" t="str">
            <v/>
          </cell>
          <cell r="AU1000" t="str">
            <v/>
          </cell>
        </row>
        <row r="1001">
          <cell r="AS1001" t="str">
            <v/>
          </cell>
          <cell r="AU1001" t="str">
            <v/>
          </cell>
        </row>
        <row r="1002">
          <cell r="AS1002" t="str">
            <v/>
          </cell>
          <cell r="AU1002" t="str">
            <v/>
          </cell>
        </row>
        <row r="1003">
          <cell r="AS1003" t="str">
            <v/>
          </cell>
          <cell r="AU1003" t="str">
            <v/>
          </cell>
        </row>
        <row r="1004">
          <cell r="AS1004" t="str">
            <v/>
          </cell>
          <cell r="AU1004" t="str">
            <v/>
          </cell>
        </row>
        <row r="1005">
          <cell r="AS1005" t="str">
            <v/>
          </cell>
          <cell r="AU1005" t="str">
            <v/>
          </cell>
        </row>
        <row r="1006">
          <cell r="AS1006" t="str">
            <v/>
          </cell>
          <cell r="AU1006" t="str">
            <v/>
          </cell>
        </row>
        <row r="1007">
          <cell r="AS1007" t="str">
            <v/>
          </cell>
          <cell r="AU1007" t="str">
            <v/>
          </cell>
        </row>
        <row r="1008">
          <cell r="AS1008" t="str">
            <v/>
          </cell>
          <cell r="AU1008" t="str">
            <v/>
          </cell>
        </row>
        <row r="1009">
          <cell r="AS1009" t="str">
            <v/>
          </cell>
          <cell r="AU1009" t="str">
            <v/>
          </cell>
        </row>
        <row r="1010">
          <cell r="AS1010" t="str">
            <v/>
          </cell>
          <cell r="AU1010" t="str">
            <v/>
          </cell>
        </row>
        <row r="1011">
          <cell r="AS1011" t="str">
            <v/>
          </cell>
          <cell r="AU1011" t="str">
            <v/>
          </cell>
        </row>
        <row r="1012">
          <cell r="AS1012" t="str">
            <v/>
          </cell>
          <cell r="AU1012" t="str">
            <v/>
          </cell>
        </row>
        <row r="1013">
          <cell r="AS1013" t="str">
            <v/>
          </cell>
          <cell r="AU1013" t="str">
            <v/>
          </cell>
        </row>
        <row r="1014">
          <cell r="AS1014" t="str">
            <v/>
          </cell>
          <cell r="AU1014" t="str">
            <v/>
          </cell>
        </row>
        <row r="1015">
          <cell r="AS1015" t="str">
            <v/>
          </cell>
          <cell r="AU1015" t="str">
            <v/>
          </cell>
        </row>
        <row r="1016">
          <cell r="AS1016" t="str">
            <v/>
          </cell>
          <cell r="AU1016" t="str">
            <v/>
          </cell>
        </row>
        <row r="1017">
          <cell r="AS1017" t="str">
            <v/>
          </cell>
          <cell r="AU1017" t="str">
            <v/>
          </cell>
        </row>
        <row r="1018">
          <cell r="AS1018" t="str">
            <v/>
          </cell>
          <cell r="AU1018" t="str">
            <v/>
          </cell>
        </row>
        <row r="1019">
          <cell r="AS1019" t="str">
            <v/>
          </cell>
          <cell r="AU1019" t="str">
            <v/>
          </cell>
        </row>
        <row r="1020">
          <cell r="AS1020" t="str">
            <v/>
          </cell>
          <cell r="AU1020" t="str">
            <v/>
          </cell>
        </row>
        <row r="1021">
          <cell r="AS1021" t="str">
            <v/>
          </cell>
          <cell r="AU1021" t="str">
            <v/>
          </cell>
        </row>
        <row r="1022">
          <cell r="AS1022" t="str">
            <v/>
          </cell>
          <cell r="AU1022" t="str">
            <v/>
          </cell>
        </row>
        <row r="1023">
          <cell r="AS1023" t="str">
            <v/>
          </cell>
          <cell r="AU1023" t="str">
            <v/>
          </cell>
        </row>
        <row r="1024">
          <cell r="AS1024" t="str">
            <v/>
          </cell>
          <cell r="AU1024" t="str">
            <v/>
          </cell>
        </row>
        <row r="1025">
          <cell r="AS1025" t="str">
            <v/>
          </cell>
          <cell r="AU1025" t="str">
            <v/>
          </cell>
        </row>
        <row r="1026">
          <cell r="AS1026" t="str">
            <v/>
          </cell>
          <cell r="AU1026" t="str">
            <v/>
          </cell>
        </row>
        <row r="1027">
          <cell r="AS1027" t="str">
            <v/>
          </cell>
          <cell r="AU1027" t="str">
            <v/>
          </cell>
        </row>
        <row r="1028">
          <cell r="AS1028" t="str">
            <v/>
          </cell>
          <cell r="AU1028" t="str">
            <v/>
          </cell>
        </row>
        <row r="1029">
          <cell r="AS1029" t="str">
            <v/>
          </cell>
          <cell r="AU1029" t="str">
            <v/>
          </cell>
        </row>
        <row r="1030">
          <cell r="AS1030" t="str">
            <v/>
          </cell>
          <cell r="AU1030" t="str">
            <v/>
          </cell>
        </row>
        <row r="1031">
          <cell r="AS1031" t="str">
            <v/>
          </cell>
          <cell r="AU1031" t="str">
            <v/>
          </cell>
        </row>
        <row r="1032">
          <cell r="AS1032" t="str">
            <v/>
          </cell>
          <cell r="AU1032" t="str">
            <v/>
          </cell>
        </row>
        <row r="1033">
          <cell r="AS1033" t="str">
            <v/>
          </cell>
          <cell r="AU1033" t="str">
            <v/>
          </cell>
        </row>
        <row r="1034">
          <cell r="AS1034" t="str">
            <v/>
          </cell>
          <cell r="AU1034" t="str">
            <v/>
          </cell>
        </row>
        <row r="1035">
          <cell r="AS1035" t="str">
            <v/>
          </cell>
          <cell r="AU1035" t="str">
            <v/>
          </cell>
        </row>
        <row r="1036">
          <cell r="AS1036" t="str">
            <v/>
          </cell>
          <cell r="AU1036" t="str">
            <v/>
          </cell>
        </row>
        <row r="1037">
          <cell r="AS1037" t="str">
            <v/>
          </cell>
          <cell r="AU1037" t="str">
            <v/>
          </cell>
        </row>
        <row r="1038">
          <cell r="AS1038" t="str">
            <v/>
          </cell>
          <cell r="AU1038" t="str">
            <v/>
          </cell>
        </row>
        <row r="1039">
          <cell r="AS1039" t="str">
            <v/>
          </cell>
          <cell r="AU1039" t="str">
            <v/>
          </cell>
        </row>
        <row r="1040">
          <cell r="AS1040" t="str">
            <v/>
          </cell>
          <cell r="AU1040" t="str">
            <v/>
          </cell>
        </row>
        <row r="1041">
          <cell r="AS1041" t="str">
            <v/>
          </cell>
          <cell r="AU1041" t="str">
            <v/>
          </cell>
        </row>
        <row r="1042">
          <cell r="AS1042" t="str">
            <v/>
          </cell>
          <cell r="AU1042" t="str">
            <v/>
          </cell>
        </row>
        <row r="1043">
          <cell r="AS1043" t="str">
            <v/>
          </cell>
          <cell r="AU1043" t="str">
            <v/>
          </cell>
        </row>
        <row r="1044">
          <cell r="AS1044" t="str">
            <v/>
          </cell>
          <cell r="AU1044" t="str">
            <v/>
          </cell>
        </row>
        <row r="1045">
          <cell r="AS1045" t="str">
            <v/>
          </cell>
          <cell r="AU1045" t="str">
            <v/>
          </cell>
        </row>
        <row r="1046">
          <cell r="AS1046" t="str">
            <v/>
          </cell>
          <cell r="AU1046" t="str">
            <v/>
          </cell>
        </row>
        <row r="1047">
          <cell r="AS1047" t="str">
            <v/>
          </cell>
          <cell r="AU1047" t="str">
            <v/>
          </cell>
        </row>
        <row r="1048">
          <cell r="AS1048" t="str">
            <v/>
          </cell>
          <cell r="AU1048" t="str">
            <v/>
          </cell>
        </row>
        <row r="1049">
          <cell r="AS1049" t="str">
            <v/>
          </cell>
          <cell r="AU1049" t="str">
            <v/>
          </cell>
        </row>
        <row r="1050">
          <cell r="AS1050" t="str">
            <v/>
          </cell>
          <cell r="AU1050" t="str">
            <v/>
          </cell>
        </row>
        <row r="1051">
          <cell r="AS1051" t="str">
            <v/>
          </cell>
          <cell r="AU1051" t="str">
            <v/>
          </cell>
        </row>
        <row r="1052">
          <cell r="AS1052" t="str">
            <v/>
          </cell>
          <cell r="AU1052" t="str">
            <v/>
          </cell>
        </row>
        <row r="1053">
          <cell r="AS1053" t="str">
            <v/>
          </cell>
          <cell r="AU1053" t="str">
            <v/>
          </cell>
        </row>
        <row r="1054">
          <cell r="AS1054" t="str">
            <v/>
          </cell>
          <cell r="AU1054" t="str">
            <v/>
          </cell>
        </row>
        <row r="1055">
          <cell r="AS1055" t="str">
            <v/>
          </cell>
          <cell r="AU1055" t="str">
            <v/>
          </cell>
        </row>
        <row r="1056">
          <cell r="AS1056" t="str">
            <v/>
          </cell>
          <cell r="AU1056" t="str">
            <v/>
          </cell>
        </row>
        <row r="1057">
          <cell r="AS1057" t="str">
            <v/>
          </cell>
          <cell r="AU1057" t="str">
            <v/>
          </cell>
        </row>
        <row r="1058">
          <cell r="AS1058" t="str">
            <v/>
          </cell>
          <cell r="AU1058" t="str">
            <v/>
          </cell>
        </row>
        <row r="1059">
          <cell r="AS1059" t="str">
            <v/>
          </cell>
          <cell r="AU1059" t="str">
            <v/>
          </cell>
        </row>
        <row r="1060">
          <cell r="AS1060" t="str">
            <v/>
          </cell>
          <cell r="AU1060" t="str">
            <v/>
          </cell>
        </row>
        <row r="1061">
          <cell r="AS1061" t="str">
            <v/>
          </cell>
          <cell r="AU1061" t="str">
            <v/>
          </cell>
        </row>
        <row r="1062">
          <cell r="AS1062" t="str">
            <v/>
          </cell>
          <cell r="AU1062" t="str">
            <v/>
          </cell>
        </row>
        <row r="1063">
          <cell r="AS1063" t="str">
            <v/>
          </cell>
          <cell r="AU1063" t="str">
            <v/>
          </cell>
        </row>
        <row r="1064">
          <cell r="AS1064" t="str">
            <v/>
          </cell>
          <cell r="AU1064" t="str">
            <v/>
          </cell>
        </row>
        <row r="1065">
          <cell r="AS1065" t="str">
            <v/>
          </cell>
          <cell r="AU1065" t="str">
            <v/>
          </cell>
        </row>
        <row r="1066">
          <cell r="AS1066" t="str">
            <v/>
          </cell>
          <cell r="AU1066" t="str">
            <v/>
          </cell>
        </row>
        <row r="1067">
          <cell r="AS1067" t="str">
            <v/>
          </cell>
          <cell r="AU1067" t="str">
            <v/>
          </cell>
        </row>
        <row r="1068">
          <cell r="AS1068" t="str">
            <v/>
          </cell>
          <cell r="AU1068" t="str">
            <v/>
          </cell>
        </row>
        <row r="1069">
          <cell r="AS1069" t="str">
            <v/>
          </cell>
          <cell r="AU1069" t="str">
            <v/>
          </cell>
        </row>
        <row r="1070">
          <cell r="AS1070" t="str">
            <v/>
          </cell>
          <cell r="AU1070" t="str">
            <v/>
          </cell>
        </row>
        <row r="1071">
          <cell r="AS1071" t="str">
            <v/>
          </cell>
          <cell r="AU1071" t="str">
            <v/>
          </cell>
        </row>
        <row r="1072">
          <cell r="AS1072" t="str">
            <v/>
          </cell>
          <cell r="AU1072" t="str">
            <v/>
          </cell>
        </row>
        <row r="1073">
          <cell r="AS1073" t="str">
            <v/>
          </cell>
          <cell r="AU1073" t="str">
            <v/>
          </cell>
        </row>
        <row r="1074">
          <cell r="AS1074" t="str">
            <v/>
          </cell>
          <cell r="AU1074" t="str">
            <v/>
          </cell>
        </row>
        <row r="1075">
          <cell r="AS1075" t="str">
            <v/>
          </cell>
          <cell r="AU1075" t="str">
            <v/>
          </cell>
        </row>
        <row r="1076">
          <cell r="AS1076" t="str">
            <v/>
          </cell>
          <cell r="AU1076" t="str">
            <v/>
          </cell>
        </row>
        <row r="1077">
          <cell r="AS1077" t="str">
            <v/>
          </cell>
          <cell r="AU1077" t="str">
            <v/>
          </cell>
        </row>
        <row r="1078">
          <cell r="AS1078" t="str">
            <v/>
          </cell>
          <cell r="AU1078" t="str">
            <v/>
          </cell>
        </row>
        <row r="1079">
          <cell r="AS1079" t="str">
            <v/>
          </cell>
          <cell r="AU1079" t="str">
            <v/>
          </cell>
        </row>
        <row r="1080">
          <cell r="AS1080" t="str">
            <v/>
          </cell>
          <cell r="AU1080" t="str">
            <v/>
          </cell>
        </row>
        <row r="1081">
          <cell r="AS1081" t="str">
            <v/>
          </cell>
          <cell r="AU1081" t="str">
            <v/>
          </cell>
        </row>
        <row r="1082">
          <cell r="AS1082" t="str">
            <v/>
          </cell>
          <cell r="AU1082" t="str">
            <v/>
          </cell>
        </row>
        <row r="1083">
          <cell r="AS1083" t="str">
            <v/>
          </cell>
          <cell r="AU1083" t="str">
            <v/>
          </cell>
        </row>
        <row r="1084">
          <cell r="AS1084" t="str">
            <v/>
          </cell>
          <cell r="AU1084" t="str">
            <v/>
          </cell>
        </row>
        <row r="1085">
          <cell r="AS1085" t="str">
            <v/>
          </cell>
          <cell r="AU1085" t="str">
            <v/>
          </cell>
        </row>
        <row r="1086">
          <cell r="AS1086" t="str">
            <v/>
          </cell>
          <cell r="AU1086" t="str">
            <v/>
          </cell>
        </row>
        <row r="1087">
          <cell r="AS1087" t="str">
            <v/>
          </cell>
          <cell r="AU1087" t="str">
            <v/>
          </cell>
        </row>
        <row r="1088">
          <cell r="AS1088" t="str">
            <v/>
          </cell>
          <cell r="AU1088" t="str">
            <v/>
          </cell>
        </row>
        <row r="1089">
          <cell r="AS1089" t="str">
            <v/>
          </cell>
          <cell r="AU1089" t="str">
            <v/>
          </cell>
        </row>
        <row r="1090">
          <cell r="AS1090" t="str">
            <v/>
          </cell>
          <cell r="AU1090" t="str">
            <v/>
          </cell>
        </row>
        <row r="1091">
          <cell r="AS1091" t="str">
            <v/>
          </cell>
          <cell r="AU1091" t="str">
            <v/>
          </cell>
        </row>
        <row r="1092">
          <cell r="AS1092" t="str">
            <v/>
          </cell>
          <cell r="AU1092" t="str">
            <v/>
          </cell>
        </row>
        <row r="1093">
          <cell r="AS1093" t="str">
            <v/>
          </cell>
          <cell r="AU1093" t="str">
            <v/>
          </cell>
        </row>
        <row r="1094">
          <cell r="AS1094" t="str">
            <v/>
          </cell>
          <cell r="AU1094" t="str">
            <v/>
          </cell>
        </row>
        <row r="1095">
          <cell r="AS1095" t="str">
            <v/>
          </cell>
          <cell r="AU1095" t="str">
            <v/>
          </cell>
        </row>
        <row r="1096">
          <cell r="AS1096" t="str">
            <v/>
          </cell>
          <cell r="AU1096" t="str">
            <v/>
          </cell>
        </row>
        <row r="1097">
          <cell r="AS1097" t="str">
            <v/>
          </cell>
          <cell r="AU1097" t="str">
            <v/>
          </cell>
        </row>
        <row r="1098">
          <cell r="AS1098" t="str">
            <v/>
          </cell>
          <cell r="AU1098" t="str">
            <v/>
          </cell>
        </row>
        <row r="1099">
          <cell r="AS1099" t="str">
            <v/>
          </cell>
          <cell r="AU1099" t="str">
            <v/>
          </cell>
        </row>
        <row r="1100">
          <cell r="AS1100" t="str">
            <v/>
          </cell>
          <cell r="AU1100" t="str">
            <v/>
          </cell>
        </row>
        <row r="1101">
          <cell r="AS1101" t="str">
            <v/>
          </cell>
          <cell r="AU1101" t="str">
            <v/>
          </cell>
        </row>
        <row r="1102">
          <cell r="AS1102" t="str">
            <v/>
          </cell>
          <cell r="AU1102" t="str">
            <v/>
          </cell>
        </row>
        <row r="1103">
          <cell r="AS1103" t="str">
            <v/>
          </cell>
          <cell r="AU1103" t="str">
            <v/>
          </cell>
        </row>
        <row r="1104">
          <cell r="AS1104" t="str">
            <v/>
          </cell>
          <cell r="AU1104" t="str">
            <v/>
          </cell>
        </row>
        <row r="1105">
          <cell r="AS1105" t="str">
            <v/>
          </cell>
          <cell r="AU1105" t="str">
            <v/>
          </cell>
        </row>
        <row r="1106">
          <cell r="AS1106" t="str">
            <v/>
          </cell>
          <cell r="AU1106" t="str">
            <v/>
          </cell>
        </row>
        <row r="1107">
          <cell r="AS1107" t="str">
            <v/>
          </cell>
          <cell r="AU1107" t="str">
            <v/>
          </cell>
        </row>
        <row r="1108">
          <cell r="AS1108" t="str">
            <v/>
          </cell>
          <cell r="AU1108" t="str">
            <v/>
          </cell>
        </row>
        <row r="1109">
          <cell r="AS1109" t="str">
            <v/>
          </cell>
          <cell r="AU1109" t="str">
            <v/>
          </cell>
        </row>
        <row r="1110">
          <cell r="AS1110" t="str">
            <v/>
          </cell>
          <cell r="AU1110" t="str">
            <v/>
          </cell>
        </row>
        <row r="1111">
          <cell r="AS1111" t="str">
            <v/>
          </cell>
          <cell r="AU1111" t="str">
            <v/>
          </cell>
        </row>
        <row r="1112">
          <cell r="AS1112" t="str">
            <v/>
          </cell>
          <cell r="AU1112" t="str">
            <v/>
          </cell>
        </row>
        <row r="1113">
          <cell r="AS1113" t="str">
            <v/>
          </cell>
          <cell r="AU1113" t="str">
            <v/>
          </cell>
        </row>
        <row r="1114">
          <cell r="AS1114" t="str">
            <v/>
          </cell>
          <cell r="AU1114" t="str">
            <v/>
          </cell>
        </row>
        <row r="1115">
          <cell r="AS1115" t="str">
            <v/>
          </cell>
          <cell r="AU1115" t="str">
            <v/>
          </cell>
        </row>
        <row r="1116">
          <cell r="AS1116" t="str">
            <v/>
          </cell>
          <cell r="AU1116" t="str">
            <v/>
          </cell>
        </row>
        <row r="1117">
          <cell r="AS1117" t="str">
            <v/>
          </cell>
          <cell r="AU1117" t="str">
            <v/>
          </cell>
        </row>
        <row r="1118">
          <cell r="AS1118" t="str">
            <v/>
          </cell>
          <cell r="AU1118" t="str">
            <v/>
          </cell>
        </row>
        <row r="1119">
          <cell r="AS1119" t="str">
            <v/>
          </cell>
          <cell r="AU1119" t="str">
            <v/>
          </cell>
        </row>
        <row r="1120">
          <cell r="AS1120" t="str">
            <v/>
          </cell>
          <cell r="AU1120" t="str">
            <v/>
          </cell>
        </row>
        <row r="1121">
          <cell r="AS1121" t="str">
            <v/>
          </cell>
          <cell r="AU1121" t="str">
            <v/>
          </cell>
        </row>
        <row r="1122">
          <cell r="AS1122" t="str">
            <v/>
          </cell>
          <cell r="AU1122" t="str">
            <v/>
          </cell>
        </row>
        <row r="1123">
          <cell r="AS1123" t="str">
            <v/>
          </cell>
          <cell r="AU1123" t="str">
            <v/>
          </cell>
        </row>
        <row r="1124">
          <cell r="AS1124" t="str">
            <v/>
          </cell>
          <cell r="AU1124" t="str">
            <v/>
          </cell>
        </row>
        <row r="1125">
          <cell r="AS1125" t="str">
            <v/>
          </cell>
          <cell r="AU1125" t="str">
            <v/>
          </cell>
        </row>
        <row r="1126">
          <cell r="AS1126" t="str">
            <v/>
          </cell>
          <cell r="AU1126" t="str">
            <v/>
          </cell>
        </row>
        <row r="1127">
          <cell r="AS1127" t="str">
            <v/>
          </cell>
          <cell r="AU1127" t="str">
            <v/>
          </cell>
        </row>
        <row r="1128">
          <cell r="AS1128" t="str">
            <v/>
          </cell>
          <cell r="AU1128" t="str">
            <v/>
          </cell>
        </row>
        <row r="1129">
          <cell r="AS1129" t="str">
            <v/>
          </cell>
          <cell r="AU1129" t="str">
            <v/>
          </cell>
        </row>
        <row r="1130">
          <cell r="AS1130" t="str">
            <v/>
          </cell>
          <cell r="AU1130" t="str">
            <v/>
          </cell>
        </row>
        <row r="1131">
          <cell r="AS1131" t="str">
            <v/>
          </cell>
          <cell r="AU1131" t="str">
            <v/>
          </cell>
        </row>
        <row r="1132">
          <cell r="AS1132" t="str">
            <v/>
          </cell>
          <cell r="AU1132" t="str">
            <v/>
          </cell>
        </row>
        <row r="1133">
          <cell r="AS1133" t="str">
            <v/>
          </cell>
          <cell r="AU1133" t="str">
            <v/>
          </cell>
        </row>
        <row r="1134">
          <cell r="AS1134" t="str">
            <v/>
          </cell>
          <cell r="AU1134" t="str">
            <v/>
          </cell>
        </row>
        <row r="1135">
          <cell r="AS1135" t="str">
            <v/>
          </cell>
          <cell r="AU1135" t="str">
            <v/>
          </cell>
        </row>
        <row r="1136">
          <cell r="AS1136" t="str">
            <v/>
          </cell>
          <cell r="AU1136" t="str">
            <v/>
          </cell>
        </row>
        <row r="1137">
          <cell r="AS1137" t="str">
            <v/>
          </cell>
          <cell r="AU1137" t="str">
            <v/>
          </cell>
        </row>
        <row r="1138">
          <cell r="AS1138" t="str">
            <v/>
          </cell>
          <cell r="AU1138" t="str">
            <v/>
          </cell>
        </row>
        <row r="1139">
          <cell r="AS1139" t="str">
            <v/>
          </cell>
          <cell r="AU1139" t="str">
            <v/>
          </cell>
        </row>
        <row r="1140">
          <cell r="AS1140" t="str">
            <v/>
          </cell>
          <cell r="AU1140" t="str">
            <v/>
          </cell>
        </row>
        <row r="1141">
          <cell r="AS1141" t="str">
            <v/>
          </cell>
          <cell r="AU1141" t="str">
            <v/>
          </cell>
        </row>
        <row r="1142">
          <cell r="AS1142" t="str">
            <v/>
          </cell>
          <cell r="AU1142" t="str">
            <v/>
          </cell>
        </row>
        <row r="1143">
          <cell r="AS1143" t="str">
            <v/>
          </cell>
          <cell r="AU1143" t="str">
            <v/>
          </cell>
        </row>
        <row r="1144">
          <cell r="AS1144" t="str">
            <v/>
          </cell>
          <cell r="AU1144" t="str">
            <v/>
          </cell>
        </row>
        <row r="1145">
          <cell r="AS1145" t="str">
            <v/>
          </cell>
          <cell r="AU1145" t="str">
            <v/>
          </cell>
        </row>
        <row r="1146">
          <cell r="AS1146" t="str">
            <v/>
          </cell>
          <cell r="AU1146" t="str">
            <v/>
          </cell>
        </row>
        <row r="1147">
          <cell r="AS1147" t="str">
            <v/>
          </cell>
          <cell r="AU1147" t="str">
            <v/>
          </cell>
        </row>
        <row r="1148">
          <cell r="AS1148" t="str">
            <v/>
          </cell>
          <cell r="AU1148" t="str">
            <v/>
          </cell>
        </row>
        <row r="1149">
          <cell r="AS1149" t="str">
            <v/>
          </cell>
          <cell r="AU1149" t="str">
            <v/>
          </cell>
        </row>
        <row r="1150">
          <cell r="AS1150" t="str">
            <v/>
          </cell>
          <cell r="AU1150" t="str">
            <v/>
          </cell>
        </row>
        <row r="1151">
          <cell r="AS1151" t="str">
            <v/>
          </cell>
          <cell r="AU1151" t="str">
            <v/>
          </cell>
        </row>
        <row r="1152">
          <cell r="AS1152" t="str">
            <v/>
          </cell>
          <cell r="AU1152" t="str">
            <v/>
          </cell>
        </row>
        <row r="1153">
          <cell r="AS1153" t="str">
            <v/>
          </cell>
          <cell r="AU1153" t="str">
            <v/>
          </cell>
        </row>
        <row r="1154">
          <cell r="AS1154" t="str">
            <v/>
          </cell>
          <cell r="AU1154" t="str">
            <v/>
          </cell>
        </row>
        <row r="1155">
          <cell r="AS1155" t="str">
            <v/>
          </cell>
          <cell r="AU1155" t="str">
            <v/>
          </cell>
        </row>
        <row r="1156">
          <cell r="AS1156" t="str">
            <v/>
          </cell>
          <cell r="AU1156" t="str">
            <v/>
          </cell>
        </row>
        <row r="1157">
          <cell r="AS1157" t="str">
            <v/>
          </cell>
          <cell r="AU1157" t="str">
            <v/>
          </cell>
        </row>
        <row r="1158">
          <cell r="AS1158" t="str">
            <v/>
          </cell>
          <cell r="AU1158" t="str">
            <v/>
          </cell>
        </row>
        <row r="1159">
          <cell r="AS1159" t="str">
            <v/>
          </cell>
          <cell r="AU1159" t="str">
            <v/>
          </cell>
        </row>
        <row r="1160">
          <cell r="AS1160" t="str">
            <v/>
          </cell>
          <cell r="AU1160" t="str">
            <v/>
          </cell>
        </row>
        <row r="1161">
          <cell r="AS1161" t="str">
            <v/>
          </cell>
          <cell r="AU1161" t="str">
            <v/>
          </cell>
        </row>
        <row r="1162">
          <cell r="AS1162" t="str">
            <v/>
          </cell>
          <cell r="AU1162" t="str">
            <v/>
          </cell>
        </row>
        <row r="1163">
          <cell r="AS1163" t="str">
            <v/>
          </cell>
          <cell r="AU1163" t="str">
            <v/>
          </cell>
        </row>
        <row r="1164">
          <cell r="AS1164" t="str">
            <v/>
          </cell>
          <cell r="AU1164" t="str">
            <v/>
          </cell>
        </row>
        <row r="1165">
          <cell r="AS1165" t="str">
            <v/>
          </cell>
          <cell r="AU1165" t="str">
            <v/>
          </cell>
        </row>
        <row r="1166">
          <cell r="AS1166" t="str">
            <v/>
          </cell>
          <cell r="AU1166" t="str">
            <v/>
          </cell>
        </row>
        <row r="1167">
          <cell r="AS1167" t="str">
            <v/>
          </cell>
          <cell r="AU1167" t="str">
            <v/>
          </cell>
        </row>
        <row r="1168">
          <cell r="AS1168" t="str">
            <v/>
          </cell>
          <cell r="AU1168" t="str">
            <v/>
          </cell>
        </row>
        <row r="1169">
          <cell r="AS1169" t="str">
            <v/>
          </cell>
          <cell r="AU1169" t="str">
            <v/>
          </cell>
        </row>
        <row r="1170">
          <cell r="AS1170" t="str">
            <v/>
          </cell>
          <cell r="AU1170" t="str">
            <v/>
          </cell>
        </row>
        <row r="1171">
          <cell r="AS1171" t="str">
            <v/>
          </cell>
          <cell r="AU1171" t="str">
            <v/>
          </cell>
        </row>
        <row r="1172">
          <cell r="AS1172" t="str">
            <v/>
          </cell>
          <cell r="AU1172" t="str">
            <v/>
          </cell>
        </row>
        <row r="1173">
          <cell r="AS1173" t="str">
            <v/>
          </cell>
          <cell r="AU1173" t="str">
            <v/>
          </cell>
        </row>
        <row r="1174">
          <cell r="AS1174" t="str">
            <v/>
          </cell>
          <cell r="AU1174" t="str">
            <v/>
          </cell>
        </row>
        <row r="1175">
          <cell r="AS1175" t="str">
            <v/>
          </cell>
          <cell r="AU1175" t="str">
            <v/>
          </cell>
        </row>
        <row r="1176">
          <cell r="AS1176" t="str">
            <v/>
          </cell>
          <cell r="AU1176" t="str">
            <v/>
          </cell>
        </row>
        <row r="1177">
          <cell r="AS1177" t="str">
            <v/>
          </cell>
          <cell r="AU1177" t="str">
            <v/>
          </cell>
        </row>
        <row r="1178">
          <cell r="AS1178" t="str">
            <v/>
          </cell>
          <cell r="AU1178" t="str">
            <v/>
          </cell>
        </row>
        <row r="1179">
          <cell r="AS1179" t="str">
            <v/>
          </cell>
          <cell r="AU1179" t="str">
            <v/>
          </cell>
        </row>
        <row r="1180">
          <cell r="AS1180" t="str">
            <v/>
          </cell>
          <cell r="AU1180" t="str">
            <v/>
          </cell>
        </row>
        <row r="1181">
          <cell r="AS1181" t="str">
            <v/>
          </cell>
          <cell r="AU1181" t="str">
            <v/>
          </cell>
        </row>
        <row r="1182">
          <cell r="AS1182" t="str">
            <v/>
          </cell>
          <cell r="AU1182" t="str">
            <v/>
          </cell>
        </row>
        <row r="1183">
          <cell r="AS1183" t="str">
            <v/>
          </cell>
          <cell r="AU1183" t="str">
            <v/>
          </cell>
        </row>
        <row r="1184">
          <cell r="AS1184" t="str">
            <v/>
          </cell>
          <cell r="AU1184" t="str">
            <v/>
          </cell>
        </row>
        <row r="1185">
          <cell r="AS1185" t="str">
            <v/>
          </cell>
          <cell r="AU1185" t="str">
            <v/>
          </cell>
        </row>
        <row r="1186">
          <cell r="AS1186" t="str">
            <v/>
          </cell>
          <cell r="AU1186" t="str">
            <v/>
          </cell>
        </row>
        <row r="1187">
          <cell r="AS1187" t="str">
            <v/>
          </cell>
          <cell r="AU1187" t="str">
            <v/>
          </cell>
        </row>
        <row r="1188">
          <cell r="AS1188" t="str">
            <v/>
          </cell>
          <cell r="AU1188" t="str">
            <v/>
          </cell>
        </row>
        <row r="1189">
          <cell r="AS1189" t="str">
            <v/>
          </cell>
          <cell r="AU1189" t="str">
            <v/>
          </cell>
        </row>
        <row r="1190">
          <cell r="AS1190" t="str">
            <v/>
          </cell>
          <cell r="AU1190" t="str">
            <v/>
          </cell>
        </row>
        <row r="1191">
          <cell r="AS1191" t="str">
            <v/>
          </cell>
          <cell r="AU1191" t="str">
            <v/>
          </cell>
        </row>
        <row r="1192">
          <cell r="AS1192" t="str">
            <v/>
          </cell>
          <cell r="AU1192" t="str">
            <v/>
          </cell>
        </row>
        <row r="1193">
          <cell r="AS1193" t="str">
            <v/>
          </cell>
          <cell r="AU1193" t="str">
            <v/>
          </cell>
        </row>
        <row r="1194">
          <cell r="AS1194" t="str">
            <v/>
          </cell>
          <cell r="AU1194" t="str">
            <v/>
          </cell>
        </row>
        <row r="1195">
          <cell r="AS1195" t="str">
            <v/>
          </cell>
          <cell r="AU1195" t="str">
            <v/>
          </cell>
        </row>
        <row r="1196">
          <cell r="AS1196" t="str">
            <v/>
          </cell>
          <cell r="AU1196" t="str">
            <v/>
          </cell>
        </row>
        <row r="1197">
          <cell r="AS1197" t="str">
            <v/>
          </cell>
          <cell r="AU1197" t="str">
            <v/>
          </cell>
        </row>
        <row r="1198">
          <cell r="AS1198" t="str">
            <v/>
          </cell>
          <cell r="AU1198" t="str">
            <v/>
          </cell>
        </row>
        <row r="1199">
          <cell r="AS1199" t="str">
            <v/>
          </cell>
          <cell r="AU1199" t="str">
            <v/>
          </cell>
        </row>
        <row r="1200">
          <cell r="AS1200" t="str">
            <v/>
          </cell>
          <cell r="AU1200" t="str">
            <v/>
          </cell>
        </row>
        <row r="1201">
          <cell r="AS1201" t="str">
            <v/>
          </cell>
          <cell r="AU1201" t="str">
            <v/>
          </cell>
        </row>
        <row r="1202">
          <cell r="AS1202" t="str">
            <v/>
          </cell>
          <cell r="AU1202" t="str">
            <v/>
          </cell>
        </row>
        <row r="1203">
          <cell r="AS1203" t="str">
            <v/>
          </cell>
          <cell r="AU1203" t="str">
            <v/>
          </cell>
        </row>
        <row r="1204">
          <cell r="AS1204" t="str">
            <v/>
          </cell>
          <cell r="AU1204" t="str">
            <v/>
          </cell>
        </row>
        <row r="1205">
          <cell r="AS1205" t="str">
            <v/>
          </cell>
          <cell r="AU1205" t="str">
            <v/>
          </cell>
        </row>
        <row r="1206">
          <cell r="AS1206" t="str">
            <v/>
          </cell>
          <cell r="AU1206" t="str">
            <v/>
          </cell>
        </row>
        <row r="1207">
          <cell r="AS1207" t="str">
            <v/>
          </cell>
          <cell r="AU1207" t="str">
            <v/>
          </cell>
        </row>
        <row r="1208">
          <cell r="AS1208" t="str">
            <v/>
          </cell>
          <cell r="AU1208" t="str">
            <v/>
          </cell>
        </row>
        <row r="1209">
          <cell r="AS1209" t="str">
            <v/>
          </cell>
          <cell r="AU1209" t="str">
            <v/>
          </cell>
        </row>
        <row r="1210">
          <cell r="AS1210" t="str">
            <v/>
          </cell>
          <cell r="AU1210" t="str">
            <v/>
          </cell>
        </row>
        <row r="1211">
          <cell r="AS1211" t="str">
            <v/>
          </cell>
          <cell r="AU1211" t="str">
            <v/>
          </cell>
        </row>
        <row r="1212">
          <cell r="AS1212" t="str">
            <v/>
          </cell>
          <cell r="AU1212" t="str">
            <v/>
          </cell>
        </row>
        <row r="1213">
          <cell r="AS1213" t="str">
            <v/>
          </cell>
          <cell r="AU1213" t="str">
            <v/>
          </cell>
        </row>
        <row r="1214">
          <cell r="AS1214" t="str">
            <v/>
          </cell>
          <cell r="AU1214" t="str">
            <v/>
          </cell>
        </row>
        <row r="1215">
          <cell r="AS1215" t="str">
            <v/>
          </cell>
          <cell r="AU1215" t="str">
            <v/>
          </cell>
        </row>
        <row r="1216">
          <cell r="AS1216" t="str">
            <v/>
          </cell>
          <cell r="AU1216" t="str">
            <v/>
          </cell>
        </row>
        <row r="1217">
          <cell r="AS1217" t="str">
            <v/>
          </cell>
          <cell r="AU1217" t="str">
            <v/>
          </cell>
        </row>
        <row r="1218">
          <cell r="AS1218" t="str">
            <v/>
          </cell>
          <cell r="AU1218" t="str">
            <v/>
          </cell>
        </row>
        <row r="1219">
          <cell r="AS1219" t="str">
            <v/>
          </cell>
          <cell r="AU1219" t="str">
            <v/>
          </cell>
        </row>
        <row r="1220">
          <cell r="AS1220" t="str">
            <v/>
          </cell>
          <cell r="AU1220" t="str">
            <v/>
          </cell>
        </row>
        <row r="1221">
          <cell r="AS1221" t="str">
            <v/>
          </cell>
          <cell r="AU1221" t="str">
            <v/>
          </cell>
        </row>
        <row r="1222">
          <cell r="AS1222" t="str">
            <v/>
          </cell>
          <cell r="AU1222" t="str">
            <v/>
          </cell>
        </row>
        <row r="1223">
          <cell r="AS1223" t="str">
            <v/>
          </cell>
          <cell r="AU1223" t="str">
            <v/>
          </cell>
        </row>
        <row r="1224">
          <cell r="AS1224" t="str">
            <v/>
          </cell>
          <cell r="AU1224" t="str">
            <v/>
          </cell>
        </row>
        <row r="1225">
          <cell r="AS1225" t="str">
            <v/>
          </cell>
          <cell r="AU1225" t="str">
            <v/>
          </cell>
        </row>
        <row r="1226">
          <cell r="AS1226" t="str">
            <v/>
          </cell>
          <cell r="AU1226" t="str">
            <v/>
          </cell>
        </row>
        <row r="1227">
          <cell r="AS1227" t="str">
            <v/>
          </cell>
          <cell r="AU1227" t="str">
            <v/>
          </cell>
        </row>
        <row r="1228">
          <cell r="AS1228" t="str">
            <v/>
          </cell>
          <cell r="AU1228" t="str">
            <v/>
          </cell>
        </row>
        <row r="1229">
          <cell r="AS1229" t="str">
            <v/>
          </cell>
          <cell r="AU1229" t="str">
            <v/>
          </cell>
        </row>
        <row r="1230">
          <cell r="AS1230" t="str">
            <v/>
          </cell>
          <cell r="AU1230" t="str">
            <v/>
          </cell>
        </row>
        <row r="1231">
          <cell r="AS1231" t="str">
            <v/>
          </cell>
          <cell r="AU1231" t="str">
            <v/>
          </cell>
        </row>
        <row r="1232">
          <cell r="AS1232" t="str">
            <v/>
          </cell>
          <cell r="AU1232" t="str">
            <v/>
          </cell>
        </row>
        <row r="1233">
          <cell r="AS1233" t="str">
            <v/>
          </cell>
          <cell r="AU1233" t="str">
            <v/>
          </cell>
        </row>
        <row r="1234">
          <cell r="AS1234" t="str">
            <v/>
          </cell>
          <cell r="AU1234" t="str">
            <v/>
          </cell>
        </row>
        <row r="1235">
          <cell r="AS1235" t="str">
            <v/>
          </cell>
          <cell r="AU1235" t="str">
            <v/>
          </cell>
        </row>
        <row r="1236">
          <cell r="AS1236" t="str">
            <v/>
          </cell>
          <cell r="AU1236" t="str">
            <v/>
          </cell>
        </row>
        <row r="1237">
          <cell r="AS1237" t="str">
            <v/>
          </cell>
          <cell r="AU1237" t="str">
            <v/>
          </cell>
        </row>
        <row r="1238">
          <cell r="AS1238" t="str">
            <v/>
          </cell>
          <cell r="AU1238" t="str">
            <v/>
          </cell>
        </row>
        <row r="1239">
          <cell r="AS1239" t="str">
            <v/>
          </cell>
          <cell r="AU1239" t="str">
            <v/>
          </cell>
        </row>
        <row r="1240">
          <cell r="AS1240" t="str">
            <v/>
          </cell>
          <cell r="AU1240" t="str">
            <v/>
          </cell>
        </row>
        <row r="1241">
          <cell r="AS1241" t="str">
            <v/>
          </cell>
          <cell r="AU1241" t="str">
            <v/>
          </cell>
        </row>
        <row r="1242">
          <cell r="AS1242" t="str">
            <v/>
          </cell>
          <cell r="AU1242" t="str">
            <v/>
          </cell>
        </row>
        <row r="1243">
          <cell r="AS1243" t="str">
            <v/>
          </cell>
          <cell r="AU1243" t="str">
            <v/>
          </cell>
        </row>
        <row r="1244">
          <cell r="AS1244" t="str">
            <v/>
          </cell>
          <cell r="AU1244" t="str">
            <v/>
          </cell>
        </row>
        <row r="1245">
          <cell r="AS1245" t="str">
            <v/>
          </cell>
          <cell r="AU1245" t="str">
            <v/>
          </cell>
        </row>
        <row r="1246">
          <cell r="AS1246" t="str">
            <v/>
          </cell>
          <cell r="AU1246" t="str">
            <v/>
          </cell>
        </row>
        <row r="1247">
          <cell r="AS1247" t="str">
            <v/>
          </cell>
          <cell r="AU1247" t="str">
            <v/>
          </cell>
        </row>
        <row r="1248">
          <cell r="AS1248" t="str">
            <v/>
          </cell>
          <cell r="AU1248" t="str">
            <v/>
          </cell>
        </row>
        <row r="1249">
          <cell r="AS1249" t="str">
            <v/>
          </cell>
          <cell r="AU1249" t="str">
            <v/>
          </cell>
        </row>
        <row r="1250">
          <cell r="AS1250" t="str">
            <v/>
          </cell>
          <cell r="AU1250" t="str">
            <v/>
          </cell>
        </row>
        <row r="1251">
          <cell r="AS1251" t="str">
            <v/>
          </cell>
          <cell r="AU1251" t="str">
            <v/>
          </cell>
        </row>
        <row r="1252">
          <cell r="AS1252" t="str">
            <v/>
          </cell>
          <cell r="AU1252" t="str">
            <v/>
          </cell>
        </row>
        <row r="1253">
          <cell r="AS1253" t="str">
            <v/>
          </cell>
          <cell r="AU1253" t="str">
            <v/>
          </cell>
        </row>
        <row r="1254">
          <cell r="AS1254" t="str">
            <v/>
          </cell>
          <cell r="AU1254" t="str">
            <v/>
          </cell>
        </row>
        <row r="1255">
          <cell r="AS1255" t="str">
            <v/>
          </cell>
          <cell r="AU1255" t="str">
            <v/>
          </cell>
        </row>
        <row r="1256">
          <cell r="AS1256" t="str">
            <v/>
          </cell>
          <cell r="AU1256" t="str">
            <v/>
          </cell>
        </row>
        <row r="1257">
          <cell r="AS1257" t="str">
            <v/>
          </cell>
          <cell r="AU1257" t="str">
            <v/>
          </cell>
        </row>
        <row r="1258">
          <cell r="AS1258" t="str">
            <v/>
          </cell>
          <cell r="AU1258" t="str">
            <v/>
          </cell>
        </row>
        <row r="1259">
          <cell r="AS1259" t="str">
            <v/>
          </cell>
          <cell r="AU1259" t="str">
            <v/>
          </cell>
        </row>
        <row r="1260">
          <cell r="AS1260" t="str">
            <v/>
          </cell>
          <cell r="AU1260" t="str">
            <v/>
          </cell>
        </row>
        <row r="1261">
          <cell r="AS1261" t="str">
            <v/>
          </cell>
          <cell r="AU1261" t="str">
            <v/>
          </cell>
        </row>
        <row r="1262">
          <cell r="AS1262" t="str">
            <v/>
          </cell>
          <cell r="AU1262" t="str">
            <v/>
          </cell>
        </row>
        <row r="1263">
          <cell r="AS1263" t="str">
            <v/>
          </cell>
          <cell r="AU1263" t="str">
            <v/>
          </cell>
        </row>
        <row r="1264">
          <cell r="AS1264" t="str">
            <v/>
          </cell>
          <cell r="AU1264" t="str">
            <v/>
          </cell>
        </row>
        <row r="1265">
          <cell r="AS1265" t="str">
            <v/>
          </cell>
          <cell r="AU1265" t="str">
            <v/>
          </cell>
        </row>
        <row r="1266">
          <cell r="AS1266" t="str">
            <v/>
          </cell>
          <cell r="AU1266" t="str">
            <v/>
          </cell>
        </row>
        <row r="1267">
          <cell r="AS1267" t="str">
            <v/>
          </cell>
          <cell r="AU1267" t="str">
            <v/>
          </cell>
        </row>
        <row r="1268">
          <cell r="AS1268" t="str">
            <v/>
          </cell>
          <cell r="AU1268" t="str">
            <v/>
          </cell>
        </row>
        <row r="1269">
          <cell r="AS1269" t="str">
            <v/>
          </cell>
          <cell r="AU1269" t="str">
            <v/>
          </cell>
        </row>
        <row r="1270">
          <cell r="AS1270" t="str">
            <v/>
          </cell>
          <cell r="AU1270" t="str">
            <v/>
          </cell>
        </row>
        <row r="1271">
          <cell r="AS1271" t="str">
            <v/>
          </cell>
          <cell r="AU1271" t="str">
            <v/>
          </cell>
        </row>
        <row r="1272">
          <cell r="AS1272" t="str">
            <v/>
          </cell>
          <cell r="AU1272" t="str">
            <v/>
          </cell>
        </row>
        <row r="1273">
          <cell r="AS1273" t="str">
            <v/>
          </cell>
          <cell r="AU1273" t="str">
            <v/>
          </cell>
        </row>
        <row r="1274">
          <cell r="AS1274" t="str">
            <v/>
          </cell>
          <cell r="AU1274" t="str">
            <v/>
          </cell>
        </row>
        <row r="1275">
          <cell r="AS1275" t="str">
            <v/>
          </cell>
          <cell r="AU1275" t="str">
            <v/>
          </cell>
        </row>
        <row r="1276">
          <cell r="AS1276" t="str">
            <v/>
          </cell>
          <cell r="AU1276" t="str">
            <v/>
          </cell>
        </row>
        <row r="1277">
          <cell r="AS1277" t="str">
            <v/>
          </cell>
          <cell r="AU1277" t="str">
            <v/>
          </cell>
        </row>
        <row r="1278">
          <cell r="AS1278" t="str">
            <v/>
          </cell>
          <cell r="AU1278" t="str">
            <v/>
          </cell>
        </row>
        <row r="1279">
          <cell r="AS1279" t="str">
            <v/>
          </cell>
          <cell r="AU1279" t="str">
            <v/>
          </cell>
        </row>
        <row r="1280">
          <cell r="AS1280" t="str">
            <v/>
          </cell>
          <cell r="AU1280" t="str">
            <v/>
          </cell>
        </row>
        <row r="1281">
          <cell r="AS1281" t="str">
            <v/>
          </cell>
          <cell r="AU1281" t="str">
            <v/>
          </cell>
        </row>
        <row r="1282">
          <cell r="AS1282" t="str">
            <v/>
          </cell>
          <cell r="AU1282" t="str">
            <v/>
          </cell>
        </row>
        <row r="1283">
          <cell r="AS1283" t="str">
            <v/>
          </cell>
          <cell r="AU1283" t="str">
            <v/>
          </cell>
        </row>
        <row r="1284">
          <cell r="AS1284" t="str">
            <v/>
          </cell>
          <cell r="AU1284" t="str">
            <v/>
          </cell>
        </row>
        <row r="1285">
          <cell r="AS1285" t="str">
            <v/>
          </cell>
          <cell r="AU1285" t="str">
            <v/>
          </cell>
        </row>
        <row r="1286">
          <cell r="AS1286" t="str">
            <v/>
          </cell>
          <cell r="AU1286" t="str">
            <v/>
          </cell>
        </row>
        <row r="1287">
          <cell r="AS1287" t="str">
            <v/>
          </cell>
          <cell r="AU1287" t="str">
            <v/>
          </cell>
        </row>
        <row r="1288">
          <cell r="AS1288" t="str">
            <v/>
          </cell>
          <cell r="AU1288" t="str">
            <v/>
          </cell>
        </row>
        <row r="1289">
          <cell r="AS1289" t="str">
            <v/>
          </cell>
          <cell r="AU1289" t="str">
            <v/>
          </cell>
        </row>
        <row r="1290">
          <cell r="AS1290" t="str">
            <v/>
          </cell>
          <cell r="AU1290" t="str">
            <v/>
          </cell>
        </row>
        <row r="1291">
          <cell r="AS1291" t="str">
            <v/>
          </cell>
          <cell r="AU1291" t="str">
            <v/>
          </cell>
        </row>
        <row r="1292">
          <cell r="AS1292" t="str">
            <v/>
          </cell>
          <cell r="AU1292" t="str">
            <v/>
          </cell>
        </row>
        <row r="1293">
          <cell r="AS1293" t="str">
            <v/>
          </cell>
          <cell r="AU1293" t="str">
            <v/>
          </cell>
        </row>
        <row r="1294">
          <cell r="AS1294" t="str">
            <v/>
          </cell>
          <cell r="AU1294" t="str">
            <v/>
          </cell>
        </row>
        <row r="1295">
          <cell r="AS1295" t="str">
            <v/>
          </cell>
          <cell r="AU1295" t="str">
            <v/>
          </cell>
        </row>
        <row r="1296">
          <cell r="AS1296" t="str">
            <v/>
          </cell>
          <cell r="AU1296" t="str">
            <v/>
          </cell>
        </row>
        <row r="1297">
          <cell r="AS1297" t="str">
            <v/>
          </cell>
          <cell r="AU1297" t="str">
            <v/>
          </cell>
        </row>
        <row r="1298">
          <cell r="AS1298" t="str">
            <v/>
          </cell>
          <cell r="AU1298" t="str">
            <v/>
          </cell>
        </row>
        <row r="1299">
          <cell r="AS1299" t="str">
            <v/>
          </cell>
          <cell r="AU1299" t="str">
            <v/>
          </cell>
        </row>
        <row r="1300">
          <cell r="AS1300" t="str">
            <v/>
          </cell>
          <cell r="AU1300" t="str">
            <v/>
          </cell>
        </row>
        <row r="1301">
          <cell r="AS1301" t="str">
            <v/>
          </cell>
          <cell r="AU1301" t="str">
            <v/>
          </cell>
        </row>
        <row r="1302">
          <cell r="AS1302" t="str">
            <v/>
          </cell>
          <cell r="AU1302" t="str">
            <v/>
          </cell>
        </row>
        <row r="1303">
          <cell r="AS1303" t="str">
            <v/>
          </cell>
          <cell r="AU1303" t="str">
            <v/>
          </cell>
        </row>
        <row r="1304">
          <cell r="AS1304" t="str">
            <v/>
          </cell>
          <cell r="AU1304" t="str">
            <v/>
          </cell>
        </row>
        <row r="1305">
          <cell r="AS1305" t="str">
            <v/>
          </cell>
          <cell r="AU1305" t="str">
            <v/>
          </cell>
        </row>
        <row r="1306">
          <cell r="AS1306" t="str">
            <v/>
          </cell>
          <cell r="AU1306" t="str">
            <v/>
          </cell>
        </row>
        <row r="1307">
          <cell r="AS1307" t="str">
            <v/>
          </cell>
          <cell r="AU1307" t="str">
            <v/>
          </cell>
        </row>
        <row r="1308">
          <cell r="AS1308" t="str">
            <v/>
          </cell>
          <cell r="AU1308" t="str">
            <v/>
          </cell>
        </row>
        <row r="1309">
          <cell r="AS1309" t="str">
            <v/>
          </cell>
          <cell r="AU1309" t="str">
            <v/>
          </cell>
        </row>
        <row r="1310">
          <cell r="AS1310" t="str">
            <v/>
          </cell>
          <cell r="AU1310" t="str">
            <v/>
          </cell>
        </row>
        <row r="1311">
          <cell r="AS1311" t="str">
            <v/>
          </cell>
          <cell r="AU1311" t="str">
            <v/>
          </cell>
        </row>
        <row r="1312">
          <cell r="AS1312" t="str">
            <v/>
          </cell>
          <cell r="AU1312" t="str">
            <v/>
          </cell>
        </row>
        <row r="1313">
          <cell r="AS1313" t="str">
            <v/>
          </cell>
          <cell r="AU1313" t="str">
            <v/>
          </cell>
        </row>
        <row r="1314">
          <cell r="AS1314" t="str">
            <v/>
          </cell>
          <cell r="AU1314" t="str">
            <v/>
          </cell>
        </row>
        <row r="1315">
          <cell r="AS1315" t="str">
            <v/>
          </cell>
          <cell r="AU1315" t="str">
            <v/>
          </cell>
        </row>
        <row r="1316">
          <cell r="AS1316" t="str">
            <v/>
          </cell>
          <cell r="AU1316" t="str">
            <v/>
          </cell>
        </row>
        <row r="1317">
          <cell r="AS1317" t="str">
            <v/>
          </cell>
          <cell r="AU1317" t="str">
            <v/>
          </cell>
        </row>
        <row r="1318">
          <cell r="AS1318" t="str">
            <v/>
          </cell>
          <cell r="AU1318" t="str">
            <v/>
          </cell>
        </row>
        <row r="1319">
          <cell r="AS1319" t="str">
            <v/>
          </cell>
          <cell r="AU1319" t="str">
            <v/>
          </cell>
        </row>
        <row r="1320">
          <cell r="AS1320" t="str">
            <v/>
          </cell>
          <cell r="AU1320" t="str">
            <v/>
          </cell>
        </row>
        <row r="1321">
          <cell r="AS1321" t="str">
            <v/>
          </cell>
          <cell r="AU1321" t="str">
            <v/>
          </cell>
        </row>
        <row r="1322">
          <cell r="AS1322" t="str">
            <v/>
          </cell>
          <cell r="AU1322" t="str">
            <v/>
          </cell>
        </row>
        <row r="1323">
          <cell r="AS1323" t="str">
            <v/>
          </cell>
          <cell r="AU1323" t="str">
            <v/>
          </cell>
        </row>
        <row r="1324">
          <cell r="AS1324" t="str">
            <v/>
          </cell>
          <cell r="AU1324" t="str">
            <v/>
          </cell>
        </row>
        <row r="1325">
          <cell r="AS1325" t="str">
            <v/>
          </cell>
          <cell r="AU1325" t="str">
            <v/>
          </cell>
        </row>
        <row r="1326">
          <cell r="AS1326" t="str">
            <v/>
          </cell>
          <cell r="AU1326" t="str">
            <v/>
          </cell>
        </row>
        <row r="1327">
          <cell r="AS1327" t="str">
            <v/>
          </cell>
          <cell r="AU1327" t="str">
            <v/>
          </cell>
        </row>
        <row r="1328">
          <cell r="AS1328" t="str">
            <v/>
          </cell>
          <cell r="AU1328" t="str">
            <v/>
          </cell>
        </row>
        <row r="1329">
          <cell r="AS1329" t="str">
            <v/>
          </cell>
          <cell r="AU1329" t="str">
            <v/>
          </cell>
        </row>
        <row r="1330">
          <cell r="AS1330" t="str">
            <v/>
          </cell>
          <cell r="AU1330" t="str">
            <v/>
          </cell>
        </row>
        <row r="1331">
          <cell r="AS1331" t="str">
            <v/>
          </cell>
          <cell r="AU1331" t="str">
            <v/>
          </cell>
        </row>
        <row r="1332">
          <cell r="AS1332" t="str">
            <v/>
          </cell>
          <cell r="AU1332" t="str">
            <v/>
          </cell>
        </row>
        <row r="1333">
          <cell r="AS1333" t="str">
            <v/>
          </cell>
          <cell r="AU1333" t="str">
            <v/>
          </cell>
        </row>
        <row r="1334">
          <cell r="AS1334" t="str">
            <v/>
          </cell>
          <cell r="AU1334" t="str">
            <v/>
          </cell>
        </row>
        <row r="1335">
          <cell r="AS1335" t="str">
            <v/>
          </cell>
          <cell r="AU1335" t="str">
            <v/>
          </cell>
        </row>
        <row r="1336">
          <cell r="AS1336" t="str">
            <v/>
          </cell>
          <cell r="AU1336" t="str">
            <v/>
          </cell>
        </row>
        <row r="1337">
          <cell r="AS1337" t="str">
            <v/>
          </cell>
          <cell r="AU1337" t="str">
            <v/>
          </cell>
        </row>
        <row r="1338">
          <cell r="AS1338" t="str">
            <v/>
          </cell>
          <cell r="AU1338" t="str">
            <v/>
          </cell>
        </row>
        <row r="1339">
          <cell r="AS1339" t="str">
            <v/>
          </cell>
          <cell r="AU1339" t="str">
            <v/>
          </cell>
        </row>
        <row r="1340">
          <cell r="AS1340" t="str">
            <v/>
          </cell>
          <cell r="AU1340" t="str">
            <v/>
          </cell>
        </row>
        <row r="1341">
          <cell r="AS1341" t="str">
            <v/>
          </cell>
          <cell r="AU1341" t="str">
            <v/>
          </cell>
        </row>
        <row r="1342">
          <cell r="AS1342" t="str">
            <v/>
          </cell>
          <cell r="AU1342" t="str">
            <v/>
          </cell>
        </row>
        <row r="1343">
          <cell r="AS1343" t="str">
            <v/>
          </cell>
          <cell r="AU1343" t="str">
            <v/>
          </cell>
        </row>
        <row r="1344">
          <cell r="AS1344" t="str">
            <v/>
          </cell>
          <cell r="AU1344" t="str">
            <v/>
          </cell>
        </row>
        <row r="1345">
          <cell r="AS1345" t="str">
            <v/>
          </cell>
          <cell r="AU1345" t="str">
            <v/>
          </cell>
        </row>
        <row r="1346">
          <cell r="AS1346" t="str">
            <v/>
          </cell>
          <cell r="AU1346" t="str">
            <v/>
          </cell>
        </row>
        <row r="1347">
          <cell r="AS1347" t="str">
            <v/>
          </cell>
          <cell r="AU1347" t="str">
            <v/>
          </cell>
        </row>
        <row r="1348">
          <cell r="AS1348" t="str">
            <v/>
          </cell>
          <cell r="AU1348" t="str">
            <v/>
          </cell>
        </row>
        <row r="1349">
          <cell r="AS1349" t="str">
            <v/>
          </cell>
          <cell r="AU1349" t="str">
            <v/>
          </cell>
        </row>
        <row r="1350">
          <cell r="AS1350" t="str">
            <v/>
          </cell>
          <cell r="AU1350" t="str">
            <v/>
          </cell>
        </row>
        <row r="1351">
          <cell r="AS1351" t="str">
            <v/>
          </cell>
          <cell r="AU1351" t="str">
            <v/>
          </cell>
        </row>
        <row r="1352">
          <cell r="AS1352" t="str">
            <v/>
          </cell>
          <cell r="AU1352" t="str">
            <v/>
          </cell>
        </row>
        <row r="1353">
          <cell r="AS1353" t="str">
            <v/>
          </cell>
          <cell r="AU1353" t="str">
            <v/>
          </cell>
        </row>
        <row r="1354">
          <cell r="AS1354" t="str">
            <v/>
          </cell>
          <cell r="AU1354" t="str">
            <v/>
          </cell>
        </row>
        <row r="1355">
          <cell r="AS1355" t="str">
            <v/>
          </cell>
          <cell r="AU1355" t="str">
            <v/>
          </cell>
        </row>
        <row r="1356">
          <cell r="AS1356" t="str">
            <v/>
          </cell>
          <cell r="AU1356" t="str">
            <v/>
          </cell>
        </row>
        <row r="1357">
          <cell r="AS1357" t="str">
            <v/>
          </cell>
          <cell r="AU1357" t="str">
            <v/>
          </cell>
        </row>
        <row r="1358">
          <cell r="AS1358" t="str">
            <v/>
          </cell>
          <cell r="AU1358" t="str">
            <v/>
          </cell>
        </row>
        <row r="1359">
          <cell r="AS1359" t="str">
            <v/>
          </cell>
          <cell r="AU1359" t="str">
            <v/>
          </cell>
        </row>
        <row r="1360">
          <cell r="AS1360" t="str">
            <v/>
          </cell>
          <cell r="AU1360" t="str">
            <v/>
          </cell>
        </row>
        <row r="1361">
          <cell r="AS1361" t="str">
            <v/>
          </cell>
          <cell r="AU1361" t="str">
            <v/>
          </cell>
        </row>
        <row r="1362">
          <cell r="AS1362" t="str">
            <v/>
          </cell>
          <cell r="AU1362" t="str">
            <v/>
          </cell>
        </row>
        <row r="1363">
          <cell r="AS1363" t="str">
            <v/>
          </cell>
          <cell r="AU1363" t="str">
            <v/>
          </cell>
        </row>
        <row r="1364">
          <cell r="AS1364" t="str">
            <v/>
          </cell>
          <cell r="AU1364" t="str">
            <v/>
          </cell>
        </row>
        <row r="1365">
          <cell r="AS1365" t="str">
            <v/>
          </cell>
          <cell r="AU1365" t="str">
            <v/>
          </cell>
        </row>
        <row r="1366">
          <cell r="AS1366" t="str">
            <v/>
          </cell>
          <cell r="AU1366" t="str">
            <v/>
          </cell>
        </row>
        <row r="1367">
          <cell r="AS1367" t="str">
            <v/>
          </cell>
          <cell r="AU1367" t="str">
            <v/>
          </cell>
        </row>
        <row r="1368">
          <cell r="AS1368" t="str">
            <v/>
          </cell>
          <cell r="AU1368" t="str">
            <v/>
          </cell>
        </row>
        <row r="1369">
          <cell r="AS1369" t="str">
            <v/>
          </cell>
          <cell r="AU1369" t="str">
            <v/>
          </cell>
        </row>
        <row r="1370">
          <cell r="AS1370" t="str">
            <v/>
          </cell>
          <cell r="AU1370" t="str">
            <v/>
          </cell>
        </row>
        <row r="1371">
          <cell r="AS1371" t="str">
            <v/>
          </cell>
          <cell r="AU1371" t="str">
            <v/>
          </cell>
        </row>
        <row r="1372">
          <cell r="AS1372" t="str">
            <v/>
          </cell>
          <cell r="AU1372" t="str">
            <v/>
          </cell>
        </row>
        <row r="1373">
          <cell r="AS1373" t="str">
            <v/>
          </cell>
          <cell r="AU1373" t="str">
            <v/>
          </cell>
        </row>
        <row r="1374">
          <cell r="AS1374" t="str">
            <v/>
          </cell>
          <cell r="AU1374" t="str">
            <v/>
          </cell>
        </row>
        <row r="1375">
          <cell r="AS1375" t="str">
            <v/>
          </cell>
          <cell r="AU1375" t="str">
            <v/>
          </cell>
        </row>
        <row r="1376">
          <cell r="AS1376" t="str">
            <v/>
          </cell>
          <cell r="AU1376" t="str">
            <v/>
          </cell>
        </row>
        <row r="1377">
          <cell r="AS1377" t="str">
            <v/>
          </cell>
          <cell r="AU1377" t="str">
            <v/>
          </cell>
        </row>
        <row r="1378">
          <cell r="AS1378" t="str">
            <v/>
          </cell>
          <cell r="AU1378" t="str">
            <v/>
          </cell>
        </row>
        <row r="1379">
          <cell r="AS1379" t="str">
            <v/>
          </cell>
          <cell r="AU1379" t="str">
            <v/>
          </cell>
        </row>
        <row r="1380">
          <cell r="AS1380" t="str">
            <v/>
          </cell>
          <cell r="AU1380" t="str">
            <v/>
          </cell>
        </row>
        <row r="1381">
          <cell r="AS1381" t="str">
            <v/>
          </cell>
          <cell r="AU1381" t="str">
            <v/>
          </cell>
        </row>
        <row r="1382">
          <cell r="AS1382" t="str">
            <v/>
          </cell>
          <cell r="AU1382" t="str">
            <v/>
          </cell>
        </row>
        <row r="1383">
          <cell r="AS1383" t="str">
            <v/>
          </cell>
          <cell r="AU1383" t="str">
            <v/>
          </cell>
        </row>
        <row r="1384">
          <cell r="AS1384" t="str">
            <v/>
          </cell>
          <cell r="AU1384" t="str">
            <v/>
          </cell>
        </row>
        <row r="1385">
          <cell r="AS1385" t="str">
            <v/>
          </cell>
          <cell r="AU1385" t="str">
            <v/>
          </cell>
        </row>
        <row r="1386">
          <cell r="AS1386" t="str">
            <v/>
          </cell>
          <cell r="AU1386" t="str">
            <v/>
          </cell>
        </row>
        <row r="1387">
          <cell r="AS1387" t="str">
            <v/>
          </cell>
          <cell r="AU1387" t="str">
            <v/>
          </cell>
        </row>
        <row r="1388">
          <cell r="AS1388" t="str">
            <v/>
          </cell>
          <cell r="AU1388" t="str">
            <v/>
          </cell>
        </row>
        <row r="1389">
          <cell r="AS1389" t="str">
            <v/>
          </cell>
          <cell r="AU1389" t="str">
            <v/>
          </cell>
        </row>
        <row r="1390">
          <cell r="AS1390" t="str">
            <v/>
          </cell>
          <cell r="AU1390" t="str">
            <v/>
          </cell>
        </row>
        <row r="1391">
          <cell r="AS1391" t="str">
            <v/>
          </cell>
          <cell r="AU1391" t="str">
            <v/>
          </cell>
        </row>
        <row r="1392">
          <cell r="AS1392" t="str">
            <v/>
          </cell>
          <cell r="AU1392" t="str">
            <v/>
          </cell>
        </row>
        <row r="1393">
          <cell r="AS1393" t="str">
            <v/>
          </cell>
          <cell r="AU1393" t="str">
            <v/>
          </cell>
        </row>
        <row r="1394">
          <cell r="AS1394" t="str">
            <v/>
          </cell>
          <cell r="AU1394" t="str">
            <v/>
          </cell>
        </row>
        <row r="1395">
          <cell r="AS1395" t="str">
            <v/>
          </cell>
          <cell r="AU1395" t="str">
            <v/>
          </cell>
        </row>
        <row r="1396">
          <cell r="AS1396" t="str">
            <v/>
          </cell>
          <cell r="AU1396" t="str">
            <v/>
          </cell>
        </row>
        <row r="1397">
          <cell r="AS1397" t="str">
            <v/>
          </cell>
          <cell r="AU1397" t="str">
            <v/>
          </cell>
        </row>
        <row r="1398">
          <cell r="AS1398" t="str">
            <v/>
          </cell>
          <cell r="AU1398" t="str">
            <v/>
          </cell>
        </row>
        <row r="1399">
          <cell r="AS1399" t="str">
            <v/>
          </cell>
          <cell r="AU1399" t="str">
            <v/>
          </cell>
        </row>
        <row r="1400">
          <cell r="AS1400" t="str">
            <v/>
          </cell>
          <cell r="AU1400" t="str">
            <v/>
          </cell>
        </row>
        <row r="1401">
          <cell r="AS1401" t="str">
            <v/>
          </cell>
          <cell r="AU1401" t="str">
            <v/>
          </cell>
        </row>
        <row r="1402">
          <cell r="AS1402" t="str">
            <v/>
          </cell>
          <cell r="AU1402" t="str">
            <v/>
          </cell>
        </row>
        <row r="1403">
          <cell r="AS1403" t="str">
            <v/>
          </cell>
          <cell r="AU1403" t="str">
            <v/>
          </cell>
        </row>
        <row r="1404">
          <cell r="AS1404" t="str">
            <v/>
          </cell>
          <cell r="AU1404" t="str">
            <v/>
          </cell>
        </row>
        <row r="1405">
          <cell r="AS1405" t="str">
            <v/>
          </cell>
          <cell r="AU1405" t="str">
            <v/>
          </cell>
        </row>
        <row r="1406">
          <cell r="AS1406" t="str">
            <v/>
          </cell>
          <cell r="AU1406" t="str">
            <v/>
          </cell>
        </row>
        <row r="1407">
          <cell r="AS1407" t="str">
            <v/>
          </cell>
          <cell r="AU1407" t="str">
            <v/>
          </cell>
        </row>
        <row r="1408">
          <cell r="AS1408" t="str">
            <v/>
          </cell>
          <cell r="AU1408" t="str">
            <v/>
          </cell>
        </row>
        <row r="1409">
          <cell r="AS1409" t="str">
            <v/>
          </cell>
          <cell r="AU1409" t="str">
            <v/>
          </cell>
        </row>
        <row r="1410">
          <cell r="AS1410" t="str">
            <v/>
          </cell>
          <cell r="AU1410" t="str">
            <v/>
          </cell>
        </row>
        <row r="1411">
          <cell r="AS1411" t="str">
            <v/>
          </cell>
          <cell r="AU1411" t="str">
            <v/>
          </cell>
        </row>
        <row r="1412">
          <cell r="AS1412" t="str">
            <v/>
          </cell>
          <cell r="AU1412" t="str">
            <v/>
          </cell>
        </row>
        <row r="1413">
          <cell r="AS1413" t="str">
            <v/>
          </cell>
          <cell r="AU1413" t="str">
            <v/>
          </cell>
        </row>
        <row r="1414">
          <cell r="AS1414" t="str">
            <v/>
          </cell>
          <cell r="AU1414" t="str">
            <v/>
          </cell>
        </row>
        <row r="1415">
          <cell r="AS1415" t="str">
            <v/>
          </cell>
          <cell r="AU1415" t="str">
            <v/>
          </cell>
        </row>
        <row r="1416">
          <cell r="AS1416" t="str">
            <v/>
          </cell>
          <cell r="AU1416" t="str">
            <v/>
          </cell>
        </row>
        <row r="1417">
          <cell r="AS1417" t="str">
            <v/>
          </cell>
          <cell r="AU1417" t="str">
            <v/>
          </cell>
        </row>
        <row r="1418">
          <cell r="AS1418" t="str">
            <v/>
          </cell>
          <cell r="AU1418" t="str">
            <v/>
          </cell>
        </row>
        <row r="1419">
          <cell r="AS1419" t="str">
            <v/>
          </cell>
          <cell r="AU1419" t="str">
            <v/>
          </cell>
        </row>
        <row r="1420">
          <cell r="AS1420" t="str">
            <v/>
          </cell>
          <cell r="AU1420" t="str">
            <v/>
          </cell>
        </row>
        <row r="1421">
          <cell r="AS1421" t="str">
            <v/>
          </cell>
          <cell r="AU1421" t="str">
            <v/>
          </cell>
        </row>
        <row r="1422">
          <cell r="AS1422" t="str">
            <v/>
          </cell>
          <cell r="AU1422" t="str">
            <v/>
          </cell>
        </row>
        <row r="1423">
          <cell r="AS1423" t="str">
            <v/>
          </cell>
          <cell r="AU1423" t="str">
            <v/>
          </cell>
        </row>
        <row r="1424">
          <cell r="AS1424" t="str">
            <v/>
          </cell>
          <cell r="AU1424" t="str">
            <v/>
          </cell>
        </row>
        <row r="1425">
          <cell r="AS1425" t="str">
            <v/>
          </cell>
          <cell r="AU1425" t="str">
            <v/>
          </cell>
        </row>
        <row r="1426">
          <cell r="AS1426" t="str">
            <v/>
          </cell>
          <cell r="AU1426" t="str">
            <v/>
          </cell>
        </row>
        <row r="1427">
          <cell r="AS1427" t="str">
            <v/>
          </cell>
          <cell r="AU1427" t="str">
            <v/>
          </cell>
        </row>
        <row r="1428">
          <cell r="AS1428" t="str">
            <v/>
          </cell>
          <cell r="AU1428" t="str">
            <v/>
          </cell>
        </row>
        <row r="1429">
          <cell r="AS1429" t="str">
            <v/>
          </cell>
          <cell r="AU1429" t="str">
            <v/>
          </cell>
        </row>
        <row r="1430">
          <cell r="AS1430" t="str">
            <v/>
          </cell>
          <cell r="AU1430" t="str">
            <v/>
          </cell>
        </row>
        <row r="1431">
          <cell r="AS1431" t="str">
            <v/>
          </cell>
          <cell r="AU1431" t="str">
            <v/>
          </cell>
        </row>
        <row r="1432">
          <cell r="AS1432" t="str">
            <v/>
          </cell>
          <cell r="AU1432" t="str">
            <v/>
          </cell>
        </row>
        <row r="1433">
          <cell r="AS1433" t="str">
            <v/>
          </cell>
          <cell r="AU1433" t="str">
            <v/>
          </cell>
        </row>
        <row r="1434">
          <cell r="AS1434" t="str">
            <v/>
          </cell>
          <cell r="AU1434" t="str">
            <v/>
          </cell>
        </row>
        <row r="1435">
          <cell r="AS1435" t="str">
            <v/>
          </cell>
          <cell r="AU1435" t="str">
            <v/>
          </cell>
        </row>
        <row r="1436">
          <cell r="AS1436" t="str">
            <v/>
          </cell>
          <cell r="AU1436" t="str">
            <v/>
          </cell>
        </row>
        <row r="1437">
          <cell r="AS1437" t="str">
            <v/>
          </cell>
          <cell r="AU1437" t="str">
            <v/>
          </cell>
        </row>
        <row r="1438">
          <cell r="AS1438" t="str">
            <v/>
          </cell>
          <cell r="AU1438" t="str">
            <v/>
          </cell>
        </row>
        <row r="1439">
          <cell r="AS1439" t="str">
            <v/>
          </cell>
          <cell r="AU1439" t="str">
            <v/>
          </cell>
        </row>
        <row r="1440">
          <cell r="AS1440" t="str">
            <v/>
          </cell>
          <cell r="AU1440" t="str">
            <v/>
          </cell>
        </row>
        <row r="1441">
          <cell r="AS1441" t="str">
            <v/>
          </cell>
          <cell r="AU1441" t="str">
            <v/>
          </cell>
        </row>
        <row r="1442">
          <cell r="AS1442" t="str">
            <v/>
          </cell>
          <cell r="AU1442" t="str">
            <v/>
          </cell>
        </row>
        <row r="1443">
          <cell r="AS1443" t="str">
            <v/>
          </cell>
          <cell r="AU1443" t="str">
            <v/>
          </cell>
        </row>
        <row r="1444">
          <cell r="AS1444" t="str">
            <v/>
          </cell>
          <cell r="AU1444" t="str">
            <v/>
          </cell>
        </row>
        <row r="1445">
          <cell r="AS1445" t="str">
            <v/>
          </cell>
          <cell r="AU1445" t="str">
            <v/>
          </cell>
        </row>
        <row r="1446">
          <cell r="AS1446" t="str">
            <v/>
          </cell>
          <cell r="AU1446" t="str">
            <v/>
          </cell>
        </row>
        <row r="1447">
          <cell r="AS1447" t="str">
            <v/>
          </cell>
          <cell r="AU1447" t="str">
            <v/>
          </cell>
        </row>
        <row r="1448">
          <cell r="AS1448" t="str">
            <v/>
          </cell>
          <cell r="AU1448" t="str">
            <v/>
          </cell>
        </row>
        <row r="1449">
          <cell r="AS1449" t="str">
            <v/>
          </cell>
          <cell r="AU1449" t="str">
            <v/>
          </cell>
        </row>
        <row r="1450">
          <cell r="AS1450" t="str">
            <v/>
          </cell>
          <cell r="AU1450" t="str">
            <v/>
          </cell>
        </row>
        <row r="1451">
          <cell r="AS1451" t="str">
            <v/>
          </cell>
          <cell r="AU1451" t="str">
            <v/>
          </cell>
        </row>
        <row r="1452">
          <cell r="AS1452" t="str">
            <v/>
          </cell>
          <cell r="AU1452" t="str">
            <v/>
          </cell>
        </row>
        <row r="1453">
          <cell r="AS1453" t="str">
            <v/>
          </cell>
          <cell r="AU1453" t="str">
            <v/>
          </cell>
        </row>
        <row r="1454">
          <cell r="AS1454" t="str">
            <v/>
          </cell>
          <cell r="AU1454" t="str">
            <v/>
          </cell>
        </row>
        <row r="1455">
          <cell r="AS1455" t="str">
            <v/>
          </cell>
          <cell r="AU1455" t="str">
            <v/>
          </cell>
        </row>
        <row r="1456">
          <cell r="AS1456" t="str">
            <v/>
          </cell>
          <cell r="AU1456" t="str">
            <v/>
          </cell>
        </row>
        <row r="1457">
          <cell r="AS1457" t="str">
            <v/>
          </cell>
          <cell r="AU1457" t="str">
            <v/>
          </cell>
        </row>
        <row r="1458">
          <cell r="AS1458" t="str">
            <v/>
          </cell>
          <cell r="AU1458" t="str">
            <v/>
          </cell>
        </row>
        <row r="1459">
          <cell r="AS1459" t="str">
            <v/>
          </cell>
          <cell r="AU1459" t="str">
            <v/>
          </cell>
        </row>
        <row r="1460">
          <cell r="AS1460" t="str">
            <v/>
          </cell>
          <cell r="AU1460" t="str">
            <v/>
          </cell>
        </row>
        <row r="1461">
          <cell r="AS1461" t="str">
            <v/>
          </cell>
          <cell r="AU1461" t="str">
            <v/>
          </cell>
        </row>
        <row r="1462">
          <cell r="AS1462" t="str">
            <v/>
          </cell>
          <cell r="AU1462" t="str">
            <v/>
          </cell>
        </row>
        <row r="1463">
          <cell r="AS1463" t="str">
            <v/>
          </cell>
          <cell r="AU1463" t="str">
            <v/>
          </cell>
        </row>
        <row r="1464">
          <cell r="AS1464" t="str">
            <v/>
          </cell>
          <cell r="AU1464" t="str">
            <v/>
          </cell>
        </row>
        <row r="1465">
          <cell r="AS1465" t="str">
            <v/>
          </cell>
          <cell r="AU1465" t="str">
            <v/>
          </cell>
        </row>
        <row r="1466">
          <cell r="AU1466" t="str">
            <v/>
          </cell>
        </row>
        <row r="1467">
          <cell r="AU1467" t="str">
            <v/>
          </cell>
        </row>
        <row r="1468">
          <cell r="AU1468" t="str">
            <v/>
          </cell>
        </row>
        <row r="1469">
          <cell r="AU1469" t="str">
            <v/>
          </cell>
        </row>
        <row r="1470">
          <cell r="AU1470" t="str">
            <v/>
          </cell>
        </row>
        <row r="1471">
          <cell r="AU1471" t="str">
            <v/>
          </cell>
        </row>
        <row r="1472">
          <cell r="AU1472" t="str">
            <v/>
          </cell>
        </row>
        <row r="1473">
          <cell r="AU1473" t="str">
            <v/>
          </cell>
        </row>
        <row r="1474">
          <cell r="AU1474" t="str">
            <v/>
          </cell>
        </row>
        <row r="1475">
          <cell r="AU1475" t="str">
            <v/>
          </cell>
        </row>
        <row r="1476">
          <cell r="AU1476" t="str">
            <v/>
          </cell>
        </row>
        <row r="1477">
          <cell r="AU1477" t="str">
            <v/>
          </cell>
        </row>
        <row r="1478">
          <cell r="AU1478" t="str">
            <v/>
          </cell>
        </row>
        <row r="1479">
          <cell r="AU1479" t="str">
            <v/>
          </cell>
        </row>
        <row r="1480">
          <cell r="AU1480" t="str">
            <v/>
          </cell>
        </row>
        <row r="1481">
          <cell r="AU1481" t="str">
            <v/>
          </cell>
        </row>
        <row r="1482">
          <cell r="AU1482" t="str">
            <v/>
          </cell>
        </row>
        <row r="1483">
          <cell r="AU1483" t="str">
            <v/>
          </cell>
        </row>
        <row r="1484">
          <cell r="AU1484" t="str">
            <v/>
          </cell>
        </row>
        <row r="1485">
          <cell r="AU1485" t="str">
            <v/>
          </cell>
        </row>
        <row r="1486">
          <cell r="AU1486" t="str">
            <v/>
          </cell>
        </row>
        <row r="1487">
          <cell r="AU1487" t="str">
            <v/>
          </cell>
        </row>
        <row r="1488">
          <cell r="AU1488" t="str">
            <v/>
          </cell>
        </row>
        <row r="1489">
          <cell r="AU1489" t="str">
            <v/>
          </cell>
        </row>
        <row r="1490">
          <cell r="AU1490" t="str">
            <v/>
          </cell>
        </row>
        <row r="1491">
          <cell r="AU1491" t="str">
            <v/>
          </cell>
        </row>
        <row r="1492">
          <cell r="AU1492" t="str">
            <v/>
          </cell>
        </row>
        <row r="1493">
          <cell r="AU1493" t="str">
            <v/>
          </cell>
        </row>
        <row r="1494">
          <cell r="AU1494" t="str">
            <v/>
          </cell>
        </row>
        <row r="1495">
          <cell r="AU1495" t="str">
            <v/>
          </cell>
        </row>
        <row r="1496">
          <cell r="AU1496" t="str">
            <v/>
          </cell>
        </row>
        <row r="1497">
          <cell r="AU1497" t="str">
            <v/>
          </cell>
        </row>
        <row r="1498">
          <cell r="AU1498" t="str">
            <v/>
          </cell>
        </row>
        <row r="1499">
          <cell r="AU1499" t="str">
            <v/>
          </cell>
        </row>
        <row r="1500">
          <cell r="AU1500" t="str">
            <v/>
          </cell>
        </row>
        <row r="1501">
          <cell r="AU1501" t="str">
            <v/>
          </cell>
        </row>
        <row r="1502">
          <cell r="AU1502" t="str">
            <v/>
          </cell>
        </row>
        <row r="1503">
          <cell r="AU1503" t="str">
            <v/>
          </cell>
        </row>
        <row r="1504">
          <cell r="AU1504" t="str">
            <v/>
          </cell>
        </row>
        <row r="1505">
          <cell r="AU1505" t="str">
            <v/>
          </cell>
        </row>
        <row r="1506">
          <cell r="AU1506" t="str">
            <v/>
          </cell>
        </row>
        <row r="1507">
          <cell r="AU1507" t="str">
            <v/>
          </cell>
        </row>
        <row r="1508">
          <cell r="AU1508" t="str">
            <v/>
          </cell>
        </row>
        <row r="1509">
          <cell r="AU1509" t="str">
            <v/>
          </cell>
        </row>
        <row r="1510">
          <cell r="AU1510" t="str">
            <v/>
          </cell>
        </row>
        <row r="1511">
          <cell r="AU1511" t="str">
            <v/>
          </cell>
        </row>
        <row r="1512">
          <cell r="AU1512" t="str">
            <v/>
          </cell>
        </row>
        <row r="1513">
          <cell r="AU1513" t="str">
            <v/>
          </cell>
        </row>
        <row r="1514">
          <cell r="AU1514" t="str">
            <v/>
          </cell>
        </row>
        <row r="1515">
          <cell r="AU1515" t="str">
            <v/>
          </cell>
        </row>
        <row r="1516">
          <cell r="AU1516" t="str">
            <v/>
          </cell>
        </row>
        <row r="1517">
          <cell r="AU1517" t="str">
            <v/>
          </cell>
        </row>
        <row r="1518">
          <cell r="AU1518" t="str">
            <v/>
          </cell>
        </row>
        <row r="1519">
          <cell r="AU1519" t="str">
            <v/>
          </cell>
        </row>
        <row r="1520">
          <cell r="AU1520" t="str">
            <v/>
          </cell>
        </row>
        <row r="1521">
          <cell r="AU1521" t="str">
            <v/>
          </cell>
        </row>
        <row r="1522">
          <cell r="AU1522" t="str">
            <v/>
          </cell>
        </row>
        <row r="1523">
          <cell r="AU1523" t="str">
            <v/>
          </cell>
        </row>
        <row r="1524">
          <cell r="AU1524" t="str">
            <v/>
          </cell>
        </row>
        <row r="1525">
          <cell r="AU1525" t="str">
            <v/>
          </cell>
        </row>
        <row r="1526">
          <cell r="AU1526" t="str">
            <v/>
          </cell>
        </row>
        <row r="1527">
          <cell r="AU1527" t="str">
            <v/>
          </cell>
        </row>
        <row r="1528">
          <cell r="AU1528" t="str">
            <v/>
          </cell>
        </row>
        <row r="1529">
          <cell r="AU1529" t="str">
            <v/>
          </cell>
        </row>
        <row r="1530">
          <cell r="AU1530" t="str">
            <v/>
          </cell>
        </row>
        <row r="1531">
          <cell r="AU1531" t="str">
            <v/>
          </cell>
        </row>
        <row r="1532">
          <cell r="AU1532" t="str">
            <v/>
          </cell>
        </row>
        <row r="1533">
          <cell r="AU1533" t="str">
            <v/>
          </cell>
        </row>
        <row r="1534">
          <cell r="AU1534" t="str">
            <v/>
          </cell>
        </row>
        <row r="1535">
          <cell r="AU1535" t="str">
            <v/>
          </cell>
        </row>
        <row r="1536">
          <cell r="AU1536" t="str">
            <v/>
          </cell>
        </row>
        <row r="1537">
          <cell r="AU1537" t="str">
            <v/>
          </cell>
        </row>
        <row r="1538">
          <cell r="AU1538" t="str">
            <v/>
          </cell>
        </row>
        <row r="1539">
          <cell r="AU1539" t="str">
            <v/>
          </cell>
        </row>
        <row r="1540">
          <cell r="AU1540" t="str">
            <v/>
          </cell>
        </row>
        <row r="1541">
          <cell r="AU1541" t="str">
            <v/>
          </cell>
        </row>
        <row r="1542">
          <cell r="AU1542" t="str">
            <v/>
          </cell>
        </row>
        <row r="1543">
          <cell r="AU1543" t="str">
            <v/>
          </cell>
        </row>
        <row r="1544">
          <cell r="AU1544" t="str">
            <v/>
          </cell>
        </row>
        <row r="1545">
          <cell r="AU1545" t="str">
            <v/>
          </cell>
        </row>
        <row r="1546">
          <cell r="AU1546" t="str">
            <v/>
          </cell>
        </row>
        <row r="1547">
          <cell r="AU1547" t="str">
            <v/>
          </cell>
        </row>
        <row r="1548">
          <cell r="AU1548" t="str">
            <v/>
          </cell>
        </row>
        <row r="1549">
          <cell r="AU1549" t="str">
            <v/>
          </cell>
        </row>
        <row r="1550">
          <cell r="AU1550" t="str">
            <v/>
          </cell>
        </row>
        <row r="1551">
          <cell r="AU1551" t="str">
            <v/>
          </cell>
        </row>
        <row r="1552">
          <cell r="AU1552" t="str">
            <v/>
          </cell>
        </row>
        <row r="1553">
          <cell r="AU1553" t="str">
            <v/>
          </cell>
        </row>
        <row r="1554">
          <cell r="AU1554" t="str">
            <v/>
          </cell>
        </row>
        <row r="1555">
          <cell r="AU1555" t="str">
            <v/>
          </cell>
        </row>
        <row r="1556">
          <cell r="AU1556" t="str">
            <v/>
          </cell>
        </row>
        <row r="1557">
          <cell r="AU1557" t="str">
            <v/>
          </cell>
        </row>
        <row r="1558">
          <cell r="AU1558" t="str">
            <v/>
          </cell>
        </row>
        <row r="1559">
          <cell r="AU1559" t="str">
            <v/>
          </cell>
        </row>
        <row r="1560">
          <cell r="AU1560" t="str">
            <v/>
          </cell>
        </row>
        <row r="1561">
          <cell r="AU1561" t="str">
            <v/>
          </cell>
        </row>
        <row r="1562">
          <cell r="AU1562" t="str">
            <v/>
          </cell>
        </row>
        <row r="1563">
          <cell r="AU1563" t="str">
            <v/>
          </cell>
        </row>
        <row r="1564">
          <cell r="AU1564" t="str">
            <v/>
          </cell>
        </row>
        <row r="1565">
          <cell r="AU1565" t="str">
            <v/>
          </cell>
        </row>
        <row r="1566">
          <cell r="AU1566" t="str">
            <v/>
          </cell>
        </row>
        <row r="1567">
          <cell r="AU1567" t="str">
            <v/>
          </cell>
        </row>
        <row r="1568">
          <cell r="AU1568" t="str">
            <v/>
          </cell>
        </row>
        <row r="1569">
          <cell r="AU1569" t="str">
            <v/>
          </cell>
        </row>
        <row r="1570">
          <cell r="AU1570" t="str">
            <v/>
          </cell>
        </row>
        <row r="1571">
          <cell r="AU1571" t="str">
            <v/>
          </cell>
        </row>
        <row r="1572">
          <cell r="AU1572" t="str">
            <v/>
          </cell>
        </row>
        <row r="1573">
          <cell r="AU1573" t="str">
            <v/>
          </cell>
        </row>
        <row r="1574">
          <cell r="AU1574" t="str">
            <v/>
          </cell>
        </row>
        <row r="1575">
          <cell r="AU1575" t="str">
            <v/>
          </cell>
        </row>
        <row r="1576">
          <cell r="AU1576" t="str">
            <v/>
          </cell>
        </row>
        <row r="1577">
          <cell r="AU1577" t="str">
            <v/>
          </cell>
        </row>
        <row r="1578">
          <cell r="AU1578" t="str">
            <v/>
          </cell>
        </row>
        <row r="1579">
          <cell r="AU1579" t="str">
            <v/>
          </cell>
        </row>
        <row r="1580">
          <cell r="AU1580" t="str">
            <v/>
          </cell>
        </row>
        <row r="1581">
          <cell r="AU1581" t="str">
            <v/>
          </cell>
        </row>
        <row r="1582">
          <cell r="AU1582" t="str">
            <v/>
          </cell>
        </row>
        <row r="1583">
          <cell r="AU1583" t="str">
            <v/>
          </cell>
        </row>
        <row r="1584">
          <cell r="AU1584" t="str">
            <v/>
          </cell>
        </row>
        <row r="1585">
          <cell r="AU1585" t="str">
            <v/>
          </cell>
        </row>
        <row r="1586">
          <cell r="AU1586" t="str">
            <v/>
          </cell>
        </row>
        <row r="1587">
          <cell r="AU1587" t="str">
            <v/>
          </cell>
        </row>
        <row r="1588">
          <cell r="AU1588" t="str">
            <v/>
          </cell>
        </row>
        <row r="1589">
          <cell r="AU1589" t="str">
            <v/>
          </cell>
        </row>
        <row r="1590">
          <cell r="AU1590" t="str">
            <v/>
          </cell>
        </row>
        <row r="1591">
          <cell r="AU1591" t="str">
            <v/>
          </cell>
        </row>
        <row r="1592">
          <cell r="AU1592" t="str">
            <v/>
          </cell>
        </row>
        <row r="1593">
          <cell r="AU1593" t="str">
            <v/>
          </cell>
        </row>
        <row r="1594">
          <cell r="AU1594" t="str">
            <v/>
          </cell>
        </row>
        <row r="1595">
          <cell r="AU1595" t="str">
            <v/>
          </cell>
        </row>
        <row r="1596">
          <cell r="AU1596" t="str">
            <v/>
          </cell>
        </row>
        <row r="1597">
          <cell r="AU1597" t="str">
            <v/>
          </cell>
        </row>
        <row r="1598">
          <cell r="AU1598" t="str">
            <v/>
          </cell>
        </row>
        <row r="1599">
          <cell r="AU1599" t="str">
            <v/>
          </cell>
        </row>
        <row r="1600">
          <cell r="AU1600" t="str">
            <v/>
          </cell>
        </row>
        <row r="1601">
          <cell r="AU1601" t="str">
            <v/>
          </cell>
        </row>
        <row r="1602">
          <cell r="AU1602" t="str">
            <v/>
          </cell>
        </row>
        <row r="1603">
          <cell r="AU1603" t="str">
            <v/>
          </cell>
        </row>
        <row r="1604">
          <cell r="AU1604" t="str">
            <v/>
          </cell>
        </row>
        <row r="1605">
          <cell r="AU1605" t="str">
            <v/>
          </cell>
        </row>
        <row r="1606">
          <cell r="AU1606" t="str">
            <v/>
          </cell>
        </row>
        <row r="1607">
          <cell r="AU1607" t="str">
            <v/>
          </cell>
        </row>
        <row r="1608">
          <cell r="AU1608" t="str">
            <v/>
          </cell>
        </row>
        <row r="1609">
          <cell r="AU1609" t="str">
            <v/>
          </cell>
        </row>
        <row r="1610">
          <cell r="AU1610" t="str">
            <v/>
          </cell>
        </row>
        <row r="1611">
          <cell r="AU1611" t="str">
            <v/>
          </cell>
        </row>
        <row r="1612">
          <cell r="AU1612" t="str">
            <v/>
          </cell>
        </row>
        <row r="1613">
          <cell r="AU1613" t="str">
            <v/>
          </cell>
        </row>
        <row r="1614">
          <cell r="AU1614" t="str">
            <v/>
          </cell>
        </row>
        <row r="1615">
          <cell r="AU1615" t="str">
            <v/>
          </cell>
        </row>
        <row r="1616">
          <cell r="AU1616" t="str">
            <v/>
          </cell>
        </row>
        <row r="1617">
          <cell r="AU1617" t="str">
            <v/>
          </cell>
        </row>
        <row r="1618">
          <cell r="AU1618" t="str">
            <v/>
          </cell>
        </row>
        <row r="1619">
          <cell r="AU1619" t="str">
            <v/>
          </cell>
        </row>
        <row r="1620">
          <cell r="AU1620" t="str">
            <v/>
          </cell>
        </row>
        <row r="1621">
          <cell r="AU1621" t="str">
            <v/>
          </cell>
        </row>
        <row r="1622">
          <cell r="AU1622" t="str">
            <v/>
          </cell>
        </row>
        <row r="1623">
          <cell r="AU1623" t="str">
            <v/>
          </cell>
        </row>
        <row r="1624">
          <cell r="AU1624" t="str">
            <v/>
          </cell>
        </row>
        <row r="1625">
          <cell r="AU1625" t="str">
            <v/>
          </cell>
        </row>
        <row r="1626">
          <cell r="AU1626" t="str">
            <v/>
          </cell>
        </row>
        <row r="1627">
          <cell r="AU1627" t="str">
            <v/>
          </cell>
        </row>
        <row r="1628">
          <cell r="AU1628" t="str">
            <v/>
          </cell>
        </row>
        <row r="1629">
          <cell r="AU1629" t="str">
            <v/>
          </cell>
        </row>
        <row r="1630">
          <cell r="AU1630" t="str">
            <v/>
          </cell>
        </row>
        <row r="1631">
          <cell r="AU1631" t="str">
            <v/>
          </cell>
        </row>
        <row r="1632">
          <cell r="AU1632" t="str">
            <v/>
          </cell>
        </row>
        <row r="1633">
          <cell r="AU1633" t="str">
            <v/>
          </cell>
        </row>
        <row r="1634">
          <cell r="AU1634" t="str">
            <v/>
          </cell>
        </row>
        <row r="1635">
          <cell r="AU1635" t="str">
            <v/>
          </cell>
        </row>
        <row r="1636">
          <cell r="AU1636" t="str">
            <v/>
          </cell>
        </row>
        <row r="1637">
          <cell r="AU1637" t="str">
            <v/>
          </cell>
        </row>
        <row r="1638">
          <cell r="AU1638" t="str">
            <v/>
          </cell>
        </row>
        <row r="1639">
          <cell r="AU1639" t="str">
            <v/>
          </cell>
        </row>
        <row r="1640">
          <cell r="AU1640" t="str">
            <v/>
          </cell>
        </row>
        <row r="1641">
          <cell r="AU1641" t="str">
            <v/>
          </cell>
        </row>
        <row r="1642">
          <cell r="AU1642" t="str">
            <v/>
          </cell>
        </row>
        <row r="1643">
          <cell r="AU1643" t="str">
            <v/>
          </cell>
        </row>
        <row r="1644">
          <cell r="AU1644" t="str">
            <v/>
          </cell>
        </row>
        <row r="1645">
          <cell r="AU1645" t="str">
            <v/>
          </cell>
        </row>
        <row r="1646">
          <cell r="AU1646" t="str">
            <v/>
          </cell>
        </row>
        <row r="1647">
          <cell r="AU1647" t="str">
            <v/>
          </cell>
        </row>
        <row r="1648">
          <cell r="AU1648" t="str">
            <v/>
          </cell>
        </row>
        <row r="1649">
          <cell r="AU1649" t="str">
            <v/>
          </cell>
        </row>
        <row r="1650">
          <cell r="AU1650" t="str">
            <v/>
          </cell>
        </row>
        <row r="1651">
          <cell r="AU1651" t="str">
            <v/>
          </cell>
        </row>
        <row r="1652">
          <cell r="AU1652" t="str">
            <v/>
          </cell>
        </row>
        <row r="1653">
          <cell r="AU1653" t="str">
            <v/>
          </cell>
        </row>
        <row r="1654">
          <cell r="AU1654" t="str">
            <v/>
          </cell>
        </row>
        <row r="1655">
          <cell r="AU1655" t="str">
            <v/>
          </cell>
        </row>
        <row r="1656">
          <cell r="AU1656" t="str">
            <v/>
          </cell>
        </row>
        <row r="1657">
          <cell r="AU1657" t="str">
            <v/>
          </cell>
        </row>
        <row r="1658">
          <cell r="AU1658" t="str">
            <v/>
          </cell>
        </row>
        <row r="1659">
          <cell r="AU1659" t="str">
            <v/>
          </cell>
        </row>
        <row r="1660">
          <cell r="AU1660" t="str">
            <v/>
          </cell>
        </row>
        <row r="1661">
          <cell r="AU1661" t="str">
            <v/>
          </cell>
        </row>
        <row r="1662">
          <cell r="AU1662" t="str">
            <v/>
          </cell>
        </row>
        <row r="1663">
          <cell r="AU1663" t="str">
            <v/>
          </cell>
        </row>
        <row r="1664">
          <cell r="AU1664" t="str">
            <v/>
          </cell>
        </row>
        <row r="1665">
          <cell r="AU1665" t="str">
            <v/>
          </cell>
        </row>
        <row r="1666">
          <cell r="AU1666" t="str">
            <v/>
          </cell>
        </row>
        <row r="1667">
          <cell r="AU1667" t="str">
            <v/>
          </cell>
        </row>
        <row r="1668">
          <cell r="AU1668" t="str">
            <v/>
          </cell>
        </row>
        <row r="1669">
          <cell r="AU1669" t="str">
            <v/>
          </cell>
        </row>
        <row r="1670">
          <cell r="AU1670" t="str">
            <v/>
          </cell>
        </row>
        <row r="1671">
          <cell r="AU1671" t="str">
            <v/>
          </cell>
        </row>
        <row r="1672">
          <cell r="AU1672" t="str">
            <v/>
          </cell>
        </row>
        <row r="1673">
          <cell r="AU1673" t="str">
            <v/>
          </cell>
        </row>
        <row r="1674">
          <cell r="AU1674" t="str">
            <v/>
          </cell>
        </row>
        <row r="1675">
          <cell r="AU1675" t="str">
            <v/>
          </cell>
        </row>
        <row r="1676">
          <cell r="AU1676" t="str">
            <v/>
          </cell>
        </row>
        <row r="1677">
          <cell r="AU1677" t="str">
            <v/>
          </cell>
        </row>
        <row r="1678">
          <cell r="AU1678" t="str">
            <v/>
          </cell>
        </row>
        <row r="1679">
          <cell r="AU1679" t="str">
            <v/>
          </cell>
        </row>
        <row r="1680">
          <cell r="AU1680" t="str">
            <v/>
          </cell>
        </row>
        <row r="1681">
          <cell r="AU1681" t="str">
            <v/>
          </cell>
        </row>
        <row r="1682">
          <cell r="AU1682" t="str">
            <v/>
          </cell>
        </row>
        <row r="1683">
          <cell r="AU1683" t="str">
            <v/>
          </cell>
        </row>
        <row r="1684">
          <cell r="AU1684" t="str">
            <v/>
          </cell>
        </row>
        <row r="1685">
          <cell r="AU1685" t="str">
            <v/>
          </cell>
        </row>
        <row r="1686">
          <cell r="AU1686" t="str">
            <v/>
          </cell>
        </row>
        <row r="1687">
          <cell r="AU1687" t="str">
            <v/>
          </cell>
        </row>
        <row r="1688">
          <cell r="AU1688" t="str">
            <v/>
          </cell>
        </row>
        <row r="1689">
          <cell r="AU1689" t="str">
            <v/>
          </cell>
        </row>
        <row r="1690">
          <cell r="AU1690" t="str">
            <v/>
          </cell>
        </row>
        <row r="1691">
          <cell r="AU1691" t="str">
            <v/>
          </cell>
        </row>
        <row r="1692">
          <cell r="AU1692" t="str">
            <v/>
          </cell>
        </row>
        <row r="1693">
          <cell r="AU1693" t="str">
            <v/>
          </cell>
        </row>
        <row r="1694">
          <cell r="AU1694" t="str">
            <v/>
          </cell>
        </row>
        <row r="1695">
          <cell r="AU1695" t="str">
            <v/>
          </cell>
        </row>
        <row r="1696">
          <cell r="AU1696" t="str">
            <v/>
          </cell>
        </row>
        <row r="1697">
          <cell r="AU1697" t="str">
            <v/>
          </cell>
        </row>
        <row r="1698">
          <cell r="AU1698" t="str">
            <v/>
          </cell>
        </row>
        <row r="1699">
          <cell r="AU1699" t="str">
            <v/>
          </cell>
        </row>
        <row r="1700">
          <cell r="AU1700" t="str">
            <v/>
          </cell>
        </row>
        <row r="1701">
          <cell r="AU1701" t="str">
            <v/>
          </cell>
        </row>
        <row r="1702">
          <cell r="AU1702" t="str">
            <v/>
          </cell>
        </row>
        <row r="1703">
          <cell r="AU1703" t="str">
            <v/>
          </cell>
        </row>
        <row r="1704">
          <cell r="AU1704" t="str">
            <v/>
          </cell>
        </row>
        <row r="1705">
          <cell r="AU1705" t="str">
            <v/>
          </cell>
        </row>
        <row r="1706">
          <cell r="AU1706" t="str">
            <v/>
          </cell>
        </row>
        <row r="1707">
          <cell r="AU1707" t="str">
            <v/>
          </cell>
        </row>
        <row r="1708">
          <cell r="AU1708" t="str">
            <v/>
          </cell>
        </row>
        <row r="1709">
          <cell r="AU1709" t="str">
            <v/>
          </cell>
        </row>
        <row r="1710">
          <cell r="AU1710" t="str">
            <v/>
          </cell>
        </row>
        <row r="1711">
          <cell r="AU1711" t="str">
            <v/>
          </cell>
        </row>
        <row r="1712">
          <cell r="AU1712" t="str">
            <v/>
          </cell>
        </row>
        <row r="1713">
          <cell r="AU1713" t="str">
            <v/>
          </cell>
        </row>
        <row r="1714">
          <cell r="AU1714" t="str">
            <v/>
          </cell>
        </row>
        <row r="1715">
          <cell r="AU1715" t="str">
            <v/>
          </cell>
        </row>
        <row r="1716">
          <cell r="AU1716" t="str">
            <v/>
          </cell>
        </row>
        <row r="1717">
          <cell r="AU1717" t="str">
            <v/>
          </cell>
        </row>
        <row r="1718">
          <cell r="AU1718" t="str">
            <v/>
          </cell>
        </row>
        <row r="1719">
          <cell r="AU1719" t="str">
            <v/>
          </cell>
        </row>
        <row r="1720">
          <cell r="AU1720" t="str">
            <v/>
          </cell>
        </row>
        <row r="1721">
          <cell r="AU1721" t="str">
            <v/>
          </cell>
        </row>
        <row r="1722">
          <cell r="AU1722" t="str">
            <v/>
          </cell>
        </row>
        <row r="1723">
          <cell r="AU1723" t="str">
            <v/>
          </cell>
        </row>
        <row r="1724">
          <cell r="AU1724" t="str">
            <v/>
          </cell>
        </row>
        <row r="1725">
          <cell r="AU1725" t="str">
            <v/>
          </cell>
        </row>
        <row r="1726">
          <cell r="AU1726" t="str">
            <v/>
          </cell>
        </row>
        <row r="1727">
          <cell r="AU1727" t="str">
            <v/>
          </cell>
        </row>
        <row r="1728">
          <cell r="AU1728" t="str">
            <v/>
          </cell>
        </row>
        <row r="1729">
          <cell r="AU1729" t="str">
            <v/>
          </cell>
        </row>
        <row r="1730">
          <cell r="AU1730" t="str">
            <v/>
          </cell>
        </row>
        <row r="1731">
          <cell r="AU1731" t="str">
            <v/>
          </cell>
        </row>
        <row r="1732">
          <cell r="AU1732" t="str">
            <v/>
          </cell>
        </row>
        <row r="1733">
          <cell r="AU1733" t="str">
            <v/>
          </cell>
        </row>
        <row r="1734">
          <cell r="AU1734" t="str">
            <v/>
          </cell>
        </row>
        <row r="1735">
          <cell r="AU1735" t="str">
            <v/>
          </cell>
        </row>
        <row r="1736">
          <cell r="AU1736" t="str">
            <v/>
          </cell>
        </row>
        <row r="1737">
          <cell r="AU1737" t="str">
            <v/>
          </cell>
        </row>
        <row r="1738">
          <cell r="AU1738" t="str">
            <v/>
          </cell>
        </row>
        <row r="1739">
          <cell r="AU1739" t="str">
            <v/>
          </cell>
        </row>
        <row r="1740">
          <cell r="AU1740" t="str">
            <v/>
          </cell>
        </row>
        <row r="1741">
          <cell r="AU1741" t="str">
            <v/>
          </cell>
        </row>
        <row r="1742">
          <cell r="AU1742" t="str">
            <v/>
          </cell>
        </row>
        <row r="1743">
          <cell r="AU1743" t="str">
            <v/>
          </cell>
        </row>
        <row r="1744">
          <cell r="AU1744" t="str">
            <v/>
          </cell>
        </row>
        <row r="1745">
          <cell r="AU1745" t="str">
            <v/>
          </cell>
        </row>
        <row r="1746">
          <cell r="AU1746" t="str">
            <v/>
          </cell>
        </row>
        <row r="1747">
          <cell r="AU1747" t="str">
            <v/>
          </cell>
        </row>
        <row r="1748">
          <cell r="AU1748" t="str">
            <v/>
          </cell>
        </row>
        <row r="1749">
          <cell r="AU1749" t="str">
            <v/>
          </cell>
        </row>
        <row r="1750">
          <cell r="AU1750" t="str">
            <v/>
          </cell>
        </row>
        <row r="1751">
          <cell r="AU1751" t="str">
            <v/>
          </cell>
        </row>
        <row r="1752">
          <cell r="AU1752" t="str">
            <v/>
          </cell>
        </row>
        <row r="1753">
          <cell r="AU1753" t="str">
            <v/>
          </cell>
        </row>
        <row r="1754">
          <cell r="AU1754" t="str">
            <v/>
          </cell>
        </row>
        <row r="1755">
          <cell r="AU1755" t="str">
            <v/>
          </cell>
        </row>
        <row r="1756">
          <cell r="AU1756" t="str">
            <v/>
          </cell>
        </row>
        <row r="1757">
          <cell r="AU1757" t="str">
            <v/>
          </cell>
        </row>
        <row r="1758">
          <cell r="AU1758" t="str">
            <v/>
          </cell>
        </row>
        <row r="1759">
          <cell r="AU1759" t="str">
            <v/>
          </cell>
        </row>
        <row r="1760">
          <cell r="AU1760" t="str">
            <v/>
          </cell>
        </row>
        <row r="1761">
          <cell r="AU1761" t="str">
            <v/>
          </cell>
        </row>
        <row r="1762">
          <cell r="AU1762" t="str">
            <v/>
          </cell>
        </row>
        <row r="1763">
          <cell r="AU1763" t="str">
            <v/>
          </cell>
        </row>
        <row r="1764">
          <cell r="AU1764" t="str">
            <v/>
          </cell>
        </row>
        <row r="1765">
          <cell r="AU1765" t="str">
            <v/>
          </cell>
        </row>
        <row r="1766">
          <cell r="AU1766" t="str">
            <v/>
          </cell>
        </row>
        <row r="1767">
          <cell r="AU1767" t="str">
            <v/>
          </cell>
        </row>
        <row r="1768">
          <cell r="AU1768" t="str">
            <v/>
          </cell>
        </row>
        <row r="1769">
          <cell r="AU1769" t="str">
            <v/>
          </cell>
        </row>
        <row r="1770">
          <cell r="AU1770" t="str">
            <v/>
          </cell>
        </row>
        <row r="1771">
          <cell r="AU1771" t="str">
            <v/>
          </cell>
        </row>
        <row r="1772">
          <cell r="AU1772" t="str">
            <v/>
          </cell>
        </row>
        <row r="1773">
          <cell r="AU1773" t="str">
            <v/>
          </cell>
        </row>
        <row r="1774">
          <cell r="AU1774" t="str">
            <v/>
          </cell>
        </row>
        <row r="1775">
          <cell r="AU1775" t="str">
            <v/>
          </cell>
        </row>
        <row r="1776">
          <cell r="AU1776" t="str">
            <v/>
          </cell>
        </row>
        <row r="1777">
          <cell r="AU1777" t="str">
            <v/>
          </cell>
        </row>
        <row r="1778">
          <cell r="AU1778" t="str">
            <v/>
          </cell>
        </row>
        <row r="1779">
          <cell r="AU1779" t="str">
            <v/>
          </cell>
        </row>
        <row r="1780">
          <cell r="AU1780" t="str">
            <v/>
          </cell>
        </row>
        <row r="1781">
          <cell r="AU1781" t="str">
            <v/>
          </cell>
        </row>
        <row r="1782">
          <cell r="AU1782" t="str">
            <v/>
          </cell>
        </row>
        <row r="1783">
          <cell r="AU1783" t="str">
            <v/>
          </cell>
        </row>
        <row r="1784">
          <cell r="AU1784" t="str">
            <v/>
          </cell>
        </row>
        <row r="1785">
          <cell r="AU1785" t="str">
            <v/>
          </cell>
        </row>
        <row r="1786">
          <cell r="AU1786" t="str">
            <v/>
          </cell>
        </row>
        <row r="1787">
          <cell r="AU1787" t="str">
            <v/>
          </cell>
        </row>
        <row r="1788">
          <cell r="AU1788" t="str">
            <v/>
          </cell>
        </row>
        <row r="1789">
          <cell r="AU1789" t="str">
            <v/>
          </cell>
        </row>
        <row r="1790">
          <cell r="AU1790" t="str">
            <v/>
          </cell>
        </row>
        <row r="1791">
          <cell r="AU1791" t="str">
            <v/>
          </cell>
        </row>
        <row r="1792">
          <cell r="AU1792" t="str">
            <v/>
          </cell>
        </row>
        <row r="1793">
          <cell r="AU1793" t="str">
            <v/>
          </cell>
        </row>
        <row r="1794">
          <cell r="AU1794" t="str">
            <v/>
          </cell>
        </row>
        <row r="1795">
          <cell r="AU1795" t="str">
            <v/>
          </cell>
        </row>
        <row r="1796">
          <cell r="AU1796" t="str">
            <v/>
          </cell>
        </row>
        <row r="1797">
          <cell r="AU1797" t="str">
            <v/>
          </cell>
        </row>
        <row r="1798">
          <cell r="AU1798" t="str">
            <v/>
          </cell>
        </row>
        <row r="1799">
          <cell r="AU1799" t="str">
            <v/>
          </cell>
        </row>
        <row r="1800">
          <cell r="AU1800" t="str">
            <v/>
          </cell>
        </row>
        <row r="1801">
          <cell r="AU1801" t="str">
            <v/>
          </cell>
        </row>
        <row r="1802">
          <cell r="AU1802" t="str">
            <v/>
          </cell>
        </row>
        <row r="1803">
          <cell r="AU1803" t="str">
            <v/>
          </cell>
        </row>
        <row r="1804">
          <cell r="AU1804" t="str">
            <v/>
          </cell>
        </row>
        <row r="1805">
          <cell r="AU1805" t="str">
            <v/>
          </cell>
        </row>
        <row r="1806">
          <cell r="AU1806" t="str">
            <v/>
          </cell>
        </row>
        <row r="1807">
          <cell r="AU1807" t="str">
            <v/>
          </cell>
        </row>
        <row r="1808">
          <cell r="AU1808" t="str">
            <v/>
          </cell>
        </row>
        <row r="1809">
          <cell r="AU1809" t="str">
            <v/>
          </cell>
        </row>
        <row r="1810">
          <cell r="AU1810" t="str">
            <v/>
          </cell>
        </row>
        <row r="1811">
          <cell r="AU1811" t="str">
            <v/>
          </cell>
        </row>
        <row r="1812">
          <cell r="AU1812" t="str">
            <v/>
          </cell>
        </row>
        <row r="1813">
          <cell r="AU1813" t="str">
            <v/>
          </cell>
        </row>
        <row r="1814">
          <cell r="AU1814" t="str">
            <v/>
          </cell>
        </row>
        <row r="1815">
          <cell r="AU1815" t="str">
            <v/>
          </cell>
        </row>
        <row r="1816">
          <cell r="AU1816" t="str">
            <v/>
          </cell>
        </row>
        <row r="1817">
          <cell r="AU1817" t="str">
            <v/>
          </cell>
        </row>
        <row r="1818">
          <cell r="AU1818" t="str">
            <v/>
          </cell>
        </row>
        <row r="1819">
          <cell r="AU1819" t="str">
            <v/>
          </cell>
        </row>
        <row r="1820">
          <cell r="AU1820" t="str">
            <v/>
          </cell>
        </row>
        <row r="1821">
          <cell r="AU1821" t="str">
            <v/>
          </cell>
        </row>
        <row r="1822">
          <cell r="AU1822" t="str">
            <v/>
          </cell>
        </row>
        <row r="1823">
          <cell r="AU1823" t="str">
            <v/>
          </cell>
        </row>
        <row r="1824">
          <cell r="AU1824" t="str">
            <v/>
          </cell>
        </row>
        <row r="1825">
          <cell r="AU1825" t="str">
            <v/>
          </cell>
        </row>
        <row r="1826">
          <cell r="AU1826" t="str">
            <v/>
          </cell>
        </row>
        <row r="1827">
          <cell r="AU1827" t="str">
            <v/>
          </cell>
        </row>
        <row r="1828">
          <cell r="AU1828" t="str">
            <v/>
          </cell>
        </row>
        <row r="1829">
          <cell r="AU1829" t="str">
            <v/>
          </cell>
        </row>
        <row r="1830">
          <cell r="AU1830" t="str">
            <v/>
          </cell>
        </row>
        <row r="1831">
          <cell r="AU1831" t="str">
            <v/>
          </cell>
        </row>
        <row r="1832">
          <cell r="AU1832" t="str">
            <v/>
          </cell>
        </row>
        <row r="1833">
          <cell r="AU1833" t="str">
            <v/>
          </cell>
        </row>
        <row r="1834">
          <cell r="AU1834" t="str">
            <v/>
          </cell>
        </row>
        <row r="1835">
          <cell r="AU1835" t="str">
            <v/>
          </cell>
        </row>
        <row r="1836">
          <cell r="AU1836" t="str">
            <v/>
          </cell>
        </row>
        <row r="1837">
          <cell r="AU1837" t="str">
            <v/>
          </cell>
        </row>
        <row r="1838">
          <cell r="AU1838" t="str">
            <v/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ducto">
    <tabColor rgb="FF0070C0"/>
    <pageSetUpPr autoPageBreaks="0" fitToPage="1"/>
  </sheetPr>
  <dimension ref="A1:T51"/>
  <sheetViews>
    <sheetView showGridLines="0" tabSelected="1" topLeftCell="A13" zoomScale="90" zoomScaleNormal="90" workbookViewId="0">
      <selection activeCell="H32" sqref="H32"/>
    </sheetView>
  </sheetViews>
  <sheetFormatPr baseColWidth="10" defaultColWidth="9.140625" defaultRowHeight="30" customHeight="1"/>
  <cols>
    <col min="1" max="1" width="2.7109375" customWidth="1"/>
    <col min="2" max="2" width="26.7109375" customWidth="1"/>
    <col min="3" max="3" width="33.28515625" bestFit="1" customWidth="1"/>
    <col min="4" max="4" width="15.5703125" customWidth="1"/>
    <col min="5" max="5" width="18.140625" customWidth="1"/>
    <col min="6" max="6" width="29.5703125" customWidth="1"/>
    <col min="7" max="7" width="20.140625" customWidth="1"/>
    <col min="8" max="8" width="14.85546875" customWidth="1"/>
    <col min="9" max="9" width="14.85546875" bestFit="1" customWidth="1"/>
    <col min="10" max="10" width="13.7109375" customWidth="1"/>
    <col min="11" max="11" width="25.85546875" customWidth="1"/>
    <col min="12" max="12" width="19" customWidth="1"/>
    <col min="13" max="13" width="20.7109375" customWidth="1"/>
    <col min="14" max="14" width="2.7109375" customWidth="1"/>
  </cols>
  <sheetData>
    <row r="1" spans="1:20" ht="12" customHeight="1" thickBo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</row>
    <row r="2" spans="1:20" ht="30" customHeight="1">
      <c r="A2" s="4"/>
      <c r="B2" s="5" t="s">
        <v>45</v>
      </c>
      <c r="C2" s="6"/>
      <c r="D2" s="6"/>
      <c r="E2" s="7"/>
      <c r="F2" s="7"/>
      <c r="G2" s="7"/>
      <c r="H2" s="7"/>
      <c r="I2" s="7"/>
      <c r="J2" s="7"/>
      <c r="K2" s="7"/>
      <c r="L2" s="7"/>
      <c r="M2" s="8"/>
      <c r="N2" s="4"/>
      <c r="O2" s="4"/>
    </row>
    <row r="3" spans="1:20" ht="30" customHeight="1">
      <c r="A3" s="4"/>
      <c r="B3" s="9" t="s">
        <v>0</v>
      </c>
      <c r="C3" s="145" t="s">
        <v>22</v>
      </c>
      <c r="D3" s="145"/>
      <c r="E3" s="10" t="s">
        <v>1</v>
      </c>
      <c r="F3" s="50">
        <v>45950</v>
      </c>
      <c r="G3" s="10" t="s">
        <v>2</v>
      </c>
      <c r="H3" s="146">
        <f>DolarBlueVenta()</f>
        <v>1485</v>
      </c>
      <c r="I3" s="146"/>
      <c r="J3" s="4"/>
      <c r="K3" s="11"/>
      <c r="L3" s="12"/>
      <c r="M3" s="13"/>
      <c r="N3" s="14"/>
      <c r="O3" s="4"/>
    </row>
    <row r="4" spans="1:20" ht="30" customHeight="1">
      <c r="A4" s="4"/>
      <c r="B4" s="15" t="s">
        <v>3</v>
      </c>
      <c r="C4" s="16"/>
      <c r="D4" s="16"/>
      <c r="E4" s="17"/>
      <c r="F4" s="17"/>
      <c r="G4" s="17"/>
      <c r="H4" s="17"/>
      <c r="I4" s="17"/>
      <c r="J4" s="4"/>
      <c r="K4" s="17"/>
      <c r="L4" s="17"/>
      <c r="M4" s="18"/>
      <c r="N4" s="4"/>
      <c r="O4" s="4"/>
    </row>
    <row r="5" spans="1:20" ht="30" customHeight="1">
      <c r="A5" s="4"/>
      <c r="B5" s="19" t="s">
        <v>4</v>
      </c>
      <c r="C5" s="147" t="s">
        <v>24</v>
      </c>
      <c r="D5" s="147"/>
      <c r="E5" s="20" t="s">
        <v>5</v>
      </c>
      <c r="F5" s="75" t="s">
        <v>26</v>
      </c>
      <c r="G5" s="21"/>
      <c r="H5" s="21"/>
      <c r="I5" s="21"/>
      <c r="J5" s="4"/>
      <c r="K5" s="17"/>
      <c r="L5" s="21"/>
      <c r="M5" s="22"/>
      <c r="N5" s="4"/>
      <c r="O5" s="4"/>
      <c r="R5" s="1"/>
      <c r="S5" s="138"/>
      <c r="T5" s="138"/>
    </row>
    <row r="6" spans="1:20" ht="30" customHeight="1">
      <c r="A6" s="4"/>
      <c r="B6" s="19" t="s">
        <v>6</v>
      </c>
      <c r="C6" s="139" t="s">
        <v>25</v>
      </c>
      <c r="D6" s="139"/>
      <c r="E6" s="20" t="s">
        <v>7</v>
      </c>
      <c r="F6" s="76" t="s">
        <v>27</v>
      </c>
      <c r="G6" s="21"/>
      <c r="H6" s="21"/>
      <c r="I6" s="21"/>
      <c r="J6" s="4"/>
      <c r="K6" s="17"/>
      <c r="L6" s="21"/>
      <c r="M6" s="22"/>
      <c r="N6" s="4"/>
      <c r="O6" s="4"/>
    </row>
    <row r="7" spans="1:20" ht="30" customHeight="1" thickBot="1">
      <c r="A7" s="4"/>
      <c r="B7" s="23"/>
      <c r="C7" s="24"/>
      <c r="D7" s="24"/>
      <c r="E7" s="25"/>
      <c r="F7" s="25"/>
      <c r="G7" s="21"/>
      <c r="H7" s="21"/>
      <c r="I7" s="21"/>
      <c r="J7" s="21"/>
      <c r="K7" s="26"/>
      <c r="L7" s="21"/>
      <c r="M7" s="22"/>
      <c r="N7" s="4"/>
      <c r="O7" s="4"/>
    </row>
    <row r="8" spans="1:20" ht="42.75" customHeight="1" thickBot="1">
      <c r="A8" s="4"/>
      <c r="B8" s="27" t="s">
        <v>8</v>
      </c>
      <c r="C8" s="63" t="s">
        <v>33</v>
      </c>
      <c r="D8" s="140" t="s">
        <v>9</v>
      </c>
      <c r="E8" s="140"/>
      <c r="F8" s="63" t="s">
        <v>10</v>
      </c>
      <c r="G8" s="46" t="s">
        <v>29</v>
      </c>
      <c r="H8" s="63" t="s">
        <v>11</v>
      </c>
      <c r="I8" s="46" t="s">
        <v>32</v>
      </c>
      <c r="J8" s="46" t="s">
        <v>12</v>
      </c>
      <c r="K8" s="140" t="s">
        <v>13</v>
      </c>
      <c r="L8" s="140"/>
      <c r="M8" s="28" t="s">
        <v>14</v>
      </c>
      <c r="N8" s="4"/>
      <c r="O8" s="4"/>
    </row>
    <row r="9" spans="1:20" ht="30" customHeight="1">
      <c r="A9" s="4"/>
      <c r="B9" s="127" t="s">
        <v>15</v>
      </c>
      <c r="C9" s="141" t="s">
        <v>16</v>
      </c>
      <c r="D9" s="143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ROWS($D$9:E9)
        )
      ),
    "")
)</f>
        <v>BPB-056-ENG-2565-CHS</v>
      </c>
      <c r="E9" s="144"/>
      <c r="F9" s="111"/>
      <c r="G9" s="82" t="str">
        <f>IF(D9="","", IF(ISERROR(FIND("Seleccionar", D9)), "-", ""))</f>
        <v>-</v>
      </c>
      <c r="H9" s="56">
        <f>IFERROR(
  INDEX([6]Hoja1!$P:$P,
         MATCH($D9, [6]Hoja1!$A:$A, 0)),
"")</f>
        <v>4.4800000000000004</v>
      </c>
      <c r="I9" s="81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ROWS($D$9:E9)
        )
      ),
    "")
)</f>
        <v>1</v>
      </c>
      <c r="J9" s="57" t="str">
        <f>IF(D9="","", IF(ISERROR(FIND("Seleccionar", D9)), "un / Pieza", ""))</f>
        <v>un / Pieza</v>
      </c>
      <c r="K9" s="143" t="str">
        <f>IFERROR(
  INDEX([6]Hoja1!$G:$G,MATCH($D9,[6]Hoja1!$A:$A,0))
  &amp; " - Cotizado el " &amp;
  TEXT(INDEX([6]Hoja1!$L:$L,MATCH($D9,[6]Hoja1!$A:$A,0))+0,"dd/mm/yyyy")
  &amp; " a $ " &amp;
  TEXT(VALUE(INDEX([6]Hoja1!$M:$M,MATCH($D9,[6]Hoja1!$A:$A,0))),"#,##0.0"), "")</f>
        <v>IDESP - Cotizado el 05/12/2025 a $ 1470,00</v>
      </c>
      <c r="L9" s="144"/>
      <c r="M9" s="65">
        <f>IF(H9=""," ",IFERROR(H9*I9,""))</f>
        <v>4.4800000000000004</v>
      </c>
      <c r="N9" s="4"/>
      <c r="O9" s="4"/>
    </row>
    <row r="10" spans="1:20" ht="30" customHeight="1">
      <c r="A10" s="4"/>
      <c r="B10" s="126"/>
      <c r="C10" s="142"/>
      <c r="D10" s="152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ROWS($D$9:E10)
        )
      ),
    "")
)</f>
        <v>B&amp;P-048-AG-1235-B</v>
      </c>
      <c r="E10" s="152"/>
      <c r="F10" s="100"/>
      <c r="G10" s="74" t="str">
        <f t="shared" ref="G10" si="0">IF(D10="","", IF(ISERROR(FIND("Seleccionar", D10)), "-", ""))</f>
        <v>-</v>
      </c>
      <c r="H10" s="98">
        <f>IFERROR(
  INDEX([6]Hoja1!$P:$P,
         MATCH($D10, [6]Hoja1!$A:$A, 0)),
"")</f>
        <v>1.96</v>
      </c>
      <c r="I10" s="99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ROWS($D$9:E10)
        )
      ),
    "")
)</f>
        <v>1</v>
      </c>
      <c r="J10" s="58" t="str">
        <f t="shared" ref="J10" si="1">IF(D10="","", IF(ISERROR(FIND("Seleccionar", D10)), "un / Pieza", ""))</f>
        <v>un / Pieza</v>
      </c>
      <c r="K10" s="150" t="str">
        <f>IFERROR(
  INDEX([6]Hoja1!$G:$G,MATCH($D10,[6]Hoja1!$A:$A,0))
  &amp; " - Cotizado el " &amp;
  TEXT(INDEX([6]Hoja1!$L:$L,MATCH($D10,[6]Hoja1!$A:$A,0))+0,"dd/mm/yyyy")
  &amp; " a $ " &amp;
  TEXT(VALUE(INDEX([6]Hoja1!$M:$M,MATCH($D10,[6]Hoja1!$A:$A,0))),"#,##0.0"), "")</f>
        <v>IDESP - Cotizado el 14/10/2025 a $ 1375,00</v>
      </c>
      <c r="L10" s="151"/>
      <c r="M10" s="52">
        <f t="shared" ref="M10" si="2">IF(H10=""," ",IFERROR(H10*I10,""))</f>
        <v>1.96</v>
      </c>
      <c r="N10" s="4"/>
      <c r="O10" s="4"/>
    </row>
    <row r="11" spans="1:20" ht="30" customHeight="1">
      <c r="A11" s="4"/>
      <c r="B11" s="126"/>
      <c r="C11" s="142"/>
      <c r="D11" s="148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ROWS($D$9:E11)
        )
      ),
    "")
)</f>
        <v/>
      </c>
      <c r="E11" s="149"/>
      <c r="F11" s="100"/>
      <c r="G11" s="74" t="str">
        <f t="shared" ref="G11" si="3">IF(D11="","", IF(ISERROR(FIND("Seleccionar", D11)), "-", ""))</f>
        <v/>
      </c>
      <c r="H11" s="98" t="str">
        <f>IFERROR(
  INDEX([6]Hoja1!$P:$P,
         MATCH($D11, [6]Hoja1!$A:$A, 0)),
"")</f>
        <v/>
      </c>
      <c r="I11" s="77" t="str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ROWS($D$9:E11)
        )
      ),
    "")
)</f>
        <v/>
      </c>
      <c r="J11" s="58" t="str">
        <f t="shared" ref="J11" si="4">IF(D11="","", IF(ISERROR(FIND("Seleccionar", D11)), "un / Pieza", ""))</f>
        <v/>
      </c>
      <c r="K11" s="150" t="str">
        <f>IFERROR(
  INDEX([6]Hoja1!$G:$G,MATCH($D11,[6]Hoja1!$A:$A,0))
  &amp; " - Cotizado el " &amp;
  TEXT(INDEX([6]Hoja1!$L:$L,MATCH($D11,[6]Hoja1!$A:$A,0))+0,"dd/mm/yyyy")
  &amp; " a $ " &amp;
  TEXT(VALUE(INDEX([6]Hoja1!$M:$M,MATCH($D11,[6]Hoja1!$A:$A,0))),"#,##0.0"), "")</f>
        <v/>
      </c>
      <c r="L11" s="151"/>
      <c r="M11" s="52" t="str">
        <f t="shared" ref="M11" si="5">IF(H11=""," ",IFERROR(H11*I11,""))</f>
        <v xml:space="preserve"> </v>
      </c>
      <c r="N11" s="4"/>
      <c r="O11" s="4"/>
    </row>
    <row r="12" spans="1:20" ht="30" customHeight="1">
      <c r="A12" s="4"/>
      <c r="B12" s="54"/>
      <c r="C12" s="73"/>
      <c r="D12" s="106"/>
      <c r="E12" s="107"/>
      <c r="F12" s="73"/>
      <c r="G12" s="68"/>
      <c r="H12" s="69"/>
      <c r="I12" s="68"/>
      <c r="J12" s="70"/>
      <c r="K12" s="71"/>
      <c r="L12" s="72"/>
      <c r="M12" s="47"/>
      <c r="N12" s="4"/>
      <c r="O12" s="4"/>
    </row>
    <row r="13" spans="1:20" ht="30" customHeight="1">
      <c r="A13" s="4"/>
      <c r="B13" s="125" t="s">
        <v>42</v>
      </c>
      <c r="C13" s="100" t="s">
        <v>35</v>
      </c>
      <c r="D13" s="129"/>
      <c r="E13" s="130"/>
      <c r="F13" s="105"/>
      <c r="G13" s="74" t="str">
        <f>IF(D13="","","-")</f>
        <v/>
      </c>
      <c r="H13" s="109" t="str">
        <f>IF(D13="","",PromedioMultiSeleccion(D13,
[1]INDICE!$C$6:$C$100,
[1]INDICE!$D$6:$D$100))</f>
        <v/>
      </c>
      <c r="I13" s="99"/>
      <c r="J13" s="58" t="str">
        <f>IF(D13="",""," un / h ")</f>
        <v/>
      </c>
      <c r="K13" s="131"/>
      <c r="L13" s="131"/>
      <c r="M13" s="66" t="str">
        <f>IF(H13=""," ",IFERROR(H13/I13,""))</f>
        <v xml:space="preserve"> </v>
      </c>
      <c r="N13" s="4"/>
      <c r="O13" s="4"/>
    </row>
    <row r="14" spans="1:20" ht="30" customHeight="1">
      <c r="A14" s="4"/>
      <c r="B14" s="126"/>
      <c r="C14" s="62" t="s">
        <v>51</v>
      </c>
      <c r="D14" s="129"/>
      <c r="E14" s="130"/>
      <c r="F14" s="112" t="str">
        <f>IFERROR(
  INDEX('[1]INFO-INSUMOS'!$D$11:$EA$11,
         1,
         MATCH(D19, '[1]INFO-INSUMOS'!$D$12:$EA$12, 0)
  ),
  ""
)</f>
        <v/>
      </c>
      <c r="G14" s="74" t="str">
        <f>IFERROR(
  INDEX(
    '[1]INFO-INSUMOS'!$D$13:$EA$5000,
    MATCH($C$3, '[1]INFO-INSUMOS'!$B$13:$B$5000, 0),
    MATCH(D19, '[1]INFO-INSUMOS'!$D$12:$EA$12, 0)
  ),
  ""
)</f>
        <v/>
      </c>
      <c r="H14" s="104" t="str">
        <f>IF(D19="","",PromedioMultiSeleccion(D19,
'[1]INFO-INSUMOS'!$D$12:$EA$12,
'[1]INFO-INSUMOS'!$D$13:$EA$13))</f>
        <v/>
      </c>
      <c r="I14" s="77"/>
      <c r="J14" s="59" t="str">
        <f>IF(D14="",""," un / pieza ")</f>
        <v/>
      </c>
      <c r="K14" s="131"/>
      <c r="L14" s="131"/>
      <c r="M14" s="66" t="str">
        <f>IF(H14="","",IFERROR(H14/I14,""))</f>
        <v/>
      </c>
      <c r="N14" s="4"/>
      <c r="O14" s="4"/>
    </row>
    <row r="15" spans="1:20" ht="30" customHeight="1">
      <c r="A15" s="4"/>
      <c r="B15" s="54"/>
      <c r="C15" s="53"/>
      <c r="D15" s="106"/>
      <c r="E15" s="107"/>
      <c r="F15" s="73"/>
      <c r="G15" s="68"/>
      <c r="H15" s="68"/>
      <c r="I15" s="68"/>
      <c r="J15" s="78"/>
      <c r="K15" s="71"/>
      <c r="L15" s="72"/>
      <c r="M15" s="47"/>
      <c r="N15" s="4"/>
      <c r="O15" s="4"/>
    </row>
    <row r="16" spans="1:20" ht="30" customHeight="1">
      <c r="A16" s="4"/>
      <c r="B16" s="125" t="s">
        <v>34</v>
      </c>
      <c r="C16" s="62" t="s">
        <v>35</v>
      </c>
      <c r="D16" s="129" t="s">
        <v>56</v>
      </c>
      <c r="E16" s="130"/>
      <c r="F16" s="62"/>
      <c r="G16" s="48" t="str">
        <f t="shared" ref="G16:G19" si="6">IF(D16="","","-")</f>
        <v>-</v>
      </c>
      <c r="H16" s="109">
        <f>IF(D16="","",PromedioMultiSeleccion(D16,
 [2]INDICE!$C$6:$C$100,
 [2]INDICE!$D$6:$D$100))</f>
        <v>6.7661512063235154</v>
      </c>
      <c r="I16" s="40">
        <v>82</v>
      </c>
      <c r="J16" s="58" t="str">
        <f>IF(D16="",""," un / h ")</f>
        <v xml:space="preserve"> un / h </v>
      </c>
      <c r="K16" s="132"/>
      <c r="L16" s="132"/>
      <c r="M16" s="52">
        <f>IF(H16=""," ",IFERROR(H16/I16,""))</f>
        <v>8.2514039101506287E-2</v>
      </c>
      <c r="N16" s="4"/>
      <c r="O16" s="4"/>
    </row>
    <row r="17" spans="1:15" ht="30" customHeight="1">
      <c r="A17" s="4"/>
      <c r="B17" s="126"/>
      <c r="C17" s="62" t="s">
        <v>36</v>
      </c>
      <c r="D17" s="156" t="s">
        <v>54</v>
      </c>
      <c r="E17" s="157"/>
      <c r="F17" s="86"/>
      <c r="G17" s="74">
        <v>1100</v>
      </c>
      <c r="H17" s="91">
        <f>IF(D17="","",IFERROR(INDEX('[2]INFO-INSUMOS-P'!$G$9:$G$5000,MATCH(D17,'[2]INFO-INSUMOS-P'!$D$9:$D$5000,0)),""))</f>
        <v>16.084700000000002</v>
      </c>
      <c r="I17" s="92">
        <v>1</v>
      </c>
      <c r="J17" s="58" t="str">
        <f>IF(D17="",""," un / Pieza ")</f>
        <v xml:space="preserve"> un / Pieza </v>
      </c>
      <c r="K17" s="131"/>
      <c r="L17" s="131"/>
      <c r="M17" s="66">
        <f>IF(H17="","",IFERROR((H17/G17)*I17,""))</f>
        <v>1.4622454545454546E-2</v>
      </c>
      <c r="N17" s="4"/>
      <c r="O17" s="4"/>
    </row>
    <row r="18" spans="1:15" ht="30" customHeight="1">
      <c r="A18" s="4"/>
      <c r="B18" s="54"/>
      <c r="C18" s="53"/>
      <c r="D18" s="106"/>
      <c r="E18" s="107"/>
      <c r="F18" s="73"/>
      <c r="G18" s="68"/>
      <c r="H18" s="68"/>
      <c r="I18" s="68"/>
      <c r="J18" s="78"/>
      <c r="K18" s="71"/>
      <c r="L18" s="72"/>
      <c r="M18" s="47"/>
      <c r="N18" s="4"/>
      <c r="O18" s="4"/>
    </row>
    <row r="19" spans="1:15" ht="30" customHeight="1">
      <c r="A19" s="4"/>
      <c r="B19" s="125" t="s">
        <v>23</v>
      </c>
      <c r="C19" s="84" t="s">
        <v>37</v>
      </c>
      <c r="D19" s="136" t="s">
        <v>55</v>
      </c>
      <c r="E19" s="137"/>
      <c r="F19" s="84"/>
      <c r="G19" s="74" t="str">
        <f t="shared" si="6"/>
        <v>-</v>
      </c>
      <c r="H19" s="51">
        <f>IF(D19="","",PromedioMultiSeleccion(D19,
 [3]INDICE!$C$6:$C$100,
 [3]INDICE!$D$6:$D$100))</f>
        <v>7.5835692494651346</v>
      </c>
      <c r="I19" s="48">
        <v>320</v>
      </c>
      <c r="J19" s="58" t="str">
        <f>IF(D19="",""," un / h ")</f>
        <v xml:space="preserve"> un / h </v>
      </c>
      <c r="K19" s="85"/>
      <c r="L19" s="87"/>
      <c r="M19" s="52">
        <f>IF(H19="","",IFERROR(H19/I19,""))</f>
        <v>2.3698653904578544E-2</v>
      </c>
      <c r="N19" s="4"/>
      <c r="O19" s="4"/>
    </row>
    <row r="20" spans="1:15" ht="30" customHeight="1">
      <c r="A20" s="4"/>
      <c r="B20" s="126"/>
      <c r="C20" s="84" t="s">
        <v>46</v>
      </c>
      <c r="D20" s="100" t="str">
        <f>IF(C3="", " ↑ ", "Minorista")</f>
        <v>Minorista</v>
      </c>
      <c r="E20" s="108" t="str">
        <f>IF(C3="", "Seleccionar Pieza", "Costo de Embalaje")</f>
        <v>Costo de Embalaje</v>
      </c>
      <c r="F20" s="84" t="str">
        <f>IFERROR(INDEX('[3]INFO-E'!$C$10:$C$42,MATCH(E20,'[3]INFO-E'!$B$10:$B$42,0)),"")</f>
        <v/>
      </c>
      <c r="G20" s="74" t="str">
        <f>IF(ISERROR(FIND("Seleccionar", E20)), "-", "")</f>
        <v>-</v>
      </c>
      <c r="H20" s="51">
        <f>IFERROR(INDEX('[3]INFO-Embalaje'!$DB$13:$DB$349,MATCH($C$3,'[3]INFO-Embalaje'!$B$13:$B$349,0)),"")</f>
        <v>0.19204384705882352</v>
      </c>
      <c r="I20" s="48" t="str">
        <f>IF(H20="","","1")</f>
        <v>1</v>
      </c>
      <c r="J20" s="58" t="str">
        <f>IF(ISERROR(FIND("Seleccionar", E20)), "$ / h", "")</f>
        <v>$ / h</v>
      </c>
      <c r="K20" s="85"/>
      <c r="L20" s="87"/>
      <c r="M20" s="52">
        <f>IF(H20=""," ",IFERROR(H20*I20,""))</f>
        <v>0.19204384705882352</v>
      </c>
      <c r="N20" s="4"/>
      <c r="O20" s="4"/>
    </row>
    <row r="21" spans="1:15" ht="30" customHeight="1">
      <c r="A21" s="4"/>
      <c r="B21" s="135"/>
      <c r="C21" s="84" t="s">
        <v>47</v>
      </c>
      <c r="D21" s="100" t="str">
        <f>IF(C3="", " ↑ ", "Mayorista")</f>
        <v>Mayorista</v>
      </c>
      <c r="E21" s="108" t="str">
        <f>IF(C3="", "Seleccionar Pieza", "Costo de Embalaje")</f>
        <v>Costo de Embalaje</v>
      </c>
      <c r="F21" s="84" t="str">
        <f>IFERROR(INDEX('[3]INFO-E'!$C$10:$C$42,MATCH(E21,'[3]INFO-E'!$B$10:$B$42,0)),"")</f>
        <v/>
      </c>
      <c r="G21" s="74" t="str">
        <f>IF(ISERROR(FIND("Seleccionar", E21)), "-", "")</f>
        <v>-</v>
      </c>
      <c r="H21" s="51">
        <f>IFERROR(INDEX('[3]INFO-Embalaje'!$DC$13:$DC$349,MATCH($C$3,'[3]INFO-Embalaje'!$B$13:$B$349,0)),"")</f>
        <v>0.22010517055048967</v>
      </c>
      <c r="I21" s="48" t="str">
        <f>IF(H21="","","1")</f>
        <v>1</v>
      </c>
      <c r="J21" s="58" t="str">
        <f>IF(ISERROR(FIND("Seleccionar", E21)), "$ / h", "")</f>
        <v>$ / h</v>
      </c>
      <c r="K21" s="85"/>
      <c r="L21" s="87"/>
      <c r="M21" s="52">
        <f>IF(H21=""," ",IFERROR(H21*I21,""))</f>
        <v>0.22010517055048967</v>
      </c>
      <c r="N21" s="4"/>
      <c r="O21" s="4"/>
    </row>
    <row r="22" spans="1:15" ht="30" customHeight="1">
      <c r="A22" s="4"/>
      <c r="B22" s="93"/>
      <c r="C22" s="53"/>
      <c r="D22" s="133"/>
      <c r="E22" s="134"/>
      <c r="F22" s="73"/>
      <c r="G22" s="68"/>
      <c r="H22" s="68"/>
      <c r="I22" s="68"/>
      <c r="J22" s="78"/>
      <c r="K22" s="133"/>
      <c r="L22" s="134"/>
      <c r="M22" s="47"/>
      <c r="N22" s="4"/>
      <c r="O22" s="4"/>
    </row>
    <row r="23" spans="1:15" ht="30" customHeight="1">
      <c r="A23" s="4"/>
      <c r="B23" s="103" t="s">
        <v>48</v>
      </c>
      <c r="C23" s="60" t="s">
        <v>37</v>
      </c>
      <c r="D23" s="128"/>
      <c r="E23" s="128"/>
      <c r="F23" s="62"/>
      <c r="G23" s="48" t="str">
        <f>IF(D23="","","-")</f>
        <v/>
      </c>
      <c r="H23" s="51" t="str">
        <f>IF(D23="","",PromedioMultiSeleccion(D23,
 [7]INDICE!$C$6:$C$100,
 [7]INDICE!$D$6:$D$100))</f>
        <v/>
      </c>
      <c r="I23" s="40"/>
      <c r="J23" s="58" t="str">
        <f>IF(D23="",""," u / h ")</f>
        <v/>
      </c>
      <c r="K23" s="132"/>
      <c r="L23" s="132"/>
      <c r="M23" s="52" t="str">
        <f>IF(H23=""," ",IFERROR(H23/I23,""))</f>
        <v xml:space="preserve"> </v>
      </c>
      <c r="N23" s="4"/>
      <c r="O23" s="4"/>
    </row>
    <row r="24" spans="1:15" ht="30" customHeight="1">
      <c r="A24" s="4"/>
      <c r="B24" s="93"/>
      <c r="C24" s="53"/>
      <c r="D24" s="133"/>
      <c r="E24" s="134"/>
      <c r="F24" s="73"/>
      <c r="G24" s="68"/>
      <c r="H24" s="68"/>
      <c r="I24" s="68"/>
      <c r="J24" s="78"/>
      <c r="K24" s="133"/>
      <c r="L24" s="134"/>
      <c r="M24" s="47"/>
      <c r="N24" s="4"/>
      <c r="O24" s="4"/>
    </row>
    <row r="25" spans="1:15" ht="30" customHeight="1">
      <c r="A25" s="4"/>
      <c r="B25" s="103" t="s">
        <v>43</v>
      </c>
      <c r="C25" s="60" t="s">
        <v>37</v>
      </c>
      <c r="D25" s="128"/>
      <c r="E25" s="128"/>
      <c r="F25" s="100"/>
      <c r="G25" s="48" t="str">
        <f t="shared" ref="G25" si="7">IF(D25="","","-")</f>
        <v/>
      </c>
      <c r="H25" s="41"/>
      <c r="I25" s="40"/>
      <c r="J25" s="58" t="str">
        <f>IF(D25="",""," u ")</f>
        <v/>
      </c>
      <c r="K25" s="132"/>
      <c r="L25" s="132"/>
      <c r="M25" s="52" t="str">
        <f>IF(H25=""," ",IFERROR(H25*I25,""))</f>
        <v xml:space="preserve"> </v>
      </c>
      <c r="N25" s="4"/>
      <c r="O25" s="4"/>
    </row>
    <row r="26" spans="1:15" ht="30" customHeight="1">
      <c r="A26" s="4"/>
      <c r="B26" s="93"/>
      <c r="C26" s="73"/>
      <c r="D26" s="133"/>
      <c r="E26" s="134"/>
      <c r="F26" s="73"/>
      <c r="G26" s="68"/>
      <c r="H26" s="68"/>
      <c r="I26" s="68"/>
      <c r="J26" s="78"/>
      <c r="K26" s="158"/>
      <c r="L26" s="159"/>
      <c r="M26" s="90"/>
      <c r="N26" s="4"/>
      <c r="O26" s="4"/>
    </row>
    <row r="27" spans="1:15" ht="30" customHeight="1">
      <c r="A27" s="4"/>
      <c r="B27" s="120" t="s">
        <v>59</v>
      </c>
      <c r="C27" s="117" t="s">
        <v>16</v>
      </c>
      <c r="D27" s="161" t="str">
        <f>IF(C3="", "Seleccionar Pieza ↑", "Monto asumido de " &amp; C3)</f>
        <v>Monto asumido de AG-2565-CHS</v>
      </c>
      <c r="E27" s="162"/>
      <c r="F27" s="110" t="s">
        <v>53</v>
      </c>
      <c r="G27" s="74" t="str">
        <f>IF(ISERROR(FIND("Seleccionar", D27)), "-", "")</f>
        <v>-</v>
      </c>
      <c r="H27" s="121">
        <f>IF(F29="NAC",
    IFERROR(INDEX([8]NAC!$AU$6:$AU$1838,
                    MATCH(C3,[8]NAC!$A$6:$A$1838,0)),
             ""),
IF(F29="IMP",
    IFERROR(INDEX([8]IMP!$AU$6:$AU$1838,
                    MATCH(C3,[8]IMP!$A$6:$A$1838,0)),
             ""),
""))</f>
        <v>1.5559967774639469</v>
      </c>
      <c r="I27" s="48" t="str">
        <f>IF(H27="","","1")</f>
        <v>1</v>
      </c>
      <c r="J27" s="58" t="str">
        <f>IF(ISERROR(FIND("Seleccionar", D27)), "$ / u", "")</f>
        <v>$ / u</v>
      </c>
      <c r="K27" s="118"/>
      <c r="L27" s="119"/>
      <c r="M27" s="52">
        <f>IF(H27=""," ",IFERROR(H27*I27,""))</f>
        <v>1.5559967774639469</v>
      </c>
      <c r="N27" s="4"/>
      <c r="O27" s="4"/>
    </row>
    <row r="28" spans="1:15" ht="30" customHeight="1">
      <c r="A28" s="4"/>
      <c r="B28" s="93"/>
      <c r="C28" s="73"/>
      <c r="D28" s="115"/>
      <c r="E28" s="116"/>
      <c r="F28" s="73"/>
      <c r="G28" s="68"/>
      <c r="H28" s="68"/>
      <c r="I28" s="68"/>
      <c r="J28" s="78"/>
      <c r="K28" s="113"/>
      <c r="L28" s="114"/>
      <c r="M28" s="90"/>
      <c r="N28" s="4"/>
      <c r="O28" s="4"/>
    </row>
    <row r="29" spans="1:15" ht="30" customHeight="1">
      <c r="A29" s="4"/>
      <c r="B29" s="83" t="s">
        <v>50</v>
      </c>
      <c r="C29" s="62" t="s">
        <v>16</v>
      </c>
      <c r="D29" s="150" t="str">
        <f>IF(C3="", "Seleccionar Pieza ↑", "Monto asumido de " &amp; C3)</f>
        <v>Monto asumido de AG-2565-CHS</v>
      </c>
      <c r="E29" s="151"/>
      <c r="F29" s="110" t="s">
        <v>53</v>
      </c>
      <c r="G29" s="74" t="str">
        <f>IF(ISERROR(FIND("Seleccionar", D29)), "-", "")</f>
        <v>-</v>
      </c>
      <c r="H29" s="79">
        <f>IF(F29="NAC",
    IFERROR(INDEX([8]NAC!$AS$6:$AS$1838,
                    MATCH(C3,[8]NAC!$A$6:$A$1838,0)),
             ""),
IF(F29="IMP",
    IFERROR(INDEX([8]IMP!$AS$6:$AS$1838,
                    MATCH(C3,[8]IMP!$A$6:$A$1838,0)),
             ""),
""))</f>
        <v>10.7840462559226</v>
      </c>
      <c r="I29" s="48" t="str">
        <f>IF(H29="","","1")</f>
        <v>1</v>
      </c>
      <c r="J29" s="58" t="str">
        <f>IF(ISERROR(FIND("Seleccionar", D29)), "$ / u", "")</f>
        <v>$ / u</v>
      </c>
      <c r="K29" s="132"/>
      <c r="L29" s="132"/>
      <c r="M29" s="52">
        <f>IF(H29=""," ",IFERROR(H29*I29,""))</f>
        <v>10.7840462559226</v>
      </c>
      <c r="N29" s="4"/>
      <c r="O29" s="4"/>
    </row>
    <row r="30" spans="1:15" ht="30" customHeight="1" thickBot="1">
      <c r="A30" s="4"/>
      <c r="B30" s="29"/>
      <c r="C30" s="30"/>
      <c r="D30" s="30"/>
      <c r="E30" s="30"/>
      <c r="F30" s="30"/>
      <c r="G30" s="24"/>
      <c r="H30" s="80"/>
      <c r="I30" s="24"/>
      <c r="J30" s="24"/>
      <c r="K30" s="30"/>
      <c r="L30" s="30"/>
      <c r="M30" s="31"/>
      <c r="N30" s="4"/>
      <c r="O30" s="4"/>
    </row>
    <row r="31" spans="1:15" ht="30" customHeight="1" thickBot="1">
      <c r="A31" s="4"/>
      <c r="B31" s="29"/>
      <c r="C31" s="64"/>
      <c r="D31" s="30"/>
      <c r="E31" s="30"/>
      <c r="F31" s="30"/>
      <c r="G31" s="24"/>
      <c r="H31" s="24"/>
      <c r="I31" s="24"/>
      <c r="J31" s="24"/>
      <c r="K31" s="64"/>
      <c r="L31" s="49" t="s">
        <v>30</v>
      </c>
      <c r="M31" s="49" t="s">
        <v>31</v>
      </c>
      <c r="N31" s="4"/>
      <c r="O31" s="4"/>
    </row>
    <row r="32" spans="1:15" ht="30" customHeight="1" thickBot="1">
      <c r="A32" s="4"/>
      <c r="B32" s="29"/>
      <c r="C32" s="64"/>
      <c r="D32" s="30"/>
      <c r="E32" s="30"/>
      <c r="F32" s="64"/>
      <c r="G32" s="24"/>
      <c r="H32" s="24"/>
      <c r="I32" s="21"/>
      <c r="J32" s="21"/>
      <c r="K32" s="32" t="s">
        <v>17</v>
      </c>
      <c r="L32" s="42">
        <f t="array" aca="1" ref="L32" ca="1">IFERROR(
    SUM(
        INDEX(M:M, MATCH("Materia Prima", B:B, 0)) :
        INDEX(M:M,
            MATCH("Materia Prima", B:B, 0)
            + MATCH(TRUE,
                        OFFSET(B1,
                               MATCH("Materia Prima", B:B, 0),
                               0,
                               200,
                               1) &lt;&gt; "",
                        0)
            - 2
        )
    ),
"")</f>
        <v>6.44</v>
      </c>
      <c r="M32" s="42">
        <f t="array" aca="1" ref="M32" ca="1">IFERROR(
    SUM(
        INDEX(M:M, MATCH("Materia Prima", B:B, 0)) :
        INDEX(M:M,
            MATCH("Materia Prima", B:B, 0)
            + MATCH(TRUE,
                        OFFSET(B1,
                               MATCH("Materia Prima", B:B, 0),
                               0,
                               200,
                               1) &lt;&gt; "",
                        0)
            - 2
        )
    ),
"")</f>
        <v>6.44</v>
      </c>
      <c r="N32" s="4"/>
      <c r="O32" s="4"/>
    </row>
    <row r="33" spans="1:15" ht="30" customHeight="1" thickBot="1">
      <c r="A33" s="4"/>
      <c r="B33" s="23"/>
      <c r="C33" s="24"/>
      <c r="D33" s="24"/>
      <c r="E33" s="160"/>
      <c r="F33" s="160"/>
      <c r="G33" s="21"/>
      <c r="H33" s="21"/>
      <c r="I33" s="21"/>
      <c r="J33" s="21"/>
      <c r="K33" s="33" t="s">
        <v>18</v>
      </c>
      <c r="L33" s="43">
        <f t="array" aca="1" ref="L33" ca="1">IFERROR(
    (
        SUM(
            INDEX(M:M, MATCH("Produccion", B:B, 0)):
            INDEX(M:M,
                MATCH("Produccion", B:B, 0)
                + MATCH(
                    TRUE,
                    OFFSET(B:B,
                           MATCH("Produccion", B:B, 0),
                           0,
                           200,
                           1) &lt;&gt; "",
                    0
                )
                - 2
            )
        )
    )
    +
    (
        SUM(
            INDEX(M:M, MATCH("Ensamble", B:B, 0)):
            INDEX(M:M,
                MATCH("Ensamble", B:B, 0)
                + MATCH(
                    TRUE,
                    OFFSET(B:B,
                           MATCH("Ensamble", B:B, 0),
                           0,
                           200,
                           1) &lt;&gt; "",
                    0
                )
                - 2
            )
        )
    ),
"")</f>
        <v>9.7136493646960836E-2</v>
      </c>
      <c r="M33" s="43">
        <f t="array" aca="1" ref="M33" ca="1">IFERROR(
    (
        SUM(
            INDEX(M:M, MATCH("Produccion", B:B, 0)):
            INDEX(M:M,
                MATCH("Produccion", B:B, 0)
                + MATCH(
                    TRUE,
                    OFFSET(B:B,
                           MATCH("Produccion", B:B, 0),
                           0,
                           200,
                           1) &lt;&gt; "",
                    0
                )
                - 2
            )
        )
    )
    +
    (
        SUM(
            INDEX(M:M, MATCH("Ensamble", B:B, 0)):
            INDEX(M:M,
                MATCH("Ensamble", B:B, 0)
                + MATCH(
                    TRUE,
                    OFFSET(B:B,
                           MATCH("Ensamble", B:B, 0),
                           0,
                           200,
                           1) &lt;&gt; "",
                    0
                )
                - 2
            )
        )
    ),
"")</f>
        <v>9.7136493646960836E-2</v>
      </c>
      <c r="N33" s="4"/>
      <c r="O33" s="4"/>
    </row>
    <row r="34" spans="1:15" ht="30" customHeight="1" thickBot="1">
      <c r="A34" s="89"/>
      <c r="B34" s="23"/>
      <c r="I34" s="4"/>
      <c r="J34" s="26"/>
      <c r="K34" s="33" t="s">
        <v>20</v>
      </c>
      <c r="L34" s="44">
        <f ca="1">L32+L33</f>
        <v>6.5371364936469609</v>
      </c>
      <c r="M34" s="44">
        <f ca="1">M32+M33</f>
        <v>6.5371364936469609</v>
      </c>
      <c r="N34" s="4"/>
      <c r="O34" s="4"/>
    </row>
    <row r="35" spans="1:15" ht="30" customHeight="1" thickBot="1">
      <c r="A35" s="4"/>
      <c r="B35" s="34" t="s">
        <v>28</v>
      </c>
      <c r="C35" s="153"/>
      <c r="D35" s="153"/>
      <c r="E35" s="35" t="s">
        <v>19</v>
      </c>
      <c r="F35" s="154"/>
      <c r="G35" s="154"/>
      <c r="H35" s="154"/>
      <c r="I35" s="26"/>
      <c r="J35" s="26"/>
      <c r="K35" s="67" t="s">
        <v>21</v>
      </c>
      <c r="L35" s="42">
        <f t="array" aca="1" ref="L35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MATCH("Costo B&amp;P", B:B, 0))
        +
        INDEX(M:M, MATCH("Minorista", D:D, 0))
    ),
""
)</f>
        <v>10.999788756886002</v>
      </c>
      <c r="M35" s="42">
        <f t="array" aca="1" ref="M35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MATCH("Costo B&amp;P", B:B, 0))
        +
        INDEX(M:M, MATCH("Mayorista", D:D, 0))
    ),
""
)</f>
        <v>11.027850080377668</v>
      </c>
      <c r="N35" s="4"/>
      <c r="O35" s="4"/>
    </row>
    <row r="36" spans="1:15" ht="30" customHeight="1" thickBot="1">
      <c r="A36" s="4"/>
      <c r="B36" s="34"/>
      <c r="C36" s="122"/>
      <c r="D36" s="122"/>
      <c r="E36" s="35"/>
      <c r="F36" s="123"/>
      <c r="G36" s="123"/>
      <c r="H36" s="123"/>
      <c r="I36" s="26"/>
      <c r="J36" s="26"/>
      <c r="K36" s="88" t="s">
        <v>58</v>
      </c>
      <c r="L36" s="45">
        <f t="array" aca="1" ref="L36" ca="1">IFERROR(
    SUM(
        INDEX(M:M, MATCH("Gastos Importación", B:B, 0)) :
        INDEX(M:M,
            MATCH("Gastos Importación", B:B, 0)
            + MATCH(TRUE,
                        OFFSET(B1,
                               MATCH("Gastos Importación", B:B, 0),
                               0,
                               200,
                               1) &lt;&gt; "",
                        0)
            - 2
        )
    ),
"")</f>
        <v>1.5559967774639469</v>
      </c>
      <c r="M36" s="45">
        <f t="array" aca="1" ref="M36" ca="1">IFERROR(
    SUM(
        INDEX(M:M, MATCH("Gastos Importación", B:B, 0)) :
        INDEX(M:M,
            MATCH("Gastos Importación", B:B, 0)
            + MATCH(TRUE,
                        OFFSET(B1,
                               MATCH("Gastos Importación", B:B, 0),
                               0,
                               200,
                               1) &lt;&gt; "",
                        0)
            - 2
        )
    ),
"")</f>
        <v>1.5559967774639469</v>
      </c>
      <c r="N36" s="4"/>
      <c r="O36" s="4"/>
    </row>
    <row r="37" spans="1:15" ht="30" customHeight="1" thickBot="1">
      <c r="A37" s="4"/>
      <c r="B37" s="34"/>
      <c r="C37" s="26"/>
      <c r="D37" s="26"/>
      <c r="E37" s="26"/>
      <c r="F37" s="35"/>
      <c r="G37" s="26"/>
      <c r="H37" s="26"/>
      <c r="I37" s="26"/>
      <c r="J37" s="26"/>
      <c r="K37" s="88" t="s">
        <v>44</v>
      </c>
      <c r="L37" s="45">
        <f t="array" aca="1" ref="L37" ca="1">IFERROR(
    SUM(
        INDEX(M:M, MATCH("Externos a B&amp;P", B:B, 0)) :
        INDEX(M:M,
            MATCH("Externos a B&amp;P", B:B, 0)
            + MATCH(TRUE,
                        OFFSET(B1,
                               MATCH("Externos a B&amp;P", B:B, 0),
                               0,
                               200,
                               1) &lt;&gt; "",
                        0)
            - 2
        )
    ),
"")</f>
        <v>0</v>
      </c>
      <c r="M37" s="45">
        <f t="array" aca="1" ref="M37" ca="1">IFERROR(
    SUM(
        INDEX(M:M, MATCH("Externos a B&amp;P", B:B, 0)) :
        INDEX(M:M,
            MATCH("Externos a B&amp;P", B:B, 0)
            + MATCH(TRUE,
                        OFFSET(B1,
                               MATCH("Externos a B&amp;P", B:B, 0),
                               0,
                               200,
                               1) &lt;&gt; "",
                        0)
            - 2
        )
    ),
"")</f>
        <v>0</v>
      </c>
      <c r="N37" s="4"/>
      <c r="O37" s="4"/>
    </row>
    <row r="38" spans="1:15" ht="30" customHeight="1" thickBot="1">
      <c r="A38" s="4"/>
      <c r="B38" s="34"/>
      <c r="C38" s="26"/>
      <c r="D38" s="26"/>
      <c r="E38" s="26"/>
      <c r="F38" s="35"/>
      <c r="G38" s="26"/>
      <c r="H38" s="26"/>
      <c r="I38" s="26"/>
      <c r="J38" s="26"/>
      <c r="K38" s="33" t="s">
        <v>60</v>
      </c>
      <c r="L38" s="45">
        <f t="array" aca="1" ref="L38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MATCH("Minorista", D:D, 0))
        + L37 + L36 + L34
    ),
""
)</f>
        <v>8.3088757720743089</v>
      </c>
      <c r="M38" s="45">
        <f t="array" aca="1" ref="M38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MATCH("Mayorista", D:D, 0))
        + M37 + M36 + M34
    ),
""
)</f>
        <v>8.3369370955659754</v>
      </c>
      <c r="N38" s="4"/>
      <c r="O38" s="4"/>
    </row>
    <row r="39" spans="1:15" ht="28.5" customHeight="1" thickBot="1">
      <c r="A39" s="4"/>
      <c r="B39" s="36"/>
      <c r="C39" s="61"/>
      <c r="D39" s="61"/>
      <c r="E39" s="61"/>
      <c r="F39" s="61"/>
      <c r="G39" s="155"/>
      <c r="H39" s="155"/>
      <c r="I39" s="155"/>
      <c r="J39" s="61"/>
      <c r="K39" s="124" t="s">
        <v>61</v>
      </c>
      <c r="L39" s="45">
        <f ca="1">IFERROR(SUM(L34:L37),"")</f>
        <v>19.092922027996909</v>
      </c>
      <c r="M39" s="45">
        <f ca="1">IFERROR(SUM(M34:M37),"")</f>
        <v>19.120983351488576</v>
      </c>
      <c r="N39" s="4"/>
      <c r="O39" s="4"/>
    </row>
    <row r="40" spans="1:15" ht="30" customHeight="1">
      <c r="A40" s="4"/>
      <c r="B40" s="37"/>
      <c r="C40" s="37"/>
      <c r="D40" s="37"/>
      <c r="E40" s="38"/>
      <c r="F40" s="38"/>
      <c r="G40" s="38"/>
      <c r="H40" s="38"/>
      <c r="I40" s="38"/>
      <c r="J40" s="38"/>
      <c r="K40" s="38"/>
      <c r="L40" s="39"/>
      <c r="M40" s="4"/>
      <c r="N40" s="4"/>
      <c r="O40" s="4"/>
    </row>
    <row r="41" spans="1:15" ht="30" customHeight="1">
      <c r="B41" s="2"/>
    </row>
    <row r="42" spans="1:15" ht="30" customHeight="1">
      <c r="B42" s="2"/>
    </row>
    <row r="43" spans="1:15" ht="30" customHeight="1">
      <c r="B43" s="2"/>
      <c r="C43" s="2"/>
      <c r="D43" s="2"/>
    </row>
    <row r="44" spans="1:15" ht="30" customHeight="1">
      <c r="B44" s="2"/>
      <c r="C44" s="2"/>
      <c r="D44" s="2"/>
    </row>
    <row r="45" spans="1:15" ht="30" customHeight="1">
      <c r="B45" s="2"/>
      <c r="C45" s="2"/>
      <c r="D45" s="2"/>
    </row>
    <row r="46" spans="1:15" ht="30" customHeight="1">
      <c r="B46" s="2"/>
      <c r="C46" s="2"/>
      <c r="D46" s="2"/>
    </row>
    <row r="47" spans="1:15" ht="30" customHeight="1">
      <c r="B47" s="2"/>
      <c r="C47" s="2"/>
      <c r="D47" s="2"/>
    </row>
    <row r="48" spans="1:15" ht="30" customHeight="1">
      <c r="B48" s="2"/>
      <c r="C48" s="2"/>
      <c r="D48" s="2"/>
    </row>
    <row r="51" spans="3:4" ht="30" customHeight="1">
      <c r="C51" s="3"/>
      <c r="D51" s="3"/>
    </row>
  </sheetData>
  <sheetProtection selectLockedCells="1"/>
  <mergeCells count="44">
    <mergeCell ref="K26:L26"/>
    <mergeCell ref="D29:E29"/>
    <mergeCell ref="K29:L29"/>
    <mergeCell ref="E33:F33"/>
    <mergeCell ref="K17:L17"/>
    <mergeCell ref="D27:E27"/>
    <mergeCell ref="C35:D35"/>
    <mergeCell ref="F35:H35"/>
    <mergeCell ref="G39:I39"/>
    <mergeCell ref="D17:E17"/>
    <mergeCell ref="D26:E26"/>
    <mergeCell ref="D22:E22"/>
    <mergeCell ref="D24:E24"/>
    <mergeCell ref="D23:E23"/>
    <mergeCell ref="C3:D3"/>
    <mergeCell ref="H3:I3"/>
    <mergeCell ref="C5:D5"/>
    <mergeCell ref="D11:E11"/>
    <mergeCell ref="K11:L11"/>
    <mergeCell ref="D10:E10"/>
    <mergeCell ref="K10:L10"/>
    <mergeCell ref="S5:T5"/>
    <mergeCell ref="C6:D6"/>
    <mergeCell ref="D8:E8"/>
    <mergeCell ref="K8:L8"/>
    <mergeCell ref="C9:C11"/>
    <mergeCell ref="D9:E9"/>
    <mergeCell ref="K9:L9"/>
    <mergeCell ref="B16:B17"/>
    <mergeCell ref="B9:B11"/>
    <mergeCell ref="D25:E25"/>
    <mergeCell ref="D13:E13"/>
    <mergeCell ref="K13:L13"/>
    <mergeCell ref="K23:L23"/>
    <mergeCell ref="K25:L25"/>
    <mergeCell ref="K24:L24"/>
    <mergeCell ref="K22:L22"/>
    <mergeCell ref="B19:B21"/>
    <mergeCell ref="D19:E19"/>
    <mergeCell ref="B13:B14"/>
    <mergeCell ref="D16:E16"/>
    <mergeCell ref="K16:L16"/>
    <mergeCell ref="D14:E14"/>
    <mergeCell ref="K14:L14"/>
  </mergeCells>
  <conditionalFormatting sqref="H14 H9:H11">
    <cfRule type="expression" priority="255">
      <formula>D9&lt;&gt;""</formula>
    </cfRule>
  </conditionalFormatting>
  <conditionalFormatting sqref="I16 I19">
    <cfRule type="expression" dxfId="4" priority="128" stopIfTrue="1">
      <formula>D16&lt;&gt;""</formula>
    </cfRule>
  </conditionalFormatting>
  <conditionalFormatting sqref="I14">
    <cfRule type="cellIs" dxfId="3" priority="125" operator="equal">
      <formula>D14="Seleccionar Maquinaria"</formula>
    </cfRule>
  </conditionalFormatting>
  <conditionalFormatting sqref="H12">
    <cfRule type="expression" priority="72">
      <formula>D12&lt;&gt;""</formula>
    </cfRule>
  </conditionalFormatting>
  <conditionalFormatting sqref="H13">
    <cfRule type="expression" priority="6">
      <formula>D13&lt;&gt;""</formula>
    </cfRule>
  </conditionalFormatting>
  <conditionalFormatting sqref="I13">
    <cfRule type="cellIs" dxfId="2" priority="4" operator="equal">
      <formula>D13="Seleccionar Maquinaria"</formula>
    </cfRule>
  </conditionalFormatting>
  <conditionalFormatting sqref="H16">
    <cfRule type="expression" priority="3">
      <formula>D16&lt;&gt;""</formula>
    </cfRule>
  </conditionalFormatting>
  <dataValidations count="7">
    <dataValidation type="list" allowBlank="1" showInputMessage="1" showErrorMessage="1" sqref="D16:E16">
      <formula1>Ensamble_Auxiliar</formula1>
    </dataValidation>
    <dataValidation type="list" allowBlank="1" showInputMessage="1" showErrorMessage="1" sqref="D19">
      <formula1>Embalaje_Auxiliar</formula1>
    </dataValidation>
    <dataValidation type="list" allowBlank="1" showInputMessage="1" showErrorMessage="1" sqref="D23:E23">
      <formula1>Deposito_Auxiliar</formula1>
    </dataValidation>
    <dataValidation type="list" allowBlank="1" showInputMessage="1" showErrorMessage="1" sqref="D13:E13">
      <formula1>Produccion_Auxiliar</formula1>
    </dataValidation>
    <dataValidation type="list" allowBlank="1" showInputMessage="1" showErrorMessage="1" sqref="D17:E17">
      <formula1>INFO_INSUMO_P_ENSAMBLE</formula1>
    </dataValidation>
    <dataValidation type="list" allowBlank="1" showInputMessage="1" showErrorMessage="1" sqref="F29 F27">
      <formula1>NACIMP</formula1>
    </dataValidation>
    <dataValidation type="list" allowBlank="1" showInputMessage="1" showErrorMessage="1" sqref="D14:E14">
      <formula1>Fresas_Auxiliar</formula1>
    </dataValidation>
  </dataValidations>
  <printOptions horizontalCentered="1"/>
  <pageMargins left="0.39370078740157477" right="0.39370078740157477" top="0.39370078740157477" bottom="0.39370078740157477" header="0.3" footer="0.3"/>
  <pageSetup paperSize="9" scale="34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33</xdr:row>
                    <xdr:rowOff>333375</xdr:rowOff>
                  </from>
                  <to>
                    <xdr:col>1</xdr:col>
                    <xdr:colOff>1762125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strarAgregarModulos">
                <anchor moveWithCells="1" sizeWithCells="1">
                  <from>
                    <xdr:col>1</xdr:col>
                    <xdr:colOff>171450</xdr:colOff>
                    <xdr:row>29</xdr:row>
                    <xdr:rowOff>95250</xdr:rowOff>
                  </from>
                  <to>
                    <xdr:col>1</xdr:col>
                    <xdr:colOff>1609725</xdr:colOff>
                    <xdr:row>30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" operator="containsText" id="{8A1B9D62-BEF4-418B-B3B2-5C22BC43EF13}">
            <xm:f>NOT(ISERROR(SEARCH(D14="Insumos",I14)))</xm:f>
            <xm:f>D14="Insumos"</xm:f>
            <x14:dxf>
              <fill>
                <patternFill>
                  <bgColor theme="4" tint="0.79998168889431442"/>
                </patternFill>
              </fill>
            </x14:dxf>
          </x14:cfRule>
          <xm:sqref>I14</xm:sqref>
        </x14:conditionalFormatting>
        <x14:conditionalFormatting xmlns:xm="http://schemas.microsoft.com/office/excel/2006/main">
          <x14:cfRule type="containsText" priority="5" operator="containsText" id="{AB2EC109-C368-46A3-903A-8A731013A443}">
            <xm:f>NOT(ISERROR(SEARCH(D13="Insumos",I13)))</xm:f>
            <xm:f>D13="Insumos"</xm:f>
            <x14:dxf>
              <fill>
                <patternFill>
                  <bgColor theme="4" tint="0.79998168889431442"/>
                </patternFill>
              </fill>
            </x14:dxf>
          </x14:cfRule>
          <xm:sqref>I13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xiliar"/>
  <dimension ref="A1:EA96"/>
  <sheetViews>
    <sheetView topLeftCell="DQ73" workbookViewId="0">
      <selection activeCell="A94" sqref="A94:EA96"/>
    </sheetView>
  </sheetViews>
  <sheetFormatPr baseColWidth="10" defaultRowHeight="15"/>
  <cols>
    <col min="1" max="1" width="26.7109375" bestFit="1" customWidth="1"/>
    <col min="2" max="2" width="19" bestFit="1" customWidth="1"/>
    <col min="3" max="4" width="37.5703125" bestFit="1" customWidth="1"/>
  </cols>
  <sheetData>
    <row r="1" spans="1:14">
      <c r="A1" s="96"/>
      <c r="B1" s="164" t="s">
        <v>49</v>
      </c>
      <c r="C1" s="164"/>
      <c r="D1" s="164"/>
    </row>
    <row r="2" spans="1:14">
      <c r="A2" s="94"/>
      <c r="B2" s="97" t="str">
        <f t="array" ref="B2:N2">IFERROR(
 INDEX('[2]INFO-INSUMOS-P'!$B$9:$B$5000,
   MATCH(1,
     1/(
        ('[2]INFO-INSUMOS-P'!$B$9:$B$5000&lt;&gt;"")*
        ('[2]INFO-INSUMOS-P'!$B$9:$B$5000&lt;&gt;0)*
        (UPPER(TRIM('[2]INFO-INSUMOS-P'!$B$9:$B$5000))&lt;&gt;"APROBADO POR:")*
        (ISERROR(MATCH('[2]INFO-INSUMOS-P'!$B$9:$B$5000,$A$2:INDEX(2:2,COLUMN()-1),0)))
     ),
   0)
 ),
"")</f>
        <v>Fijadores</v>
      </c>
      <c r="C2" s="97" t="str">
        <v>Grasa</v>
      </c>
      <c r="D2" s="97" t="str">
        <v>ANTICORROSIVO</v>
      </c>
      <c r="E2" s="95" t="str">
        <v/>
      </c>
      <c r="F2" s="95" t="str">
        <v/>
      </c>
      <c r="G2" s="95" t="str">
        <v/>
      </c>
      <c r="H2" s="95" t="str">
        <v/>
      </c>
      <c r="I2" s="95" t="str">
        <v/>
      </c>
      <c r="J2" s="95" t="str">
        <v/>
      </c>
      <c r="K2" s="95" t="str">
        <v/>
      </c>
      <c r="L2" s="95" t="str">
        <v/>
      </c>
      <c r="M2" s="95" t="str">
        <v/>
      </c>
      <c r="N2" s="95" t="str">
        <v/>
      </c>
    </row>
    <row r="3" spans="1:14">
      <c r="A3" s="94"/>
      <c r="B3" s="95" t="str">
        <f t="array" ref="B3">IFERROR(
 INDEX('[2]INFO-INSUMOS-P'!$D$9:$D$5000,
   _xlfn.AGGREGATE(15,6,
     (ROW('[2]INFO-INSUMOS-P'!$D$9:$D$5000)-8)/
     ('[2]INFO-INSUMOS-P'!$B$9:$B$5000=$B$2)/
     ('[2]INFO-INSUMOS-P'!$D$9:$D$5000&lt;&gt;""),
   ROW(A1))
 ),
"")</f>
        <v>Loctite 609</v>
      </c>
      <c r="C3" s="95" t="str">
        <f>IFERROR(
 INDEX('[2]INFO-INSUMOS-P'!$D$9:$D$5000,
   _xlfn.AGGREGATE(15,6,
     (ROW('[2]INFO-INSUMOS-P'!$D$9:$D$5000)-8)/
     ('[2]INFO-INSUMOS-P'!$B$9:$B$5000=$C$2)/
     ('[2]INFO-INSUMOS-P'!$D$9:$D$5000&lt;&gt;""),
   ROW(A1))
 ),
"")</f>
        <v>Renolit Poliplex 2</v>
      </c>
      <c r="D3" t="str">
        <f>IFERROR(
 INDEX('[2]INFO-INSUMOS-P'!$D$9:$D$5000,
   _xlfn.AGGREGATE(15,6,
     (ROW('[2]INFO-INSUMOS-P'!$D$9:$D$5000)-8)/
     ('[2]INFO-INSUMOS-P'!$B$9:$B$5000=$D$2)/
     ('[2]INFO-INSUMOS-P'!$D$9:$D$5000&lt;&gt;""),
   ROW(A1))
 ),
"")</f>
        <v xml:space="preserve">PROTENOLD 261 </v>
      </c>
      <c r="F3" t="str">
        <f>IFERROR(INDEX($B$3:$D$25,INT((_xlfn.AGGREGATE(15,6,((ROW($B$3:$D$25)-ROW($B$3)+1)*1000+(COLUMN($B$3:$D$25)-COLUMN($B$3)+1))/(LEN($B$3:$D$25)&gt;0),ROW(A1))-1)/1000)+1,MOD(_xlfn.AGGREGATE(15,6,((ROW($B$3:$D$25)-ROW($B$3)+1)*1000+(COLUMN($B$3:$D$25)-COLUMN($B$3)+1))/(LEN($B$3:$D$25)&gt;0),ROW(A1))-1,1000)+1),"")</f>
        <v/>
      </c>
    </row>
    <row r="4" spans="1:14">
      <c r="A4" s="94"/>
      <c r="B4" s="95" t="str">
        <f t="array" ref="B4">IFERROR(
 INDEX('[2]INFO-INSUMOS-P'!$D$9:$D$5000,
   _xlfn.AGGREGATE(15,6,
     (ROW('[2]INFO-INSUMOS-P'!$D$9:$D$5000)-8)/
     ('[2]INFO-INSUMOS-P'!$B$9:$B$5000=$B$2)/
     ('[2]INFO-INSUMOS-P'!$D$9:$D$5000&lt;&gt;""),
   ROW(A2))
 ),
"")</f>
        <v/>
      </c>
      <c r="C4" s="95" t="str">
        <f>IFERROR(
 INDEX('[2]INFO-INSUMOS-P'!$D$9:$D$5000,
   _xlfn.AGGREGATE(15,6,
     (ROW('[2]INFO-INSUMOS-P'!$D$9:$D$5000)-8)/
     ('[2]INFO-INSUMOS-P'!$B$9:$B$5000=$C$2)/
     ('[2]INFO-INSUMOS-P'!$D$9:$D$5000&lt;&gt;""),
   ROW(A2))
 ),
"")</f>
        <v/>
      </c>
      <c r="D4" t="str">
        <f>IFERROR(
 INDEX('[2]INFO-INSUMOS-P'!$D$9:$D$5000,
   _xlfn.AGGREGATE(15,6,
     (ROW('[2]INFO-INSUMOS-P'!$D$9:$D$5000)-8)/
     ('[2]INFO-INSUMOS-P'!$B$9:$B$5000=$D$2)/
     ('[2]INFO-INSUMOS-P'!$D$9:$D$5000&lt;&gt;""),
   ROW(A2))
 ),
"")</f>
        <v/>
      </c>
    </row>
    <row r="5" spans="1:14">
      <c r="A5" s="94"/>
      <c r="B5" s="95" t="str">
        <f t="array" ref="B5">IFERROR(
 INDEX('[2]INFO-INSUMOS-P'!$D$9:$D$5000,
   _xlfn.AGGREGATE(15,6,
     (ROW('[2]INFO-INSUMOS-P'!$D$9:$D$5000)-8)/
     ('[2]INFO-INSUMOS-P'!$B$9:$B$5000=$B$2)/
     ('[2]INFO-INSUMOS-P'!$D$9:$D$5000&lt;&gt;""),
   ROW(A3))
 ),
"")</f>
        <v/>
      </c>
      <c r="C5" s="95" t="str">
        <f>IFERROR(
 INDEX('[2]INFO-INSUMOS-P'!$D$9:$D$5000,
   _xlfn.AGGREGATE(15,6,
     (ROW('[2]INFO-INSUMOS-P'!$D$9:$D$5000)-8)/
     ('[2]INFO-INSUMOS-P'!$B$9:$B$5000=$C$2)/
     ('[2]INFO-INSUMOS-P'!$D$9:$D$5000&lt;&gt;""),
   ROW(A3))
 ),
"")</f>
        <v/>
      </c>
      <c r="D5" t="str">
        <f>IFERROR(
 INDEX('[2]INFO-INSUMOS-P'!$D$9:$D$5000,
   _xlfn.AGGREGATE(15,6,
     (ROW('[2]INFO-INSUMOS-P'!$D$9:$D$5000)-8)/
     ('[2]INFO-INSUMOS-P'!$B$9:$B$5000=$D$2)/
     ('[2]INFO-INSUMOS-P'!$D$9:$D$5000&lt;&gt;""),
   ROW(A3))
 ),
"")</f>
        <v/>
      </c>
    </row>
    <row r="6" spans="1:14">
      <c r="A6" s="94"/>
      <c r="B6" s="95" t="str">
        <f t="array" ref="B6">IFERROR(
 INDEX('[2]INFO-INSUMOS-P'!$D$9:$D$5000,
   _xlfn.AGGREGATE(15,6,
     (ROW('[2]INFO-INSUMOS-P'!$D$9:$D$5000)-8)/
     ('[2]INFO-INSUMOS-P'!$B$9:$B$5000=$B$2)/
     ('[2]INFO-INSUMOS-P'!$D$9:$D$5000&lt;&gt;""),
   ROW(A4))
 ),
"")</f>
        <v/>
      </c>
      <c r="C6" s="95" t="str">
        <f>IFERROR(
 INDEX('[2]INFO-INSUMOS-P'!$D$9:$D$5000,
   _xlfn.AGGREGATE(15,6,
     (ROW('[2]INFO-INSUMOS-P'!$D$9:$D$5000)-8)/
     ('[2]INFO-INSUMOS-P'!$B$9:$B$5000=$C$2)/
     ('[2]INFO-INSUMOS-P'!$D$9:$D$5000&lt;&gt;""),
   ROW(A4))
 ),
"")</f>
        <v/>
      </c>
      <c r="D6" t="str">
        <f>IFERROR(
 INDEX('[2]INFO-INSUMOS-P'!$D$9:$D$5000,
   _xlfn.AGGREGATE(15,6,
     (ROW('[2]INFO-INSUMOS-P'!$D$9:$D$5000)-8)/
     ('[2]INFO-INSUMOS-P'!$B$9:$B$5000=$D$2)/
     ('[2]INFO-INSUMOS-P'!$D$9:$D$5000&lt;&gt;""),
   ROW(A4))
 ),
"")</f>
        <v/>
      </c>
    </row>
    <row r="7" spans="1:14">
      <c r="A7" s="94"/>
      <c r="B7" s="95" t="str">
        <f t="array" ref="B7">IFERROR(
 INDEX('[2]INFO-INSUMOS-P'!$D$9:$D$5000,
   _xlfn.AGGREGATE(15,6,
     (ROW('[2]INFO-INSUMOS-P'!$D$9:$D$5000)-8)/
     ('[2]INFO-INSUMOS-P'!$B$9:$B$5000=$B$2)/
     ('[2]INFO-INSUMOS-P'!$D$9:$D$5000&lt;&gt;""),
   ROW(A5))
 ),
"")</f>
        <v/>
      </c>
      <c r="C7" s="95" t="str">
        <f>IFERROR(
 INDEX('[2]INFO-INSUMOS-P'!$D$9:$D$5000,
   _xlfn.AGGREGATE(15,6,
     (ROW('[2]INFO-INSUMOS-P'!$D$9:$D$5000)-8)/
     ('[2]INFO-INSUMOS-P'!$B$9:$B$5000=$C$2)/
     ('[2]INFO-INSUMOS-P'!$D$9:$D$5000&lt;&gt;""),
   ROW(A5))
 ),
"")</f>
        <v/>
      </c>
      <c r="D7" t="str">
        <f>IFERROR(
 INDEX('[2]INFO-INSUMOS-P'!$D$9:$D$5000,
   _xlfn.AGGREGATE(15,6,
     (ROW('[2]INFO-INSUMOS-P'!$D$9:$D$5000)-8)/
     ('[2]INFO-INSUMOS-P'!$B$9:$B$5000=$D$2)/
     ('[2]INFO-INSUMOS-P'!$D$9:$D$5000&lt;&gt;""),
   ROW(A5))
 ),
"")</f>
        <v/>
      </c>
    </row>
    <row r="8" spans="1:14">
      <c r="A8" s="94"/>
      <c r="B8" s="95" t="str">
        <f t="array" ref="B8">IFERROR(
 INDEX('[2]INFO-INSUMOS-P'!$D$9:$D$5000,
   _xlfn.AGGREGATE(15,6,
     (ROW('[2]INFO-INSUMOS-P'!$D$9:$D$5000)-8)/
     ('[2]INFO-INSUMOS-P'!$B$9:$B$5000=$B$2)/
     ('[2]INFO-INSUMOS-P'!$D$9:$D$5000&lt;&gt;""),
   ROW(A6))
 ),
"")</f>
        <v/>
      </c>
      <c r="C8" s="95" t="str">
        <f>IFERROR(
 INDEX('[2]INFO-INSUMOS-P'!$D$9:$D$5000,
   _xlfn.AGGREGATE(15,6,
     (ROW('[2]INFO-INSUMOS-P'!$D$9:$D$5000)-8)/
     ('[2]INFO-INSUMOS-P'!$B$9:$B$5000=$C$2)/
     ('[2]INFO-INSUMOS-P'!$D$9:$D$5000&lt;&gt;""),
   ROW(A6))
 ),
"")</f>
        <v/>
      </c>
      <c r="D8" t="str">
        <f>IFERROR(
 INDEX('[2]INFO-INSUMOS-P'!$D$9:$D$5000,
   _xlfn.AGGREGATE(15,6,
     (ROW('[2]INFO-INSUMOS-P'!$D$9:$D$5000)-8)/
     ('[2]INFO-INSUMOS-P'!$B$9:$B$5000=$D$2)/
     ('[2]INFO-INSUMOS-P'!$D$9:$D$5000&lt;&gt;""),
   ROW(A6))
 ),
"")</f>
        <v/>
      </c>
    </row>
    <row r="9" spans="1:14">
      <c r="A9" s="94"/>
      <c r="B9" s="95" t="str">
        <f t="array" ref="B9">IFERROR(
 INDEX('[2]INFO-INSUMOS-P'!$D$9:$D$5000,
   _xlfn.AGGREGATE(15,6,
     (ROW('[2]INFO-INSUMOS-P'!$D$9:$D$5000)-8)/
     ('[2]INFO-INSUMOS-P'!$B$9:$B$5000=$B$2)/
     ('[2]INFO-INSUMOS-P'!$D$9:$D$5000&lt;&gt;""),
   ROW(A7))
 ),
"")</f>
        <v/>
      </c>
      <c r="C9" s="95" t="str">
        <f>IFERROR(
 INDEX('[2]INFO-INSUMOS-P'!$D$9:$D$5000,
   _xlfn.AGGREGATE(15,6,
     (ROW('[2]INFO-INSUMOS-P'!$D$9:$D$5000)-8)/
     ('[2]INFO-INSUMOS-P'!$B$9:$B$5000=$C$2)/
     ('[2]INFO-INSUMOS-P'!$D$9:$D$5000&lt;&gt;""),
   ROW(A7))
 ),
"")</f>
        <v/>
      </c>
      <c r="D9" t="str">
        <f>IFERROR(
 INDEX('[2]INFO-INSUMOS-P'!$D$9:$D$5000,
   _xlfn.AGGREGATE(15,6,
     (ROW('[2]INFO-INSUMOS-P'!$D$9:$D$5000)-8)/
     ('[2]INFO-INSUMOS-P'!$B$9:$B$5000=$D$2)/
     ('[2]INFO-INSUMOS-P'!$D$9:$D$5000&lt;&gt;""),
   ROW(A7))
 ),
"")</f>
        <v/>
      </c>
    </row>
    <row r="10" spans="1:14">
      <c r="A10" s="94"/>
      <c r="B10" s="95" t="str">
        <f t="array" ref="B10">IFERROR(
 INDEX('[2]INFO-INSUMOS-P'!$D$9:$D$5000,
   _xlfn.AGGREGATE(15,6,
     (ROW('[2]INFO-INSUMOS-P'!$D$9:$D$5000)-8)/
     ('[2]INFO-INSUMOS-P'!$B$9:$B$5000=$B$2)/
     ('[2]INFO-INSUMOS-P'!$D$9:$D$5000&lt;&gt;""),
   ROW(A8))
 ),
"")</f>
        <v/>
      </c>
      <c r="C10" s="95" t="str">
        <f>IFERROR(
 INDEX('[2]INFO-INSUMOS-P'!$D$9:$D$5000,
   _xlfn.AGGREGATE(15,6,
     (ROW('[2]INFO-INSUMOS-P'!$D$9:$D$5000)-8)/
     ('[2]INFO-INSUMOS-P'!$B$9:$B$5000=$C$2)/
     ('[2]INFO-INSUMOS-P'!$D$9:$D$5000&lt;&gt;""),
   ROW(A8))
 ),
"")</f>
        <v/>
      </c>
      <c r="D10" t="str">
        <f>IFERROR(
 INDEX('[2]INFO-INSUMOS-P'!$D$9:$D$5000,
   _xlfn.AGGREGATE(15,6,
     (ROW('[2]INFO-INSUMOS-P'!$D$9:$D$5000)-8)/
     ('[2]INFO-INSUMOS-P'!$B$9:$B$5000=$D$2)/
     ('[2]INFO-INSUMOS-P'!$D$9:$D$5000&lt;&gt;""),
   ROW(A8))
 ),
"")</f>
        <v/>
      </c>
      <c r="F10" s="101"/>
    </row>
    <row r="11" spans="1:14">
      <c r="A11" s="94"/>
      <c r="B11" s="95" t="str">
        <f t="array" ref="B11">IFERROR(
 INDEX('[2]INFO-INSUMOS-P'!$D$9:$D$5000,
   _xlfn.AGGREGATE(15,6,
     (ROW('[2]INFO-INSUMOS-P'!$D$9:$D$5000)-8)/
     ('[2]INFO-INSUMOS-P'!$B$9:$B$5000=$B$2)/
     ('[2]INFO-INSUMOS-P'!$D$9:$D$5000&lt;&gt;""),
   ROW(A9))
 ),
"")</f>
        <v/>
      </c>
      <c r="C11" s="95" t="str">
        <f>IFERROR(
 INDEX('[2]INFO-INSUMOS-P'!$D$9:$D$5000,
   _xlfn.AGGREGATE(15,6,
     (ROW('[2]INFO-INSUMOS-P'!$D$9:$D$5000)-8)/
     ('[2]INFO-INSUMOS-P'!$B$9:$B$5000=$C$2)/
     ('[2]INFO-INSUMOS-P'!$D$9:$D$5000&lt;&gt;""),
   ROW(A9))
 ),
"")</f>
        <v/>
      </c>
      <c r="D11" t="str">
        <f>IFERROR(
 INDEX('[2]INFO-INSUMOS-P'!$D$9:$D$5000,
   _xlfn.AGGREGATE(15,6,
     (ROW('[2]INFO-INSUMOS-P'!$D$9:$D$5000)-8)/
     ('[2]INFO-INSUMOS-P'!$B$9:$B$5000=$D$2)/
     ('[2]INFO-INSUMOS-P'!$D$9:$D$5000&lt;&gt;""),
   ROW(A9))
 ),
"")</f>
        <v/>
      </c>
    </row>
    <row r="12" spans="1:14">
      <c r="A12" s="94"/>
      <c r="B12" s="95" t="str">
        <f t="array" ref="B12">IFERROR(
 INDEX('[2]INFO-INSUMOS-P'!$D$9:$D$5000,
   _xlfn.AGGREGATE(15,6,
     (ROW('[2]INFO-INSUMOS-P'!$D$9:$D$5000)-8)/
     ('[2]INFO-INSUMOS-P'!$B$9:$B$5000=$B$2)/
     ('[2]INFO-INSUMOS-P'!$D$9:$D$5000&lt;&gt;""),
   ROW(A10))
 ),
"")</f>
        <v/>
      </c>
      <c r="C12" s="95" t="str">
        <f>IFERROR(
 INDEX('[2]INFO-INSUMOS-P'!$D$9:$D$5000,
   _xlfn.AGGREGATE(15,6,
     (ROW('[2]INFO-INSUMOS-P'!$D$9:$D$5000)-8)/
     ('[2]INFO-INSUMOS-P'!$B$9:$B$5000=$C$2)/
     ('[2]INFO-INSUMOS-P'!$D$9:$D$5000&lt;&gt;""),
   ROW(A10))
 ),
"")</f>
        <v/>
      </c>
      <c r="D12" t="str">
        <f>IFERROR(
 INDEX('[2]INFO-INSUMOS-P'!$D$9:$D$5000,
   _xlfn.AGGREGATE(15,6,
     (ROW('[2]INFO-INSUMOS-P'!$D$9:$D$5000)-8)/
     ('[2]INFO-INSUMOS-P'!$B$9:$B$5000=$D$2)/
     ('[2]INFO-INSUMOS-P'!$D$9:$D$5000&lt;&gt;""),
   ROW(A10))
 ),
"")</f>
        <v/>
      </c>
    </row>
    <row r="13" spans="1:14">
      <c r="A13" s="94"/>
      <c r="B13" s="95" t="str">
        <f t="array" ref="B13">IFERROR(
 INDEX('[2]INFO-INSUMOS-P'!$D$9:$D$5000,
   _xlfn.AGGREGATE(15,6,
     (ROW('[2]INFO-INSUMOS-P'!$D$9:$D$5000)-8)/
     ('[2]INFO-INSUMOS-P'!$B$9:$B$5000=$B$2)/
     ('[2]INFO-INSUMOS-P'!$D$9:$D$5000&lt;&gt;""),
   ROW(A11))
 ),
"")</f>
        <v/>
      </c>
      <c r="C13" s="95" t="str">
        <f>IFERROR(
 INDEX('[2]INFO-INSUMOS-P'!$D$9:$D$5000,
   _xlfn.AGGREGATE(15,6,
     (ROW('[2]INFO-INSUMOS-P'!$D$9:$D$5000)-8)/
     ('[2]INFO-INSUMOS-P'!$B$9:$B$5000=$C$2)/
     ('[2]INFO-INSUMOS-P'!$D$9:$D$5000&lt;&gt;""),
   ROW(A11))
 ),
"")</f>
        <v/>
      </c>
      <c r="D13" t="str">
        <f>IFERROR(
 INDEX('[2]INFO-INSUMOS-P'!$D$9:$D$5000,
   _xlfn.AGGREGATE(15,6,
     (ROW('[2]INFO-INSUMOS-P'!$D$9:$D$5000)-8)/
     ('[2]INFO-INSUMOS-P'!$B$9:$B$5000=$D$2)/
     ('[2]INFO-INSUMOS-P'!$D$9:$D$5000&lt;&gt;""),
   ROW(A11))
 ),
"")</f>
        <v/>
      </c>
    </row>
    <row r="14" spans="1:14">
      <c r="A14" s="94"/>
      <c r="B14" s="95" t="str">
        <f t="array" ref="B14">IFERROR(
 INDEX('[2]INFO-INSUMOS-P'!$D$9:$D$5000,
   _xlfn.AGGREGATE(15,6,
     (ROW('[2]INFO-INSUMOS-P'!$D$9:$D$5000)-8)/
     ('[2]INFO-INSUMOS-P'!$B$9:$B$5000=$B$2)/
     ('[2]INFO-INSUMOS-P'!$D$9:$D$5000&lt;&gt;""),
   ROW(A12))
 ),
"")</f>
        <v/>
      </c>
      <c r="C14" s="95" t="str">
        <f>IFERROR(
 INDEX('[2]INFO-INSUMOS-P'!$D$9:$D$5000,
   _xlfn.AGGREGATE(15,6,
     (ROW('[2]INFO-INSUMOS-P'!$D$9:$D$5000)-8)/
     ('[2]INFO-INSUMOS-P'!$B$9:$B$5000=$C$2)/
     ('[2]INFO-INSUMOS-P'!$D$9:$D$5000&lt;&gt;""),
   ROW(A12))
 ),
"")</f>
        <v/>
      </c>
      <c r="D14" t="str">
        <f>IFERROR(
 INDEX('[2]INFO-INSUMOS-P'!$D$9:$D$5000,
   _xlfn.AGGREGATE(15,6,
     (ROW('[2]INFO-INSUMOS-P'!$D$9:$D$5000)-8)/
     ('[2]INFO-INSUMOS-P'!$B$9:$B$5000=$D$2)/
     ('[2]INFO-INSUMOS-P'!$D$9:$D$5000&lt;&gt;""),
   ROW(A12))
 ),
"")</f>
        <v/>
      </c>
    </row>
    <row r="15" spans="1:14">
      <c r="A15" s="94"/>
      <c r="B15" s="95" t="str">
        <f t="array" ref="B15">IFERROR(
 INDEX('[2]INFO-INSUMOS-P'!$D$9:$D$5000,
   _xlfn.AGGREGATE(15,6,
     (ROW('[2]INFO-INSUMOS-P'!$D$9:$D$5000)-8)/
     ('[2]INFO-INSUMOS-P'!$B$9:$B$5000=$B$2)/
     ('[2]INFO-INSUMOS-P'!$D$9:$D$5000&lt;&gt;""),
   ROW(A13))
 ),
"")</f>
        <v/>
      </c>
      <c r="C15" s="95" t="str">
        <f>IFERROR(
 INDEX('[2]INFO-INSUMOS-P'!$D$9:$D$5000,
   _xlfn.AGGREGATE(15,6,
     (ROW('[2]INFO-INSUMOS-P'!$D$9:$D$5000)-8)/
     ('[2]INFO-INSUMOS-P'!$B$9:$B$5000=$C$2)/
     ('[2]INFO-INSUMOS-P'!$D$9:$D$5000&lt;&gt;""),
   ROW(A13))
 ),
"")</f>
        <v/>
      </c>
      <c r="D15" t="str">
        <f>IFERROR(
 INDEX('[2]INFO-INSUMOS-P'!$D$9:$D$5000,
   _xlfn.AGGREGATE(15,6,
     (ROW('[2]INFO-INSUMOS-P'!$D$9:$D$5000)-8)/
     ('[2]INFO-INSUMOS-P'!$B$9:$B$5000=$D$2)/
     ('[2]INFO-INSUMOS-P'!$D$9:$D$5000&lt;&gt;""),
   ROW(A13))
 ),
"")</f>
        <v/>
      </c>
    </row>
    <row r="16" spans="1:14">
      <c r="A16" s="94"/>
      <c r="B16" s="95" t="str">
        <f t="array" ref="B16">IFERROR(
 INDEX('[2]INFO-INSUMOS-P'!$D$9:$D$5000,
   _xlfn.AGGREGATE(15,6,
     (ROW('[2]INFO-INSUMOS-P'!$D$9:$D$5000)-8)/
     ('[2]INFO-INSUMOS-P'!$B$9:$B$5000=$B$2)/
     ('[2]INFO-INSUMOS-P'!$D$9:$D$5000&lt;&gt;""),
   ROW(A14))
 ),
"")</f>
        <v/>
      </c>
      <c r="C16" s="95" t="str">
        <f>IFERROR(
 INDEX('[2]INFO-INSUMOS-P'!$D$9:$D$5000,
   _xlfn.AGGREGATE(15,6,
     (ROW('[2]INFO-INSUMOS-P'!$D$9:$D$5000)-8)/
     ('[2]INFO-INSUMOS-P'!$B$9:$B$5000=$C$2)/
     ('[2]INFO-INSUMOS-P'!$D$9:$D$5000&lt;&gt;""),
   ROW(A14))
 ),
"")</f>
        <v/>
      </c>
      <c r="D16" t="str">
        <f>IFERROR(
 INDEX('[2]INFO-INSUMOS-P'!$D$9:$D$5000,
   _xlfn.AGGREGATE(15,6,
     (ROW('[2]INFO-INSUMOS-P'!$D$9:$D$5000)-8)/
     ('[2]INFO-INSUMOS-P'!$B$9:$B$5000=$D$2)/
     ('[2]INFO-INSUMOS-P'!$D$9:$D$5000&lt;&gt;""),
   ROW(A14))
 ),
"")</f>
        <v/>
      </c>
    </row>
    <row r="17" spans="1:79">
      <c r="A17" s="94"/>
      <c r="B17" s="95" t="str">
        <f t="array" ref="B17">IFERROR(
 INDEX('[2]INFO-INSUMOS-P'!$D$9:$D$5000,
   _xlfn.AGGREGATE(15,6,
     (ROW('[2]INFO-INSUMOS-P'!$D$9:$D$5000)-8)/
     ('[2]INFO-INSUMOS-P'!$B$9:$B$5000=$B$2)/
     ('[2]INFO-INSUMOS-P'!$D$9:$D$5000&lt;&gt;""),
   ROW(A15))
 ),
"")</f>
        <v/>
      </c>
      <c r="C17" s="95" t="str">
        <f>IFERROR(
 INDEX('[2]INFO-INSUMOS-P'!$D$9:$D$5000,
   _xlfn.AGGREGATE(15,6,
     (ROW('[2]INFO-INSUMOS-P'!$D$9:$D$5000)-8)/
     ('[2]INFO-INSUMOS-P'!$B$9:$B$5000=$C$2)/
     ('[2]INFO-INSUMOS-P'!$D$9:$D$5000&lt;&gt;""),
   ROW(A15))
 ),
"")</f>
        <v/>
      </c>
      <c r="D17" t="str">
        <f>IFERROR(
 INDEX('[2]INFO-INSUMOS-P'!$D$9:$D$5000,
   _xlfn.AGGREGATE(15,6,
     (ROW('[2]INFO-INSUMOS-P'!$D$9:$D$5000)-8)/
     ('[2]INFO-INSUMOS-P'!$B$9:$B$5000=$D$2)/
     ('[2]INFO-INSUMOS-P'!$D$9:$D$5000&lt;&gt;""),
   ROW(A15))
 ),
"")</f>
        <v/>
      </c>
    </row>
    <row r="18" spans="1:79">
      <c r="A18" s="94"/>
      <c r="B18" s="95" t="str">
        <f t="array" ref="B18">IFERROR(
 INDEX('[2]INFO-INSUMOS-P'!$D$9:$D$5000,
   _xlfn.AGGREGATE(15,6,
     (ROW('[2]INFO-INSUMOS-P'!$D$9:$D$5000)-8)/
     ('[2]INFO-INSUMOS-P'!$B$9:$B$5000=$B$2)/
     ('[2]INFO-INSUMOS-P'!$D$9:$D$5000&lt;&gt;""),
   ROW(A16))
 ),
"")</f>
        <v/>
      </c>
      <c r="C18" s="95" t="str">
        <f>IFERROR(
 INDEX('[2]INFO-INSUMOS-P'!$D$9:$D$5000,
   _xlfn.AGGREGATE(15,6,
     (ROW('[2]INFO-INSUMOS-P'!$D$9:$D$5000)-8)/
     ('[2]INFO-INSUMOS-P'!$B$9:$B$5000=$C$2)/
     ('[2]INFO-INSUMOS-P'!$D$9:$D$5000&lt;&gt;""),
   ROW(A16))
 ),
"")</f>
        <v/>
      </c>
      <c r="D18" t="str">
        <f>IFERROR(
 INDEX('[2]INFO-INSUMOS-P'!$D$9:$D$5000,
   _xlfn.AGGREGATE(15,6,
     (ROW('[2]INFO-INSUMOS-P'!$D$9:$D$5000)-8)/
     ('[2]INFO-INSUMOS-P'!$B$9:$B$5000=$D$2)/
     ('[2]INFO-INSUMOS-P'!$D$9:$D$5000&lt;&gt;""),
   ROW(A16))
 ),
"")</f>
        <v/>
      </c>
    </row>
    <row r="19" spans="1:79">
      <c r="A19" s="94"/>
      <c r="B19" s="95" t="str">
        <f t="array" ref="B19">IFERROR(
 INDEX('[2]INFO-INSUMOS-P'!$D$9:$D$5000,
   _xlfn.AGGREGATE(15,6,
     (ROW('[2]INFO-INSUMOS-P'!$D$9:$D$5000)-8)/
     ('[2]INFO-INSUMOS-P'!$B$9:$B$5000=$B$2)/
     ('[2]INFO-INSUMOS-P'!$D$9:$D$5000&lt;&gt;""),
   ROW(A17))
 ),
"")</f>
        <v/>
      </c>
      <c r="C19" s="95" t="str">
        <f>IFERROR(
 INDEX('[2]INFO-INSUMOS-P'!$D$9:$D$5000,
   _xlfn.AGGREGATE(15,6,
     (ROW('[2]INFO-INSUMOS-P'!$D$9:$D$5000)-8)/
     ('[2]INFO-INSUMOS-P'!$B$9:$B$5000=$C$2)/
     ('[2]INFO-INSUMOS-P'!$D$9:$D$5000&lt;&gt;""),
   ROW(A17))
 ),
"")</f>
        <v/>
      </c>
      <c r="D19" t="str">
        <f>IFERROR(
 INDEX('[2]INFO-INSUMOS-P'!$D$9:$D$5000,
   _xlfn.AGGREGATE(15,6,
     (ROW('[2]INFO-INSUMOS-P'!$D$9:$D$5000)-8)/
     ('[2]INFO-INSUMOS-P'!$B$9:$B$5000=$D$2)/
     ('[2]INFO-INSUMOS-P'!$D$9:$D$5000&lt;&gt;""),
   ROW(A17))
 ),
"")</f>
        <v/>
      </c>
    </row>
    <row r="20" spans="1:79">
      <c r="A20" s="94"/>
      <c r="B20" s="95" t="str">
        <f t="array" ref="B20">IFERROR(
 INDEX('[2]INFO-INSUMOS-P'!$D$9:$D$5000,
   _xlfn.AGGREGATE(15,6,
     (ROW('[2]INFO-INSUMOS-P'!$D$9:$D$5000)-8)/
     ('[2]INFO-INSUMOS-P'!$B$9:$B$5000=$B$2)/
     ('[2]INFO-INSUMOS-P'!$D$9:$D$5000&lt;&gt;""),
   ROW(A18))
 ),
"")</f>
        <v/>
      </c>
      <c r="C20" s="95" t="str">
        <f>IFERROR(
 INDEX('[2]INFO-INSUMOS-P'!$D$9:$D$5000,
   _xlfn.AGGREGATE(15,6,
     (ROW('[2]INFO-INSUMOS-P'!$D$9:$D$5000)-8)/
     ('[2]INFO-INSUMOS-P'!$B$9:$B$5000=$C$2)/
     ('[2]INFO-INSUMOS-P'!$D$9:$D$5000&lt;&gt;""),
   ROW(A18))
 ),
"")</f>
        <v/>
      </c>
      <c r="D20" t="str">
        <f>IFERROR(
 INDEX('[2]INFO-INSUMOS-P'!$D$9:$D$5000,
   _xlfn.AGGREGATE(15,6,
     (ROW('[2]INFO-INSUMOS-P'!$D$9:$D$5000)-8)/
     ('[2]INFO-INSUMOS-P'!$B$9:$B$5000=$D$2)/
     ('[2]INFO-INSUMOS-P'!$D$9:$D$5000&lt;&gt;""),
   ROW(A18))
 ),
"")</f>
        <v/>
      </c>
    </row>
    <row r="21" spans="1:79">
      <c r="B21" s="95" t="str">
        <f t="array" ref="B21">IFERROR(
 INDEX('[2]INFO-INSUMOS-P'!$D$9:$D$5000,
   _xlfn.AGGREGATE(15,6,
     (ROW('[2]INFO-INSUMOS-P'!$D$9:$D$5000)-8)/
     ('[2]INFO-INSUMOS-P'!$B$9:$B$5000=$B$2)/
     ('[2]INFO-INSUMOS-P'!$D$9:$D$5000&lt;&gt;""),
   ROW(A19))
 ),
"")</f>
        <v/>
      </c>
      <c r="C21" s="95" t="str">
        <f>IFERROR(
 INDEX('[2]INFO-INSUMOS-P'!$D$9:$D$5000,
   _xlfn.AGGREGATE(15,6,
     (ROW('[2]INFO-INSUMOS-P'!$D$9:$D$5000)-8)/
     ('[2]INFO-INSUMOS-P'!$B$9:$B$5000=$C$2)/
     ('[2]INFO-INSUMOS-P'!$D$9:$D$5000&lt;&gt;""),
   ROW(A19))
 ),
"")</f>
        <v/>
      </c>
      <c r="D21" t="str">
        <f>IFERROR(
 INDEX('[2]INFO-INSUMOS-P'!$D$9:$D$5000,
   _xlfn.AGGREGATE(15,6,
     (ROW('[2]INFO-INSUMOS-P'!$D$9:$D$5000)-8)/
     ('[2]INFO-INSUMOS-P'!$B$9:$B$5000=$D$2)/
     ('[2]INFO-INSUMOS-P'!$D$9:$D$5000&lt;&gt;""),
   ROW(A19))
 ),
"")</f>
        <v/>
      </c>
      <c r="CA21" t="s">
        <v>52</v>
      </c>
    </row>
    <row r="22" spans="1:79">
      <c r="B22" s="95" t="str">
        <f t="array" ref="B22">IFERROR(
 INDEX('[2]INFO-INSUMOS-P'!$D$9:$D$5000,
   _xlfn.AGGREGATE(15,6,
     (ROW('[2]INFO-INSUMOS-P'!$D$9:$D$5000)-8)/
     ('[2]INFO-INSUMOS-P'!$B$9:$B$5000=$B$2)/
     ('[2]INFO-INSUMOS-P'!$D$9:$D$5000&lt;&gt;""),
   ROW(A20))
 ),
"")</f>
        <v/>
      </c>
      <c r="C22" s="95" t="str">
        <f>IFERROR(
 INDEX('[2]INFO-INSUMOS-P'!$D$9:$D$5000,
   _xlfn.AGGREGATE(15,6,
     (ROW('[2]INFO-INSUMOS-P'!$D$9:$D$5000)-8)/
     ('[2]INFO-INSUMOS-P'!$B$9:$B$5000=$C$2)/
     ('[2]INFO-INSUMOS-P'!$D$9:$D$5000&lt;&gt;""),
   ROW(A20))
 ),
"")</f>
        <v/>
      </c>
      <c r="D22" t="str">
        <f>IFERROR(
 INDEX('[2]INFO-INSUMOS-P'!$D$9:$D$5000,
   _xlfn.AGGREGATE(15,6,
     (ROW('[2]INFO-INSUMOS-P'!$D$9:$D$5000)-8)/
     ('[2]INFO-INSUMOS-P'!$B$9:$B$5000=$D$2)/
     ('[2]INFO-INSUMOS-P'!$D$9:$D$5000&lt;&gt;""),
   ROW(A20))
 ),
"")</f>
        <v/>
      </c>
      <c r="CA22" t="s">
        <v>53</v>
      </c>
    </row>
    <row r="23" spans="1:79">
      <c r="B23" s="95" t="str">
        <f t="array" ref="B23">IFERROR(
 INDEX('[2]INFO-INSUMOS-P'!$D$9:$D$5000,
   _xlfn.AGGREGATE(15,6,
     (ROW('[2]INFO-INSUMOS-P'!$D$9:$D$5000)-8)/
     ('[2]INFO-INSUMOS-P'!$B$9:$B$5000=$B$2)/
     ('[2]INFO-INSUMOS-P'!$D$9:$D$5000&lt;&gt;""),
   ROW(A21))
 ),
"")</f>
        <v/>
      </c>
      <c r="C23" s="95" t="str">
        <f>IFERROR(
 INDEX('[2]INFO-INSUMOS-P'!$D$9:$D$5000,
   _xlfn.AGGREGATE(15,6,
     (ROW('[2]INFO-INSUMOS-P'!$D$9:$D$5000)-8)/
     ('[2]INFO-INSUMOS-P'!$B$9:$B$5000=$C$2)/
     ('[2]INFO-INSUMOS-P'!$D$9:$D$5000&lt;&gt;""),
   ROW(A21))
 ),
"")</f>
        <v/>
      </c>
      <c r="D23" t="str">
        <f>IFERROR(
 INDEX('[2]INFO-INSUMOS-P'!$D$9:$D$5000,
   _xlfn.AGGREGATE(15,6,
     (ROW('[2]INFO-INSUMOS-P'!$D$9:$D$5000)-8)/
     ('[2]INFO-INSUMOS-P'!$B$9:$B$5000=$D$2)/
     ('[2]INFO-INSUMOS-P'!$D$9:$D$5000&lt;&gt;""),
   ROW(A21))
 ),
"")</f>
        <v/>
      </c>
    </row>
    <row r="24" spans="1:79">
      <c r="B24" s="95" t="str">
        <f t="array" ref="B24">IFERROR(
 INDEX('[2]INFO-INSUMOS-P'!$D$9:$D$5000,
   _xlfn.AGGREGATE(15,6,
     (ROW('[2]INFO-INSUMOS-P'!$D$9:$D$5000)-8)/
     ('[2]INFO-INSUMOS-P'!$B$9:$B$5000=$B$2)/
     ('[2]INFO-INSUMOS-P'!$D$9:$D$5000&lt;&gt;""),
   ROW(A22))
 ),
"")</f>
        <v/>
      </c>
      <c r="C24" s="95" t="str">
        <f>IFERROR(
 INDEX('[2]INFO-INSUMOS-P'!$D$9:$D$5000,
   _xlfn.AGGREGATE(15,6,
     (ROW('[2]INFO-INSUMOS-P'!$D$9:$D$5000)-8)/
     ('[2]INFO-INSUMOS-P'!$B$9:$B$5000=$C$2)/
     ('[2]INFO-INSUMOS-P'!$D$9:$D$5000&lt;&gt;""),
   ROW(A22))
 ),
"")</f>
        <v/>
      </c>
      <c r="D24" t="str">
        <f>IFERROR(
 INDEX('[2]INFO-INSUMOS-P'!$D$9:$D$5000,
   _xlfn.AGGREGATE(15,6,
     (ROW('[2]INFO-INSUMOS-P'!$D$9:$D$5000)-8)/
     ('[2]INFO-INSUMOS-P'!$B$9:$B$5000=$D$2)/
     ('[2]INFO-INSUMOS-P'!$D$9:$D$5000&lt;&gt;""),
   ROW(A22))
 ),
"")</f>
        <v/>
      </c>
    </row>
    <row r="25" spans="1:79">
      <c r="B25" s="95" t="str">
        <f t="array" ref="B25">IFERROR(
 INDEX('[2]INFO-INSUMOS-P'!$D$9:$D$5000,
   _xlfn.AGGREGATE(15,6,
     (ROW('[2]INFO-INSUMOS-P'!$D$9:$D$5000)-8)/
     ('[2]INFO-INSUMOS-P'!$B$9:$B$5000=$B$2)/
     ('[2]INFO-INSUMOS-P'!$D$9:$D$5000&lt;&gt;""),
   ROW(A23))
 ),
"")</f>
        <v/>
      </c>
      <c r="C25" s="95" t="str">
        <f>IFERROR(
 INDEX('[2]INFO-INSUMOS-P'!$D$9:$D$5000,
   _xlfn.AGGREGATE(15,6,
     (ROW('[2]INFO-INSUMOS-P'!$D$9:$D$5000)-8)/
     ('[2]INFO-INSUMOS-P'!$B$9:$B$5000=$C$2)/
     ('[2]INFO-INSUMOS-P'!$D$9:$D$5000&lt;&gt;""),
   ROW(A23))
 ),
"")</f>
        <v/>
      </c>
      <c r="D25" t="str">
        <f>IFERROR(
 INDEX('[2]INFO-INSUMOS-P'!$D$9:$D$5000,
   _xlfn.AGGREGATE(15,6,
     (ROW('[2]INFO-INSUMOS-P'!$D$9:$D$5000)-8)/
     ('[2]INFO-INSUMOS-P'!$B$9:$B$5000=$D$2)/
     ('[2]INFO-INSUMOS-P'!$D$9:$D$5000&lt;&gt;""),
   ROW(A23))
 ),
"")</f>
        <v/>
      </c>
    </row>
    <row r="27" spans="1:79">
      <c r="B27" s="95" t="str">
        <f>IFERROR(INDEX($B$3:$D$25,INT((_xlfn.AGGREGATE(15,6,((ROW($B$3:$D$25)-ROW($B$3))*3+(COLUMN($B$3:$D$25)-COLUMN($B$3))+1)/(LEN($B$3:$D$25)&gt;0),ROWS($B$27:B27))-1)/3)+1,MOD(_xlfn.AGGREGATE(15,6,((ROW($B$3:$D$25)-ROW($B$3))*3+(COLUMN($B$3:$D$25)-COLUMN($B$3))+1)/(LEN($B$3:$D$25)&gt;0),ROWS($B$27:B27))-1,3)+1),"")</f>
        <v>Loctite 609</v>
      </c>
    </row>
    <row r="28" spans="1:79">
      <c r="B28" s="95" t="str">
        <f>IFERROR(INDEX($B$3:$D$25,INT((_xlfn.AGGREGATE(15,6,((ROW($B$3:$D$25)-ROW($B$3))*3+(COLUMN($B$3:$D$25)-COLUMN($B$3))+1)/(LEN($B$3:$D$25)&gt;0),ROWS($B$27:B28))-1)/3)+1,MOD(_xlfn.AGGREGATE(15,6,((ROW($B$3:$D$25)-ROW($B$3))*3+(COLUMN($B$3:$D$25)-COLUMN($B$3))+1)/(LEN($B$3:$D$25)&gt;0),ROWS($B$27:B28))-1,3)+1),"")</f>
        <v>Renolit Poliplex 2</v>
      </c>
    </row>
    <row r="29" spans="1:79">
      <c r="B29" s="95" t="str">
        <f>IFERROR(INDEX($B$3:$D$25,INT((_xlfn.AGGREGATE(15,6,((ROW($B$3:$D$25)-ROW($B$3))*3+(COLUMN($B$3:$D$25)-COLUMN($B$3))+1)/(LEN($B$3:$D$25)&gt;0),ROWS($B$27:B29))-1)/3)+1,MOD(_xlfn.AGGREGATE(15,6,((ROW($B$3:$D$25)-ROW($B$3))*3+(COLUMN($B$3:$D$25)-COLUMN($B$3))+1)/(LEN($B$3:$D$25)&gt;0),ROWS($B$27:B29))-1,3)+1),"")</f>
        <v xml:space="preserve">PROTENOLD 261 </v>
      </c>
    </row>
    <row r="30" spans="1:79">
      <c r="B30" s="95" t="str">
        <f>IFERROR(INDEX($B$3:$D$25,INT((_xlfn.AGGREGATE(15,6,((ROW($B$3:$D$25)-ROW($B$3))*3+(COLUMN($B$3:$D$25)-COLUMN($B$3))+1)/(LEN($B$3:$D$25)&gt;0),ROWS($B$27:B30))-1)/3)+1,MOD(_xlfn.AGGREGATE(15,6,((ROW($B$3:$D$25)-ROW($B$3))*3+(COLUMN($B$3:$D$25)-COLUMN($B$3))+1)/(LEN($B$3:$D$25)&gt;0),ROWS($B$27:B30))-1,3)+1),"")</f>
        <v/>
      </c>
    </row>
    <row r="31" spans="1:79">
      <c r="B31" s="95" t="str">
        <f>IFERROR(INDEX($B$3:$D$25,INT((_xlfn.AGGREGATE(15,6,((ROW($B$3:$D$25)-ROW($B$3))*3+(COLUMN($B$3:$D$25)-COLUMN($B$3))+1)/(LEN($B$3:$D$25)&gt;0),ROWS($B$27:B31))-1)/3)+1,MOD(_xlfn.AGGREGATE(15,6,((ROW($B$3:$D$25)-ROW($B$3))*3+(COLUMN($B$3:$D$25)-COLUMN($B$3))+1)/(LEN($B$3:$D$25)&gt;0),ROWS($B$27:B31))-1,3)+1),"")</f>
        <v/>
      </c>
    </row>
    <row r="32" spans="1:79">
      <c r="B32" s="95" t="str">
        <f>IFERROR(INDEX($B$3:$D$25,INT((_xlfn.AGGREGATE(15,6,((ROW($B$3:$D$25)-ROW($B$3))*3+(COLUMN($B$3:$D$25)-COLUMN($B$3))+1)/(LEN($B$3:$D$25)&gt;0),ROWS($B$27:B32))-1)/3)+1,MOD(_xlfn.AGGREGATE(15,6,((ROW($B$3:$D$25)-ROW($B$3))*3+(COLUMN($B$3:$D$25)-COLUMN($B$3))+1)/(LEN($B$3:$D$25)&gt;0),ROWS($B$27:B32))-1,3)+1),"")</f>
        <v/>
      </c>
    </row>
    <row r="33" spans="2:2">
      <c r="B33" s="95" t="str">
        <f>IFERROR(INDEX($B$3:$D$25,INT((_xlfn.AGGREGATE(15,6,((ROW($B$3:$D$25)-ROW($B$3))*3+(COLUMN($B$3:$D$25)-COLUMN($B$3))+1)/(LEN($B$3:$D$25)&gt;0),ROWS($B$27:B33))-1)/3)+1,MOD(_xlfn.AGGREGATE(15,6,((ROW($B$3:$D$25)-ROW($B$3))*3+(COLUMN($B$3:$D$25)-COLUMN($B$3))+1)/(LEN($B$3:$D$25)&gt;0),ROWS($B$27:B33))-1,3)+1),"")</f>
        <v/>
      </c>
    </row>
    <row r="34" spans="2:2">
      <c r="B34" s="95" t="str">
        <f>IFERROR(INDEX($B$3:$D$25,INT((_xlfn.AGGREGATE(15,6,((ROW($B$3:$D$25)-ROW($B$3))*3+(COLUMN($B$3:$D$25)-COLUMN($B$3))+1)/(LEN($B$3:$D$25)&gt;0),ROWS($B$27:B34))-1)/3)+1,MOD(_xlfn.AGGREGATE(15,6,((ROW($B$3:$D$25)-ROW($B$3))*3+(COLUMN($B$3:$D$25)-COLUMN($B$3))+1)/(LEN($B$3:$D$25)&gt;0),ROWS($B$27:B34))-1,3)+1),"")</f>
        <v/>
      </c>
    </row>
    <row r="35" spans="2:2">
      <c r="B35" s="95" t="str">
        <f>IFERROR(INDEX($B$3:$D$25,INT((_xlfn.AGGREGATE(15,6,((ROW($B$3:$D$25)-ROW($B$3))*3+(COLUMN($B$3:$D$25)-COLUMN($B$3))+1)/(LEN($B$3:$D$25)&gt;0),ROWS($B$27:B35))-1)/3)+1,MOD(_xlfn.AGGREGATE(15,6,((ROW($B$3:$D$25)-ROW($B$3))*3+(COLUMN($B$3:$D$25)-COLUMN($B$3))+1)/(LEN($B$3:$D$25)&gt;0),ROWS($B$27:B35))-1,3)+1),"")</f>
        <v/>
      </c>
    </row>
    <row r="36" spans="2:2">
      <c r="B36" s="95" t="str">
        <f>IFERROR(INDEX($B$3:$D$25,INT((_xlfn.AGGREGATE(15,6,((ROW($B$3:$D$25)-ROW($B$3))*3+(COLUMN($B$3:$D$25)-COLUMN($B$3))+1)/(LEN($B$3:$D$25)&gt;0),ROWS($B$27:B36))-1)/3)+1,MOD(_xlfn.AGGREGATE(15,6,((ROW($B$3:$D$25)-ROW($B$3))*3+(COLUMN($B$3:$D$25)-COLUMN($B$3))+1)/(LEN($B$3:$D$25)&gt;0),ROWS($B$27:B36))-1,3)+1),"")</f>
        <v/>
      </c>
    </row>
    <row r="37" spans="2:2">
      <c r="B37" s="95" t="str">
        <f>IFERROR(INDEX($B$3:$D$25,INT((_xlfn.AGGREGATE(15,6,((ROW($B$3:$D$25)-ROW($B$3))*3+(COLUMN($B$3:$D$25)-COLUMN($B$3))+1)/(LEN($B$3:$D$25)&gt;0),ROWS($B$27:B37))-1)/3)+1,MOD(_xlfn.AGGREGATE(15,6,((ROW($B$3:$D$25)-ROW($B$3))*3+(COLUMN($B$3:$D$25)-COLUMN($B$3))+1)/(LEN($B$3:$D$25)&gt;0),ROWS($B$27:B37))-1,3)+1),"")</f>
        <v/>
      </c>
    </row>
    <row r="38" spans="2:2">
      <c r="B38" s="95" t="str">
        <f>IFERROR(INDEX($B$3:$D$25,INT((_xlfn.AGGREGATE(15,6,((ROW($B$3:$D$25)-ROW($B$3))*3+(COLUMN($B$3:$D$25)-COLUMN($B$3))+1)/(LEN($B$3:$D$25)&gt;0),ROWS($B$27:B38))-1)/3)+1,MOD(_xlfn.AGGREGATE(15,6,((ROW($B$3:$D$25)-ROW($B$3))*3+(COLUMN($B$3:$D$25)-COLUMN($B$3))+1)/(LEN($B$3:$D$25)&gt;0),ROWS($B$27:B38))-1,3)+1),"")</f>
        <v/>
      </c>
    </row>
    <row r="39" spans="2:2">
      <c r="B39" s="95" t="str">
        <f>IFERROR(INDEX($B$3:$D$25,INT((_xlfn.AGGREGATE(15,6,((ROW($B$3:$D$25)-ROW($B$3))*3+(COLUMN($B$3:$D$25)-COLUMN($B$3))+1)/(LEN($B$3:$D$25)&gt;0),ROWS($B$27:B39))-1)/3)+1,MOD(_xlfn.AGGREGATE(15,6,((ROW($B$3:$D$25)-ROW($B$3))*3+(COLUMN($B$3:$D$25)-COLUMN($B$3))+1)/(LEN($B$3:$D$25)&gt;0),ROWS($B$27:B39))-1,3)+1),"")</f>
        <v/>
      </c>
    </row>
    <row r="40" spans="2:2">
      <c r="B40" s="95" t="str">
        <f>IFERROR(INDEX($B$3:$D$25,INT((_xlfn.AGGREGATE(15,6,((ROW($B$3:$D$25)-ROW($B$3))*3+(COLUMN($B$3:$D$25)-COLUMN($B$3))+1)/(LEN($B$3:$D$25)&gt;0),ROWS($B$27:B40))-1)/3)+1,MOD(_xlfn.AGGREGATE(15,6,((ROW($B$3:$D$25)-ROW($B$3))*3+(COLUMN($B$3:$D$25)-COLUMN($B$3))+1)/(LEN($B$3:$D$25)&gt;0),ROWS($B$27:B40))-1,3)+1),"")</f>
        <v/>
      </c>
    </row>
    <row r="41" spans="2:2">
      <c r="B41" s="95" t="str">
        <f>IFERROR(INDEX($B$3:$D$25,INT((_xlfn.AGGREGATE(15,6,((ROW($B$3:$D$25)-ROW($B$3))*3+(COLUMN($B$3:$D$25)-COLUMN($B$3))+1)/(LEN($B$3:$D$25)&gt;0),ROWS($B$27:B41))-1)/3)+1,MOD(_xlfn.AGGREGATE(15,6,((ROW($B$3:$D$25)-ROW($B$3))*3+(COLUMN($B$3:$D$25)-COLUMN($B$3))+1)/(LEN($B$3:$D$25)&gt;0),ROWS($B$27:B41))-1,3)+1),"")</f>
        <v/>
      </c>
    </row>
    <row r="42" spans="2:2">
      <c r="B42" s="95" t="str">
        <f>IFERROR(INDEX($B$3:$D$25,INT((_xlfn.AGGREGATE(15,6,((ROW($B$3:$D$25)-ROW($B$3))*3+(COLUMN($B$3:$D$25)-COLUMN($B$3))+1)/(LEN($B$3:$D$25)&gt;0),ROWS($B$27:B42))-1)/3)+1,MOD(_xlfn.AGGREGATE(15,6,((ROW($B$3:$D$25)-ROW($B$3))*3+(COLUMN($B$3:$D$25)-COLUMN($B$3))+1)/(LEN($B$3:$D$25)&gt;0),ROWS($B$27:B42))-1,3)+1),"")</f>
        <v/>
      </c>
    </row>
    <row r="43" spans="2:2">
      <c r="B43" s="95" t="str">
        <f>IFERROR(INDEX($B$3:$D$25,INT((_xlfn.AGGREGATE(15,6,((ROW($B$3:$D$25)-ROW($B$3))*3+(COLUMN($B$3:$D$25)-COLUMN($B$3))+1)/(LEN($B$3:$D$25)&gt;0),ROWS($B$27:B43))-1)/3)+1,MOD(_xlfn.AGGREGATE(15,6,((ROW($B$3:$D$25)-ROW($B$3))*3+(COLUMN($B$3:$D$25)-COLUMN($B$3))+1)/(LEN($B$3:$D$25)&gt;0),ROWS($B$27:B43))-1,3)+1),"")</f>
        <v/>
      </c>
    </row>
    <row r="44" spans="2:2">
      <c r="B44" s="95" t="str">
        <f>IFERROR(INDEX($B$3:$D$25,INT((_xlfn.AGGREGATE(15,6,((ROW($B$3:$D$25)-ROW($B$3))*3+(COLUMN($B$3:$D$25)-COLUMN($B$3))+1)/(LEN($B$3:$D$25)&gt;0),ROWS($B$27:B44))-1)/3)+1,MOD(_xlfn.AGGREGATE(15,6,((ROW($B$3:$D$25)-ROW($B$3))*3+(COLUMN($B$3:$D$25)-COLUMN($B$3))+1)/(LEN($B$3:$D$25)&gt;0),ROWS($B$27:B44))-1,3)+1),"")</f>
        <v/>
      </c>
    </row>
    <row r="45" spans="2:2">
      <c r="B45" s="95" t="str">
        <f>IFERROR(INDEX($B$3:$D$25,INT((_xlfn.AGGREGATE(15,6,((ROW($B$3:$D$25)-ROW($B$3))*3+(COLUMN($B$3:$D$25)-COLUMN($B$3))+1)/(LEN($B$3:$D$25)&gt;0),ROWS($B$27:B45))-1)/3)+1,MOD(_xlfn.AGGREGATE(15,6,((ROW($B$3:$D$25)-ROW($B$3))*3+(COLUMN($B$3:$D$25)-COLUMN($B$3))+1)/(LEN($B$3:$D$25)&gt;0),ROWS($B$27:B45))-1,3)+1),"")</f>
        <v/>
      </c>
    </row>
    <row r="46" spans="2:2">
      <c r="B46" s="95" t="str">
        <f>IFERROR(INDEX($B$3:$D$25,INT((_xlfn.AGGREGATE(15,6,((ROW($B$3:$D$25)-ROW($B$3))*3+(COLUMN($B$3:$D$25)-COLUMN($B$3))+1)/(LEN($B$3:$D$25)&gt;0),ROWS($B$27:B46))-1)/3)+1,MOD(_xlfn.AGGREGATE(15,6,((ROW($B$3:$D$25)-ROW($B$3))*3+(COLUMN($B$3:$D$25)-COLUMN($B$3))+1)/(LEN($B$3:$D$25)&gt;0),ROWS($B$27:B46))-1,3)+1),"")</f>
        <v/>
      </c>
    </row>
    <row r="47" spans="2:2">
      <c r="B47" s="95" t="str">
        <f>IFERROR(INDEX($B$3:$D$25,INT((_xlfn.AGGREGATE(15,6,((ROW($B$3:$D$25)-ROW($B$3))*3+(COLUMN($B$3:$D$25)-COLUMN($B$3))+1)/(LEN($B$3:$D$25)&gt;0),ROWS($B$27:B47))-1)/3)+1,MOD(_xlfn.AGGREGATE(15,6,((ROW($B$3:$D$25)-ROW($B$3))*3+(COLUMN($B$3:$D$25)-COLUMN($B$3))+1)/(LEN($B$3:$D$25)&gt;0),ROWS($B$27:B47))-1,3)+1),"")</f>
        <v/>
      </c>
    </row>
    <row r="48" spans="2:2">
      <c r="B48" s="95" t="str">
        <f>IFERROR(INDEX($B$3:$D$25,INT((_xlfn.AGGREGATE(15,6,((ROW($B$3:$D$25)-ROW($B$3))*3+(COLUMN($B$3:$D$25)-COLUMN($B$3))+1)/(LEN($B$3:$D$25)&gt;0),ROWS($B$27:B48))-1)/3)+1,MOD(_xlfn.AGGREGATE(15,6,((ROW($B$3:$D$25)-ROW($B$3))*3+(COLUMN($B$3:$D$25)-COLUMN($B$3))+1)/(LEN($B$3:$D$25)&gt;0),ROWS($B$27:B48))-1,3)+1),"")</f>
        <v/>
      </c>
    </row>
    <row r="49" spans="2:2">
      <c r="B49" s="95" t="str">
        <f>IFERROR(INDEX($B$3:$D$25,INT((_xlfn.AGGREGATE(15,6,((ROW($B$3:$D$25)-ROW($B$3))*3+(COLUMN($B$3:$D$25)-COLUMN($B$3))+1)/(LEN($B$3:$D$25)&gt;0),ROWS($B$27:B49))-1)/3)+1,MOD(_xlfn.AGGREGATE(15,6,((ROW($B$3:$D$25)-ROW($B$3))*3+(COLUMN($B$3:$D$25)-COLUMN($B$3))+1)/(LEN($B$3:$D$25)&gt;0),ROWS($B$27:B49))-1,3)+1),"")</f>
        <v/>
      </c>
    </row>
    <row r="50" spans="2:2">
      <c r="B50" s="95" t="str">
        <f>IFERROR(INDEX($B$3:$D$25,INT((_xlfn.AGGREGATE(15,6,((ROW($B$3:$D$25)-ROW($B$3))*3+(COLUMN($B$3:$D$25)-COLUMN($B$3))+1)/(LEN($B$3:$D$25)&gt;0),ROWS($B$27:B50))-1)/3)+1,MOD(_xlfn.AGGREGATE(15,6,((ROW($B$3:$D$25)-ROW($B$3))*3+(COLUMN($B$3:$D$25)-COLUMN($B$3))+1)/(LEN($B$3:$D$25)&gt;0),ROWS($B$27:B50))-1,3)+1),"")</f>
        <v/>
      </c>
    </row>
    <row r="51" spans="2:2">
      <c r="B51" s="95" t="str">
        <f>IFERROR(INDEX($B$3:$D$25,INT((_xlfn.AGGREGATE(15,6,((ROW($B$3:$D$25)-ROW($B$3))*3+(COLUMN($B$3:$D$25)-COLUMN($B$3))+1)/(LEN($B$3:$D$25)&gt;0),ROWS($B$27:B51))-1)/3)+1,MOD(_xlfn.AGGREGATE(15,6,((ROW($B$3:$D$25)-ROW($B$3))*3+(COLUMN($B$3:$D$25)-COLUMN($B$3))+1)/(LEN($B$3:$D$25)&gt;0),ROWS($B$27:B51))-1,3)+1),"")</f>
        <v/>
      </c>
    </row>
    <row r="52" spans="2:2">
      <c r="B52" s="95" t="str">
        <f>IFERROR(INDEX($B$3:$D$25,INT((_xlfn.AGGREGATE(15,6,((ROW($B$3:$D$25)-ROW($B$3))*3+(COLUMN($B$3:$D$25)-COLUMN($B$3))+1)/(LEN($B$3:$D$25)&gt;0),ROWS($B$27:B52))-1)/3)+1,MOD(_xlfn.AGGREGATE(15,6,((ROW($B$3:$D$25)-ROW($B$3))*3+(COLUMN($B$3:$D$25)-COLUMN($B$3))+1)/(LEN($B$3:$D$25)&gt;0),ROWS($B$27:B52))-1,3)+1),"")</f>
        <v/>
      </c>
    </row>
    <row r="53" spans="2:2">
      <c r="B53" s="95" t="str">
        <f>IFERROR(INDEX($B$3:$D$25,INT((_xlfn.AGGREGATE(15,6,((ROW($B$3:$D$25)-ROW($B$3))*3+(COLUMN($B$3:$D$25)-COLUMN($B$3))+1)/(LEN($B$3:$D$25)&gt;0),ROWS($B$27:B53))-1)/3)+1,MOD(_xlfn.AGGREGATE(15,6,((ROW($B$3:$D$25)-ROW($B$3))*3+(COLUMN($B$3:$D$25)-COLUMN($B$3))+1)/(LEN($B$3:$D$25)&gt;0),ROWS($B$27:B53))-1,3)+1),"")</f>
        <v/>
      </c>
    </row>
    <row r="54" spans="2:2">
      <c r="B54" s="95" t="str">
        <f>IFERROR(INDEX($B$3:$D$25,INT((_xlfn.AGGREGATE(15,6,((ROW($B$3:$D$25)-ROW($B$3))*3+(COLUMN($B$3:$D$25)-COLUMN($B$3))+1)/(LEN($B$3:$D$25)&gt;0),ROWS($B$27:B54))-1)/3)+1,MOD(_xlfn.AGGREGATE(15,6,((ROW($B$3:$D$25)-ROW($B$3))*3+(COLUMN($B$3:$D$25)-COLUMN($B$3))+1)/(LEN($B$3:$D$25)&gt;0),ROWS($B$27:B54))-1,3)+1),"")</f>
        <v/>
      </c>
    </row>
    <row r="55" spans="2:2">
      <c r="B55" s="95" t="str">
        <f>IFERROR(INDEX($B$3:$D$25,INT((_xlfn.AGGREGATE(15,6,((ROW($B$3:$D$25)-ROW($B$3))*3+(COLUMN($B$3:$D$25)-COLUMN($B$3))+1)/(LEN($B$3:$D$25)&gt;0),ROWS($B$27:B55))-1)/3)+1,MOD(_xlfn.AGGREGATE(15,6,((ROW($B$3:$D$25)-ROW($B$3))*3+(COLUMN($B$3:$D$25)-COLUMN($B$3))+1)/(LEN($B$3:$D$25)&gt;0),ROWS($B$27:B55))-1,3)+1),"")</f>
        <v/>
      </c>
    </row>
    <row r="56" spans="2:2">
      <c r="B56" s="95" t="str">
        <f>IFERROR(INDEX($B$3:$D$25,INT((_xlfn.AGGREGATE(15,6,((ROW($B$3:$D$25)-ROW($B$3))*3+(COLUMN($B$3:$D$25)-COLUMN($B$3))+1)/(LEN($B$3:$D$25)&gt;0),ROWS($B$27:B56))-1)/3)+1,MOD(_xlfn.AGGREGATE(15,6,((ROW($B$3:$D$25)-ROW($B$3))*3+(COLUMN($B$3:$D$25)-COLUMN($B$3))+1)/(LEN($B$3:$D$25)&gt;0),ROWS($B$27:B56))-1,3)+1),"")</f>
        <v/>
      </c>
    </row>
    <row r="57" spans="2:2">
      <c r="B57" s="95" t="str">
        <f>IFERROR(INDEX($B$3:$D$25,INT((_xlfn.AGGREGATE(15,6,((ROW($B$3:$D$25)-ROW($B$3))*3+(COLUMN($B$3:$D$25)-COLUMN($B$3))+1)/(LEN($B$3:$D$25)&gt;0),ROWS($B$27:B57))-1)/3)+1,MOD(_xlfn.AGGREGATE(15,6,((ROW($B$3:$D$25)-ROW($B$3))*3+(COLUMN($B$3:$D$25)-COLUMN($B$3))+1)/(LEN($B$3:$D$25)&gt;0),ROWS($B$27:B57))-1,3)+1),"")</f>
        <v/>
      </c>
    </row>
    <row r="58" spans="2:2">
      <c r="B58" s="95" t="str">
        <f>IFERROR(INDEX($B$3:$D$25,INT((_xlfn.AGGREGATE(15,6,((ROW($B$3:$D$25)-ROW($B$3))*3+(COLUMN($B$3:$D$25)-COLUMN($B$3))+1)/(LEN($B$3:$D$25)&gt;0),ROWS($B$27:B58))-1)/3)+1,MOD(_xlfn.AGGREGATE(15,6,((ROW($B$3:$D$25)-ROW($B$3))*3+(COLUMN($B$3:$D$25)-COLUMN($B$3))+1)/(LEN($B$3:$D$25)&gt;0),ROWS($B$27:B58))-1,3)+1),"")</f>
        <v/>
      </c>
    </row>
    <row r="59" spans="2:2">
      <c r="B59" s="95" t="str">
        <f>IFERROR(INDEX($B$3:$D$25,INT((_xlfn.AGGREGATE(15,6,((ROW($B$3:$D$25)-ROW($B$3))*3+(COLUMN($B$3:$D$25)-COLUMN($B$3))+1)/(LEN($B$3:$D$25)&gt;0),ROWS($B$27:B59))-1)/3)+1,MOD(_xlfn.AGGREGATE(15,6,((ROW($B$3:$D$25)-ROW($B$3))*3+(COLUMN($B$3:$D$25)-COLUMN($B$3))+1)/(LEN($B$3:$D$25)&gt;0),ROWS($B$27:B59))-1,3)+1),"")</f>
        <v/>
      </c>
    </row>
    <row r="60" spans="2:2">
      <c r="B60" s="95" t="str">
        <f>IFERROR(INDEX($B$3:$D$25,INT((_xlfn.AGGREGATE(15,6,((ROW($B$3:$D$25)-ROW($B$3))*3+(COLUMN($B$3:$D$25)-COLUMN($B$3))+1)/(LEN($B$3:$D$25)&gt;0),ROWS($B$27:B60))-1)/3)+1,MOD(_xlfn.AGGREGATE(15,6,((ROW($B$3:$D$25)-ROW($B$3))*3+(COLUMN($B$3:$D$25)-COLUMN($B$3))+1)/(LEN($B$3:$D$25)&gt;0),ROWS($B$27:B60))-1,3)+1),"")</f>
        <v/>
      </c>
    </row>
    <row r="61" spans="2:2">
      <c r="B61" s="95" t="str">
        <f>IFERROR(INDEX($B$3:$D$25,INT((_xlfn.AGGREGATE(15,6,((ROW($B$3:$D$25)-ROW($B$3))*3+(COLUMN($B$3:$D$25)-COLUMN($B$3))+1)/(LEN($B$3:$D$25)&gt;0),ROWS($B$27:B61))-1)/3)+1,MOD(_xlfn.AGGREGATE(15,6,((ROW($B$3:$D$25)-ROW($B$3))*3+(COLUMN($B$3:$D$25)-COLUMN($B$3))+1)/(LEN($B$3:$D$25)&gt;0),ROWS($B$27:B61))-1,3)+1),"")</f>
        <v/>
      </c>
    </row>
    <row r="62" spans="2:2">
      <c r="B62" s="95" t="str">
        <f>IFERROR(INDEX($B$3:$D$25,INT((_xlfn.AGGREGATE(15,6,((ROW($B$3:$D$25)-ROW($B$3))*3+(COLUMN($B$3:$D$25)-COLUMN($B$3))+1)/(LEN($B$3:$D$25)&gt;0),ROWS($B$27:B62))-1)/3)+1,MOD(_xlfn.AGGREGATE(15,6,((ROW($B$3:$D$25)-ROW($B$3))*3+(COLUMN($B$3:$D$25)-COLUMN($B$3))+1)/(LEN($B$3:$D$25)&gt;0),ROWS($B$27:B62))-1,3)+1),"")</f>
        <v/>
      </c>
    </row>
    <row r="63" spans="2:2">
      <c r="B63" s="95" t="str">
        <f>IFERROR(INDEX($B$3:$D$25,INT((_xlfn.AGGREGATE(15,6,((ROW($B$3:$D$25)-ROW($B$3))*3+(COLUMN($B$3:$D$25)-COLUMN($B$3))+1)/(LEN($B$3:$D$25)&gt;0),ROWS($B$27:B63))-1)/3)+1,MOD(_xlfn.AGGREGATE(15,6,((ROW($B$3:$D$25)-ROW($B$3))*3+(COLUMN($B$3:$D$25)-COLUMN($B$3))+1)/(LEN($B$3:$D$25)&gt;0),ROWS($B$27:B63))-1,3)+1),"")</f>
        <v/>
      </c>
    </row>
    <row r="64" spans="2:2">
      <c r="B64" s="95" t="str">
        <f>IFERROR(INDEX($B$3:$D$25,INT((_xlfn.AGGREGATE(15,6,((ROW($B$3:$D$25)-ROW($B$3))*3+(COLUMN($B$3:$D$25)-COLUMN($B$3))+1)/(LEN($B$3:$D$25)&gt;0),ROWS($B$27:B64))-1)/3)+1,MOD(_xlfn.AGGREGATE(15,6,((ROW($B$3:$D$25)-ROW($B$3))*3+(COLUMN($B$3:$D$25)-COLUMN($B$3))+1)/(LEN($B$3:$D$25)&gt;0),ROWS($B$27:B64))-1,3)+1),"")</f>
        <v/>
      </c>
    </row>
    <row r="65" spans="1:79">
      <c r="B65" s="95" t="str">
        <f>IFERROR(INDEX($B$3:$D$25,INT((_xlfn.AGGREGATE(15,6,((ROW($B$3:$D$25)-ROW($B$3))*3+(COLUMN($B$3:$D$25)-COLUMN($B$3))+1)/(LEN($B$3:$D$25)&gt;0),ROWS($B$27:B65))-1)/3)+1,MOD(_xlfn.AGGREGATE(15,6,((ROW($B$3:$D$25)-ROW($B$3))*3+(COLUMN($B$3:$D$25)-COLUMN($B$3))+1)/(LEN($B$3:$D$25)&gt;0),ROWS($B$27:B65))-1,3)+1),"")</f>
        <v/>
      </c>
    </row>
    <row r="66" spans="1:79">
      <c r="B66" s="95" t="str">
        <f>IFERROR(INDEX($B$3:$D$25,INT((_xlfn.AGGREGATE(15,6,((ROW($B$3:$D$25)-ROW($B$3))*3+(COLUMN($B$3:$D$25)-COLUMN($B$3))+1)/(LEN($B$3:$D$25)&gt;0),ROWS($B$27:B66))-1)/3)+1,MOD(_xlfn.AGGREGATE(15,6,((ROW($B$3:$D$25)-ROW($B$3))*3+(COLUMN($B$3:$D$25)-COLUMN($B$3))+1)/(LEN($B$3:$D$25)&gt;0),ROWS($B$27:B66))-1,3)+1),"")</f>
        <v/>
      </c>
    </row>
    <row r="67" spans="1:79">
      <c r="B67" s="95" t="str">
        <f>IFERROR(INDEX($B$3:$D$25,INT((_xlfn.AGGREGATE(15,6,((ROW($B$3:$D$25)-ROW($B$3))*3+(COLUMN($B$3:$D$25)-COLUMN($B$3))+1)/(LEN($B$3:$D$25)&gt;0),ROWS($B$27:B67))-1)/3)+1,MOD(_xlfn.AGGREGATE(15,6,((ROW($B$3:$D$25)-ROW($B$3))*3+(COLUMN($B$3:$D$25)-COLUMN($B$3))+1)/(LEN($B$3:$D$25)&gt;0),ROWS($B$27:B67))-1,3)+1),"")</f>
        <v/>
      </c>
    </row>
    <row r="68" spans="1:79">
      <c r="B68" s="95" t="str">
        <f>IFERROR(INDEX($B$3:$D$25,INT((_xlfn.AGGREGATE(15,6,((ROW($B$3:$D$25)-ROW($B$3))*3+(COLUMN($B$3:$D$25)-COLUMN($B$3))+1)/(LEN($B$3:$D$25)&gt;0),ROWS($B$27:B68))-1)/3)+1,MOD(_xlfn.AGGREGATE(15,6,((ROW($B$3:$D$25)-ROW($B$3))*3+(COLUMN($B$3:$D$25)-COLUMN($B$3))+1)/(LEN($B$3:$D$25)&gt;0),ROWS($B$27:B68))-1,3)+1),"")</f>
        <v/>
      </c>
    </row>
    <row r="69" spans="1:79">
      <c r="B69" s="95" t="str">
        <f>IFERROR(INDEX($B$3:$D$25,INT((_xlfn.AGGREGATE(15,6,((ROW($B$3:$D$25)-ROW($B$3))*3+(COLUMN($B$3:$D$25)-COLUMN($B$3))+1)/(LEN($B$3:$D$25)&gt;0),ROWS($B$27:B69))-1)/3)+1,MOD(_xlfn.AGGREGATE(15,6,((ROW($B$3:$D$25)-ROW($B$3))*3+(COLUMN($B$3:$D$25)-COLUMN($B$3))+1)/(LEN($B$3:$D$25)&gt;0),ROWS($B$27:B69))-1,3)+1),"")</f>
        <v/>
      </c>
    </row>
    <row r="70" spans="1:79">
      <c r="B70" s="95" t="str">
        <f>IFERROR(INDEX($B$3:$D$25,INT((_xlfn.AGGREGATE(15,6,((ROW($B$3:$D$25)-ROW($B$3))*3+(COLUMN($B$3:$D$25)-COLUMN($B$3))+1)/(LEN($B$3:$D$25)&gt;0),ROWS($B$27:B70))-1)/3)+1,MOD(_xlfn.AGGREGATE(15,6,((ROW($B$3:$D$25)-ROW($B$3))*3+(COLUMN($B$3:$D$25)-COLUMN($B$3))+1)/(LEN($B$3:$D$25)&gt;0),ROWS($B$27:B70))-1,3)+1),"")</f>
        <v/>
      </c>
    </row>
    <row r="71" spans="1:79">
      <c r="B71" s="95" t="str">
        <f>IFERROR(INDEX($B$3:$D$25,INT((_xlfn.AGGREGATE(15,6,((ROW($B$3:$D$25)-ROW($B$3))*3+(COLUMN($B$3:$D$25)-COLUMN($B$3))+1)/(LEN($B$3:$D$25)&gt;0),ROWS($B$27:B71))-1)/3)+1,MOD(_xlfn.AGGREGATE(15,6,((ROW($B$3:$D$25)-ROW($B$3))*3+(COLUMN($B$3:$D$25)-COLUMN($B$3))+1)/(LEN($B$3:$D$25)&gt;0),ROWS($B$27:B71))-1,3)+1),"")</f>
        <v/>
      </c>
    </row>
    <row r="72" spans="1:79">
      <c r="B72" s="95" t="str">
        <f>IFERROR(INDEX($B$3:$D$25,INT((_xlfn.AGGREGATE(15,6,((ROW($B$3:$D$25)-ROW($B$3))*3+(COLUMN($B$3:$D$25)-COLUMN($B$3))+1)/(LEN($B$3:$D$25)&gt;0),ROWS($B$27:B72))-1)/3)+1,MOD(_xlfn.AGGREGATE(15,6,((ROW($B$3:$D$25)-ROW($B$3))*3+(COLUMN($B$3:$D$25)-COLUMN($B$3))+1)/(LEN($B$3:$D$25)&gt;0),ROWS($B$27:B72))-1,3)+1),"")</f>
        <v/>
      </c>
    </row>
    <row r="73" spans="1:79">
      <c r="B73" s="95" t="str">
        <f>IFERROR(INDEX($B$3:$D$25,INT((_xlfn.AGGREGATE(15,6,((ROW($B$3:$D$25)-ROW($B$3))*3+(COLUMN($B$3:$D$25)-COLUMN($B$3))+1)/(LEN($B$3:$D$25)&gt;0),ROWS($B$27:B73))-1)/3)+1,MOD(_xlfn.AGGREGATE(15,6,((ROW($B$3:$D$25)-ROW($B$3))*3+(COLUMN($B$3:$D$25)-COLUMN($B$3))+1)/(LEN($B$3:$D$25)&gt;0),ROWS($B$27:B73))-1,3)+1),"")</f>
        <v/>
      </c>
    </row>
    <row r="75" spans="1:79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2"/>
      <c r="AZ75" s="102"/>
      <c r="BA75" s="102"/>
      <c r="BB75" s="102"/>
      <c r="BC75" s="102"/>
      <c r="BD75" s="102"/>
      <c r="BE75" s="102"/>
      <c r="BF75" s="102"/>
      <c r="BG75" s="102"/>
      <c r="BH75" s="102"/>
      <c r="BI75" s="102"/>
      <c r="BJ75" s="102"/>
      <c r="BK75" s="102"/>
      <c r="BL75" s="102"/>
      <c r="BM75" s="102"/>
      <c r="BN75" s="102"/>
      <c r="BO75" s="102"/>
      <c r="BP75" s="102"/>
      <c r="BQ75" s="102"/>
      <c r="BR75" s="102"/>
      <c r="BS75" s="102"/>
      <c r="BT75" s="102"/>
      <c r="BU75" s="102"/>
      <c r="BV75" s="102"/>
      <c r="BW75" s="102"/>
      <c r="BX75" s="102"/>
      <c r="BY75" s="102"/>
      <c r="BZ75" s="102"/>
      <c r="CA75" s="102"/>
    </row>
    <row r="76" spans="1:79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2"/>
      <c r="AZ76" s="102"/>
      <c r="BA76" s="102"/>
      <c r="BB76" s="102"/>
      <c r="BC76" s="102"/>
      <c r="BD76" s="102"/>
      <c r="BE76" s="102"/>
      <c r="BF76" s="102"/>
      <c r="BG76" s="102"/>
      <c r="BH76" s="102"/>
      <c r="BI76" s="102"/>
      <c r="BJ76" s="102"/>
      <c r="BK76" s="102"/>
      <c r="BL76" s="102"/>
      <c r="BM76" s="102"/>
      <c r="BN76" s="102"/>
      <c r="BO76" s="102"/>
      <c r="BP76" s="102"/>
      <c r="BQ76" s="102"/>
      <c r="BR76" s="102"/>
      <c r="BS76" s="102"/>
      <c r="BT76" s="102"/>
      <c r="BU76" s="102"/>
      <c r="BV76" s="102"/>
      <c r="BW76" s="102"/>
      <c r="BX76" s="102"/>
      <c r="BY76" s="102"/>
      <c r="BZ76" s="102"/>
      <c r="CA76" s="102"/>
    </row>
    <row r="78" spans="1:79">
      <c r="A78" s="163" t="s">
        <v>38</v>
      </c>
      <c r="B78" s="163"/>
    </row>
    <row r="79" spans="1:79">
      <c r="A79" s="55" t="str">
        <f>IF('[2]INFO-Personal'!E9=0,"",'[2]INFO-Personal'!E9)</f>
        <v>ENGRASADORA MANUAL</v>
      </c>
      <c r="B79" s="55" t="str">
        <f>IF('[2]INFO-Personal'!F9=0,"",'[2]INFO-Personal'!F9)</f>
        <v>PRENSA QY-10-1</v>
      </c>
      <c r="C79" s="55" t="str">
        <f>IF('[2]INFO-Personal'!G9=0,"",'[2]INFO-Personal'!G9)</f>
        <v>PRENSA QY-10-2</v>
      </c>
      <c r="D79" s="55" t="str">
        <f>IF('[2]INFO-Personal'!H9=0,"",'[2]INFO-Personal'!H9)</f>
        <v>PRENSA QY-10-3</v>
      </c>
      <c r="E79" s="55" t="str">
        <f>IF('[2]INFO-Personal'!I9=0,"",'[2]INFO-Personal'!I9)</f>
        <v>LAVADORA 0448</v>
      </c>
      <c r="F79" s="55" t="str">
        <f>IF('[2]INFO-Personal'!J9=0,"",'[2]INFO-Personal'!J9)</f>
        <v>TB-SCAMRIVT-40120 CONICO 518</v>
      </c>
      <c r="G79" s="55" t="str">
        <f>IF('[2]INFO-Personal'!K9=0,"",'[2]INFO-Personal'!K9)</f>
        <v>TE-SCAMRIVT-2060 CONICO 30207</v>
      </c>
      <c r="H79" s="55" t="str">
        <f>IF('[2]INFO-Personal'!L9=0,"",'[2]INFO-Personal'!L9)</f>
        <v>HERMANADORA MANUAL IM247</v>
      </c>
      <c r="I79" s="55" t="str">
        <f>IF('[2]INFO-Personal'!M9=0,"",'[2]INFO-Personal'!M9)</f>
        <v>HER. AUT MS03 DP 02HTQJ2</v>
      </c>
      <c r="J79" s="55" t="str">
        <f>IF('[2]INFO-Personal'!N9=0,"",'[2]INFO-Personal'!N9)</f>
        <v>HER. AUT JAULA MS03 BCJL02A</v>
      </c>
      <c r="K79" s="55" t="str">
        <f>IF('[2]INFO-Personal'!O9=0,"",'[2]INFO-Personal'!O9)</f>
        <v>ENGRASADORA MS03 0510-5120051</v>
      </c>
      <c r="L79" s="55" t="str">
        <f>IF('[2]INFO-Personal'!P9=0,"",'[2]INFO-Personal'!P9)</f>
        <v>HER. AUT MS04 DP 03TQJ3</v>
      </c>
      <c r="M79" s="55" t="str">
        <f>IF('[2]INFO-Personal'!Q9=0,"",'[2]INFO-Personal'!Q9)</f>
        <v>HER. AUT JAULA MS04 BCJL02A</v>
      </c>
      <c r="N79" s="55" t="str">
        <f>IF('[2]INFO-Personal'!R9=0,"",'[2]INFO-Personal'!R9)</f>
        <v>ENGRASADORA AUTOMATICA MS04 ZYJ3H</v>
      </c>
      <c r="O79" s="55" t="str">
        <f>IF('[2]INFO-Personal'!S9=0,"",'[2]INFO-Personal'!S9)</f>
        <v>LASER CHICO 30</v>
      </c>
      <c r="P79" s="55" t="str">
        <f>IF('[2]INFO-Personal'!T9=0,"",'[2]INFO-Personal'!T9)</f>
        <v>LASER GRANDE 50</v>
      </c>
      <c r="Q79" s="55" t="str">
        <f>IF('[2]INFO-Personal'!U9=0,"",'[2]INFO-Personal'!U9)</f>
        <v>PRENSA QY-16</v>
      </c>
      <c r="R79" s="55" t="str">
        <f>IF('[2]INFO-Personal'!V9=0,"",'[2]INFO-Personal'!V9)</f>
        <v>LAVADORA QXC-1-2 MS03</v>
      </c>
      <c r="S79" s="55" t="str">
        <f>IF('[2]INFO-Personal'!W9=0,"",'[2]INFO-Personal'!W9)</f>
        <v>LAVADORA QXC-1 MS04</v>
      </c>
      <c r="T79" s="55" t="str">
        <f>IF('[2]INFO-Personal'!X9=0,"",'[2]INFO-Personal'!X9)</f>
        <v>ANDEROMETRO IM-250</v>
      </c>
      <c r="U79" s="55" t="str">
        <f>IF('[2]INFO-Personal'!Y9=0,"",'[2]INFO-Personal'!Y9)</f>
        <v>ANDEROMETRO IM251</v>
      </c>
      <c r="V79" s="55" t="str">
        <f>IF('[2]INFO-Personal'!Z9=0,"",'[2]INFO-Personal'!Z9)</f>
        <v>HERMANADORA AUT MS05 LHT90</v>
      </c>
      <c r="W79" s="55" t="str">
        <f>IF('[2]INFO-Personal'!AA9=0,"",'[2]INFO-Personal'!AA9)</f>
        <v>HER. AUT JAULA MS05 BCJT03</v>
      </c>
      <c r="X79" s="55" t="str">
        <f>IF('[2]INFO-Personal'!AB9=0,"",'[2]INFO-Personal'!AB9)</f>
        <v>PD52 POACHER</v>
      </c>
      <c r="Y79" s="55" t="str">
        <f>IF('[2]INFO-Personal'!AC9=0,"",'[2]INFO-Personal'!AC9)</f>
        <v>RADIAL X095B</v>
      </c>
      <c r="Z79" s="55" t="str">
        <f>IF('[2]INFO-Personal'!AD9=0,"",'[2]INFO-Personal'!AD9)</f>
        <v>LAVADO MANUAL PMT25-36</v>
      </c>
      <c r="AA79" s="55" t="str">
        <f>IF('[2]INFO-Personal'!AE9=0,"",'[2]INFO-Personal'!AE9)</f>
        <v>HERMANADORA MANUAL IM248</v>
      </c>
      <c r="AB79" s="55" t="str">
        <f>IF('[2]INFO-Personal'!AF9=0,"",'[2]INFO-Personal'!AF9)</f>
        <v>RADIAL X095A</v>
      </c>
      <c r="AC79" s="55" t="str">
        <f>IF('[2]INFO-Personal'!AG9=0,"",'[2]INFO-Personal'!AG9)</f>
        <v>DESIMANTADOR NS-400-B1</v>
      </c>
      <c r="AD79" s="55" t="str">
        <f>IF('[2]INFO-Personal'!AH9=0,"",'[2]INFO-Personal'!AH9)</f>
        <v>LAVADORA GRANDE PMD-SJ</v>
      </c>
      <c r="AE79" s="55" t="str">
        <f>IF('[2]INFO-Personal'!AI9=0,"",'[2]INFO-Personal'!AI9)</f>
        <v/>
      </c>
      <c r="AF79" s="55" t="str">
        <f>IF('[2]INFO-Personal'!AJ9=0,"",'[2]INFO-Personal'!AJ9)</f>
        <v/>
      </c>
      <c r="AG79" s="55" t="str">
        <f>IF('[2]INFO-Personal'!AK9=0,"",'[2]INFO-Personal'!AK9)</f>
        <v/>
      </c>
      <c r="AH79" s="55" t="str">
        <f>IF('[2]INFO-Personal'!AL9=0,"",'[2]INFO-Personal'!AL9)</f>
        <v/>
      </c>
      <c r="AI79" s="55" t="str">
        <f>IF('[2]INFO-Personal'!AM9=0,"",'[2]INFO-Personal'!AM9)</f>
        <v/>
      </c>
      <c r="AJ79" s="55" t="str">
        <f>IF('[2]INFO-Personal'!AN9=0,"",'[2]INFO-Personal'!AN9)</f>
        <v/>
      </c>
      <c r="AK79" s="55" t="str">
        <f>IF('[2]INFO-Personal'!AO9=0,"",'[2]INFO-Personal'!AO9)</f>
        <v/>
      </c>
      <c r="AL79" s="55" t="str">
        <f>IF('[2]INFO-Personal'!AP9=0,"",'[2]INFO-Personal'!AP9)</f>
        <v/>
      </c>
      <c r="AM79" s="55" t="str">
        <f>IF('[2]INFO-Personal'!AQ9=0,"",'[2]INFO-Personal'!AQ9)</f>
        <v/>
      </c>
      <c r="AN79" s="55" t="str">
        <f>IF('[2]INFO-Personal'!AR9=0,"",'[2]INFO-Personal'!AR9)</f>
        <v/>
      </c>
      <c r="AO79" s="55" t="str">
        <f>IF('[2]INFO-Personal'!AS9=0,"",'[2]INFO-Personal'!AS9)</f>
        <v/>
      </c>
      <c r="AP79" s="55" t="str">
        <f>IF('[2]INFO-Personal'!AT9=0,"",'[2]INFO-Personal'!AT9)</f>
        <v/>
      </c>
      <c r="AQ79" s="55" t="str">
        <f>IF('[2]INFO-Personal'!AU9=0,"",'[2]INFO-Personal'!AU9)</f>
        <v/>
      </c>
      <c r="AR79" s="55" t="str">
        <f>IF('[2]INFO-Personal'!AV9=0,"",'[2]INFO-Personal'!AV9)</f>
        <v>Listado Crudo</v>
      </c>
      <c r="AS79" s="55" t="str">
        <f>IF('[2]INFO-Personal'!AW9=0,"",'[2]INFO-Personal'!AW9)</f>
        <v>Listado Pulido</v>
      </c>
      <c r="AT79" s="55" t="str">
        <f>IF('[2]INFO-Personal'!AX9=0,"",'[2]INFO-Personal'!AX9)</f>
        <v/>
      </c>
      <c r="AU79" s="55" t="str">
        <f>IF('[2]INFO-Personal'!AY9=0,"",'[2]INFO-Personal'!AY9)</f>
        <v/>
      </c>
      <c r="AV79" s="55" t="str">
        <f>IF('[2]INFO-Personal'!AZ9=0,"",'[2]INFO-Personal'!AZ9)</f>
        <v/>
      </c>
      <c r="AW79" s="55" t="str">
        <f>IF('[2]INFO-Personal'!BA9=0,"",'[2]INFO-Personal'!BA9)</f>
        <v/>
      </c>
      <c r="AX79" s="55" t="str">
        <f>IF('[2]INFO-Personal'!BB9=0,"",'[2]INFO-Personal'!BB9)</f>
        <v/>
      </c>
      <c r="AY79" s="55" t="str">
        <f>IF('[2]INFO-Personal'!BC9=0,"",'[2]INFO-Personal'!BC9)</f>
        <v/>
      </c>
      <c r="AZ79" s="55" t="str">
        <f>IF('[2]INFO-Personal'!BD9=0,"",'[2]INFO-Personal'!BD9)</f>
        <v/>
      </c>
      <c r="BA79" s="55" t="str">
        <f>IF('[2]INFO-Personal'!BE9=0,"",'[2]INFO-Personal'!BE9)</f>
        <v/>
      </c>
      <c r="BB79" s="55" t="str">
        <f>IF('[2]INFO-Personal'!BF9=0,"",'[2]INFO-Personal'!BF9)</f>
        <v/>
      </c>
      <c r="BC79" s="55" t="str">
        <f>IF('[2]INFO-Personal'!BG9=0,"",'[2]INFO-Personal'!BG9)</f>
        <v/>
      </c>
      <c r="BD79" s="55" t="str">
        <f>IF('[2]INFO-Personal'!BH9=0,"",'[2]INFO-Personal'!BH9)</f>
        <v/>
      </c>
      <c r="BE79" s="55" t="str">
        <f>IF('[2]INFO-Personal'!BI9=0,"",'[2]INFO-Personal'!BI9)</f>
        <v/>
      </c>
      <c r="BF79" s="55" t="str">
        <f>IF('[2]INFO-Personal'!BJ9=0,"",'[2]INFO-Personal'!BJ9)</f>
        <v/>
      </c>
      <c r="BG79" s="55" t="str">
        <f>IF('[2]INFO-Personal'!BK9=0,"",'[2]INFO-Personal'!BK9)</f>
        <v/>
      </c>
      <c r="BH79" s="55" t="str">
        <f>IF('[2]INFO-Personal'!BL9=0,"",'[2]INFO-Personal'!BL9)</f>
        <v/>
      </c>
      <c r="BI79" s="55" t="str">
        <f>IF('[2]INFO-Personal'!BM9=0,"",'[2]INFO-Personal'!BM9)</f>
        <v/>
      </c>
      <c r="BJ79" s="55" t="str">
        <f>IF('[2]INFO-Personal'!BN9=0,"",'[2]INFO-Personal'!BN9)</f>
        <v/>
      </c>
      <c r="BK79" s="55" t="str">
        <f>IF('[2]INFO-Personal'!BO9=0,"",'[2]INFO-Personal'!BO9)</f>
        <v/>
      </c>
      <c r="BL79" s="55" t="str">
        <f>IF('[2]INFO-Personal'!BP9=0,"",'[2]INFO-Personal'!BP9)</f>
        <v/>
      </c>
      <c r="BM79" s="55" t="str">
        <f>IF('[2]INFO-Personal'!BQ9=0,"",'[2]INFO-Personal'!BQ9)</f>
        <v/>
      </c>
      <c r="BN79" s="55" t="str">
        <f>IF('[2]INFO-Personal'!BR9=0,"",'[2]INFO-Personal'!BR9)</f>
        <v/>
      </c>
      <c r="BO79" s="55" t="str">
        <f>IF('[2]INFO-Personal'!BS9=0,"",'[2]INFO-Personal'!BS9)</f>
        <v/>
      </c>
      <c r="BP79" s="55" t="str">
        <f>IF('[2]INFO-Personal'!BT9=0,"",'[2]INFO-Personal'!BT9)</f>
        <v/>
      </c>
      <c r="BQ79" s="55" t="str">
        <f>IF('[2]INFO-Personal'!BU9=0,"",'[2]INFO-Personal'!BU9)</f>
        <v/>
      </c>
      <c r="BR79" s="55" t="str">
        <f>IF('[2]INFO-Personal'!BV9=0,"",'[2]INFO-Personal'!BV9)</f>
        <v/>
      </c>
      <c r="BS79" s="55" t="str">
        <f>IF('[2]INFO-Personal'!BW9=0,"",'[2]INFO-Personal'!BW9)</f>
        <v/>
      </c>
      <c r="BT79" s="55" t="str">
        <f>IF('[2]INFO-Personal'!BX9=0,"",'[2]INFO-Personal'!BX9)</f>
        <v/>
      </c>
      <c r="BU79" s="55" t="str">
        <f>IF('[2]INFO-Personal'!BY9=0,"",'[2]INFO-Personal'!BY9)</f>
        <v/>
      </c>
      <c r="BV79" s="55" t="str">
        <f>IF('[2]INFO-Personal'!BZ9=0,"",'[2]INFO-Personal'!BZ9)</f>
        <v/>
      </c>
      <c r="BW79" s="55" t="str">
        <f>IF('[2]INFO-Personal'!CA9=0,"",'[2]INFO-Personal'!CA9)</f>
        <v/>
      </c>
      <c r="BX79" s="55" t="str">
        <f>IF('[2]INFO-Personal'!CB9=0,"",'[2]INFO-Personal'!CB9)</f>
        <v/>
      </c>
      <c r="BY79" s="55" t="str">
        <f>IF('[2]INFO-Personal'!CC9=0,"",'[2]INFO-Personal'!CC9)</f>
        <v/>
      </c>
      <c r="BZ79" s="55" t="str">
        <f>IF('[2]INFO-Personal'!CD9=0,"",'[2]INFO-Personal'!CD9)</f>
        <v/>
      </c>
      <c r="CA79" s="55" t="str">
        <f>IF('[2]INFO-Personal'!CE9=0,"",'[2]INFO-Personal'!CE9)</f>
        <v/>
      </c>
    </row>
    <row r="80" spans="1:79">
      <c r="A80" s="55" t="str">
        <f t="array" ref="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COLUMN(A1)
        )
    ),
"")</f>
        <v>ENGRASADORA MANUAL</v>
      </c>
      <c r="B80" s="55" t="str">
        <f t="array" ref="B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COLUMN(B1)
        )
    ),
"")</f>
        <v>PRENSA QY-10-1</v>
      </c>
      <c r="C80" s="55" t="str">
        <f t="array" ref="C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COLUMN(C1)
        )
    ),
"")</f>
        <v>PRENSA QY-10-2</v>
      </c>
      <c r="D80" s="55" t="str">
        <f t="array" ref="D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COLUMN(D1)
        )
    ),
"")</f>
        <v>PRENSA QY-10-3</v>
      </c>
      <c r="E80" s="55" t="str">
        <f t="array" ref="E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COLUMN(E1)
        )
    ),
"")</f>
        <v>LAVADORA 0448</v>
      </c>
      <c r="F80" s="55" t="str">
        <f t="array" ref="F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COLUMN(F1)
        )
    ),
"")</f>
        <v>TB-SCAMRIVT-40120 CONICO 518</v>
      </c>
      <c r="G80" s="55" t="str">
        <f t="array" ref="G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COLUMN(G1)
        )
    ),
"")</f>
        <v>TE-SCAMRIVT-2060 CONICO 30207</v>
      </c>
      <c r="H80" s="55" t="str">
        <f t="array" ref="H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COLUMN(H1)
        )
    ),
"")</f>
        <v>HERMANADORA MANUAL IM247</v>
      </c>
      <c r="I80" s="55" t="str">
        <f t="array" ref="I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COLUMN(I1)
        )
    ),
"")</f>
        <v>HER. AUT MS03 DP 02HTQJ2</v>
      </c>
      <c r="J80" s="55" t="str">
        <f t="array" ref="J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COLUMN(J1)
        )
    ),
"")</f>
        <v>HER. AUT JAULA MS03 BCJL02A</v>
      </c>
      <c r="K80" s="55" t="str">
        <f t="array" ref="K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COLUMN(K1)
        )
    ),
"")</f>
        <v>ENGRASADORA MS03 0510-5120051</v>
      </c>
      <c r="L80" s="55" t="str">
        <f t="array" ref="L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COLUMN(L1)
        )
    ),
"")</f>
        <v>HER. AUT MS04 DP 03TQJ3</v>
      </c>
      <c r="M80" s="55" t="str">
        <f t="array" ref="M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COLUMN(M1)
        )
    ),
"")</f>
        <v>HER. AUT JAULA MS04 BCJL02A</v>
      </c>
      <c r="N80" s="55" t="str">
        <f t="array" ref="N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COLUMN(N1)
        )
    ),
"")</f>
        <v>ENGRASADORA AUTOMATICA MS04 ZYJ3H</v>
      </c>
      <c r="O80" s="55" t="str">
        <f t="array" ref="O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COLUMN(O1)
        )
    ),
"")</f>
        <v>LASER CHICO 30</v>
      </c>
      <c r="P80" s="55" t="str">
        <f t="array" ref="P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COLUMN(P1)
        )
    ),
"")</f>
        <v>LASER GRANDE 50</v>
      </c>
      <c r="Q80" s="55" t="str">
        <f t="array" ref="Q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COLUMN(Q1)
        )
    ),
"")</f>
        <v>PRENSA QY-16</v>
      </c>
      <c r="R80" s="55" t="str">
        <f t="array" ref="R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COLUMN(R1)
        )
    ),
"")</f>
        <v>LAVADORA QXC-1-2 MS03</v>
      </c>
      <c r="S80" s="55" t="str">
        <f t="array" ref="S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COLUMN(S1)
        )
    ),
"")</f>
        <v>LAVADORA QXC-1 MS04</v>
      </c>
      <c r="T80" s="55" t="str">
        <f t="array" ref="T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COLUMN(T1)
        )
    ),
"")</f>
        <v>ANDEROMETRO IM-250</v>
      </c>
      <c r="U80" s="55" t="str">
        <f t="array" ref="U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COLUMN(U1)
        )
    ),
"")</f>
        <v>ANDEROMETRO IM251</v>
      </c>
      <c r="V80" s="55" t="str">
        <f t="array" ref="V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COLUMN(V1)
        )
    ),
"")</f>
        <v>HERMANADORA AUT MS05 LHT90</v>
      </c>
      <c r="W80" s="55" t="str">
        <f t="array" ref="W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COLUMN(W1)
        )
    ),
"")</f>
        <v>HER. AUT JAULA MS05 BCJT03</v>
      </c>
      <c r="X80" s="55" t="str">
        <f t="array" ref="X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COLUMN(X1)
        )
    ),
"")</f>
        <v>PD52 POACHER</v>
      </c>
      <c r="Y80" s="55" t="str">
        <f t="array" ref="Y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COLUMN(Y1)
        )
    ),
"")</f>
        <v>RADIAL X095B</v>
      </c>
      <c r="Z80" s="55" t="str">
        <f t="array" ref="Z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COLUMN(Z1)
        )
    ),
"")</f>
        <v>LAVADO MANUAL PMT25-36</v>
      </c>
      <c r="AA80" s="55" t="str">
        <f t="array" ref="A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COLUMN(AA1)
        )
    ),
"")</f>
        <v>HERMANADORA MANUAL IM248</v>
      </c>
      <c r="AB80" s="55" t="str">
        <f t="array" ref="AB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COLUMN(AB1)
        )
    ),
"")</f>
        <v>RADIAL X095A</v>
      </c>
      <c r="AC80" s="55" t="str">
        <f t="array" ref="AC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COLUMN(AC1)
        )
    ),
"")</f>
        <v>DESIMANTADOR NS-400-B1</v>
      </c>
      <c r="AD80" s="55" t="str">
        <f t="array" ref="AD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COLUMN(AD1)
        )
    ),
"")</f>
        <v>LAVADORA GRANDE PMD-SJ</v>
      </c>
      <c r="AE80" s="55" t="str">
        <f t="array" ref="AE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COLUMN(AE1)
        )
    ),
"")</f>
        <v/>
      </c>
      <c r="AF80" s="55" t="str">
        <f t="array" ref="AF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COLUMN(AF1)
        )
    ),
"")</f>
        <v/>
      </c>
      <c r="AG80" s="55" t="str">
        <f t="array" ref="AG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COLUMN(AG1)
        )
    ),
"")</f>
        <v/>
      </c>
      <c r="AH80" s="55" t="str">
        <f t="array" ref="AH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COLUMN(AH1)
        )
    ),
"")</f>
        <v/>
      </c>
      <c r="AI80" s="55" t="str">
        <f t="array" ref="AI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COLUMN(AI1)
        )
    ),
"")</f>
        <v/>
      </c>
      <c r="AJ80" s="55" t="str">
        <f t="array" ref="AJ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COLUMN(AJ1)
        )
    ),
"")</f>
        <v/>
      </c>
      <c r="AK80" s="55" t="str">
        <f t="array" ref="AK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COLUMN(AK1)
        )
    ),
"")</f>
        <v/>
      </c>
      <c r="AL80" s="55" t="str">
        <f t="array" ref="AL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COLUMN(AL1)
        )
    ),
"")</f>
        <v/>
      </c>
      <c r="AM80" s="55" t="str">
        <f t="array" ref="AM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COLUMN(AM1)
        )
    ),
"")</f>
        <v/>
      </c>
      <c r="AN80" s="55" t="str">
        <f t="array" ref="AN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COLUMN(AN1)
        )
    ),
"")</f>
        <v/>
      </c>
      <c r="AO80" s="55" t="str">
        <f t="array" ref="AO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COLUMN(AO1)
        )
    ),
"")</f>
        <v/>
      </c>
      <c r="AP80" s="55" t="str">
        <f t="array" ref="AP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COLUMN(AP1)
        )
    ),
"")</f>
        <v/>
      </c>
      <c r="AQ80" s="55" t="str">
        <f t="array" ref="AQ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COLUMN(AQ1)
        )
    ),
"")</f>
        <v/>
      </c>
      <c r="AR80" s="55" t="str">
        <f t="array" ref="AR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COLUMN(AR1)
        )
    ),
"")</f>
        <v/>
      </c>
      <c r="AS80" s="55" t="str">
        <f t="array" ref="AS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COLUMN(AS1)
        )
    ),
"")</f>
        <v/>
      </c>
      <c r="AT80" s="55" t="str">
        <f t="array" ref="AT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COLUMN(AT1)
        )
    ),
"")</f>
        <v/>
      </c>
      <c r="AU80" s="55" t="str">
        <f t="array" ref="AU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COLUMN(AU1)
        )
    ),
"")</f>
        <v/>
      </c>
      <c r="AV80" s="55" t="str">
        <f t="array" ref="AV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COLUMN(AV1)
        )
    ),
"")</f>
        <v/>
      </c>
      <c r="AW80" s="55" t="str">
        <f t="array" ref="AW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COLUMN(AW1)
        )
    ),
"")</f>
        <v/>
      </c>
      <c r="AX80" s="55" t="str">
        <f t="array" ref="AX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COLUMN(AX1)
        )
    ),
"")</f>
        <v/>
      </c>
      <c r="AY80" s="55" t="str">
        <f t="array" ref="AY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COLUMN(AY1)
        )
    ),
"")</f>
        <v/>
      </c>
      <c r="AZ80" s="55" t="str">
        <f t="array" ref="AZ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COLUMN(AZ1)
        )
    ),
"")</f>
        <v/>
      </c>
      <c r="BA80" s="55" t="str">
        <f t="array" ref="B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COLUMN(BA1)
        )
    ),
"")</f>
        <v/>
      </c>
      <c r="BB80" s="55" t="str">
        <f t="array" ref="BB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COLUMN(BB1)
        )
    ),
"")</f>
        <v/>
      </c>
      <c r="BC80" s="55" t="str">
        <f t="array" ref="BC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COLUMN(BC1)
        )
    ),
"")</f>
        <v/>
      </c>
      <c r="BD80" s="55" t="str">
        <f t="array" ref="BD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COLUMN(BD1)
        )
    ),
"")</f>
        <v/>
      </c>
      <c r="BE80" s="55" t="str">
        <f t="array" ref="BE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COLUMN(BE1)
        )
    ),
"")</f>
        <v/>
      </c>
      <c r="BF80" s="55" t="str">
        <f t="array" ref="BF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COLUMN(BF1)
        )
    ),
"")</f>
        <v/>
      </c>
      <c r="BG80" s="55" t="str">
        <f t="array" ref="BG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COLUMN(BG1)
        )
    ),
"")</f>
        <v/>
      </c>
      <c r="BH80" s="55" t="str">
        <f t="array" ref="BH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COLUMN(BH1)
        )
    ),
"")</f>
        <v/>
      </c>
      <c r="BI80" s="55" t="str">
        <f t="array" ref="BI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COLUMN(BI1)
        )
    ),
"")</f>
        <v/>
      </c>
      <c r="BJ80" s="55" t="str">
        <f t="array" ref="BJ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COLUMN(BJ1)
        )
    ),
"")</f>
        <v/>
      </c>
      <c r="BK80" s="55" t="str">
        <f t="array" ref="BK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COLUMN(BK1)
        )
    ),
"")</f>
        <v/>
      </c>
      <c r="BL80" s="55" t="str">
        <f t="array" ref="BL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COLUMN(BL1)
        )
    ),
"")</f>
        <v/>
      </c>
      <c r="BM80" s="55" t="str">
        <f t="array" ref="BM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COLUMN(BM1)
        )
    ),
"")</f>
        <v/>
      </c>
      <c r="BN80" s="55" t="str">
        <f t="array" ref="BN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COLUMN(BN1)
        )
    ),
"")</f>
        <v/>
      </c>
      <c r="BO80" s="55" t="str">
        <f t="array" ref="BO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COLUMN(BO1)
        )
    ),
"")</f>
        <v/>
      </c>
      <c r="BP80" s="55" t="str">
        <f t="array" ref="BP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COLUMN(BP1)
        )
    ),
"")</f>
        <v/>
      </c>
      <c r="BQ80" s="55" t="str">
        <f t="array" ref="BQ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COLUMN(BQ1)
        )
    ),
"")</f>
        <v/>
      </c>
      <c r="BR80" s="55" t="str">
        <f t="array" ref="BR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COLUMN(BR1)
        )
    ),
"")</f>
        <v/>
      </c>
      <c r="BS80" s="55" t="str">
        <f t="array" ref="BS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COLUMN(BS1)
        )
    ),
"")</f>
        <v/>
      </c>
      <c r="BT80" s="55" t="str">
        <f t="array" ref="BT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COLUMN(BT1)
        )
    ),
"")</f>
        <v/>
      </c>
      <c r="BU80" s="55" t="str">
        <f t="array" ref="BU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COLUMN(BU1)
        )
    ),
"")</f>
        <v/>
      </c>
      <c r="BV80" s="55" t="str">
        <f t="array" ref="BV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COLUMN(BV1)
        )
    ),
"")</f>
        <v/>
      </c>
      <c r="BW80" s="55" t="str">
        <f t="array" ref="BW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COLUMN(BW1)
        )
    ),
"")</f>
        <v/>
      </c>
      <c r="BX80" s="55" t="str">
        <f t="array" ref="BX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COLUMN(BX1)
        )
    ),
"")</f>
        <v/>
      </c>
      <c r="BY80" s="55" t="str">
        <f t="array" ref="BY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COLUMN(BY1)
        )
    ),
"")</f>
        <v/>
      </c>
      <c r="BZ80" s="55" t="str">
        <f t="array" ref="BZ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COLUMN(BZ1)
        )
    ),
"")</f>
        <v/>
      </c>
      <c r="CA80" s="55" t="str">
        <f t="array" ref="C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COLUMN(CA1)
        )
    ),
"")</f>
        <v/>
      </c>
    </row>
    <row r="82" spans="1:131">
      <c r="A82" s="163" t="s">
        <v>39</v>
      </c>
      <c r="B82" s="163"/>
    </row>
    <row r="83" spans="1:131">
      <c r="A83" s="55" t="str">
        <f>IF('[1]INFO-Personal'!E9=0,"",'[1]INFO-Personal'!E9)</f>
        <v>Corte por Laser</v>
      </c>
      <c r="B83" s="55" t="str">
        <f>IF('[1]INFO-Personal'!F9=0,"",'[1]INFO-Personal'!F9)</f>
        <v>Corte por Agua</v>
      </c>
      <c r="C83" s="55" t="str">
        <f>IF('[1]INFO-Personal'!G9=0,"",'[1]INFO-Personal'!G9)</f>
        <v>TORNO RIFA RFCZ12</v>
      </c>
      <c r="D83" s="55" t="str">
        <f>IF('[1]INFO-Personal'!H9=0,"",'[1]INFO-Personal'!H9)</f>
        <v>TORNO Microcut LT65</v>
      </c>
      <c r="E83" s="55" t="str">
        <f>IF('[1]INFO-Personal'!I9=0,"",'[1]INFO-Personal'!I9)</f>
        <v>TORNO HWACHEON CUTEX 240B</v>
      </c>
      <c r="F83" s="55" t="str">
        <f>IF('[1]INFO-Personal'!J9=0,"",'[1]INFO-Personal'!J9)</f>
        <v>CM RIFA RFVM60</v>
      </c>
      <c r="G83" s="55" t="str">
        <f>IF('[1]INFO-Personal'!K9=0,"",'[1]INFO-Personal'!K9)</f>
        <v>CM HWACHEON SIRIUS 550</v>
      </c>
      <c r="H83" s="55" t="str">
        <f>IF('[1]INFO-Personal'!L9=0,"",'[1]INFO-Personal'!L9)</f>
        <v>CM Mitsubishi</v>
      </c>
      <c r="I83" s="55" t="str">
        <f>IF('[1]INFO-Personal'!M9=0,"",'[1]INFO-Personal'!M9)</f>
        <v>CM RIFA 4 Ejes</v>
      </c>
      <c r="J83" s="55" t="str">
        <f>IF('[1]INFO-Personal'!N9=0,"",'[1]INFO-Personal'!N9)</f>
        <v>Agujereadora</v>
      </c>
      <c r="K83" s="55" t="str">
        <f>IF('[1]INFO-Personal'!O9=0,"",'[1]INFO-Personal'!O9)</f>
        <v>Roscadora</v>
      </c>
      <c r="L83" s="55" t="str">
        <f>IF('[1]INFO-Personal'!P9=0,"",'[1]INFO-Personal'!P9)</f>
        <v>Torno Paralelo Chico</v>
      </c>
      <c r="M83" s="55" t="str">
        <f>IF('[1]INFO-Personal'!Q9=0,"",'[1]INFO-Personal'!Q9)</f>
        <v>Torno Paralelo Grande</v>
      </c>
      <c r="N83" s="55" t="str">
        <f>IF('[1]INFO-Personal'!R9=0,"",'[1]INFO-Personal'!R9)</f>
        <v>Piedra de Banco</v>
      </c>
      <c r="O83" s="55" t="str">
        <f>IF('[1]INFO-Personal'!S9=0,"",'[1]INFO-Personal'!S9)</f>
        <v>Maquina Corta Cadenas</v>
      </c>
      <c r="P83" s="55" t="str">
        <f>IF('[1]INFO-Personal'!T9=0,"",'[1]INFO-Personal'!T9)</f>
        <v>Serrucho</v>
      </c>
      <c r="Q83" s="55" t="str">
        <f>IF('[1]INFO-Personal'!U9=0,"",'[1]INFO-Personal'!U9)</f>
        <v>Sierra Sensitiva</v>
      </c>
      <c r="R83" s="55" t="str">
        <f>IF('[1]INFO-Personal'!V9=0,"",'[1]INFO-Personal'!V9)</f>
        <v>Soldadora</v>
      </c>
      <c r="S83" s="55" t="str">
        <f>IF('[1]INFO-Personal'!W9=0,"",'[1]INFO-Personal'!W9)</f>
        <v>Agujereadora (Taller)</v>
      </c>
      <c r="T83" s="55" t="str">
        <f>IF('[1]INFO-Personal'!X9=0,"",'[1]INFO-Personal'!X9)</f>
        <v/>
      </c>
      <c r="U83" s="55" t="str">
        <f>IF('[1]INFO-Personal'!Y9=0,"",'[1]INFO-Personal'!Y9)</f>
        <v/>
      </c>
      <c r="V83" s="55" t="str">
        <f>IF('[1]INFO-Personal'!Z9=0,"",'[1]INFO-Personal'!Z9)</f>
        <v/>
      </c>
      <c r="W83" s="55" t="str">
        <f>IF('[1]INFO-Personal'!AA9=0,"",'[1]INFO-Personal'!AA9)</f>
        <v/>
      </c>
      <c r="X83" s="55" t="str">
        <f>IF('[1]INFO-Personal'!AB9=0,"",'[1]INFO-Personal'!AB9)</f>
        <v/>
      </c>
      <c r="Y83" s="55" t="str">
        <f>IF('[1]INFO-Personal'!AC9=0,"",'[1]INFO-Personal'!AC9)</f>
        <v/>
      </c>
      <c r="Z83" s="55" t="str">
        <f>IF('[1]INFO-Personal'!AD9=0,"",'[1]INFO-Personal'!AD9)</f>
        <v>Listado Crudo</v>
      </c>
      <c r="AA83" s="55" t="str">
        <f>IF('[1]INFO-Personal'!AE9=0,"",'[1]INFO-Personal'!AE9)</f>
        <v>Listado Pulido</v>
      </c>
      <c r="AB83" s="55" t="str">
        <f>IF('[1]INFO-Personal'!AF9=0,"",'[1]INFO-Personal'!AF9)</f>
        <v/>
      </c>
      <c r="AC83" s="55" t="str">
        <f>IF('[1]INFO-Personal'!AG9=0,"",'[1]INFO-Personal'!AG9)</f>
        <v/>
      </c>
      <c r="AD83" s="55" t="str">
        <f>IF('[1]INFO-Personal'!AH9=0,"",'[1]INFO-Personal'!AH9)</f>
        <v/>
      </c>
      <c r="AE83" s="55" t="str">
        <f>IF('[1]INFO-Personal'!AI9=0,"",'[1]INFO-Personal'!AI9)</f>
        <v/>
      </c>
      <c r="AF83" s="55" t="str">
        <f>IF('[1]INFO-Personal'!AJ9=0,"",'[1]INFO-Personal'!AJ9)</f>
        <v/>
      </c>
      <c r="AG83" s="55" t="str">
        <f>IF('[1]INFO-Personal'!AK9=0,"",'[1]INFO-Personal'!AK9)</f>
        <v/>
      </c>
      <c r="AH83" s="55" t="str">
        <f>IF('[1]INFO-Personal'!AL9=0,"",'[1]INFO-Personal'!AL9)</f>
        <v/>
      </c>
      <c r="AI83" s="55" t="str">
        <f>IF('[1]INFO-Personal'!AM9=0,"",'[1]INFO-Personal'!AM9)</f>
        <v/>
      </c>
      <c r="AJ83" s="55" t="str">
        <f>IF('[1]INFO-Personal'!AN9=0,"",'[1]INFO-Personal'!AN9)</f>
        <v/>
      </c>
      <c r="AK83" s="55" t="str">
        <f>IF('[1]INFO-Personal'!AO9=0,"",'[1]INFO-Personal'!AO9)</f>
        <v/>
      </c>
      <c r="AL83" s="55" t="str">
        <f>IF('[1]INFO-Personal'!AP9=0,"",'[1]INFO-Personal'!AP9)</f>
        <v/>
      </c>
      <c r="AM83" s="55" t="str">
        <f>IF('[1]INFO-Personal'!AQ9=0,"",'[1]INFO-Personal'!AQ9)</f>
        <v/>
      </c>
      <c r="AN83" s="55" t="str">
        <f>IF('[1]INFO-Personal'!AR9=0,"",'[1]INFO-Personal'!AR9)</f>
        <v/>
      </c>
      <c r="AO83" s="55" t="str">
        <f>IF('[1]INFO-Personal'!AS9=0,"",'[1]INFO-Personal'!AS9)</f>
        <v/>
      </c>
      <c r="AP83" s="55" t="str">
        <f>IF('[1]INFO-Personal'!AT9=0,"",'[1]INFO-Personal'!AT9)</f>
        <v/>
      </c>
      <c r="AQ83" s="55" t="str">
        <f>IF('[1]INFO-Personal'!AU9=0,"",'[1]INFO-Personal'!AU9)</f>
        <v/>
      </c>
      <c r="AR83" s="55" t="str">
        <f>IF('[1]INFO-Personal'!AV9=0,"",'[1]INFO-Personal'!AV9)</f>
        <v/>
      </c>
      <c r="AS83" s="55" t="str">
        <f>IF('[1]INFO-Personal'!AW9=0,"",'[1]INFO-Personal'!AW9)</f>
        <v/>
      </c>
      <c r="AT83" s="55" t="str">
        <f>IF('[1]INFO-Personal'!AX9=0,"",'[1]INFO-Personal'!AX9)</f>
        <v/>
      </c>
      <c r="AU83" s="55" t="str">
        <f>IF('[1]INFO-Personal'!AY9=0,"",'[1]INFO-Personal'!AY9)</f>
        <v/>
      </c>
      <c r="AV83" s="55" t="str">
        <f>IF('[1]INFO-Personal'!AZ9=0,"",'[1]INFO-Personal'!AZ9)</f>
        <v/>
      </c>
      <c r="AW83" s="55" t="str">
        <f>IF('[1]INFO-Personal'!BA9=0,"",'[1]INFO-Personal'!BA9)</f>
        <v/>
      </c>
      <c r="AX83" s="55" t="str">
        <f>IF('[1]INFO-Personal'!BB9=0,"",'[1]INFO-Personal'!BB9)</f>
        <v/>
      </c>
      <c r="AY83" s="55" t="str">
        <f>IF('[1]INFO-Personal'!BC9=0,"",'[1]INFO-Personal'!BC9)</f>
        <v/>
      </c>
      <c r="AZ83" s="55" t="str">
        <f>IF('[1]INFO-Personal'!BD9=0,"",'[1]INFO-Personal'!BD9)</f>
        <v/>
      </c>
      <c r="BA83" s="55" t="str">
        <f>IF('[1]INFO-Personal'!BE9=0,"",'[1]INFO-Personal'!BE9)</f>
        <v/>
      </c>
      <c r="BB83" s="55" t="str">
        <f>IF('[1]INFO-Personal'!BF9=0,"",'[1]INFO-Personal'!BF9)</f>
        <v/>
      </c>
      <c r="BC83" s="55" t="str">
        <f>IF('[1]INFO-Personal'!BG9=0,"",'[1]INFO-Personal'!BG9)</f>
        <v/>
      </c>
      <c r="BD83" s="55" t="str">
        <f>IF('[1]INFO-Personal'!BH9=0,"",'[1]INFO-Personal'!BH9)</f>
        <v/>
      </c>
      <c r="BE83" s="55" t="str">
        <f>IF('[1]INFO-Personal'!BI9=0,"",'[1]INFO-Personal'!BI9)</f>
        <v/>
      </c>
      <c r="BF83" s="55" t="str">
        <f>IF('[1]INFO-Personal'!BJ9=0,"",'[1]INFO-Personal'!BJ9)</f>
        <v/>
      </c>
      <c r="BG83" s="55" t="str">
        <f>IF('[1]INFO-Personal'!BK9=0,"",'[1]INFO-Personal'!BK9)</f>
        <v/>
      </c>
      <c r="BH83" s="55" t="str">
        <f>IF('[1]INFO-Personal'!BL9=0,"",'[1]INFO-Personal'!BL9)</f>
        <v/>
      </c>
      <c r="BI83" s="55" t="str">
        <f>IF('[1]INFO-Personal'!BM9=0,"",'[1]INFO-Personal'!BM9)</f>
        <v/>
      </c>
      <c r="BJ83" s="55" t="str">
        <f>IF('[1]INFO-Personal'!BN9=0,"",'[1]INFO-Personal'!BN9)</f>
        <v/>
      </c>
      <c r="BK83" s="55" t="str">
        <f>IF('[1]INFO-Personal'!BO9=0,"",'[1]INFO-Personal'!BO9)</f>
        <v/>
      </c>
      <c r="BL83" s="55" t="str">
        <f>IF('[1]INFO-Personal'!BP9=0,"",'[1]INFO-Personal'!BP9)</f>
        <v/>
      </c>
      <c r="BM83" s="55" t="str">
        <f>IF('[1]INFO-Personal'!BQ9=0,"",'[1]INFO-Personal'!BQ9)</f>
        <v/>
      </c>
      <c r="BN83" s="55" t="str">
        <f>IF('[1]INFO-Personal'!BR9=0,"",'[1]INFO-Personal'!BR9)</f>
        <v/>
      </c>
      <c r="BO83" s="55" t="str">
        <f>IF('[1]INFO-Personal'!BS9=0,"",'[1]INFO-Personal'!BS9)</f>
        <v/>
      </c>
      <c r="BP83" s="55" t="str">
        <f>IF('[1]INFO-Personal'!BT9=0,"",'[1]INFO-Personal'!BT9)</f>
        <v/>
      </c>
      <c r="BQ83" s="55" t="str">
        <f>IF('[1]INFO-Personal'!BU9=0,"",'[1]INFO-Personal'!BU9)</f>
        <v/>
      </c>
      <c r="BR83" s="55" t="str">
        <f>IF('[1]INFO-Personal'!BV9=0,"",'[1]INFO-Personal'!BV9)</f>
        <v/>
      </c>
      <c r="BS83" s="55" t="str">
        <f>IF('[1]INFO-Personal'!BW9=0,"",'[1]INFO-Personal'!BW9)</f>
        <v/>
      </c>
      <c r="BT83" s="55" t="str">
        <f>IF('[1]INFO-Personal'!BX9=0,"",'[1]INFO-Personal'!BX9)</f>
        <v/>
      </c>
      <c r="BU83" s="55" t="str">
        <f>IF('[1]INFO-Personal'!BY9=0,"",'[1]INFO-Personal'!BY9)</f>
        <v/>
      </c>
      <c r="BV83" s="55" t="str">
        <f>IF('[1]INFO-Personal'!BZ9=0,"",'[1]INFO-Personal'!BZ9)</f>
        <v/>
      </c>
      <c r="BW83" s="55" t="str">
        <f>IF('[1]INFO-Personal'!CA9=0,"",'[1]INFO-Personal'!CA9)</f>
        <v/>
      </c>
      <c r="BX83" s="55" t="str">
        <f>IF('[1]INFO-Personal'!CB9=0,"",'[1]INFO-Personal'!CB9)</f>
        <v/>
      </c>
      <c r="BY83" s="55" t="str">
        <f>IF('[1]INFO-Personal'!CC9=0,"",'[1]INFO-Personal'!CC9)</f>
        <v/>
      </c>
      <c r="BZ83" s="55" t="str">
        <f>IF('[1]INFO-Personal'!CD9=0,"",'[1]INFO-Personal'!CD9)</f>
        <v/>
      </c>
      <c r="CA83" s="55" t="str">
        <f>IF('[1]INFO-Personal'!CE9=0,"",'[1]INFO-Personal'!CE9)</f>
        <v/>
      </c>
    </row>
    <row r="84" spans="1:131">
      <c r="A84" s="55" t="str">
        <f t="array" ref="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COLUMN(A1)
        )
    ),
"")</f>
        <v>Corte por Laser</v>
      </c>
      <c r="B84" s="55" t="str">
        <f t="array" ref="B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COLUMN(B1)
        )
    ),
"")</f>
        <v>Corte por Agua</v>
      </c>
      <c r="C84" s="55" t="str">
        <f t="array" ref="C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COLUMN(C1)
        )
    ),
"")</f>
        <v>TORNO RIFA RFCZ12</v>
      </c>
      <c r="D84" s="55" t="str">
        <f t="array" ref="D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COLUMN(D1)
        )
    ),
"")</f>
        <v>TORNO Microcut LT65</v>
      </c>
      <c r="E84" s="55" t="str">
        <f t="array" ref="E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COLUMN(E1)
        )
    ),
"")</f>
        <v>TORNO HWACHEON CUTEX 240B</v>
      </c>
      <c r="F84" s="55" t="str">
        <f t="array" ref="F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COLUMN(F1)
        )
    ),
"")</f>
        <v>CM RIFA RFVM60</v>
      </c>
      <c r="G84" s="55" t="str">
        <f t="array" ref="G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COLUMN(G1)
        )
    ),
"")</f>
        <v>CM HWACHEON SIRIUS 550</v>
      </c>
      <c r="H84" s="55" t="str">
        <f t="array" ref="H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COLUMN(H1)
        )
    ),
"")</f>
        <v>CM Mitsubishi</v>
      </c>
      <c r="I84" s="55" t="str">
        <f t="array" ref="I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COLUMN(I1)
        )
    ),
"")</f>
        <v>CM RIFA 4 Ejes</v>
      </c>
      <c r="J84" s="55" t="str">
        <f t="array" ref="J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COLUMN(J1)
        )
    ),
"")</f>
        <v>Agujereadora</v>
      </c>
      <c r="K84" s="55" t="str">
        <f t="array" ref="K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COLUMN(K1)
        )
    ),
"")</f>
        <v>Roscadora</v>
      </c>
      <c r="L84" s="55" t="str">
        <f t="array" ref="L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COLUMN(L1)
        )
    ),
"")</f>
        <v>Torno Paralelo Chico</v>
      </c>
      <c r="M84" s="55" t="str">
        <f t="array" ref="M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COLUMN(M1)
        )
    ),
"")</f>
        <v>Torno Paralelo Grande</v>
      </c>
      <c r="N84" s="55" t="str">
        <f t="array" ref="N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COLUMN(N1)
        )
    ),
"")</f>
        <v>Piedra de Banco</v>
      </c>
      <c r="O84" s="55" t="str">
        <f t="array" ref="O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COLUMN(O1)
        )
    ),
"")</f>
        <v>Maquina Corta Cadenas</v>
      </c>
      <c r="P84" s="55" t="str">
        <f t="array" ref="P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COLUMN(P1)
        )
    ),
"")</f>
        <v>Serrucho</v>
      </c>
      <c r="Q84" s="55" t="str">
        <f t="array" ref="Q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COLUMN(Q1)
        )
    ),
"")</f>
        <v>Sierra Sensitiva</v>
      </c>
      <c r="R84" s="55" t="str">
        <f t="array" ref="R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COLUMN(R1)
        )
    ),
"")</f>
        <v>Soldadora</v>
      </c>
      <c r="S84" s="55" t="str">
        <f t="array" ref="S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COLUMN(S1)
        )
    ),
"")</f>
        <v>Agujereadora (Taller)</v>
      </c>
      <c r="T84" s="55" t="str">
        <f t="array" ref="T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COLUMN(T1)
        )
    ),
"")</f>
        <v/>
      </c>
      <c r="U84" s="55" t="str">
        <f t="array" ref="U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COLUMN(U1)
        )
    ),
"")</f>
        <v/>
      </c>
      <c r="V84" s="55" t="str">
        <f t="array" ref="V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COLUMN(V1)
        )
    ),
"")</f>
        <v/>
      </c>
      <c r="W84" s="55" t="str">
        <f t="array" ref="W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COLUMN(W1)
        )
    ),
"")</f>
        <v/>
      </c>
      <c r="X84" s="55" t="str">
        <f t="array" ref="X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COLUMN(X1)
        )
    ),
"")</f>
        <v/>
      </c>
      <c r="Y84" s="55" t="str">
        <f t="array" ref="Y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COLUMN(Y1)
        )
    ),
"")</f>
        <v/>
      </c>
      <c r="Z84" s="55" t="str">
        <f t="array" ref="Z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COLUMN(Z1)
        )
    ),
"")</f>
        <v/>
      </c>
      <c r="AA84" s="55" t="str">
        <f t="array" ref="A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COLUMN(AA1)
        )
    ),
"")</f>
        <v/>
      </c>
      <c r="AB84" s="55" t="str">
        <f t="array" ref="AB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COLUMN(AB1)
        )
    ),
"")</f>
        <v/>
      </c>
      <c r="AC84" s="55" t="str">
        <f t="array" ref="AC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COLUMN(AC1)
        )
    ),
"")</f>
        <v/>
      </c>
      <c r="AD84" s="55" t="str">
        <f t="array" ref="AD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COLUMN(AD1)
        )
    ),
"")</f>
        <v/>
      </c>
      <c r="AE84" s="55" t="str">
        <f t="array" ref="AE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COLUMN(AE1)
        )
    ),
"")</f>
        <v/>
      </c>
      <c r="AF84" s="55" t="str">
        <f t="array" ref="AF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COLUMN(AF1)
        )
    ),
"")</f>
        <v/>
      </c>
      <c r="AG84" s="55" t="str">
        <f t="array" ref="AG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COLUMN(AG1)
        )
    ),
"")</f>
        <v/>
      </c>
      <c r="AH84" s="55" t="str">
        <f t="array" ref="AH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COLUMN(AH1)
        )
    ),
"")</f>
        <v/>
      </c>
      <c r="AI84" s="55" t="str">
        <f t="array" ref="AI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COLUMN(AI1)
        )
    ),
"")</f>
        <v/>
      </c>
      <c r="AJ84" s="55" t="str">
        <f t="array" ref="AJ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COLUMN(AJ1)
        )
    ),
"")</f>
        <v/>
      </c>
      <c r="AK84" s="55" t="str">
        <f t="array" ref="AK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COLUMN(AK1)
        )
    ),
"")</f>
        <v/>
      </c>
      <c r="AL84" s="55" t="str">
        <f t="array" ref="AL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COLUMN(AL1)
        )
    ),
"")</f>
        <v/>
      </c>
      <c r="AM84" s="55" t="str">
        <f t="array" ref="AM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COLUMN(AM1)
        )
    ),
"")</f>
        <v/>
      </c>
      <c r="AN84" s="55" t="str">
        <f t="array" ref="AN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COLUMN(AN1)
        )
    ),
"")</f>
        <v/>
      </c>
      <c r="AO84" s="55" t="str">
        <f t="array" ref="AO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COLUMN(AO1)
        )
    ),
"")</f>
        <v/>
      </c>
      <c r="AP84" s="55" t="str">
        <f t="array" ref="AP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COLUMN(AP1)
        )
    ),
"")</f>
        <v/>
      </c>
      <c r="AQ84" s="55" t="str">
        <f t="array" ref="AQ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COLUMN(AQ1)
        )
    ),
"")</f>
        <v/>
      </c>
      <c r="AR84" s="55" t="str">
        <f t="array" ref="AR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COLUMN(AR1)
        )
    ),
"")</f>
        <v/>
      </c>
      <c r="AS84" s="55" t="str">
        <f t="array" ref="AS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COLUMN(AS1)
        )
    ),
"")</f>
        <v/>
      </c>
      <c r="AT84" s="55" t="str">
        <f t="array" ref="AT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COLUMN(AT1)
        )
    ),
"")</f>
        <v/>
      </c>
      <c r="AU84" s="55" t="str">
        <f t="array" ref="AU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COLUMN(AU1)
        )
    ),
"")</f>
        <v/>
      </c>
      <c r="AV84" s="55" t="str">
        <f t="array" ref="AV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COLUMN(AV1)
        )
    ),
"")</f>
        <v/>
      </c>
      <c r="AW84" s="55" t="str">
        <f t="array" ref="AW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COLUMN(AW1)
        )
    ),
"")</f>
        <v/>
      </c>
      <c r="AX84" s="55" t="str">
        <f t="array" ref="AX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COLUMN(AX1)
        )
    ),
"")</f>
        <v/>
      </c>
      <c r="AY84" s="55" t="str">
        <f t="array" ref="AY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COLUMN(AY1)
        )
    ),
"")</f>
        <v/>
      </c>
      <c r="AZ84" s="55" t="str">
        <f t="array" ref="AZ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COLUMN(AZ1)
        )
    ),
"")</f>
        <v/>
      </c>
      <c r="BA84" s="55" t="str">
        <f t="array" ref="B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COLUMN(BA1)
        )
    ),
"")</f>
        <v/>
      </c>
      <c r="BB84" s="55" t="str">
        <f t="array" ref="BB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COLUMN(BB1)
        )
    ),
"")</f>
        <v/>
      </c>
      <c r="BC84" s="55" t="str">
        <f t="array" ref="BC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COLUMN(BC1)
        )
    ),
"")</f>
        <v/>
      </c>
      <c r="BD84" s="55" t="str">
        <f t="array" ref="BD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COLUMN(BD1)
        )
    ),
"")</f>
        <v/>
      </c>
      <c r="BE84" s="55" t="str">
        <f t="array" ref="BE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COLUMN(BE1)
        )
    ),
"")</f>
        <v/>
      </c>
      <c r="BF84" s="55" t="str">
        <f t="array" ref="BF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COLUMN(BF1)
        )
    ),
"")</f>
        <v/>
      </c>
      <c r="BG84" s="55" t="str">
        <f t="array" ref="BG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COLUMN(BG1)
        )
    ),
"")</f>
        <v/>
      </c>
      <c r="BH84" s="55" t="str">
        <f t="array" ref="BH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COLUMN(BH1)
        )
    ),
"")</f>
        <v/>
      </c>
      <c r="BI84" s="55" t="str">
        <f t="array" ref="BI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COLUMN(BI1)
        )
    ),
"")</f>
        <v/>
      </c>
      <c r="BJ84" s="55" t="str">
        <f t="array" ref="BJ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COLUMN(BJ1)
        )
    ),
"")</f>
        <v/>
      </c>
      <c r="BK84" s="55" t="str">
        <f t="array" ref="BK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COLUMN(BK1)
        )
    ),
"")</f>
        <v/>
      </c>
      <c r="BL84" s="55" t="str">
        <f t="array" ref="BL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COLUMN(BL1)
        )
    ),
"")</f>
        <v/>
      </c>
      <c r="BM84" s="55" t="str">
        <f t="array" ref="BM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COLUMN(BM1)
        )
    ),
"")</f>
        <v/>
      </c>
      <c r="BN84" s="55" t="str">
        <f t="array" ref="BN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COLUMN(BN1)
        )
    ),
"")</f>
        <v/>
      </c>
      <c r="BO84" s="55" t="str">
        <f t="array" ref="BO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COLUMN(BO1)
        )
    ),
"")</f>
        <v/>
      </c>
      <c r="BP84" s="55" t="str">
        <f t="array" ref="BP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COLUMN(BP1)
        )
    ),
"")</f>
        <v/>
      </c>
      <c r="BQ84" s="55" t="str">
        <f t="array" ref="BQ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COLUMN(BQ1)
        )
    ),
"")</f>
        <v/>
      </c>
      <c r="BR84" s="55" t="str">
        <f t="array" ref="BR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COLUMN(BR1)
        )
    ),
"")</f>
        <v/>
      </c>
      <c r="BS84" s="55" t="str">
        <f t="array" ref="BS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COLUMN(BS1)
        )
    ),
"")</f>
        <v/>
      </c>
      <c r="BT84" s="55" t="str">
        <f t="array" ref="BT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COLUMN(BT1)
        )
    ),
"")</f>
        <v/>
      </c>
      <c r="BU84" s="55" t="str">
        <f t="array" ref="BU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COLUMN(BU1)
        )
    ),
"")</f>
        <v/>
      </c>
      <c r="BV84" s="55" t="str">
        <f t="array" ref="BV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COLUMN(BV1)
        )
    ),
"")</f>
        <v/>
      </c>
      <c r="BW84" s="55" t="str">
        <f t="array" ref="BW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COLUMN(BW1)
        )
    ),
"")</f>
        <v/>
      </c>
      <c r="BX84" s="55" t="str">
        <f t="array" ref="BX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COLUMN(BX1)
        )
    ),
"")</f>
        <v/>
      </c>
      <c r="BY84" s="55" t="str">
        <f t="array" ref="BY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COLUMN(BY1)
        )
    ),
"")</f>
        <v/>
      </c>
      <c r="BZ84" s="55" t="str">
        <f t="array" ref="BZ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COLUMN(BZ1)
        )
    ),
"")</f>
        <v/>
      </c>
      <c r="CA84" s="55" t="str">
        <f t="array" ref="C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COLUMN(CA1)
        )
    ),
"")</f>
        <v/>
      </c>
    </row>
    <row r="86" spans="1:131">
      <c r="A86" s="163" t="s">
        <v>40</v>
      </c>
      <c r="B86" s="163"/>
    </row>
    <row r="87" spans="1:131">
      <c r="A87" s="55" t="str">
        <f>IF('[3]INFO-Personal'!E9=0,"",'[3]INFO-Personal'!E9)</f>
        <v>Embalaje Manual Expedición</v>
      </c>
      <c r="B87" s="55" t="str">
        <f>IF('[3]INFO-Personal'!F9=0,"",'[3]INFO-Personal'!F9)</f>
        <v>Embaladora de Pallets</v>
      </c>
      <c r="C87" s="55" t="str">
        <f>IF('[3]INFO-Personal'!G9=0,"",'[3]INFO-Personal'!G9)</f>
        <v>Logistica de Embalaje</v>
      </c>
      <c r="D87" s="55" t="str">
        <f>IF('[3]INFO-Personal'!H9=0,"",'[3]INFO-Personal'!H9)</f>
        <v>Embaladora Auto. G. QD-450X</v>
      </c>
      <c r="E87" s="55" t="str">
        <f>IF('[3]INFO-Personal'!I9=0,"",'[3]INFO-Personal'!I9)</f>
        <v>Embaladora Auto. C. QD-250X</v>
      </c>
      <c r="F87" s="55" t="str">
        <f>IF('[3]INFO-Personal'!J9=0,"",'[3]INFO-Personal'!J9)</f>
        <v>Embalaje Manual Planta</v>
      </c>
      <c r="G87" s="55" t="str">
        <f>IF('[3]INFO-Personal'!K9=0,"",'[3]INFO-Personal'!K9)</f>
        <v>CHICA ZEBRA ZD421</v>
      </c>
      <c r="H87" s="55" t="str">
        <f>IF('[3]INFO-Personal'!L9=0,"",'[3]INFO-Personal'!L9)</f>
        <v>GRANDE ZEBRA ZT230</v>
      </c>
      <c r="I87" s="55" t="str">
        <f>IF('[3]INFO-Personal'!M9=0,"",'[3]INFO-Personal'!M9)</f>
        <v/>
      </c>
      <c r="J87" s="55" t="str">
        <f>IF('[3]INFO-Personal'!N9=0,"",'[3]INFO-Personal'!N9)</f>
        <v/>
      </c>
      <c r="K87" s="55" t="str">
        <f>IF('[3]INFO-Personal'!O9=0,"",'[3]INFO-Personal'!O9)</f>
        <v/>
      </c>
      <c r="L87" s="55" t="str">
        <f>IF('[3]INFO-Personal'!P9=0,"",'[3]INFO-Personal'!P9)</f>
        <v/>
      </c>
      <c r="M87" s="55" t="str">
        <f>IF('[3]INFO-Personal'!Q9=0,"",'[3]INFO-Personal'!Q9)</f>
        <v/>
      </c>
      <c r="N87" s="55" t="str">
        <f>IF('[3]INFO-Personal'!R9=0,"",'[3]INFO-Personal'!R9)</f>
        <v/>
      </c>
      <c r="O87" s="55" t="str">
        <f>IF('[3]INFO-Personal'!S9=0,"",'[3]INFO-Personal'!S9)</f>
        <v/>
      </c>
      <c r="P87" s="55" t="str">
        <f>IF('[3]INFO-Personal'!T9=0,"",'[3]INFO-Personal'!T9)</f>
        <v/>
      </c>
      <c r="Q87" s="55" t="str">
        <f>IF('[3]INFO-Personal'!U9=0,"",'[3]INFO-Personal'!U9)</f>
        <v/>
      </c>
      <c r="R87" s="55" t="str">
        <f>IF('[3]INFO-Personal'!V9=0,"",'[3]INFO-Personal'!V9)</f>
        <v/>
      </c>
      <c r="S87" s="55" t="str">
        <f>IF('[3]INFO-Personal'!W9=0,"",'[3]INFO-Personal'!W9)</f>
        <v/>
      </c>
      <c r="T87" s="55" t="str">
        <f>IF('[3]INFO-Personal'!X9=0,"",'[3]INFO-Personal'!X9)</f>
        <v/>
      </c>
      <c r="U87" s="55" t="str">
        <f>IF('[3]INFO-Personal'!Y9=0,"",'[3]INFO-Personal'!Y9)</f>
        <v/>
      </c>
      <c r="V87" s="55" t="str">
        <f>IF('[3]INFO-Personal'!Z9=0,"",'[3]INFO-Personal'!Z9)</f>
        <v/>
      </c>
      <c r="W87" s="55" t="str">
        <f>IF('[3]INFO-Personal'!AA9=0,"",'[3]INFO-Personal'!AA9)</f>
        <v/>
      </c>
      <c r="X87" s="55" t="str">
        <f>IF('[3]INFO-Personal'!AB9=0,"",'[3]INFO-Personal'!AB9)</f>
        <v>Listado Crudo</v>
      </c>
      <c r="Y87" s="55" t="str">
        <f>IF('[3]INFO-Personal'!AC9=0,"",'[3]INFO-Personal'!AC9)</f>
        <v>Listado Pulido</v>
      </c>
      <c r="Z87" s="55" t="str">
        <f>IF('[3]INFO-Personal'!AD9=0,"",'[3]INFO-Personal'!AD9)</f>
        <v/>
      </c>
      <c r="AA87" s="55" t="str">
        <f>IF('[3]INFO-Personal'!AE9=0,"",'[3]INFO-Personal'!AE9)</f>
        <v/>
      </c>
      <c r="AB87" s="55" t="str">
        <f>IF('[3]INFO-Personal'!AF9=0,"",'[3]INFO-Personal'!AF9)</f>
        <v/>
      </c>
      <c r="AC87" s="55" t="str">
        <f>IF('[3]INFO-Personal'!AG9=0,"",'[3]INFO-Personal'!AG9)</f>
        <v/>
      </c>
      <c r="AD87" s="55" t="str">
        <f>IF('[3]INFO-Personal'!AH9=0,"",'[3]INFO-Personal'!AH9)</f>
        <v/>
      </c>
      <c r="AE87" s="55" t="str">
        <f>IF('[3]INFO-Personal'!AI9=0,"",'[3]INFO-Personal'!AI9)</f>
        <v/>
      </c>
      <c r="AF87" s="55" t="str">
        <f>IF('[3]INFO-Personal'!AJ9=0,"",'[3]INFO-Personal'!AJ9)</f>
        <v/>
      </c>
      <c r="AG87" s="55" t="str">
        <f>IF('[3]INFO-Personal'!AK9=0,"",'[3]INFO-Personal'!AK9)</f>
        <v/>
      </c>
      <c r="AH87" s="55" t="str">
        <f>IF('[3]INFO-Personal'!AL9=0,"",'[3]INFO-Personal'!AL9)</f>
        <v/>
      </c>
      <c r="AI87" s="55" t="str">
        <f>IF('[3]INFO-Personal'!AM9=0,"",'[3]INFO-Personal'!AM9)</f>
        <v/>
      </c>
      <c r="AJ87" s="55" t="str">
        <f>IF('[3]INFO-Personal'!AN9=0,"",'[3]INFO-Personal'!AN9)</f>
        <v/>
      </c>
      <c r="AK87" s="55" t="str">
        <f>IF('[3]INFO-Personal'!AO9=0,"",'[3]INFO-Personal'!AO9)</f>
        <v/>
      </c>
      <c r="AL87" s="55" t="str">
        <f>IF('[3]INFO-Personal'!AP9=0,"",'[3]INFO-Personal'!AP9)</f>
        <v/>
      </c>
      <c r="AM87" s="55" t="str">
        <f>IF('[3]INFO-Personal'!AQ9=0,"",'[3]INFO-Personal'!AQ9)</f>
        <v/>
      </c>
      <c r="AN87" s="55" t="str">
        <f>IF('[3]INFO-Personal'!AR9=0,"",'[3]INFO-Personal'!AR9)</f>
        <v/>
      </c>
      <c r="AO87" s="55" t="str">
        <f>IF('[3]INFO-Personal'!AS9=0,"",'[3]INFO-Personal'!AS9)</f>
        <v/>
      </c>
      <c r="AP87" s="55" t="str">
        <f>IF('[3]INFO-Personal'!AT9=0,"",'[3]INFO-Personal'!AT9)</f>
        <v/>
      </c>
      <c r="AQ87" s="55" t="str">
        <f>IF('[3]INFO-Personal'!AU9=0,"",'[3]INFO-Personal'!AU9)</f>
        <v/>
      </c>
      <c r="AR87" s="55" t="str">
        <f>IF('[3]INFO-Personal'!AV9=0,"",'[3]INFO-Personal'!AV9)</f>
        <v/>
      </c>
      <c r="AS87" s="55" t="str">
        <f>IF('[3]INFO-Personal'!AW9=0,"",'[3]INFO-Personal'!AW9)</f>
        <v/>
      </c>
      <c r="AT87" s="55" t="str">
        <f>IF('[3]INFO-Personal'!AX9=0,"",'[3]INFO-Personal'!AX9)</f>
        <v/>
      </c>
      <c r="AU87" s="55" t="str">
        <f>IF('[3]INFO-Personal'!AY9=0,"",'[3]INFO-Personal'!AY9)</f>
        <v/>
      </c>
      <c r="AV87" s="55" t="str">
        <f>IF('[3]INFO-Personal'!AZ9=0,"",'[3]INFO-Personal'!AZ9)</f>
        <v/>
      </c>
      <c r="AW87" s="55" t="str">
        <f>IF('[3]INFO-Personal'!BA9=0,"",'[3]INFO-Personal'!BA9)</f>
        <v/>
      </c>
      <c r="AX87" s="55" t="str">
        <f>IF('[3]INFO-Personal'!BB9=0,"",'[3]INFO-Personal'!BB9)</f>
        <v/>
      </c>
      <c r="AY87" s="55" t="str">
        <f>IF('[3]INFO-Personal'!BC9=0,"",'[3]INFO-Personal'!BC9)</f>
        <v/>
      </c>
      <c r="AZ87" s="55" t="str">
        <f>IF('[3]INFO-Personal'!BD9=0,"",'[3]INFO-Personal'!BD9)</f>
        <v/>
      </c>
      <c r="BA87" s="55" t="str">
        <f>IF('[3]INFO-Personal'!BE9=0,"",'[3]INFO-Personal'!BE9)</f>
        <v/>
      </c>
      <c r="BB87" s="55" t="str">
        <f>IF('[3]INFO-Personal'!BF9=0,"",'[3]INFO-Personal'!BF9)</f>
        <v/>
      </c>
      <c r="BC87" s="55" t="str">
        <f>IF('[3]INFO-Personal'!BG9=0,"",'[3]INFO-Personal'!BG9)</f>
        <v/>
      </c>
      <c r="BD87" s="55" t="str">
        <f>IF('[3]INFO-Personal'!BH9=0,"",'[3]INFO-Personal'!BH9)</f>
        <v/>
      </c>
      <c r="BE87" s="55" t="str">
        <f>IF('[3]INFO-Personal'!BI9=0,"",'[3]INFO-Personal'!BI9)</f>
        <v/>
      </c>
      <c r="BF87" s="55" t="str">
        <f>IF('[3]INFO-Personal'!BJ9=0,"",'[3]INFO-Personal'!BJ9)</f>
        <v/>
      </c>
      <c r="BG87" s="55" t="str">
        <f>IF('[3]INFO-Personal'!BK9=0,"",'[3]INFO-Personal'!BK9)</f>
        <v/>
      </c>
      <c r="BH87" s="55" t="str">
        <f>IF('[3]INFO-Personal'!BL9=0,"",'[3]INFO-Personal'!BL9)</f>
        <v/>
      </c>
      <c r="BI87" s="55" t="str">
        <f>IF('[3]INFO-Personal'!BM9=0,"",'[3]INFO-Personal'!BM9)</f>
        <v/>
      </c>
      <c r="BJ87" s="55" t="str">
        <f>IF('[3]INFO-Personal'!BN9=0,"",'[3]INFO-Personal'!BN9)</f>
        <v/>
      </c>
      <c r="BK87" s="55" t="str">
        <f>IF('[3]INFO-Personal'!BO9=0,"",'[3]INFO-Personal'!BO9)</f>
        <v/>
      </c>
      <c r="BL87" s="55" t="str">
        <f>IF('[3]INFO-Personal'!BP9=0,"",'[3]INFO-Personal'!BP9)</f>
        <v/>
      </c>
      <c r="BM87" s="55" t="str">
        <f>IF('[3]INFO-Personal'!BQ9=0,"",'[3]INFO-Personal'!BQ9)</f>
        <v/>
      </c>
      <c r="BN87" s="55" t="str">
        <f>IF('[3]INFO-Personal'!BR9=0,"",'[3]INFO-Personal'!BR9)</f>
        <v/>
      </c>
      <c r="BO87" s="55" t="str">
        <f>IF('[3]INFO-Personal'!BS9=0,"",'[3]INFO-Personal'!BS9)</f>
        <v/>
      </c>
      <c r="BP87" s="55" t="str">
        <f>IF('[3]INFO-Personal'!BT9=0,"",'[3]INFO-Personal'!BT9)</f>
        <v/>
      </c>
      <c r="BQ87" s="55" t="str">
        <f>IF('[3]INFO-Personal'!BU9=0,"",'[3]INFO-Personal'!BU9)</f>
        <v/>
      </c>
      <c r="BR87" s="55" t="str">
        <f>IF('[3]INFO-Personal'!BV9=0,"",'[3]INFO-Personal'!BV9)</f>
        <v/>
      </c>
      <c r="BS87" s="55" t="str">
        <f>IF('[3]INFO-Personal'!BW9=0,"",'[3]INFO-Personal'!BW9)</f>
        <v/>
      </c>
      <c r="BT87" s="55" t="str">
        <f>IF('[3]INFO-Personal'!BX9=0,"",'[3]INFO-Personal'!BX9)</f>
        <v/>
      </c>
      <c r="BU87" s="55" t="str">
        <f>IF('[3]INFO-Personal'!BY9=0,"",'[3]INFO-Personal'!BY9)</f>
        <v/>
      </c>
      <c r="BV87" s="55" t="str">
        <f>IF('[3]INFO-Personal'!BZ9=0,"",'[3]INFO-Personal'!BZ9)</f>
        <v/>
      </c>
      <c r="BW87" s="55" t="str">
        <f>IF('[3]INFO-Personal'!CA9=0,"",'[3]INFO-Personal'!CA9)</f>
        <v/>
      </c>
      <c r="BX87" s="55" t="str">
        <f>IF('[3]INFO-Personal'!CB9=0,"",'[3]INFO-Personal'!CB9)</f>
        <v/>
      </c>
      <c r="BY87" s="55" t="str">
        <f>IF('[3]INFO-Personal'!CC9=0,"",'[3]INFO-Personal'!CC9)</f>
        <v/>
      </c>
      <c r="BZ87" s="55" t="str">
        <f>IF('[3]INFO-Personal'!CD9=0,"",'[3]INFO-Personal'!CD9)</f>
        <v/>
      </c>
      <c r="CA87" s="55" t="str">
        <f>IF('[3]INFO-Personal'!CE9=0,"",'[3]INFO-Personal'!CE9)</f>
        <v/>
      </c>
    </row>
    <row r="88" spans="1:131">
      <c r="A88" s="55" t="str">
        <f t="array" ref="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COLUMN(A1)
        )
    ),
"")</f>
        <v>Embalaje Manual Expedición</v>
      </c>
      <c r="B88" s="55" t="str">
        <f t="array" ref="B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COLUMN(B1)
        )
    ),
"")</f>
        <v>Embaladora de Pallets</v>
      </c>
      <c r="C88" s="55" t="str">
        <f t="array" ref="C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COLUMN(C1)
        )
    ),
"")</f>
        <v>Embaladora Auto. G. QD-450X</v>
      </c>
      <c r="D88" s="55" t="str">
        <f t="array" ref="D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COLUMN(D1)
        )
    ),
"")</f>
        <v>Embaladora Auto. C. QD-250X</v>
      </c>
      <c r="E88" s="55" t="str">
        <f t="array" ref="E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COLUMN(E1)
        )
    ),
"")</f>
        <v>Embalaje Manual Planta</v>
      </c>
      <c r="F88" s="55" t="str">
        <f t="array" ref="F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COLUMN(F1)
        )
    ),
"")</f>
        <v>CHICA ZEBRA ZD421</v>
      </c>
      <c r="G88" s="55" t="str">
        <f t="array" ref="G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COLUMN(G1)
        )
    ),
"")</f>
        <v>GRANDE ZEBRA ZT230</v>
      </c>
      <c r="H88" s="55" t="str">
        <f t="array" ref="H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COLUMN(H1)
        )
    ),
"")</f>
        <v/>
      </c>
      <c r="I88" s="55" t="str">
        <f t="array" ref="I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COLUMN(I1)
        )
    ),
"")</f>
        <v/>
      </c>
      <c r="J88" s="55" t="str">
        <f t="array" ref="J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COLUMN(J1)
        )
    ),
"")</f>
        <v/>
      </c>
      <c r="K88" s="55" t="str">
        <f t="array" ref="K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COLUMN(K1)
        )
    ),
"")</f>
        <v/>
      </c>
      <c r="L88" s="55" t="str">
        <f t="array" ref="L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COLUMN(L1)
        )
    ),
"")</f>
        <v/>
      </c>
      <c r="M88" s="55" t="str">
        <f t="array" ref="M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COLUMN(M1)
        )
    ),
"")</f>
        <v/>
      </c>
      <c r="N88" s="55" t="str">
        <f t="array" ref="N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COLUMN(N1)
        )
    ),
"")</f>
        <v/>
      </c>
      <c r="O88" s="55" t="str">
        <f t="array" ref="O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COLUMN(O1)
        )
    ),
"")</f>
        <v/>
      </c>
      <c r="P88" s="55" t="str">
        <f t="array" ref="P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COLUMN(P1)
        )
    ),
"")</f>
        <v/>
      </c>
      <c r="Q88" s="55" t="str">
        <f t="array" ref="Q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COLUMN(Q1)
        )
    ),
"")</f>
        <v/>
      </c>
      <c r="R88" s="55" t="str">
        <f t="array" ref="R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COLUMN(R1)
        )
    ),
"")</f>
        <v/>
      </c>
      <c r="S88" s="55" t="str">
        <f t="array" ref="S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COLUMN(S1)
        )
    ),
"")</f>
        <v/>
      </c>
      <c r="T88" s="55" t="str">
        <f t="array" ref="T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COLUMN(T1)
        )
    ),
"")</f>
        <v/>
      </c>
      <c r="U88" s="55" t="str">
        <f t="array" ref="U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COLUMN(U1)
        )
    ),
"")</f>
        <v/>
      </c>
      <c r="V88" s="55" t="str">
        <f t="array" ref="V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COLUMN(V1)
        )
    ),
"")</f>
        <v/>
      </c>
      <c r="W88" s="55" t="str">
        <f t="array" ref="W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COLUMN(W1)
        )
    ),
"")</f>
        <v/>
      </c>
      <c r="X88" s="55" t="str">
        <f t="array" ref="X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COLUMN(X1)
        )
    ),
"")</f>
        <v/>
      </c>
      <c r="Y88" s="55" t="str">
        <f t="array" ref="Y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COLUMN(Y1)
        )
    ),
"")</f>
        <v/>
      </c>
      <c r="Z88" s="55" t="str">
        <f t="array" ref="Z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COLUMN(Z1)
        )
    ),
"")</f>
        <v/>
      </c>
      <c r="AA88" s="55" t="str">
        <f t="array" ref="A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COLUMN(AA1)
        )
    ),
"")</f>
        <v/>
      </c>
      <c r="AB88" s="55" t="str">
        <f t="array" ref="AB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COLUMN(AB1)
        )
    ),
"")</f>
        <v/>
      </c>
      <c r="AC88" s="55" t="str">
        <f t="array" ref="AC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COLUMN(AC1)
        )
    ),
"")</f>
        <v/>
      </c>
      <c r="AD88" s="55" t="str">
        <f t="array" ref="AD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COLUMN(AD1)
        )
    ),
"")</f>
        <v/>
      </c>
      <c r="AE88" s="55" t="str">
        <f t="array" ref="AE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COLUMN(AE1)
        )
    ),
"")</f>
        <v/>
      </c>
      <c r="AF88" s="55" t="str">
        <f t="array" ref="AF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COLUMN(AF1)
        )
    ),
"")</f>
        <v/>
      </c>
      <c r="AG88" s="55" t="str">
        <f t="array" ref="AG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COLUMN(AG1)
        )
    ),
"")</f>
        <v/>
      </c>
      <c r="AH88" s="55" t="str">
        <f t="array" ref="AH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COLUMN(AH1)
        )
    ),
"")</f>
        <v/>
      </c>
      <c r="AI88" s="55" t="str">
        <f t="array" ref="AI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COLUMN(AI1)
        )
    ),
"")</f>
        <v/>
      </c>
      <c r="AJ88" s="55" t="str">
        <f t="array" ref="AJ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COLUMN(AJ1)
        )
    ),
"")</f>
        <v/>
      </c>
      <c r="AK88" s="55" t="str">
        <f t="array" ref="AK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COLUMN(AK1)
        )
    ),
"")</f>
        <v/>
      </c>
      <c r="AL88" s="55" t="str">
        <f t="array" ref="AL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COLUMN(AL1)
        )
    ),
"")</f>
        <v/>
      </c>
      <c r="AM88" s="55" t="str">
        <f t="array" ref="AM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COLUMN(AM1)
        )
    ),
"")</f>
        <v/>
      </c>
      <c r="AN88" s="55" t="str">
        <f t="array" ref="AN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COLUMN(AN1)
        )
    ),
"")</f>
        <v/>
      </c>
      <c r="AO88" s="55" t="str">
        <f t="array" ref="AO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COLUMN(AO1)
        )
    ),
"")</f>
        <v/>
      </c>
      <c r="AP88" s="55" t="str">
        <f t="array" ref="AP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COLUMN(AP1)
        )
    ),
"")</f>
        <v/>
      </c>
      <c r="AQ88" s="55" t="str">
        <f t="array" ref="AQ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COLUMN(AQ1)
        )
    ),
"")</f>
        <v/>
      </c>
      <c r="AR88" s="55" t="str">
        <f t="array" ref="AR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COLUMN(AR1)
        )
    ),
"")</f>
        <v/>
      </c>
      <c r="AS88" s="55" t="str">
        <f t="array" ref="AS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COLUMN(AS1)
        )
    ),
"")</f>
        <v/>
      </c>
      <c r="AT88" s="55" t="str">
        <f t="array" ref="AT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COLUMN(AT1)
        )
    ),
"")</f>
        <v/>
      </c>
      <c r="AU88" s="55" t="str">
        <f t="array" ref="AU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COLUMN(AU1)
        )
    ),
"")</f>
        <v/>
      </c>
      <c r="AV88" s="55" t="str">
        <f t="array" ref="AV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COLUMN(AV1)
        )
    ),
"")</f>
        <v/>
      </c>
      <c r="AW88" s="55" t="str">
        <f t="array" ref="AW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COLUMN(AW1)
        )
    ),
"")</f>
        <v/>
      </c>
      <c r="AX88" s="55" t="str">
        <f t="array" ref="AX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COLUMN(AX1)
        )
    ),
"")</f>
        <v/>
      </c>
      <c r="AY88" s="55" t="str">
        <f t="array" ref="AY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COLUMN(AY1)
        )
    ),
"")</f>
        <v/>
      </c>
      <c r="AZ88" s="55" t="str">
        <f t="array" ref="AZ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COLUMN(AZ1)
        )
    ),
"")</f>
        <v/>
      </c>
      <c r="BA88" s="55" t="str">
        <f t="array" ref="B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COLUMN(BA1)
        )
    ),
"")</f>
        <v/>
      </c>
      <c r="BB88" s="55" t="str">
        <f t="array" ref="BB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COLUMN(BB1)
        )
    ),
"")</f>
        <v/>
      </c>
      <c r="BC88" s="55" t="str">
        <f t="array" ref="BC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COLUMN(BC1)
        )
    ),
"")</f>
        <v/>
      </c>
      <c r="BD88" s="55" t="str">
        <f t="array" ref="BD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COLUMN(BD1)
        )
    ),
"")</f>
        <v/>
      </c>
      <c r="BE88" s="55" t="str">
        <f t="array" ref="BE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COLUMN(BE1)
        )
    ),
"")</f>
        <v/>
      </c>
      <c r="BF88" s="55" t="str">
        <f t="array" ref="BF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COLUMN(BF1)
        )
    ),
"")</f>
        <v/>
      </c>
      <c r="BG88" s="55" t="str">
        <f t="array" ref="BG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COLUMN(BG1)
        )
    ),
"")</f>
        <v/>
      </c>
      <c r="BH88" s="55" t="str">
        <f t="array" ref="BH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COLUMN(BH1)
        )
    ),
"")</f>
        <v/>
      </c>
      <c r="BI88" s="55" t="str">
        <f t="array" ref="BI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COLUMN(BI1)
        )
    ),
"")</f>
        <v/>
      </c>
      <c r="BJ88" s="55" t="str">
        <f t="array" ref="BJ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COLUMN(BJ1)
        )
    ),
"")</f>
        <v/>
      </c>
      <c r="BK88" s="55" t="str">
        <f t="array" ref="BK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COLUMN(BK1)
        )
    ),
"")</f>
        <v/>
      </c>
      <c r="BL88" s="55" t="str">
        <f t="array" ref="BL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COLUMN(BL1)
        )
    ),
"")</f>
        <v/>
      </c>
      <c r="BM88" s="55" t="str">
        <f t="array" ref="BM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COLUMN(BM1)
        )
    ),
"")</f>
        <v/>
      </c>
      <c r="BN88" s="55" t="str">
        <f t="array" ref="BN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COLUMN(BN1)
        )
    ),
"")</f>
        <v/>
      </c>
      <c r="BO88" s="55" t="str">
        <f t="array" ref="BO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COLUMN(BO1)
        )
    ),
"")</f>
        <v/>
      </c>
      <c r="BP88" s="55" t="str">
        <f t="array" ref="BP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COLUMN(BP1)
        )
    ),
"")</f>
        <v/>
      </c>
      <c r="BQ88" s="55" t="str">
        <f t="array" ref="BQ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COLUMN(BQ1)
        )
    ),
"")</f>
        <v/>
      </c>
      <c r="BR88" s="55" t="str">
        <f t="array" ref="BR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COLUMN(BR1)
        )
    ),
"")</f>
        <v/>
      </c>
      <c r="BS88" s="55" t="str">
        <f t="array" ref="BS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COLUMN(BS1)
        )
    ),
"")</f>
        <v/>
      </c>
      <c r="BT88" s="55" t="str">
        <f t="array" ref="BT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COLUMN(BT1)
        )
    ),
"")</f>
        <v/>
      </c>
      <c r="BU88" s="55" t="str">
        <f t="array" ref="BU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COLUMN(BU1)
        )
    ),
"")</f>
        <v/>
      </c>
      <c r="BV88" s="55" t="str">
        <f t="array" ref="BV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COLUMN(BV1)
        )
    ),
"")</f>
        <v/>
      </c>
      <c r="BW88" s="55" t="str">
        <f t="array" ref="BW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COLUMN(BW1)
        )
    ),
"")</f>
        <v/>
      </c>
      <c r="BX88" s="55" t="str">
        <f t="array" ref="BX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COLUMN(BX1)
        )
    ),
"")</f>
        <v/>
      </c>
      <c r="BY88" s="55" t="str">
        <f t="array" ref="BY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COLUMN(BY1)
        )
    ),
"")</f>
        <v/>
      </c>
      <c r="BZ88" s="55" t="str">
        <f t="array" ref="BZ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COLUMN(BZ1)
        )
    ),
"")</f>
        <v/>
      </c>
      <c r="CA88" s="55" t="str">
        <f t="array" ref="C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COLUMN(CA1)
        )
    ),
"")</f>
        <v/>
      </c>
    </row>
    <row r="90" spans="1:131">
      <c r="A90" s="163" t="s">
        <v>41</v>
      </c>
      <c r="B90" s="163"/>
    </row>
    <row r="91" spans="1:131">
      <c r="A91" s="55" t="str">
        <f>IF('[7]INFO-Personal'!E9=0,"",'[7]INFO-Personal'!E9)</f>
        <v>RECOLECCIÓN</v>
      </c>
      <c r="B91" s="55" t="str">
        <f>IF('[7]INFO-Personal'!F9=0,"",'[7]INFO-Personal'!F9)</f>
        <v>TRANSPORTE</v>
      </c>
      <c r="C91" s="55" t="str">
        <f>IF('[7]INFO-Personal'!G9=0,"",'[7]INFO-Personal'!G9)</f>
        <v>CARGA-DESCARGA</v>
      </c>
      <c r="D91" s="55" t="str">
        <f>IF('[7]INFO-Personal'!H9=0,"",'[7]INFO-Personal'!H9)</f>
        <v>CARGA DE PALLETS</v>
      </c>
      <c r="E91" s="55" t="str">
        <f>IF('[7]INFO-Personal'!I9=0,"",'[7]INFO-Personal'!I9)</f>
        <v/>
      </c>
      <c r="F91" s="55" t="str">
        <f>IF('[7]INFO-Personal'!J9=0,"",'[7]INFO-Personal'!J9)</f>
        <v/>
      </c>
      <c r="G91" s="55" t="str">
        <f>IF('[7]INFO-Personal'!K9=0,"",'[7]INFO-Personal'!K9)</f>
        <v/>
      </c>
      <c r="H91" s="55" t="str">
        <f>IF('[7]INFO-Personal'!L9=0,"",'[7]INFO-Personal'!L9)</f>
        <v/>
      </c>
      <c r="I91" s="55" t="str">
        <f>IF('[7]INFO-Personal'!M9=0,"",'[7]INFO-Personal'!M9)</f>
        <v/>
      </c>
      <c r="J91" s="55" t="str">
        <f>IF('[7]INFO-Personal'!N9=0,"",'[7]INFO-Personal'!N9)</f>
        <v/>
      </c>
      <c r="K91" s="55" t="str">
        <f>IF('[7]INFO-Personal'!O9=0,"",'[7]INFO-Personal'!O9)</f>
        <v/>
      </c>
      <c r="L91" s="55" t="str">
        <f>IF('[7]INFO-Personal'!P9=0,"",'[7]INFO-Personal'!P9)</f>
        <v/>
      </c>
      <c r="M91" s="55" t="str">
        <f>IF('[7]INFO-Personal'!Q9=0,"",'[7]INFO-Personal'!Q9)</f>
        <v/>
      </c>
      <c r="N91" s="55" t="str">
        <f>IF('[7]INFO-Personal'!R9=0,"",'[7]INFO-Personal'!R9)</f>
        <v/>
      </c>
      <c r="O91" s="55" t="str">
        <f>IF('[7]INFO-Personal'!S9=0,"",'[7]INFO-Personal'!S9)</f>
        <v/>
      </c>
      <c r="P91" s="55" t="str">
        <f>IF('[7]INFO-Personal'!T9=0,"",'[7]INFO-Personal'!T9)</f>
        <v/>
      </c>
      <c r="Q91" s="55" t="str">
        <f>IF('[7]INFO-Personal'!U9=0,"",'[7]INFO-Personal'!U9)</f>
        <v/>
      </c>
      <c r="R91" s="55" t="str">
        <f>IF('[7]INFO-Personal'!V9=0,"",'[7]INFO-Personal'!V9)</f>
        <v/>
      </c>
      <c r="S91" s="55" t="str">
        <f>IF('[7]INFO-Personal'!W9=0,"",'[7]INFO-Personal'!W9)</f>
        <v/>
      </c>
      <c r="T91" s="55" t="str">
        <f>IF('[7]INFO-Personal'!X9=0,"",'[7]INFO-Personal'!X9)</f>
        <v/>
      </c>
      <c r="U91" s="55" t="str">
        <f>IF('[7]INFO-Personal'!Y9=0,"",'[7]INFO-Personal'!Y9)</f>
        <v/>
      </c>
      <c r="V91" s="55" t="str">
        <f>IF('[7]INFO-Personal'!Z9=0,"",'[7]INFO-Personal'!Z9)</f>
        <v/>
      </c>
      <c r="W91" s="55" t="str">
        <f>IF('[7]INFO-Personal'!AA9=0,"",'[7]INFO-Personal'!AA9)</f>
        <v/>
      </c>
      <c r="X91" s="55" t="str">
        <f>IF('[7]INFO-Personal'!AB9=0,"",'[7]INFO-Personal'!AB9)</f>
        <v/>
      </c>
      <c r="Y91" s="55" t="str">
        <f>IF('[7]INFO-Personal'!AC9=0,"",'[7]INFO-Personal'!AC9)</f>
        <v/>
      </c>
      <c r="Z91" s="55" t="str">
        <f>IF('[7]INFO-Personal'!AD9=0,"",'[7]INFO-Personal'!AD9)</f>
        <v>Listado Crudo</v>
      </c>
      <c r="AA91" s="55" t="str">
        <f>IF('[7]INFO-Personal'!AE9=0,"",'[7]INFO-Personal'!AE9)</f>
        <v>Listado Pulido</v>
      </c>
      <c r="AB91" s="55" t="str">
        <f>IF('[7]INFO-Personal'!AF9=0,"",'[7]INFO-Personal'!AF9)</f>
        <v/>
      </c>
      <c r="AC91" s="55" t="str">
        <f>IF('[7]INFO-Personal'!AG9=0,"",'[7]INFO-Personal'!AG9)</f>
        <v/>
      </c>
      <c r="AD91" s="55" t="str">
        <f>IF('[7]INFO-Personal'!AH9=0,"",'[7]INFO-Personal'!AH9)</f>
        <v/>
      </c>
      <c r="AE91" s="55" t="str">
        <f>IF('[7]INFO-Personal'!AI9=0,"",'[7]INFO-Personal'!AI9)</f>
        <v/>
      </c>
      <c r="AF91" s="55" t="str">
        <f>IF('[7]INFO-Personal'!AJ9=0,"",'[7]INFO-Personal'!AJ9)</f>
        <v/>
      </c>
      <c r="AG91" s="55" t="str">
        <f>IF('[7]INFO-Personal'!AK9=0,"",'[7]INFO-Personal'!AK9)</f>
        <v/>
      </c>
      <c r="AH91" s="55" t="str">
        <f>IF('[7]INFO-Personal'!AL9=0,"",'[7]INFO-Personal'!AL9)</f>
        <v/>
      </c>
      <c r="AI91" s="55" t="str">
        <f>IF('[7]INFO-Personal'!AM9=0,"",'[7]INFO-Personal'!AM9)</f>
        <v/>
      </c>
      <c r="AJ91" s="55" t="str">
        <f>IF('[7]INFO-Personal'!AN9=0,"",'[7]INFO-Personal'!AN9)</f>
        <v/>
      </c>
      <c r="AK91" s="55" t="str">
        <f>IF('[7]INFO-Personal'!AO9=0,"",'[7]INFO-Personal'!AO9)</f>
        <v/>
      </c>
      <c r="AL91" s="55" t="str">
        <f>IF('[7]INFO-Personal'!AP9=0,"",'[7]INFO-Personal'!AP9)</f>
        <v/>
      </c>
      <c r="AM91" s="55" t="str">
        <f>IF('[7]INFO-Personal'!AQ9=0,"",'[7]INFO-Personal'!AQ9)</f>
        <v/>
      </c>
      <c r="AN91" s="55" t="str">
        <f>IF('[7]INFO-Personal'!AR9=0,"",'[7]INFO-Personal'!AR9)</f>
        <v/>
      </c>
      <c r="AO91" s="55" t="str">
        <f>IF('[7]INFO-Personal'!AS9=0,"",'[7]INFO-Personal'!AS9)</f>
        <v/>
      </c>
      <c r="AP91" s="55" t="str">
        <f>IF('[7]INFO-Personal'!AT9=0,"",'[7]INFO-Personal'!AT9)</f>
        <v/>
      </c>
      <c r="AQ91" s="55" t="str">
        <f>IF('[7]INFO-Personal'!AU9=0,"",'[7]INFO-Personal'!AU9)</f>
        <v/>
      </c>
      <c r="AR91" s="55" t="str">
        <f>IF('[7]INFO-Personal'!AV9=0,"",'[7]INFO-Personal'!AV9)</f>
        <v/>
      </c>
      <c r="AS91" s="55" t="str">
        <f>IF('[7]INFO-Personal'!AW9=0,"",'[7]INFO-Personal'!AW9)</f>
        <v/>
      </c>
      <c r="AT91" s="55" t="str">
        <f>IF('[7]INFO-Personal'!AX9=0,"",'[7]INFO-Personal'!AX9)</f>
        <v/>
      </c>
      <c r="AU91" s="55" t="str">
        <f>IF('[7]INFO-Personal'!AY9=0,"",'[7]INFO-Personal'!AY9)</f>
        <v/>
      </c>
      <c r="AV91" s="55" t="str">
        <f>IF('[7]INFO-Personal'!AZ9=0,"",'[7]INFO-Personal'!AZ9)</f>
        <v/>
      </c>
      <c r="AW91" s="55" t="str">
        <f>IF('[7]INFO-Personal'!BA9=0,"",'[7]INFO-Personal'!BA9)</f>
        <v/>
      </c>
      <c r="AX91" s="55" t="str">
        <f>IF('[7]INFO-Personal'!BB9=0,"",'[7]INFO-Personal'!BB9)</f>
        <v/>
      </c>
      <c r="AY91" s="55" t="str">
        <f>IF('[7]INFO-Personal'!BC9=0,"",'[7]INFO-Personal'!BC9)</f>
        <v/>
      </c>
      <c r="AZ91" s="55" t="str">
        <f>IF('[7]INFO-Personal'!BD9=0,"",'[7]INFO-Personal'!BD9)</f>
        <v/>
      </c>
      <c r="BA91" s="55" t="str">
        <f>IF('[7]INFO-Personal'!BE9=0,"",'[7]INFO-Personal'!BE9)</f>
        <v/>
      </c>
      <c r="BB91" s="55" t="str">
        <f>IF('[7]INFO-Personal'!BF9=0,"",'[7]INFO-Personal'!BF9)</f>
        <v/>
      </c>
      <c r="BC91" s="55" t="str">
        <f>IF('[7]INFO-Personal'!BG9=0,"",'[7]INFO-Personal'!BG9)</f>
        <v/>
      </c>
      <c r="BD91" s="55" t="str">
        <f>IF('[7]INFO-Personal'!BH9=0,"",'[7]INFO-Personal'!BH9)</f>
        <v/>
      </c>
      <c r="BE91" s="55" t="str">
        <f>IF('[7]INFO-Personal'!BI9=0,"",'[7]INFO-Personal'!BI9)</f>
        <v/>
      </c>
      <c r="BF91" s="55" t="str">
        <f>IF('[7]INFO-Personal'!BJ9=0,"",'[7]INFO-Personal'!BJ9)</f>
        <v/>
      </c>
      <c r="BG91" s="55" t="str">
        <f>IF('[7]INFO-Personal'!BK9=0,"",'[7]INFO-Personal'!BK9)</f>
        <v/>
      </c>
      <c r="BH91" s="55" t="str">
        <f>IF('[7]INFO-Personal'!BL9=0,"",'[7]INFO-Personal'!BL9)</f>
        <v/>
      </c>
      <c r="BI91" s="55" t="str">
        <f>IF('[7]INFO-Personal'!BM9=0,"",'[7]INFO-Personal'!BM9)</f>
        <v/>
      </c>
      <c r="BJ91" s="55" t="str">
        <f>IF('[7]INFO-Personal'!BN9=0,"",'[7]INFO-Personal'!BN9)</f>
        <v/>
      </c>
      <c r="BK91" s="55" t="str">
        <f>IF('[7]INFO-Personal'!BO9=0,"",'[7]INFO-Personal'!BO9)</f>
        <v/>
      </c>
      <c r="BL91" s="55" t="str">
        <f>IF('[7]INFO-Personal'!BP9=0,"",'[7]INFO-Personal'!BP9)</f>
        <v/>
      </c>
      <c r="BM91" s="55" t="str">
        <f>IF('[7]INFO-Personal'!BQ9=0,"",'[7]INFO-Personal'!BQ9)</f>
        <v/>
      </c>
      <c r="BN91" s="55" t="str">
        <f>IF('[7]INFO-Personal'!BR9=0,"",'[7]INFO-Personal'!BR9)</f>
        <v/>
      </c>
      <c r="BO91" s="55" t="str">
        <f>IF('[7]INFO-Personal'!BS9=0,"",'[7]INFO-Personal'!BS9)</f>
        <v/>
      </c>
      <c r="BP91" s="55" t="str">
        <f>IF('[7]INFO-Personal'!BT9=0,"",'[7]INFO-Personal'!BT9)</f>
        <v/>
      </c>
      <c r="BQ91" s="55" t="str">
        <f>IF('[7]INFO-Personal'!BU9=0,"",'[7]INFO-Personal'!BU9)</f>
        <v/>
      </c>
      <c r="BR91" s="55" t="str">
        <f>IF('[7]INFO-Personal'!BV9=0,"",'[7]INFO-Personal'!BV9)</f>
        <v/>
      </c>
      <c r="BS91" s="55" t="str">
        <f>IF('[7]INFO-Personal'!BW9=0,"",'[7]INFO-Personal'!BW9)</f>
        <v/>
      </c>
      <c r="BT91" s="55" t="str">
        <f>IF('[7]INFO-Personal'!BX9=0,"",'[7]INFO-Personal'!BX9)</f>
        <v/>
      </c>
      <c r="BU91" s="55" t="str">
        <f>IF('[7]INFO-Personal'!BY9=0,"",'[7]INFO-Personal'!BY9)</f>
        <v/>
      </c>
      <c r="BV91" s="55" t="str">
        <f>IF('[7]INFO-Personal'!BZ9=0,"",'[7]INFO-Personal'!BZ9)</f>
        <v/>
      </c>
      <c r="BW91" s="55" t="str">
        <f>IF('[7]INFO-Personal'!CA9=0,"",'[7]INFO-Personal'!CA9)</f>
        <v/>
      </c>
      <c r="BX91" s="55" t="str">
        <f>IF('[7]INFO-Personal'!CB9=0,"",'[7]INFO-Personal'!CB9)</f>
        <v/>
      </c>
      <c r="BY91" s="55" t="str">
        <f>IF('[7]INFO-Personal'!CC9=0,"",'[7]INFO-Personal'!CC9)</f>
        <v/>
      </c>
      <c r="BZ91" s="55" t="str">
        <f>IF('[7]INFO-Personal'!CD9=0,"",'[7]INFO-Personal'!CD9)</f>
        <v/>
      </c>
      <c r="CA91" s="55" t="str">
        <f>IF('[7]INFO-Personal'!CE9=0,"",'[7]INFO-Personal'!CE9)</f>
        <v/>
      </c>
    </row>
    <row r="92" spans="1:131">
      <c r="A92" s="55" t="str">
        <f t="array" ref="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COLUMN(A1)
        )
    ),
"")</f>
        <v>RECOLECCIÓN</v>
      </c>
      <c r="B92" s="55" t="str">
        <f t="array" ref="B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COLUMN(B1)
        )
    ),
"")</f>
        <v>TRANSPORTE</v>
      </c>
      <c r="C92" s="55" t="str">
        <f t="array" ref="C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COLUMN(C1)
        )
    ),
"")</f>
        <v>CARGA-DESCARGA</v>
      </c>
      <c r="D92" s="55" t="str">
        <f t="array" ref="D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COLUMN(D1)
        )
    ),
"")</f>
        <v>CARGA DE PALLETS</v>
      </c>
      <c r="E92" s="55" t="str">
        <f t="array" ref="E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COLUMN(E1)
        )
    ),
"")</f>
        <v/>
      </c>
      <c r="F92" s="55" t="str">
        <f t="array" ref="F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COLUMN(F1)
        )
    ),
"")</f>
        <v/>
      </c>
      <c r="G92" s="55" t="str">
        <f t="array" ref="G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COLUMN(G1)
        )
    ),
"")</f>
        <v/>
      </c>
      <c r="H92" s="55" t="str">
        <f t="array" ref="H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COLUMN(H1)
        )
    ),
"")</f>
        <v/>
      </c>
      <c r="I92" s="55" t="str">
        <f t="array" ref="I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COLUMN(I1)
        )
    ),
"")</f>
        <v/>
      </c>
      <c r="J92" s="55" t="str">
        <f t="array" ref="J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COLUMN(J1)
        )
    ),
"")</f>
        <v/>
      </c>
      <c r="K92" s="55" t="str">
        <f t="array" ref="K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COLUMN(K1)
        )
    ),
"")</f>
        <v/>
      </c>
      <c r="L92" s="55" t="str">
        <f t="array" ref="L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COLUMN(L1)
        )
    ),
"")</f>
        <v/>
      </c>
      <c r="M92" s="55" t="str">
        <f t="array" ref="M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COLUMN(M1)
        )
    ),
"")</f>
        <v/>
      </c>
      <c r="N92" s="55" t="str">
        <f t="array" ref="N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COLUMN(N1)
        )
    ),
"")</f>
        <v/>
      </c>
      <c r="O92" s="55" t="str">
        <f t="array" ref="O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COLUMN(O1)
        )
    ),
"")</f>
        <v/>
      </c>
      <c r="P92" s="55" t="str">
        <f t="array" ref="P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COLUMN(P1)
        )
    ),
"")</f>
        <v/>
      </c>
      <c r="Q92" s="55" t="str">
        <f t="array" ref="Q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COLUMN(Q1)
        )
    ),
"")</f>
        <v/>
      </c>
      <c r="R92" s="55" t="str">
        <f t="array" ref="R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COLUMN(R1)
        )
    ),
"")</f>
        <v/>
      </c>
      <c r="S92" s="55" t="str">
        <f t="array" ref="S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COLUMN(S1)
        )
    ),
"")</f>
        <v/>
      </c>
      <c r="T92" s="55" t="str">
        <f t="array" ref="T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COLUMN(T1)
        )
    ),
"")</f>
        <v/>
      </c>
      <c r="U92" s="55" t="str">
        <f t="array" ref="U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COLUMN(U1)
        )
    ),
"")</f>
        <v/>
      </c>
      <c r="V92" s="55" t="str">
        <f t="array" ref="V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COLUMN(V1)
        )
    ),
"")</f>
        <v/>
      </c>
      <c r="W92" s="55" t="str">
        <f t="array" ref="W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COLUMN(W1)
        )
    ),
"")</f>
        <v/>
      </c>
      <c r="X92" s="55" t="str">
        <f t="array" ref="X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COLUMN(X1)
        )
    ),
"")</f>
        <v/>
      </c>
      <c r="Y92" s="55" t="str">
        <f t="array" ref="Y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COLUMN(Y1)
        )
    ),
"")</f>
        <v/>
      </c>
      <c r="Z92" s="55" t="str">
        <f t="array" ref="Z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COLUMN(Z1)
        )
    ),
"")</f>
        <v/>
      </c>
      <c r="AA92" s="55" t="str">
        <f t="array" ref="A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COLUMN(AA1)
        )
    ),
"")</f>
        <v/>
      </c>
      <c r="AB92" s="55" t="str">
        <f t="array" ref="AB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COLUMN(AB1)
        )
    ),
"")</f>
        <v/>
      </c>
      <c r="AC92" s="55" t="str">
        <f t="array" ref="AC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COLUMN(AC1)
        )
    ),
"")</f>
        <v/>
      </c>
      <c r="AD92" s="55" t="str">
        <f t="array" ref="AD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COLUMN(AD1)
        )
    ),
"")</f>
        <v/>
      </c>
      <c r="AE92" s="55" t="str">
        <f t="array" ref="AE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COLUMN(AE1)
        )
    ),
"")</f>
        <v/>
      </c>
      <c r="AF92" s="55" t="str">
        <f t="array" ref="AF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COLUMN(AF1)
        )
    ),
"")</f>
        <v/>
      </c>
      <c r="AG92" s="55" t="str">
        <f t="array" ref="AG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COLUMN(AG1)
        )
    ),
"")</f>
        <v/>
      </c>
      <c r="AH92" s="55" t="str">
        <f t="array" ref="AH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COLUMN(AH1)
        )
    ),
"")</f>
        <v/>
      </c>
      <c r="AI92" s="55" t="str">
        <f t="array" ref="AI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COLUMN(AI1)
        )
    ),
"")</f>
        <v/>
      </c>
      <c r="AJ92" s="55" t="str">
        <f t="array" ref="AJ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COLUMN(AJ1)
        )
    ),
"")</f>
        <v/>
      </c>
      <c r="AK92" s="55" t="str">
        <f t="array" ref="AK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COLUMN(AK1)
        )
    ),
"")</f>
        <v/>
      </c>
      <c r="AL92" s="55" t="str">
        <f t="array" ref="AL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COLUMN(AL1)
        )
    ),
"")</f>
        <v/>
      </c>
      <c r="AM92" s="55" t="str">
        <f t="array" ref="AM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COLUMN(AM1)
        )
    ),
"")</f>
        <v/>
      </c>
      <c r="AN92" s="55" t="str">
        <f t="array" ref="AN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COLUMN(AN1)
        )
    ),
"")</f>
        <v/>
      </c>
      <c r="AO92" s="55" t="str">
        <f t="array" ref="AO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COLUMN(AO1)
        )
    ),
"")</f>
        <v/>
      </c>
      <c r="AP92" s="55" t="str">
        <f t="array" ref="AP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COLUMN(AP1)
        )
    ),
"")</f>
        <v/>
      </c>
      <c r="AQ92" s="55" t="str">
        <f t="array" ref="AQ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COLUMN(AQ1)
        )
    ),
"")</f>
        <v/>
      </c>
      <c r="AR92" s="55" t="str">
        <f t="array" ref="AR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COLUMN(AR1)
        )
    ),
"")</f>
        <v/>
      </c>
      <c r="AS92" s="55" t="str">
        <f t="array" ref="AS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COLUMN(AS1)
        )
    ),
"")</f>
        <v/>
      </c>
      <c r="AT92" s="55" t="str">
        <f t="array" ref="AT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COLUMN(AT1)
        )
    ),
"")</f>
        <v/>
      </c>
      <c r="AU92" s="55" t="str">
        <f t="array" ref="AU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COLUMN(AU1)
        )
    ),
"")</f>
        <v/>
      </c>
      <c r="AV92" s="55" t="str">
        <f t="array" ref="AV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COLUMN(AV1)
        )
    ),
"")</f>
        <v/>
      </c>
      <c r="AW92" s="55" t="str">
        <f t="array" ref="AW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COLUMN(AW1)
        )
    ),
"")</f>
        <v/>
      </c>
      <c r="AX92" s="55" t="str">
        <f t="array" ref="AX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COLUMN(AX1)
        )
    ),
"")</f>
        <v/>
      </c>
      <c r="AY92" s="55" t="str">
        <f t="array" ref="AY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COLUMN(AY1)
        )
    ),
"")</f>
        <v/>
      </c>
      <c r="AZ92" s="55" t="str">
        <f t="array" ref="AZ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COLUMN(AZ1)
        )
    ),
"")</f>
        <v/>
      </c>
      <c r="BA92" s="55" t="str">
        <f t="array" ref="B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COLUMN(BA1)
        )
    ),
"")</f>
        <v/>
      </c>
      <c r="BB92" s="55" t="str">
        <f t="array" ref="BB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COLUMN(BB1)
        )
    ),
"")</f>
        <v/>
      </c>
      <c r="BC92" s="55" t="str">
        <f t="array" ref="BC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COLUMN(BC1)
        )
    ),
"")</f>
        <v/>
      </c>
      <c r="BD92" s="55" t="str">
        <f t="array" ref="BD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COLUMN(BD1)
        )
    ),
"")</f>
        <v/>
      </c>
      <c r="BE92" s="55" t="str">
        <f t="array" ref="BE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COLUMN(BE1)
        )
    ),
"")</f>
        <v/>
      </c>
      <c r="BF92" s="55" t="str">
        <f t="array" ref="BF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COLUMN(BF1)
        )
    ),
"")</f>
        <v/>
      </c>
      <c r="BG92" s="55" t="str">
        <f t="array" ref="BG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COLUMN(BG1)
        )
    ),
"")</f>
        <v/>
      </c>
      <c r="BH92" s="55" t="str">
        <f t="array" ref="BH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COLUMN(BH1)
        )
    ),
"")</f>
        <v/>
      </c>
      <c r="BI92" s="55" t="str">
        <f t="array" ref="BI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COLUMN(BI1)
        )
    ),
"")</f>
        <v/>
      </c>
      <c r="BJ92" s="55" t="str">
        <f t="array" ref="BJ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COLUMN(BJ1)
        )
    ),
"")</f>
        <v/>
      </c>
      <c r="BK92" s="55" t="str">
        <f t="array" ref="BK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COLUMN(BK1)
        )
    ),
"")</f>
        <v/>
      </c>
      <c r="BL92" s="55" t="str">
        <f t="array" ref="BL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COLUMN(BL1)
        )
    ),
"")</f>
        <v/>
      </c>
      <c r="BM92" s="55" t="str">
        <f t="array" ref="BM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COLUMN(BM1)
        )
    ),
"")</f>
        <v/>
      </c>
      <c r="BN92" s="55" t="str">
        <f t="array" ref="BN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COLUMN(BN1)
        )
    ),
"")</f>
        <v/>
      </c>
      <c r="BO92" s="55" t="str">
        <f t="array" ref="BO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COLUMN(BO1)
        )
    ),
"")</f>
        <v/>
      </c>
      <c r="BP92" s="55" t="str">
        <f t="array" ref="BP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COLUMN(BP1)
        )
    ),
"")</f>
        <v/>
      </c>
      <c r="BQ92" s="55" t="str">
        <f t="array" ref="BQ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COLUMN(BQ1)
        )
    ),
"")</f>
        <v/>
      </c>
      <c r="BR92" s="55" t="str">
        <f t="array" ref="BR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COLUMN(BR1)
        )
    ),
"")</f>
        <v/>
      </c>
      <c r="BS92" s="55" t="str">
        <f t="array" ref="BS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COLUMN(BS1)
        )
    ),
"")</f>
        <v/>
      </c>
      <c r="BT92" s="55" t="str">
        <f t="array" ref="BT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COLUMN(BT1)
        )
    ),
"")</f>
        <v/>
      </c>
      <c r="BU92" s="55" t="str">
        <f t="array" ref="BU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COLUMN(BU1)
        )
    ),
"")</f>
        <v/>
      </c>
      <c r="BV92" s="55" t="str">
        <f t="array" ref="BV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COLUMN(BV1)
        )
    ),
"")</f>
        <v/>
      </c>
      <c r="BW92" s="55" t="str">
        <f t="array" ref="BW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COLUMN(BW1)
        )
    ),
"")</f>
        <v/>
      </c>
      <c r="BX92" s="55" t="str">
        <f t="array" ref="BX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COLUMN(BX1)
        )
    ),
"")</f>
        <v/>
      </c>
      <c r="BY92" s="55" t="str">
        <f t="array" ref="BY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COLUMN(BY1)
        )
    ),
"")</f>
        <v/>
      </c>
      <c r="BZ92" s="55" t="str">
        <f t="array" ref="BZ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COLUMN(BZ1)
        )
    ),
"")</f>
        <v/>
      </c>
      <c r="CA92" s="55" t="str">
        <f t="array" ref="C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COLUMN(CA1)
        )
    ),
"")</f>
        <v/>
      </c>
    </row>
    <row r="94" spans="1:131">
      <c r="A94" s="163" t="s">
        <v>57</v>
      </c>
      <c r="B94" s="163"/>
    </row>
    <row r="95" spans="1:131">
      <c r="A95" s="55" t="str">
        <f>IF('[1]INFO-INSUMOS'!D12=0,"",'[1]INFO-INSUMOS'!D12)</f>
        <v/>
      </c>
      <c r="B95" s="55" t="str">
        <f>IF('[1]INFO-INSUMOS'!E12=0,"",'[1]INFO-INSUMOS'!E12)</f>
        <v/>
      </c>
      <c r="C95" s="55" t="str">
        <f>IF('[1]INFO-INSUMOS'!F12=0,"",'[1]INFO-INSUMOS'!F12)</f>
        <v>F-V-A08060-8.0</v>
      </c>
      <c r="D95" s="55" t="str">
        <f>IF('[1]INFO-INSUMOS'!G12=0,"",'[1]INFO-INSUMOS'!G12)</f>
        <v/>
      </c>
      <c r="E95" s="55" t="str">
        <f>IF('[1]INFO-INSUMOS'!H12=0,"",'[1]INFO-INSUMOS'!H12)</f>
        <v/>
      </c>
      <c r="F95" s="55" t="str">
        <f>IF('[1]INFO-INSUMOS'!I12=0,"",'[1]INFO-INSUMOS'!I12)</f>
        <v/>
      </c>
      <c r="G95" s="55" t="str">
        <f>IF('[1]INFO-INSUMOS'!J12=0,"",'[1]INFO-INSUMOS'!J12)</f>
        <v>R390-11-16-160-C16-2T</v>
      </c>
      <c r="H95" s="55" t="str">
        <f>IF('[1]INFO-INSUMOS'!K12=0,"",'[1]INFO-INSUMOS'!K12)</f>
        <v/>
      </c>
      <c r="I95" s="55" t="str">
        <f>IF('[1]INFO-INSUMOS'!L12=0,"",'[1]INFO-INSUMOS'!L12)</f>
        <v/>
      </c>
      <c r="J95" s="55" t="str">
        <f>IF('[1]INFO-INSUMOS'!M12=0,"",'[1]INFO-INSUMOS'!M12)</f>
        <v/>
      </c>
      <c r="K95" s="55" t="str">
        <f>IF('[1]INFO-INSUMOS'!N12=0,"",'[1]INFO-INSUMOS'!N12)</f>
        <v/>
      </c>
      <c r="L95" s="55" t="str">
        <f>IF('[1]INFO-INSUMOS'!O12=0,"",'[1]INFO-INSUMOS'!O12)</f>
        <v/>
      </c>
      <c r="M95" s="55" t="str">
        <f>IF('[1]INFO-INSUMOS'!P12=0,"",'[1]INFO-INSUMOS'!P12)</f>
        <v/>
      </c>
      <c r="N95" s="55" t="str">
        <f>IF('[1]INFO-INSUMOS'!Q12=0,"",'[1]INFO-INSUMOS'!Q12)</f>
        <v/>
      </c>
      <c r="O95" s="55" t="str">
        <f>IF('[1]INFO-INSUMOS'!R12=0,"",'[1]INFO-INSUMOS'!R12)</f>
        <v/>
      </c>
      <c r="P95" s="55" t="str">
        <f>IF('[1]INFO-INSUMOS'!S12=0,"",'[1]INFO-INSUMOS'!S12)</f>
        <v/>
      </c>
      <c r="Q95" s="55" t="str">
        <f>IF('[1]INFO-INSUMOS'!T12=0,"",'[1]INFO-INSUMOS'!T12)</f>
        <v/>
      </c>
      <c r="R95" s="55" t="str">
        <f>IF('[1]INFO-INSUMOS'!U12=0,"",'[1]INFO-INSUMOS'!U12)</f>
        <v/>
      </c>
      <c r="S95" s="55" t="str">
        <f>IF('[1]INFO-INSUMOS'!V12=0,"",'[1]INFO-INSUMOS'!V12)</f>
        <v/>
      </c>
      <c r="T95" s="55" t="str">
        <f>IF('[1]INFO-INSUMOS'!W12=0,"",'[1]INFO-INSUMOS'!W12)</f>
        <v/>
      </c>
      <c r="U95" s="55" t="str">
        <f>IF('[1]INFO-INSUMOS'!X12=0,"",'[1]INFO-INSUMOS'!X12)</f>
        <v/>
      </c>
      <c r="V95" s="55" t="str">
        <f>IF('[1]INFO-INSUMOS'!Y12=0,"",'[1]INFO-INSUMOS'!Y12)</f>
        <v/>
      </c>
      <c r="W95" s="55" t="str">
        <f>IF('[1]INFO-INSUMOS'!Z12=0,"",'[1]INFO-INSUMOS'!Z12)</f>
        <v/>
      </c>
      <c r="X95" s="55" t="str">
        <f>IF('[1]INFO-INSUMOS'!AA12=0,"",'[1]INFO-INSUMOS'!AA12)</f>
        <v/>
      </c>
      <c r="Y95" s="55" t="str">
        <f>IF('[1]INFO-INSUMOS'!AB12=0,"",'[1]INFO-INSUMOS'!AB12)</f>
        <v/>
      </c>
      <c r="Z95" s="55" t="str">
        <f>IF('[1]INFO-INSUMOS'!AC12=0,"",'[1]INFO-INSUMOS'!AC12)</f>
        <v/>
      </c>
      <c r="AA95" s="55" t="str">
        <f>IF('[1]INFO-INSUMOS'!AD12=0,"",'[1]INFO-INSUMOS'!AD12)</f>
        <v>R390-11T308M-PM 4340</v>
      </c>
      <c r="AB95" s="55" t="str">
        <f>IF('[1]INFO-INSUMOS'!AE12=0,"",'[1]INFO-INSUMOS'!AE12)</f>
        <v/>
      </c>
      <c r="AC95" s="55" t="str">
        <f>IF('[1]INFO-INSUMOS'!AF12=0,"",'[1]INFO-INSUMOS'!AF12)</f>
        <v/>
      </c>
      <c r="AD95" s="55" t="str">
        <f>IF('[1]INFO-INSUMOS'!AG12=0,"",'[1]INFO-INSUMOS'!AG12)</f>
        <v/>
      </c>
      <c r="AE95" s="55" t="str">
        <f>IF('[1]INFO-INSUMOS'!AH12=0,"",'[1]INFO-INSUMOS'!AH12)</f>
        <v/>
      </c>
      <c r="AF95" s="55" t="str">
        <f>IF('[1]INFO-INSUMOS'!AI12=0,"",'[1]INFO-INSUMOS'!AI12)</f>
        <v/>
      </c>
      <c r="AG95" s="55" t="str">
        <f>IF('[1]INFO-INSUMOS'!AJ12=0,"",'[1]INFO-INSUMOS'!AJ12)</f>
        <v/>
      </c>
      <c r="AH95" s="55" t="str">
        <f>IF('[1]INFO-INSUMOS'!AK12=0,"",'[1]INFO-INSUMOS'!AK12)</f>
        <v/>
      </c>
      <c r="AI95" s="55" t="str">
        <f>IF('[1]INFO-INSUMOS'!AL12=0,"",'[1]INFO-INSUMOS'!AL12)</f>
        <v/>
      </c>
      <c r="AJ95" s="55" t="str">
        <f>IF('[1]INFO-INSUMOS'!AM12=0,"",'[1]INFO-INSUMOS'!AM12)</f>
        <v/>
      </c>
      <c r="AK95" s="55" t="str">
        <f>IF('[1]INFO-INSUMOS'!AN12=0,"",'[1]INFO-INSUMOS'!AN12)</f>
        <v/>
      </c>
      <c r="AL95" s="55" t="str">
        <f>IF('[1]INFO-INSUMOS'!AO12=0,"",'[1]INFO-INSUMOS'!AO12)</f>
        <v/>
      </c>
      <c r="AM95" s="55" t="str">
        <f>IF('[1]INFO-INSUMOS'!AP12=0,"",'[1]INFO-INSUMOS'!AP12)</f>
        <v/>
      </c>
      <c r="AN95" s="55" t="str">
        <f>IF('[1]INFO-INSUMOS'!AQ12=0,"",'[1]INFO-INSUMOS'!AQ12)</f>
        <v/>
      </c>
      <c r="AO95" s="55" t="str">
        <f>IF('[1]INFO-INSUMOS'!AR12=0,"",'[1]INFO-INSUMOS'!AR12)</f>
        <v/>
      </c>
      <c r="AP95" s="55" t="str">
        <f>IF('[1]INFO-INSUMOS'!AS12=0,"",'[1]INFO-INSUMOS'!AS12)</f>
        <v/>
      </c>
      <c r="AQ95" s="55" t="str">
        <f>IF('[1]INFO-INSUMOS'!AT12=0,"",'[1]INFO-INSUMOS'!AT12)</f>
        <v/>
      </c>
      <c r="AR95" s="55" t="str">
        <f>IF('[1]INFO-INSUMOS'!AU12=0,"",'[1]INFO-INSUMOS'!AU12)</f>
        <v/>
      </c>
      <c r="AS95" s="55" t="str">
        <f>IF('[1]INFO-INSUMOS'!AV12=0,"",'[1]INFO-INSUMOS'!AV12)</f>
        <v/>
      </c>
      <c r="AT95" s="55" t="str">
        <f>IF('[1]INFO-INSUMOS'!AW12=0,"",'[1]INFO-INSUMOS'!AW12)</f>
        <v/>
      </c>
      <c r="AU95" s="55" t="str">
        <f>IF('[1]INFO-INSUMOS'!AX12=0,"",'[1]INFO-INSUMOS'!AX12)</f>
        <v/>
      </c>
      <c r="AV95" s="55" t="str">
        <f>IF('[1]INFO-INSUMOS'!AY12=0,"",'[1]INFO-INSUMOS'!AY12)</f>
        <v/>
      </c>
      <c r="AW95" s="55" t="str">
        <f>IF('[1]INFO-INSUMOS'!AZ12=0,"",'[1]INFO-INSUMOS'!AZ12)</f>
        <v/>
      </c>
      <c r="AX95" s="55" t="str">
        <f>IF('[1]INFO-INSUMOS'!BA12=0,"",'[1]INFO-INSUMOS'!BA12)</f>
        <v/>
      </c>
      <c r="AY95" s="55" t="str">
        <f>IF('[1]INFO-INSUMOS'!BB12=0,"",'[1]INFO-INSUMOS'!BB12)</f>
        <v/>
      </c>
      <c r="AZ95" s="55" t="str">
        <f>IF('[1]INFO-INSUMOS'!BC12=0,"",'[1]INFO-INSUMOS'!BC12)</f>
        <v/>
      </c>
      <c r="BA95" s="55" t="str">
        <f>IF('[1]INFO-INSUMOS'!BD12=0,"",'[1]INFO-INSUMOS'!BD12)</f>
        <v>Mecha 1</v>
      </c>
      <c r="BB95" s="55" t="str">
        <f>IF('[1]INFO-INSUMOS'!BE12=0,"",'[1]INFO-INSUMOS'!BE12)</f>
        <v/>
      </c>
      <c r="BC95" s="55" t="str">
        <f>IF('[1]INFO-INSUMOS'!BF12=0,"",'[1]INFO-INSUMOS'!BF12)</f>
        <v>Mecha 2</v>
      </c>
      <c r="BD95" s="55" t="str">
        <f>IF('[1]INFO-INSUMOS'!BG12=0,"",'[1]INFO-INSUMOS'!BG12)</f>
        <v/>
      </c>
      <c r="BE95" s="55" t="str">
        <f>IF('[1]INFO-INSUMOS'!BH12=0,"",'[1]INFO-INSUMOS'!BH12)</f>
        <v/>
      </c>
      <c r="BF95" s="55" t="str">
        <f>IF('[1]INFO-INSUMOS'!BI12=0,"",'[1]INFO-INSUMOS'!BI12)</f>
        <v/>
      </c>
      <c r="BG95" s="55" t="str">
        <f>IF('[1]INFO-INSUMOS'!BJ12=0,"",'[1]INFO-INSUMOS'!BJ12)</f>
        <v/>
      </c>
      <c r="BH95" s="55" t="str">
        <f>IF('[1]INFO-INSUMOS'!BK12=0,"",'[1]INFO-INSUMOS'!BK12)</f>
        <v/>
      </c>
      <c r="BI95" s="55" t="str">
        <f>IF('[1]INFO-INSUMOS'!BL12=0,"",'[1]INFO-INSUMOS'!BL12)</f>
        <v/>
      </c>
      <c r="BJ95" s="55" t="str">
        <f>IF('[1]INFO-INSUMOS'!BM12=0,"",'[1]INFO-INSUMOS'!BM12)</f>
        <v/>
      </c>
      <c r="BK95" s="55" t="str">
        <f>IF('[1]INFO-INSUMOS'!BN12=0,"",'[1]INFO-INSUMOS'!BN12)</f>
        <v/>
      </c>
      <c r="BL95" s="55" t="str">
        <f>IF('[1]INFO-INSUMOS'!BO12=0,"",'[1]INFO-INSUMOS'!BO12)</f>
        <v/>
      </c>
      <c r="BM95" s="55" t="str">
        <f>IF('[1]INFO-INSUMOS'!BP12=0,"",'[1]INFO-INSUMOS'!BP12)</f>
        <v/>
      </c>
      <c r="BN95" s="55" t="str">
        <f>IF('[1]INFO-INSUMOS'!BQ12=0,"",'[1]INFO-INSUMOS'!BQ12)</f>
        <v/>
      </c>
      <c r="BO95" s="55" t="str">
        <f>IF('[1]INFO-INSUMOS'!BR12=0,"",'[1]INFO-INSUMOS'!BR12)</f>
        <v/>
      </c>
      <c r="BP95" s="55" t="str">
        <f>IF('[1]INFO-INSUMOS'!BS12=0,"",'[1]INFO-INSUMOS'!BS12)</f>
        <v/>
      </c>
      <c r="BQ95" s="55" t="str">
        <f>IF('[1]INFO-INSUMOS'!BT12=0,"",'[1]INFO-INSUMOS'!BT12)</f>
        <v/>
      </c>
      <c r="BR95" s="55" t="str">
        <f>IF('[1]INFO-INSUMOS'!BU12=0,"",'[1]INFO-INSUMOS'!BU12)</f>
        <v/>
      </c>
      <c r="BS95" s="55" t="str">
        <f>IF('[1]INFO-INSUMOS'!BV12=0,"",'[1]INFO-INSUMOS'!BV12)</f>
        <v/>
      </c>
      <c r="BT95" s="55" t="str">
        <f>IF('[1]INFO-INSUMOS'!BW12=0,"",'[1]INFO-INSUMOS'!BW12)</f>
        <v/>
      </c>
      <c r="BU95" s="55" t="str">
        <f>IF('[1]INFO-INSUMOS'!BX12=0,"",'[1]INFO-INSUMOS'!BX12)</f>
        <v/>
      </c>
      <c r="BV95" s="55" t="str">
        <f>IF('[1]INFO-INSUMOS'!BY12=0,"",'[1]INFO-INSUMOS'!BY12)</f>
        <v/>
      </c>
      <c r="BW95" s="55" t="str">
        <f>IF('[1]INFO-INSUMOS'!BZ12=0,"",'[1]INFO-INSUMOS'!BZ12)</f>
        <v/>
      </c>
      <c r="BX95" s="55" t="str">
        <f>IF('[1]INFO-INSUMOS'!CA12=0,"",'[1]INFO-INSUMOS'!CA12)</f>
        <v/>
      </c>
      <c r="BY95" s="55" t="str">
        <f>IF('[1]INFO-INSUMOS'!CB12=0,"",'[1]INFO-INSUMOS'!CB12)</f>
        <v/>
      </c>
      <c r="BZ95" s="55" t="str">
        <f>IF('[1]INFO-INSUMOS'!CC12=0,"",'[1]INFO-INSUMOS'!CC12)</f>
        <v/>
      </c>
      <c r="CA95" s="55" t="str">
        <f>IF('[1]INFO-INSUMOS'!CD12=0,"",'[1]INFO-INSUMOS'!CD12)</f>
        <v/>
      </c>
      <c r="CB95" s="55" t="str">
        <f>IF('[1]INFO-INSUMOS'!CE12=0,"",'[1]INFO-INSUMOS'!CE12)</f>
        <v/>
      </c>
      <c r="CC95" s="55" t="str">
        <f>IF('[1]INFO-INSUMOS'!CF12=0,"",'[1]INFO-INSUMOS'!CF12)</f>
        <v/>
      </c>
      <c r="CD95" s="55" t="str">
        <f>IF('[1]INFO-INSUMOS'!CG12=0,"",'[1]INFO-INSUMOS'!CG12)</f>
        <v/>
      </c>
      <c r="CE95" s="55" t="str">
        <f>IF('[1]INFO-INSUMOS'!CH12=0,"",'[1]INFO-INSUMOS'!CH12)</f>
        <v/>
      </c>
      <c r="CF95" s="55" t="str">
        <f>IF('[1]INFO-INSUMOS'!CI12=0,"",'[1]INFO-INSUMOS'!CI12)</f>
        <v/>
      </c>
      <c r="CG95" s="55" t="str">
        <f>IF('[1]INFO-INSUMOS'!CJ12=0,"",'[1]INFO-INSUMOS'!CJ12)</f>
        <v/>
      </c>
      <c r="CH95" s="55" t="str">
        <f>IF('[1]INFO-INSUMOS'!CK12=0,"",'[1]INFO-INSUMOS'!CK12)</f>
        <v/>
      </c>
      <c r="CI95" s="55" t="str">
        <f>IF('[1]INFO-INSUMOS'!CL12=0,"",'[1]INFO-INSUMOS'!CL12)</f>
        <v/>
      </c>
      <c r="CJ95" s="55" t="str">
        <f>IF('[1]INFO-INSUMOS'!CM12=0,"",'[1]INFO-INSUMOS'!CM12)</f>
        <v/>
      </c>
      <c r="CK95" s="55" t="str">
        <f>IF('[1]INFO-INSUMOS'!CN12=0,"",'[1]INFO-INSUMOS'!CN12)</f>
        <v/>
      </c>
      <c r="CL95" s="55" t="str">
        <f>IF('[1]INFO-INSUMOS'!CO12=0,"",'[1]INFO-INSUMOS'!CO12)</f>
        <v/>
      </c>
      <c r="CM95" s="55" t="str">
        <f>IF('[1]INFO-INSUMOS'!CP12=0,"",'[1]INFO-INSUMOS'!CP12)</f>
        <v/>
      </c>
      <c r="CN95" s="55" t="str">
        <f>IF('[1]INFO-INSUMOS'!CQ12=0,"",'[1]INFO-INSUMOS'!CQ12)</f>
        <v/>
      </c>
      <c r="CO95" s="55" t="str">
        <f>IF('[1]INFO-INSUMOS'!CR12=0,"",'[1]INFO-INSUMOS'!CR12)</f>
        <v/>
      </c>
      <c r="CP95" s="55" t="str">
        <f>IF('[1]INFO-INSUMOS'!CS12=0,"",'[1]INFO-INSUMOS'!CS12)</f>
        <v/>
      </c>
      <c r="CQ95" s="55" t="str">
        <f>IF('[1]INFO-INSUMOS'!CT12=0,"",'[1]INFO-INSUMOS'!CT12)</f>
        <v/>
      </c>
      <c r="CR95" s="55" t="str">
        <f>IF('[1]INFO-INSUMOS'!CU12=0,"",'[1]INFO-INSUMOS'!CU12)</f>
        <v/>
      </c>
      <c r="CS95" s="55" t="str">
        <f>IF('[1]INFO-INSUMOS'!CV12=0,"",'[1]INFO-INSUMOS'!CV12)</f>
        <v/>
      </c>
      <c r="CT95" s="55" t="str">
        <f>IF('[1]INFO-INSUMOS'!CW12=0,"",'[1]INFO-INSUMOS'!CW12)</f>
        <v/>
      </c>
      <c r="CU95" s="55" t="str">
        <f>IF('[1]INFO-INSUMOS'!CX12=0,"",'[1]INFO-INSUMOS'!CX12)</f>
        <v/>
      </c>
      <c r="CV95" s="55" t="str">
        <f>IF('[1]INFO-INSUMOS'!CY12=0,"",'[1]INFO-INSUMOS'!CY12)</f>
        <v/>
      </c>
      <c r="CW95" s="55" t="str">
        <f>IF('[1]INFO-INSUMOS'!CZ12=0,"",'[1]INFO-INSUMOS'!CZ12)</f>
        <v/>
      </c>
      <c r="CX95" s="55" t="str">
        <f>IF('[1]INFO-INSUMOS'!DA12=0,"",'[1]INFO-INSUMOS'!DA12)</f>
        <v/>
      </c>
      <c r="CY95" s="55" t="str">
        <f>IF('[1]INFO-INSUMOS'!DB12=0,"",'[1]INFO-INSUMOS'!DB12)</f>
        <v/>
      </c>
      <c r="CZ95" s="55" t="str">
        <f>IF('[1]INFO-INSUMOS'!DC12=0,"",'[1]INFO-INSUMOS'!DC12)</f>
        <v/>
      </c>
      <c r="DA95" s="55" t="str">
        <f>IF('[1]INFO-INSUMOS'!DD12=0,"",'[1]INFO-INSUMOS'!DD12)</f>
        <v/>
      </c>
      <c r="DB95" s="55" t="str">
        <f>IF('[1]INFO-INSUMOS'!DE12=0,"",'[1]INFO-INSUMOS'!DE12)</f>
        <v/>
      </c>
      <c r="DC95" s="55" t="str">
        <f>IF('[1]INFO-INSUMOS'!DF12=0,"",'[1]INFO-INSUMOS'!DF12)</f>
        <v/>
      </c>
      <c r="DD95" s="55" t="str">
        <f>IF('[1]INFO-INSUMOS'!DG12=0,"",'[1]INFO-INSUMOS'!DG12)</f>
        <v/>
      </c>
      <c r="DE95" s="55" t="str">
        <f>IF('[1]INFO-INSUMOS'!DH12=0,"",'[1]INFO-INSUMOS'!DH12)</f>
        <v/>
      </c>
      <c r="DF95" s="55" t="str">
        <f>IF('[1]INFO-INSUMOS'!DI12=0,"",'[1]INFO-INSUMOS'!DI12)</f>
        <v/>
      </c>
      <c r="DG95" s="55" t="str">
        <f>IF('[1]INFO-INSUMOS'!DJ12=0,"",'[1]INFO-INSUMOS'!DJ12)</f>
        <v/>
      </c>
      <c r="DH95" s="55" t="str">
        <f>IF('[1]INFO-INSUMOS'!DK12=0,"",'[1]INFO-INSUMOS'!DK12)</f>
        <v/>
      </c>
      <c r="DI95" s="55" t="str">
        <f>IF('[1]INFO-INSUMOS'!DL12=0,"",'[1]INFO-INSUMOS'!DL12)</f>
        <v/>
      </c>
      <c r="DJ95" s="55" t="str">
        <f>IF('[1]INFO-INSUMOS'!DM12=0,"",'[1]INFO-INSUMOS'!DM12)</f>
        <v/>
      </c>
      <c r="DK95" s="55" t="str">
        <f>IF('[1]INFO-INSUMOS'!DN12=0,"",'[1]INFO-INSUMOS'!DN12)</f>
        <v/>
      </c>
      <c r="DL95" s="55" t="str">
        <f>IF('[1]INFO-INSUMOS'!DO12=0,"",'[1]INFO-INSUMOS'!DO12)</f>
        <v/>
      </c>
      <c r="DM95" s="55" t="str">
        <f>IF('[1]INFO-INSUMOS'!DP12=0,"",'[1]INFO-INSUMOS'!DP12)</f>
        <v/>
      </c>
      <c r="DN95" s="55" t="str">
        <f>IF('[1]INFO-INSUMOS'!DQ12=0,"",'[1]INFO-INSUMOS'!DQ12)</f>
        <v/>
      </c>
      <c r="DO95" s="55" t="str">
        <f>IF('[1]INFO-INSUMOS'!DR12=0,"",'[1]INFO-INSUMOS'!DR12)</f>
        <v/>
      </c>
      <c r="DP95" s="55" t="str">
        <f>IF('[1]INFO-INSUMOS'!DS12=0,"",'[1]INFO-INSUMOS'!DS12)</f>
        <v/>
      </c>
      <c r="DQ95" s="55" t="str">
        <f>IF('[1]INFO-INSUMOS'!DT12=0,"",'[1]INFO-INSUMOS'!DT12)</f>
        <v/>
      </c>
      <c r="DR95" s="55" t="str">
        <f>IF('[1]INFO-INSUMOS'!DU12=0,"",'[1]INFO-INSUMOS'!DU12)</f>
        <v/>
      </c>
      <c r="DS95" s="55" t="str">
        <f>IF('[1]INFO-INSUMOS'!DV12=0,"",'[1]INFO-INSUMOS'!DV12)</f>
        <v/>
      </c>
      <c r="DT95" s="55" t="str">
        <f>IF('[1]INFO-INSUMOS'!DW12=0,"",'[1]INFO-INSUMOS'!DW12)</f>
        <v/>
      </c>
      <c r="DU95" s="55" t="str">
        <f>IF('[1]INFO-INSUMOS'!DX12=0,"",'[1]INFO-INSUMOS'!DX12)</f>
        <v/>
      </c>
      <c r="DV95" s="55" t="str">
        <f>IF('[1]INFO-INSUMOS'!DY12=0,"",'[1]INFO-INSUMOS'!DY12)</f>
        <v/>
      </c>
      <c r="DW95" s="55" t="str">
        <f>IF('[1]INFO-INSUMOS'!DZ12=0,"",'[1]INFO-INSUMOS'!DZ12)</f>
        <v/>
      </c>
      <c r="DX95" s="55" t="str">
        <f>IF('[1]INFO-INSUMOS'!EA12=0,"",'[1]INFO-INSUMOS'!EA12)</f>
        <v/>
      </c>
      <c r="DY95" s="55" t="str">
        <f>IF('[1]INFO-INSUMOS'!EB12=0,"",'[1]INFO-INSUMOS'!EB12)</f>
        <v/>
      </c>
      <c r="DZ95" s="55" t="str">
        <f>IF('[1]INFO-INSUMOS'!EC12=0,"",'[1]INFO-INSUMOS'!EC12)</f>
        <v/>
      </c>
      <c r="EA95" s="55" t="str">
        <f>IF('[1]INFO-INSUMOS'!ED12=0,"",'[1]INFO-INSUMOS'!ED12)</f>
        <v/>
      </c>
    </row>
    <row r="96" spans="1:131">
      <c r="A96" s="55" t="str">
        <f t="shared" ref="A96:B96" si="0"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COLUMN(A1)
        )
    ),
"")</f>
        <v>F-V-A08060-8.0</v>
      </c>
      <c r="B96" s="55" t="str">
        <f t="shared" si="0"/>
        <v>R390-11-16-160-C16-2T</v>
      </c>
      <c r="C96" s="55" t="str">
        <f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COLUMN(C1)
        )
    ),
"")</f>
        <v>R390-11T308M-PM 4340</v>
      </c>
      <c r="D96" s="55" t="str">
        <f t="shared" ref="D96:BO96" si="1"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COLUMN(D1)
        )
    ),
"")</f>
        <v>Mecha 1</v>
      </c>
      <c r="E96" s="55" t="str">
        <f t="shared" si="1"/>
        <v>Mecha 2</v>
      </c>
      <c r="F96" s="55" t="str">
        <f t="shared" si="1"/>
        <v/>
      </c>
      <c r="G96" s="55" t="str">
        <f t="shared" si="1"/>
        <v/>
      </c>
      <c r="H96" s="55" t="str">
        <f t="shared" si="1"/>
        <v/>
      </c>
      <c r="I96" s="55" t="str">
        <f t="shared" si="1"/>
        <v/>
      </c>
      <c r="J96" s="55" t="str">
        <f t="shared" si="1"/>
        <v/>
      </c>
      <c r="K96" s="55" t="str">
        <f t="shared" si="1"/>
        <v/>
      </c>
      <c r="L96" s="55" t="str">
        <f t="shared" si="1"/>
        <v/>
      </c>
      <c r="M96" s="55" t="str">
        <f t="shared" si="1"/>
        <v/>
      </c>
      <c r="N96" s="55" t="str">
        <f t="shared" si="1"/>
        <v/>
      </c>
      <c r="O96" s="55" t="str">
        <f t="shared" si="1"/>
        <v/>
      </c>
      <c r="P96" s="55" t="str">
        <f t="shared" si="1"/>
        <v/>
      </c>
      <c r="Q96" s="55" t="str">
        <f t="shared" si="1"/>
        <v/>
      </c>
      <c r="R96" s="55" t="str">
        <f t="shared" si="1"/>
        <v/>
      </c>
      <c r="S96" s="55" t="str">
        <f t="shared" si="1"/>
        <v/>
      </c>
      <c r="T96" s="55" t="str">
        <f t="shared" si="1"/>
        <v/>
      </c>
      <c r="U96" s="55" t="str">
        <f t="shared" si="1"/>
        <v/>
      </c>
      <c r="V96" s="55" t="str">
        <f t="shared" si="1"/>
        <v/>
      </c>
      <c r="W96" s="55" t="str">
        <f t="shared" si="1"/>
        <v/>
      </c>
      <c r="X96" s="55" t="str">
        <f t="shared" si="1"/>
        <v/>
      </c>
      <c r="Y96" s="55" t="str">
        <f t="shared" si="1"/>
        <v/>
      </c>
      <c r="Z96" s="55" t="str">
        <f t="shared" si="1"/>
        <v/>
      </c>
      <c r="AA96" s="55" t="str">
        <f t="shared" si="1"/>
        <v/>
      </c>
      <c r="AB96" s="55" t="str">
        <f t="shared" si="1"/>
        <v/>
      </c>
      <c r="AC96" s="55" t="str">
        <f t="shared" si="1"/>
        <v/>
      </c>
      <c r="AD96" s="55" t="str">
        <f t="shared" si="1"/>
        <v/>
      </c>
      <c r="AE96" s="55" t="str">
        <f t="shared" si="1"/>
        <v/>
      </c>
      <c r="AF96" s="55" t="str">
        <f t="shared" si="1"/>
        <v/>
      </c>
      <c r="AG96" s="55" t="str">
        <f t="shared" si="1"/>
        <v/>
      </c>
      <c r="AH96" s="55" t="str">
        <f t="shared" si="1"/>
        <v/>
      </c>
      <c r="AI96" s="55" t="str">
        <f t="shared" si="1"/>
        <v/>
      </c>
      <c r="AJ96" s="55" t="str">
        <f t="shared" si="1"/>
        <v/>
      </c>
      <c r="AK96" s="55" t="str">
        <f t="shared" si="1"/>
        <v/>
      </c>
      <c r="AL96" s="55" t="str">
        <f t="shared" si="1"/>
        <v/>
      </c>
      <c r="AM96" s="55" t="str">
        <f t="shared" si="1"/>
        <v/>
      </c>
      <c r="AN96" s="55" t="str">
        <f t="shared" si="1"/>
        <v/>
      </c>
      <c r="AO96" s="55" t="str">
        <f t="shared" si="1"/>
        <v/>
      </c>
      <c r="AP96" s="55" t="str">
        <f t="shared" si="1"/>
        <v/>
      </c>
      <c r="AQ96" s="55" t="str">
        <f t="shared" si="1"/>
        <v/>
      </c>
      <c r="AR96" s="55" t="str">
        <f t="shared" si="1"/>
        <v/>
      </c>
      <c r="AS96" s="55" t="str">
        <f t="shared" si="1"/>
        <v/>
      </c>
      <c r="AT96" s="55" t="str">
        <f t="shared" si="1"/>
        <v/>
      </c>
      <c r="AU96" s="55" t="str">
        <f t="shared" si="1"/>
        <v/>
      </c>
      <c r="AV96" s="55" t="str">
        <f t="shared" si="1"/>
        <v/>
      </c>
      <c r="AW96" s="55" t="str">
        <f t="shared" si="1"/>
        <v/>
      </c>
      <c r="AX96" s="55" t="str">
        <f t="shared" si="1"/>
        <v/>
      </c>
      <c r="AY96" s="55" t="str">
        <f t="shared" si="1"/>
        <v/>
      </c>
      <c r="AZ96" s="55" t="str">
        <f t="shared" si="1"/>
        <v/>
      </c>
      <c r="BA96" s="55" t="str">
        <f t="shared" si="1"/>
        <v/>
      </c>
      <c r="BB96" s="55" t="str">
        <f t="shared" si="1"/>
        <v/>
      </c>
      <c r="BC96" s="55" t="str">
        <f t="shared" si="1"/>
        <v/>
      </c>
      <c r="BD96" s="55" t="str">
        <f t="shared" si="1"/>
        <v/>
      </c>
      <c r="BE96" s="55" t="str">
        <f t="shared" si="1"/>
        <v/>
      </c>
      <c r="BF96" s="55" t="str">
        <f t="shared" si="1"/>
        <v/>
      </c>
      <c r="BG96" s="55" t="str">
        <f t="shared" si="1"/>
        <v/>
      </c>
      <c r="BH96" s="55" t="str">
        <f t="shared" si="1"/>
        <v/>
      </c>
      <c r="BI96" s="55" t="str">
        <f t="shared" si="1"/>
        <v/>
      </c>
      <c r="BJ96" s="55" t="str">
        <f t="shared" si="1"/>
        <v/>
      </c>
      <c r="BK96" s="55" t="str">
        <f t="shared" si="1"/>
        <v/>
      </c>
      <c r="BL96" s="55" t="str">
        <f t="shared" si="1"/>
        <v/>
      </c>
      <c r="BM96" s="55" t="str">
        <f t="shared" si="1"/>
        <v/>
      </c>
      <c r="BN96" s="55" t="str">
        <f t="shared" si="1"/>
        <v/>
      </c>
      <c r="BO96" s="55" t="str">
        <f t="shared" si="1"/>
        <v/>
      </c>
      <c r="BP96" s="55" t="str">
        <f t="shared" ref="BP96:EA96" si="2"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COLUMN(BP1)
        )
    ),
"")</f>
        <v/>
      </c>
      <c r="BQ96" s="55" t="str">
        <f t="shared" si="2"/>
        <v/>
      </c>
      <c r="BR96" s="55" t="str">
        <f t="shared" si="2"/>
        <v/>
      </c>
      <c r="BS96" s="55" t="str">
        <f t="shared" si="2"/>
        <v/>
      </c>
      <c r="BT96" s="55" t="str">
        <f t="shared" si="2"/>
        <v/>
      </c>
      <c r="BU96" s="55" t="str">
        <f t="shared" si="2"/>
        <v/>
      </c>
      <c r="BV96" s="55" t="str">
        <f t="shared" si="2"/>
        <v/>
      </c>
      <c r="BW96" s="55" t="str">
        <f t="shared" si="2"/>
        <v/>
      </c>
      <c r="BX96" s="55" t="str">
        <f t="shared" si="2"/>
        <v/>
      </c>
      <c r="BY96" s="55" t="str">
        <f t="shared" si="2"/>
        <v/>
      </c>
      <c r="BZ96" s="55" t="str">
        <f t="shared" si="2"/>
        <v/>
      </c>
      <c r="CA96" s="55" t="str">
        <f t="shared" si="2"/>
        <v/>
      </c>
      <c r="CB96" s="55" t="str">
        <f t="shared" si="2"/>
        <v/>
      </c>
      <c r="CC96" s="55" t="str">
        <f t="shared" si="2"/>
        <v/>
      </c>
      <c r="CD96" s="55" t="str">
        <f t="shared" si="2"/>
        <v/>
      </c>
      <c r="CE96" s="55" t="str">
        <f t="shared" si="2"/>
        <v/>
      </c>
      <c r="CF96" s="55" t="str">
        <f t="shared" si="2"/>
        <v/>
      </c>
      <c r="CG96" s="55" t="str">
        <f t="shared" si="2"/>
        <v/>
      </c>
      <c r="CH96" s="55" t="str">
        <f t="shared" si="2"/>
        <v/>
      </c>
      <c r="CI96" s="55" t="str">
        <f t="shared" si="2"/>
        <v/>
      </c>
      <c r="CJ96" s="55" t="str">
        <f t="shared" si="2"/>
        <v/>
      </c>
      <c r="CK96" s="55" t="str">
        <f t="shared" si="2"/>
        <v/>
      </c>
      <c r="CL96" s="55" t="str">
        <f t="shared" si="2"/>
        <v/>
      </c>
      <c r="CM96" s="55" t="str">
        <f t="shared" si="2"/>
        <v/>
      </c>
      <c r="CN96" s="55" t="str">
        <f t="shared" si="2"/>
        <v/>
      </c>
      <c r="CO96" s="55" t="str">
        <f t="shared" si="2"/>
        <v/>
      </c>
      <c r="CP96" s="55" t="str">
        <f t="shared" si="2"/>
        <v/>
      </c>
      <c r="CQ96" s="55" t="str">
        <f t="shared" si="2"/>
        <v/>
      </c>
      <c r="CR96" s="55" t="str">
        <f t="shared" si="2"/>
        <v/>
      </c>
      <c r="CS96" s="55" t="str">
        <f t="shared" si="2"/>
        <v/>
      </c>
      <c r="CT96" s="55" t="str">
        <f t="shared" si="2"/>
        <v/>
      </c>
      <c r="CU96" s="55" t="str">
        <f t="shared" si="2"/>
        <v/>
      </c>
      <c r="CV96" s="55" t="str">
        <f t="shared" si="2"/>
        <v/>
      </c>
      <c r="CW96" s="55" t="str">
        <f t="shared" si="2"/>
        <v/>
      </c>
      <c r="CX96" s="55" t="str">
        <f t="shared" si="2"/>
        <v/>
      </c>
      <c r="CY96" s="55" t="str">
        <f t="shared" si="2"/>
        <v/>
      </c>
      <c r="CZ96" s="55" t="str">
        <f t="shared" si="2"/>
        <v/>
      </c>
      <c r="DA96" s="55" t="str">
        <f t="shared" si="2"/>
        <v/>
      </c>
      <c r="DB96" s="55" t="str">
        <f t="shared" si="2"/>
        <v/>
      </c>
      <c r="DC96" s="55" t="str">
        <f t="shared" si="2"/>
        <v/>
      </c>
      <c r="DD96" s="55" t="str">
        <f t="shared" si="2"/>
        <v/>
      </c>
      <c r="DE96" s="55" t="str">
        <f t="shared" si="2"/>
        <v/>
      </c>
      <c r="DF96" s="55" t="str">
        <f t="shared" si="2"/>
        <v/>
      </c>
      <c r="DG96" s="55" t="str">
        <f t="shared" si="2"/>
        <v/>
      </c>
      <c r="DH96" s="55" t="str">
        <f t="shared" si="2"/>
        <v/>
      </c>
      <c r="DI96" s="55" t="str">
        <f t="shared" si="2"/>
        <v/>
      </c>
      <c r="DJ96" s="55" t="str">
        <f t="shared" si="2"/>
        <v/>
      </c>
      <c r="DK96" s="55" t="str">
        <f t="shared" si="2"/>
        <v/>
      </c>
      <c r="DL96" s="55" t="str">
        <f t="shared" si="2"/>
        <v/>
      </c>
      <c r="DM96" s="55" t="str">
        <f t="shared" si="2"/>
        <v/>
      </c>
      <c r="DN96" s="55" t="str">
        <f t="shared" si="2"/>
        <v/>
      </c>
      <c r="DO96" s="55" t="str">
        <f t="shared" si="2"/>
        <v/>
      </c>
      <c r="DP96" s="55" t="str">
        <f t="shared" si="2"/>
        <v/>
      </c>
      <c r="DQ96" s="55" t="str">
        <f t="shared" si="2"/>
        <v/>
      </c>
      <c r="DR96" s="55" t="str">
        <f t="shared" si="2"/>
        <v/>
      </c>
      <c r="DS96" s="55" t="str">
        <f t="shared" si="2"/>
        <v/>
      </c>
      <c r="DT96" s="55" t="str">
        <f t="shared" si="2"/>
        <v/>
      </c>
      <c r="DU96" s="55" t="str">
        <f t="shared" si="2"/>
        <v/>
      </c>
      <c r="DV96" s="55" t="str">
        <f t="shared" si="2"/>
        <v/>
      </c>
      <c r="DW96" s="55" t="str">
        <f t="shared" si="2"/>
        <v/>
      </c>
      <c r="DX96" s="55" t="str">
        <f t="shared" si="2"/>
        <v/>
      </c>
      <c r="DY96" s="55" t="str">
        <f t="shared" si="2"/>
        <v/>
      </c>
      <c r="DZ96" s="55" t="str">
        <f t="shared" si="2"/>
        <v/>
      </c>
      <c r="EA96" s="55" t="str">
        <f t="shared" si="2"/>
        <v/>
      </c>
    </row>
  </sheetData>
  <mergeCells count="6">
    <mergeCell ref="A94:B94"/>
    <mergeCell ref="B1:D1"/>
    <mergeCell ref="A78:B78"/>
    <mergeCell ref="A82:B82"/>
    <mergeCell ref="A86:B86"/>
    <mergeCell ref="A90:B90"/>
  </mergeCells>
  <dataValidations count="1">
    <dataValidation type="list" allowBlank="1" showInputMessage="1" showErrorMessage="1" sqref="E6 F10">
      <formula1>Fijadores_Auxiliar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AG-2565-CHS</vt:lpstr>
      <vt:lpstr>Auxiliar</vt:lpstr>
      <vt:lpstr>NACIMP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Contigiani</dc:creator>
  <cp:lastModifiedBy>Lorenzo Contigiani</cp:lastModifiedBy>
  <cp:lastPrinted>2025-12-23T16:31:26Z</cp:lastPrinted>
  <dcterms:created xsi:type="dcterms:W3CDTF">2025-11-10T11:38:20Z</dcterms:created>
  <dcterms:modified xsi:type="dcterms:W3CDTF">2026-01-28T17:10:58Z</dcterms:modified>
</cp:coreProperties>
</file>