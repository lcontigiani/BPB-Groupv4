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LS06-2RST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2" l="1"/>
  <c r="H24" i="2"/>
  <c r="I13" i="2"/>
  <c r="D13" i="2"/>
  <c r="H13" i="2" s="1"/>
  <c r="M13" i="2" s="1"/>
  <c r="I12" i="2"/>
  <c r="D12" i="2"/>
  <c r="K12" i="2" s="1"/>
  <c r="I11" i="2"/>
  <c r="D11" i="2"/>
  <c r="J11" i="2" s="1"/>
  <c r="I10" i="2"/>
  <c r="D10" i="2"/>
  <c r="H10" i="2" s="1"/>
  <c r="M10" i="2" s="1"/>
  <c r="H11" i="2" l="1"/>
  <c r="M11" i="2" s="1"/>
  <c r="J10" i="2"/>
  <c r="G11" i="2"/>
  <c r="K11" i="2"/>
  <c r="H12" i="2"/>
  <c r="M12" i="2" s="1"/>
  <c r="J13" i="2"/>
  <c r="J12" i="2"/>
  <c r="G13" i="2"/>
  <c r="K13" i="2"/>
  <c r="G10" i="2"/>
  <c r="K10" i="2"/>
  <c r="G12" i="2"/>
  <c r="H30" i="2" l="1"/>
  <c r="I14" i="2"/>
  <c r="D14" i="2"/>
  <c r="J14" i="2" s="1"/>
  <c r="G14" i="2" l="1"/>
  <c r="H14" i="2"/>
  <c r="M14" i="2" s="1"/>
  <c r="K14" i="2"/>
  <c r="H32" i="2"/>
  <c r="I32" i="2" s="1"/>
  <c r="D30" i="2"/>
  <c r="J30" i="2" s="1"/>
  <c r="G30" i="2" l="1"/>
  <c r="I30" i="2"/>
  <c r="M30" i="2" s="1"/>
  <c r="G17" i="2"/>
  <c r="F17" i="2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H17" i="2"/>
  <c r="EA96" i="5" l="1"/>
  <c r="M39" i="2" a="1"/>
  <c r="M39" i="2" s="1"/>
  <c r="L39" i="2" a="1"/>
  <c r="L39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26" i="2" l="1"/>
  <c r="J20" i="2"/>
  <c r="J22" i="2"/>
  <c r="H3" i="2"/>
  <c r="H26" i="2" l="1"/>
  <c r="M26" i="2" s="1"/>
  <c r="H16" i="2"/>
  <c r="H19" i="2"/>
  <c r="H22" i="2"/>
  <c r="M22" i="2" l="1"/>
  <c r="G16" i="2"/>
  <c r="B2" i="5" l="1" a="1"/>
  <c r="B2" i="5" s="1"/>
  <c r="C2" i="5" l="1"/>
  <c r="D2" i="5" l="1"/>
  <c r="E2" i="5" s="1"/>
  <c r="J17" i="2"/>
  <c r="F2" i="5" l="1"/>
  <c r="G2" i="5" s="1"/>
  <c r="M19" i="2"/>
  <c r="J19" i="2"/>
  <c r="M16" i="2"/>
  <c r="J16" i="2"/>
  <c r="H2" i="5" l="1"/>
  <c r="I2" i="5" s="1"/>
  <c r="J28" i="2"/>
  <c r="J2" i="5" l="1"/>
  <c r="K2" i="5" s="1"/>
  <c r="L2" i="5" l="1"/>
  <c r="M2" i="5" s="1"/>
  <c r="N2" i="5" s="1"/>
  <c r="H20" i="2"/>
  <c r="M20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6" i="2" l="1"/>
  <c r="M28" i="2" l="1"/>
  <c r="G28" i="2"/>
  <c r="L40" i="2" l="1" a="1"/>
  <c r="L40" i="2" s="1"/>
  <c r="M40" i="2" a="1"/>
  <c r="M40" i="2" s="1"/>
  <c r="D32" i="2"/>
  <c r="J32" i="2" s="1"/>
  <c r="J9" i="2"/>
  <c r="D24" i="2"/>
  <c r="D23" i="2"/>
  <c r="E23" i="2"/>
  <c r="J23" i="2" s="1"/>
  <c r="E24" i="2"/>
  <c r="G22" i="2"/>
  <c r="G23" i="2" l="1"/>
  <c r="G9" i="2"/>
  <c r="G24" i="2"/>
  <c r="J24" i="2"/>
  <c r="G32" i="2"/>
  <c r="G19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M17" i="2" l="1"/>
  <c r="K9" i="2"/>
  <c r="M36" i="2" l="1" a="1"/>
  <c r="M36" i="2" s="1"/>
  <c r="L36" i="2" a="1"/>
  <c r="L36" i="2" s="1"/>
  <c r="M32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4" i="2"/>
  <c r="F23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5" i="2" l="1" a="1"/>
  <c r="M35" i="2" s="1"/>
  <c r="M37" i="2" s="1"/>
  <c r="M41" i="2" s="1" a="1"/>
  <c r="M41" i="2" s="1"/>
  <c r="L35" i="2" a="1"/>
  <c r="L35" i="2" s="1"/>
  <c r="L37" i="2" s="1"/>
  <c r="I24" i="2"/>
  <c r="M24" i="2" s="1"/>
  <c r="M38" i="2" s="1" a="1"/>
  <c r="M38" i="2" s="1"/>
  <c r="I23" i="2"/>
  <c r="M23" i="2" s="1"/>
  <c r="L38" i="2" s="1" a="1"/>
  <c r="L38" i="2" s="1"/>
  <c r="L41" i="2" l="1" a="1"/>
  <c r="L41" i="2" s="1"/>
  <c r="L42" i="2"/>
  <c r="M42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<sst xmlns="http://schemas.openxmlformats.org/spreadsheetml/2006/main" count="66" uniqueCount="59">
  <si>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</si>
  <si>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</si>
  <si>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</si>
  <si>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</si>
  <si>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</si>
  <si>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</si>
  <si>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</si>
  <si>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</si>
  <si>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</si>
  <si>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</si>
  <si>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</si>
  <si>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</si>
  <si>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</si>
  <si>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</si>
  <si>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</si>
  <si>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</si>
  <si>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</si>
  <si>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</si>
  <si>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</si>
  <si>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</si>
  <si>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</si>
  <si>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</si>
  <si>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</si>
  <si>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</si>
  <si>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</si>
  <si>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</si>
  <si>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</si>
  <si>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</si>
  <si>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</si>
  <si>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</si>
  <si>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</si>
  <si>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</si>
  <si>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</si>
  <si>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</si>
  <si>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</si>
  <si>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</si>
  <si>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</si>
  <si>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</si>
  <si>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</si>
  <si>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</si>
  <si>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</si>
  <si>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</si>
  <si>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</si>
  <si>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</si>
  <si>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</si>
  <si>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</si>
  <si>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</si>
  <si>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</si>
  <si>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</si>
  <si>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</si>
  <si>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</si>
  <si>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</si>
  <si>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</si>
  <si>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</si>
  <si>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</si>
  <si>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</si>
  <si>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</si>
  <si>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</si>
  <si>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LS06-2RST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</si>
</sst>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69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0" borderId="19" xfId="4" applyFont="1" applyFill="1" applyBorder="1" applyAlignment="1" applyProtection="1">
      <alignment horizontal="right" vertical="center" indent="1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30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36</xdr:row>
          <xdr:rowOff>333375</xdr:rowOff>
        </xdr:from>
        <xdr:to>
          <xdr:col>1</xdr:col>
          <xdr:colOff>1762125</xdr:colOff>
          <xdr:row>38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32</xdr:row>
          <xdr:rowOff>95250</xdr:rowOff>
        </xdr:from>
        <xdr:to>
          <xdr:col>1</xdr:col>
          <xdr:colOff>1609725</xdr:colOff>
          <xdr:row>33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  <cell r="E11"/>
          <cell r="F11" t="str">
            <v>Plana</v>
          </cell>
          <cell r="G11"/>
          <cell r="H11" t="str">
            <v xml:space="preserve">12 mm </v>
          </cell>
          <cell r="I11"/>
          <cell r="J11" t="str">
            <v xml:space="preserve">16 mm </v>
          </cell>
          <cell r="K11"/>
          <cell r="L11" t="str">
            <v xml:space="preserve">20 mm </v>
          </cell>
          <cell r="M11"/>
          <cell r="N11" t="str">
            <v>25 mm</v>
          </cell>
          <cell r="O11"/>
          <cell r="P11" t="str">
            <v>32 mm</v>
          </cell>
          <cell r="Q11"/>
          <cell r="R11" t="str">
            <v>40 mm</v>
          </cell>
          <cell r="S11"/>
          <cell r="T11" t="str">
            <v>63 mm</v>
          </cell>
          <cell r="U11"/>
          <cell r="V11"/>
          <cell r="W11"/>
          <cell r="X11"/>
          <cell r="Y11"/>
          <cell r="Z11" t="str">
            <v>Para Ranurar</v>
          </cell>
          <cell r="AA11"/>
          <cell r="AB11" t="str">
            <v>Para Roscar</v>
          </cell>
          <cell r="AC11"/>
          <cell r="AD11" t="str">
            <v>Inserto 1</v>
          </cell>
          <cell r="AE11"/>
          <cell r="AF11" t="str">
            <v>Inserto 2</v>
          </cell>
          <cell r="AG11"/>
          <cell r="AH11" t="str">
            <v>Inserto 3</v>
          </cell>
          <cell r="AI11"/>
          <cell r="AJ11" t="str">
            <v>Inserto 4</v>
          </cell>
          <cell r="AK11"/>
          <cell r="AL11" t="str">
            <v>Inserto 5</v>
          </cell>
          <cell r="AM11"/>
          <cell r="AN11" t="str">
            <v>Inserto 6</v>
          </cell>
          <cell r="AO11"/>
          <cell r="AP11" t="str">
            <v>Inserto 7</v>
          </cell>
          <cell r="AQ11"/>
          <cell r="AR11" t="str">
            <v>Inserto 8</v>
          </cell>
          <cell r="AS11"/>
          <cell r="AT11" t="str">
            <v>Inserto 9</v>
          </cell>
          <cell r="AU11"/>
          <cell r="AV11" t="str">
            <v>Inserto 10</v>
          </cell>
          <cell r="AW11"/>
          <cell r="AX11" t="str">
            <v>Inserto 11</v>
          </cell>
          <cell r="AY11"/>
          <cell r="AZ11" t="str">
            <v>Inserto 12</v>
          </cell>
          <cell r="BA11"/>
          <cell r="BB11" t="str">
            <v>Inserto 13</v>
          </cell>
          <cell r="BC11"/>
          <cell r="BD11" t="str">
            <v>Mecha 1</v>
          </cell>
          <cell r="BE11"/>
          <cell r="BF11" t="str">
            <v>Mecha 2</v>
          </cell>
          <cell r="BG11"/>
          <cell r="BH11" t="str">
            <v>Mecha 3</v>
          </cell>
          <cell r="BI11"/>
          <cell r="BJ11" t="str">
            <v>Mecha 4</v>
          </cell>
          <cell r="BK11"/>
          <cell r="BL11" t="str">
            <v>Mecha 5</v>
          </cell>
          <cell r="BM11"/>
          <cell r="BN11" t="str">
            <v>Mecha 6</v>
          </cell>
          <cell r="BO11"/>
          <cell r="BP11" t="str">
            <v>Mecha 7</v>
          </cell>
          <cell r="BQ11"/>
          <cell r="BR11" t="str">
            <v>Mecha 8</v>
          </cell>
          <cell r="BS11"/>
          <cell r="BT11" t="str">
            <v>Mecha 9</v>
          </cell>
          <cell r="BU11"/>
          <cell r="BV11" t="str">
            <v>Mecha 10</v>
          </cell>
          <cell r="BW11"/>
          <cell r="BX11" t="str">
            <v>Mecha 11</v>
          </cell>
          <cell r="BY11"/>
          <cell r="CJ11" t="str">
            <v>Mechas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  <row r="13">
          <cell r="B13" t="str">
            <v>Costo Costo ($/u)</v>
          </cell>
          <cell r="D13"/>
          <cell r="E13"/>
          <cell r="F13">
            <v>26.9</v>
          </cell>
          <cell r="G13"/>
          <cell r="H13"/>
          <cell r="I13"/>
          <cell r="J13">
            <v>135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>
            <v>26.55</v>
          </cell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</row>
        <row r="14">
          <cell r="B14" t="str">
            <v>Vida Util (h/tool)</v>
          </cell>
          <cell r="D14" t="str">
            <v/>
          </cell>
          <cell r="E14"/>
          <cell r="F14">
            <v>2500</v>
          </cell>
          <cell r="G14"/>
          <cell r="H14" t="str">
            <v/>
          </cell>
          <cell r="I14"/>
          <cell r="J14">
            <v>5000</v>
          </cell>
          <cell r="K14"/>
          <cell r="L14" t="str">
            <v/>
          </cell>
          <cell r="M14"/>
          <cell r="N14" t="str">
            <v/>
          </cell>
          <cell r="O14"/>
          <cell r="P14" t="str">
            <v/>
          </cell>
          <cell r="Q14"/>
          <cell r="R14" t="str">
            <v/>
          </cell>
          <cell r="S14"/>
          <cell r="T14" t="str">
            <v/>
          </cell>
          <cell r="U14"/>
          <cell r="V14" t="str">
            <v/>
          </cell>
          <cell r="W14"/>
          <cell r="X14" t="str">
            <v/>
          </cell>
          <cell r="Y14"/>
          <cell r="Z14" t="str">
            <v/>
          </cell>
          <cell r="AA14"/>
          <cell r="AB14" t="str">
            <v/>
          </cell>
          <cell r="AC14"/>
          <cell r="AD14">
            <v>500</v>
          </cell>
          <cell r="AE14"/>
          <cell r="AF14" t="str">
            <v/>
          </cell>
          <cell r="AG14"/>
          <cell r="AH14" t="str">
            <v/>
          </cell>
          <cell r="AI14"/>
          <cell r="AJ14" t="str">
            <v/>
          </cell>
          <cell r="AK14"/>
          <cell r="AL14" t="str">
            <v/>
          </cell>
          <cell r="AM14"/>
          <cell r="AN14" t="str">
            <v/>
          </cell>
          <cell r="AO14"/>
          <cell r="AP14" t="str">
            <v/>
          </cell>
          <cell r="AQ14"/>
          <cell r="AR14" t="str">
            <v/>
          </cell>
          <cell r="AS14"/>
          <cell r="AT14" t="str">
            <v/>
          </cell>
          <cell r="AU14"/>
          <cell r="AV14" t="str">
            <v/>
          </cell>
          <cell r="AW14"/>
          <cell r="AX14" t="str">
            <v/>
          </cell>
          <cell r="AY14"/>
          <cell r="AZ14" t="str">
            <v/>
          </cell>
          <cell r="BA14"/>
          <cell r="BB14" t="str">
            <v/>
          </cell>
          <cell r="BC14"/>
          <cell r="BD14" t="str">
            <v/>
          </cell>
          <cell r="BE14"/>
          <cell r="BF14" t="str">
            <v/>
          </cell>
          <cell r="BG14"/>
          <cell r="BH14" t="str">
            <v/>
          </cell>
          <cell r="BI14"/>
          <cell r="BJ14" t="str">
            <v/>
          </cell>
          <cell r="BK14"/>
          <cell r="BL14" t="str">
            <v/>
          </cell>
          <cell r="BM14"/>
          <cell r="BN14" t="str">
            <v/>
          </cell>
          <cell r="BO14"/>
          <cell r="BP14" t="str">
            <v/>
          </cell>
          <cell r="BQ14"/>
          <cell r="BR14" t="str">
            <v/>
          </cell>
          <cell r="BS14"/>
          <cell r="BT14" t="str">
            <v/>
          </cell>
          <cell r="BU14"/>
          <cell r="BV14" t="str">
            <v/>
          </cell>
          <cell r="BW14"/>
          <cell r="BX14" t="str">
            <v/>
          </cell>
          <cell r="BY14"/>
        </row>
        <row r="15">
          <cell r="B15" t="str">
            <v>Codigo_Pieza</v>
          </cell>
          <cell r="D15" t="str">
            <v>Piezas Trabajadas  (N)</v>
          </cell>
          <cell r="E15" t="str">
            <v>Tiempo de Trabajo por Pieza (min)</v>
          </cell>
          <cell r="F15" t="str">
            <v>Piezas Trabajadas (N)</v>
          </cell>
          <cell r="G15" t="str">
            <v>Tiempo de Trabajo por Pieza (min)</v>
          </cell>
          <cell r="H15" t="str">
            <v>Piezas Trabajadas (N)</v>
          </cell>
          <cell r="I15" t="str">
            <v>Tiempo de Trabajo por Pieza (min)</v>
          </cell>
          <cell r="J15" t="str">
            <v>Piezas Trabajadas (N)</v>
          </cell>
          <cell r="K15" t="str">
            <v>Tiempo de Trabajo por Pieza (min)</v>
          </cell>
          <cell r="L15" t="str">
            <v>Piezas Trabajadas (N)</v>
          </cell>
          <cell r="M15" t="str">
            <v>Tiempo de Trabajo por Pieza (min)</v>
          </cell>
          <cell r="N15" t="str">
            <v>Piezas Trabajadas (N)</v>
          </cell>
          <cell r="O15" t="str">
            <v>Tiempo de Trabajo por Pieza (min)</v>
          </cell>
          <cell r="P15" t="str">
            <v>Piezas Trabajadas (N)</v>
          </cell>
          <cell r="Q15" t="str">
            <v>Tiempo de Trabajo por Pieza (min)</v>
          </cell>
          <cell r="R15" t="str">
            <v>Piezas Trabajadas (N)</v>
          </cell>
          <cell r="S15" t="str">
            <v>Tiempo de Trabajo por Pieza (min)</v>
          </cell>
          <cell r="T15" t="str">
            <v>Piezas Trabajadas (N)</v>
          </cell>
          <cell r="U15" t="str">
            <v>Tiempo de Trabajo por Pieza (min)</v>
          </cell>
          <cell r="V15" t="str">
            <v>Piezas Trabajadas (N)</v>
          </cell>
          <cell r="W15" t="str">
            <v>Tiempo de Trabajo por Pieza (min)</v>
          </cell>
          <cell r="X15" t="str">
            <v>Piezas Trabajadas (N)</v>
          </cell>
          <cell r="Y15" t="str">
            <v>Tiempo de Trabajo por Pieza (min)</v>
          </cell>
          <cell r="Z15" t="str">
            <v>Piezas Trabajadas (N)</v>
          </cell>
          <cell r="AA15" t="str">
            <v>Tiempo de Trabajo por Pieza (min)</v>
          </cell>
          <cell r="AB15" t="str">
            <v>Piezas Trabajadas (N)</v>
          </cell>
          <cell r="AC15" t="str">
            <v>Tiempo de Trabajo por Pieza (min)</v>
          </cell>
          <cell r="AD15" t="str">
            <v>Piezas Trabajadas (N)</v>
          </cell>
          <cell r="AE15" t="str">
            <v>Tiempo de Trabajo por Pieza (min)</v>
          </cell>
          <cell r="AF15" t="str">
            <v>Piezas Trabajadas (N)</v>
          </cell>
          <cell r="AG15" t="str">
            <v>Tiempo de Trabajo por Pieza (min)</v>
          </cell>
          <cell r="AH15" t="str">
            <v>Piezas Trabajadas (N)</v>
          </cell>
          <cell r="AI15" t="str">
            <v>Tiempo de Trabajo por Pieza (min)</v>
          </cell>
          <cell r="AJ15" t="str">
            <v>Piezas Trabajadas (N)</v>
          </cell>
          <cell r="AK15" t="str">
            <v>Tiempo de Trabajo por Pieza (min)</v>
          </cell>
          <cell r="AL15" t="str">
            <v>Piezas Trabajadas (N)</v>
          </cell>
          <cell r="AM15" t="str">
            <v>Tiempo de Trabajo por Pieza (min)</v>
          </cell>
          <cell r="AN15" t="str">
            <v>Piezas Trabajadas (N)</v>
          </cell>
          <cell r="AO15" t="str">
            <v>Tiempo de Trabajo por Pieza (min)</v>
          </cell>
          <cell r="AP15" t="str">
            <v>Piezas Trabajadas (N)</v>
          </cell>
          <cell r="AQ15" t="str">
            <v>Tiempo de Trabajo por Pieza (min)</v>
          </cell>
          <cell r="AR15" t="str">
            <v>Piezas Trabajadas (N)</v>
          </cell>
          <cell r="AS15" t="str">
            <v>Tiempo de Trabajo por Pieza (min)</v>
          </cell>
          <cell r="AT15" t="str">
            <v>Piezas Trabajadas (N)</v>
          </cell>
          <cell r="AU15" t="str">
            <v>Tiempo de Trabajo por Pieza (min)</v>
          </cell>
          <cell r="AV15" t="str">
            <v>Piezas Trabajadas (N)</v>
          </cell>
          <cell r="AW15" t="str">
            <v>Tiempo de Trabajo por Pieza (min)</v>
          </cell>
          <cell r="AX15" t="str">
            <v>Piezas Trabajadas (N)</v>
          </cell>
          <cell r="AY15" t="str">
            <v>Tiempo de Trabajo por Pieza (min)</v>
          </cell>
          <cell r="AZ15" t="str">
            <v>Piezas Trabajadas (N)</v>
          </cell>
          <cell r="BA15" t="str">
            <v>Tiempo de Trabajo por Pieza (min)</v>
          </cell>
          <cell r="BB15" t="str">
            <v>Piezas Trabajadas (N)</v>
          </cell>
          <cell r="BC15" t="str">
            <v>Tiempo de Trabajo por Pieza (min)</v>
          </cell>
          <cell r="BD15" t="str">
            <v>Piezas Trabajadas (N)</v>
          </cell>
          <cell r="BE15" t="str">
            <v>Tiempo de Trabajo por Pieza (min)</v>
          </cell>
          <cell r="BF15" t="str">
            <v>Piezas Trabajadas (N)</v>
          </cell>
          <cell r="BG15" t="str">
            <v>Tiempo de Trabajo por Pieza (min)</v>
          </cell>
          <cell r="BH15" t="str">
            <v>Piezas Trabajadas (N)</v>
          </cell>
          <cell r="BI15" t="str">
            <v>Tiempo de Trabajo por Pieza (min)</v>
          </cell>
          <cell r="BJ15" t="str">
            <v>Piezas Trabajadas (N)</v>
          </cell>
          <cell r="BK15" t="str">
            <v>Tiempo de Trabajo por Pieza (min)</v>
          </cell>
          <cell r="BL15" t="str">
            <v>Piezas Trabajadas (N)</v>
          </cell>
          <cell r="BM15" t="str">
            <v>Tiempo de Trabajo por Pieza (min)</v>
          </cell>
          <cell r="BN15" t="str">
            <v>Piezas Trabajadas (N)</v>
          </cell>
          <cell r="BO15" t="str">
            <v>Tiempo de Trabajo por Pieza (min)</v>
          </cell>
          <cell r="BP15" t="str">
            <v>Piezas Trabajadas (N)</v>
          </cell>
          <cell r="BQ15" t="str">
            <v>Tiempo de Trabajo por Pieza (min)</v>
          </cell>
          <cell r="BR15" t="str">
            <v>Piezas Trabajadas (N)</v>
          </cell>
          <cell r="BS15" t="str">
            <v>Tiempo de Trabajo por Pieza (min)</v>
          </cell>
          <cell r="BT15" t="str">
            <v>Piezas Trabajadas (N)</v>
          </cell>
          <cell r="BU15" t="str">
            <v>Tiempo de Trabajo por Pieza (min)</v>
          </cell>
          <cell r="BV15" t="str">
            <v>Piezas Trabajadas (N)</v>
          </cell>
          <cell r="BW15" t="str">
            <v>Tiempo de Trabajo por Pieza (min)</v>
          </cell>
          <cell r="BX15" t="str">
            <v>Piezas Trabajadas (N)</v>
          </cell>
          <cell r="BY15" t="str">
            <v>Tiempo de Trabajo por Pieza (min)</v>
          </cell>
          <cell r="CJ15" t="str">
            <v/>
          </cell>
        </row>
        <row r="16">
          <cell r="B16" t="str">
            <v>AG-353040CHS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CJ16" t="str">
            <v/>
          </cell>
        </row>
        <row r="17">
          <cell r="B17" t="str">
            <v>AG-2565-CHS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CJ17" t="str">
            <v/>
          </cell>
        </row>
        <row r="18">
          <cell r="B18" t="str">
            <v>HM-518445-41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CJ18" t="str">
            <v/>
          </cell>
        </row>
        <row r="19">
          <cell r="B19" t="str">
            <v>M040000075</v>
          </cell>
          <cell r="D19"/>
          <cell r="E19"/>
          <cell r="F19">
            <v>5000</v>
          </cell>
          <cell r="G19">
            <v>30</v>
          </cell>
          <cell r="H19"/>
          <cell r="I19"/>
          <cell r="J19">
            <v>10000</v>
          </cell>
          <cell r="K19">
            <v>30</v>
          </cell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>
            <v>1000</v>
          </cell>
          <cell r="AE19">
            <v>30</v>
          </cell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CJ19" t="str">
            <v/>
          </cell>
        </row>
        <row r="20">
          <cell r="B20" t="str">
            <v>30207-MX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CJ20" t="str">
            <v/>
          </cell>
        </row>
        <row r="21">
          <cell r="B21" t="str">
            <v>AG-3565-CH9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CJ21" t="str">
            <v/>
          </cell>
        </row>
        <row r="22">
          <cell r="B22" t="str">
            <v>30206-MX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CJ22" t="str">
            <v/>
          </cell>
        </row>
        <row r="23">
          <cell r="B23" t="str">
            <v>FT-205-KYYB5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</row>
        <row r="24">
          <cell r="B24" t="str">
            <v>30208-MX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</row>
        <row r="25">
          <cell r="B25" t="str">
            <v>9010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</row>
        <row r="26">
          <cell r="B26" t="str">
            <v>AGHUB39FM20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</row>
        <row r="27">
          <cell r="B27" t="str">
            <v>30209-MX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</row>
        <row r="28">
          <cell r="B28" t="str">
            <v>30210-MX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</row>
        <row r="29">
          <cell r="B29" t="str">
            <v>30205-MX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</row>
        <row r="30">
          <cell r="B30" t="str">
            <v>9011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</row>
        <row r="31">
          <cell r="B31" t="str">
            <v>AG-353016CHS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</row>
        <row r="32">
          <cell r="B32" t="str">
            <v>30204-MX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</row>
        <row r="33">
          <cell r="B33" t="str">
            <v>DTR3062-FM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</row>
        <row r="34">
          <cell r="B34" t="str">
            <v>30212-MX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</row>
        <row r="35">
          <cell r="B35" t="str">
            <v>DTR2549-FM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</row>
        <row r="36">
          <cell r="B36" t="str">
            <v>30211-MX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</row>
        <row r="37">
          <cell r="B37" t="str">
            <v>32218-MX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</row>
        <row r="38">
          <cell r="B38" t="str">
            <v>S410000034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</row>
        <row r="39">
          <cell r="B39" t="str">
            <v>12025-P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</row>
        <row r="40">
          <cell r="B40" t="str">
            <v>AG-04.038.1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</row>
        <row r="41">
          <cell r="B41" t="str">
            <v>LS06-2RST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</row>
        <row r="42">
          <cell r="B42" t="str">
            <v>320-32X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</row>
        <row r="43">
          <cell r="B43" t="str">
            <v>32213-MX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</row>
        <row r="44">
          <cell r="B44" t="str">
            <v>32209-MX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</row>
        <row r="45">
          <cell r="B45" t="str">
            <v>SAB207-P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</row>
        <row r="46">
          <cell r="B46" t="str">
            <v>HCFTS206-20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</row>
        <row r="47">
          <cell r="B47" t="str">
            <v>HCP210-31-HA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</row>
        <row r="48">
          <cell r="B48" t="str">
            <v>32216-MX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</row>
        <row r="49">
          <cell r="B49" t="str">
            <v>32211-MX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</row>
        <row r="50">
          <cell r="B50" t="str">
            <v>AG307516-CHS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</row>
        <row r="51">
          <cell r="B51" t="str">
            <v>MG-206-RR3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</row>
        <row r="52">
          <cell r="B52" t="str">
            <v>BP-22002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</row>
        <row r="53">
          <cell r="B53" t="str">
            <v>30203-MX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</row>
        <row r="54">
          <cell r="B54" t="str">
            <v>MS04-2RST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</row>
        <row r="55">
          <cell r="B55" t="str">
            <v>32212-MX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</row>
        <row r="56">
          <cell r="B56" t="str">
            <v>04330121-01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</row>
        <row r="57">
          <cell r="B57" t="str">
            <v>S41211-DTR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</row>
        <row r="58">
          <cell r="B58" t="str">
            <v>AG-3565-CH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</row>
        <row r="59">
          <cell r="B59" t="str">
            <v>32010-MX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</row>
        <row r="60">
          <cell r="B60" t="str">
            <v>MS06-2RST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</row>
        <row r="61">
          <cell r="B61" t="str">
            <v>SAB207-35DG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</row>
        <row r="62">
          <cell r="B62" t="str">
            <v>BP-18030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</row>
        <row r="63">
          <cell r="B63" t="str">
            <v>BP-20001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</row>
        <row r="64">
          <cell r="B64" t="str">
            <v>BP-16003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</row>
        <row r="65">
          <cell r="B65" t="str">
            <v>ECL210-50D-3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</row>
        <row r="66">
          <cell r="B66" t="str">
            <v>LS05-2RLD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</row>
        <row r="67">
          <cell r="B67" t="str">
            <v>ASA-80-2-10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</row>
        <row r="68">
          <cell r="B68" t="str">
            <v>PB000155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</row>
        <row r="69">
          <cell r="B69" t="str">
            <v>PB006004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</row>
        <row r="70">
          <cell r="B70" t="str">
            <v>BP-12011-BI2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</row>
        <row r="71">
          <cell r="B71" t="str">
            <v>BP-12011-BD2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</row>
        <row r="72">
          <cell r="B72" t="str">
            <v>32217-MX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</row>
        <row r="73">
          <cell r="B73" t="str">
            <v>32013-MX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</row>
        <row r="74">
          <cell r="B74" t="str">
            <v>MS05-D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</row>
        <row r="75">
          <cell r="B75" t="str">
            <v>32011-MX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</row>
        <row r="76">
          <cell r="B76" t="str">
            <v>PB002860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</row>
        <row r="77">
          <cell r="B77" t="str">
            <v>112-CB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</row>
        <row r="78">
          <cell r="B78" t="str">
            <v>6204-2RS-RC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</row>
        <row r="79">
          <cell r="B79" t="str">
            <v>32214-MX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</row>
        <row r="80">
          <cell r="B80" t="str">
            <v>PFF-9-M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</row>
        <row r="81">
          <cell r="B81" t="str">
            <v>MS07-2RST1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</row>
        <row r="82">
          <cell r="B82" t="str">
            <v>ASA-80-2-12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</row>
        <row r="83">
          <cell r="B83" t="str">
            <v>LM104949-911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</row>
        <row r="84">
          <cell r="B84" t="str">
            <v>33117-MX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</row>
        <row r="85">
          <cell r="B85" t="str">
            <v>PB004772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</row>
        <row r="86">
          <cell r="B86" t="str">
            <v>33207-MX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</row>
        <row r="87">
          <cell r="B87" t="str">
            <v>BP-18020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</row>
        <row r="88">
          <cell r="B88" t="str">
            <v>PB001184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</row>
        <row r="89">
          <cell r="B89" t="str">
            <v>PB003367A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</row>
        <row r="90">
          <cell r="B90" t="str">
            <v>32007-MX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</row>
        <row r="91">
          <cell r="B91" t="str">
            <v>SAB-207-35DG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</row>
        <row r="92">
          <cell r="B92" t="str">
            <v>LM68149-110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</row>
        <row r="93">
          <cell r="B93" t="str">
            <v>PB004848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</row>
        <row r="94">
          <cell r="B94" t="str">
            <v>32208-MX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</row>
        <row r="95">
          <cell r="B95" t="str">
            <v>DS2565C25CHS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</row>
        <row r="96">
          <cell r="B96" t="str">
            <v>32210-MX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</row>
        <row r="97">
          <cell r="B97" t="str">
            <v>SAB206-30DG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</row>
        <row r="98">
          <cell r="B98" t="str">
            <v>PB000864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</row>
        <row r="99">
          <cell r="B99" t="str">
            <v>AG-5575CHS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</row>
        <row r="100">
          <cell r="B100" t="str">
            <v>32207-MX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</row>
        <row r="101">
          <cell r="B101" t="str">
            <v>32219-MX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</row>
        <row r="102">
          <cell r="B102" t="str">
            <v>F-210-C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</row>
        <row r="103">
          <cell r="B103" t="str">
            <v>ECL212-60D-3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</row>
        <row r="104">
          <cell r="B104" t="str">
            <v>30213-MX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</row>
        <row r="105">
          <cell r="B105" t="str">
            <v>LS05-ZZ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</row>
        <row r="106">
          <cell r="B106" t="str">
            <v>HCFS210-31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</row>
        <row r="107">
          <cell r="B107" t="str">
            <v>FB-210-C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</row>
        <row r="108">
          <cell r="B108" t="str">
            <v>207-KRRB12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</row>
        <row r="109">
          <cell r="B109" t="str">
            <v>32008-MX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</row>
        <row r="110">
          <cell r="B110" t="str">
            <v>M040000059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</row>
        <row r="111">
          <cell r="B111" t="str">
            <v>LS05-2RST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</row>
        <row r="112">
          <cell r="B112" t="str">
            <v>PB000721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</row>
        <row r="113">
          <cell r="B113" t="str">
            <v>SAB208-40DG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</row>
        <row r="114">
          <cell r="B114" t="str">
            <v>MS06-D-C3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</row>
        <row r="115">
          <cell r="B115" t="str">
            <v>PB000852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</row>
        <row r="116">
          <cell r="B116" t="str">
            <v>HD04-2RST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</row>
        <row r="117">
          <cell r="B117" t="str">
            <v>207-KRRB9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</row>
        <row r="118">
          <cell r="B118" t="str">
            <v>PB003292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</row>
        <row r="119">
          <cell r="B119" t="str">
            <v>BP-17010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</row>
        <row r="120">
          <cell r="B120" t="str">
            <v>AG59520-62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</row>
        <row r="121">
          <cell r="B121" t="str">
            <v>PB004759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</row>
        <row r="122">
          <cell r="B122" t="str">
            <v>UCF211-32G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</row>
        <row r="123">
          <cell r="B123" t="str">
            <v>ECL207-35DD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</row>
        <row r="124">
          <cell r="B124" t="str">
            <v>PB004771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</row>
        <row r="125">
          <cell r="B125" t="str">
            <v>32006-MX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</row>
        <row r="126">
          <cell r="B126" t="str">
            <v>ECL-205-25DG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</row>
        <row r="127">
          <cell r="B127" t="str">
            <v>01.10.016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</row>
        <row r="128">
          <cell r="B128" t="str">
            <v>SAB5209-3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</row>
        <row r="129">
          <cell r="B129" t="str">
            <v>PB002452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</row>
        <row r="130">
          <cell r="B130" t="str">
            <v>32206-MX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</row>
        <row r="131">
          <cell r="B131" t="str">
            <v>30309-MX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/>
          <cell r="BK131"/>
          <cell r="BL131"/>
          <cell r="BM131"/>
          <cell r="BN131"/>
          <cell r="BO131"/>
          <cell r="BP131"/>
          <cell r="BQ131"/>
          <cell r="BR131"/>
          <cell r="BS131"/>
          <cell r="BT131"/>
          <cell r="BU131"/>
          <cell r="BV131"/>
          <cell r="BW131"/>
          <cell r="BX131"/>
          <cell r="BY131"/>
        </row>
        <row r="132">
          <cell r="B132" t="str">
            <v>F490306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  <cell r="BN132"/>
          <cell r="BO132"/>
          <cell r="BP132"/>
          <cell r="BQ132"/>
          <cell r="BR132"/>
          <cell r="BS132"/>
          <cell r="BT132"/>
          <cell r="BU132"/>
          <cell r="BV132"/>
          <cell r="BW132"/>
          <cell r="BX132"/>
          <cell r="BY132"/>
        </row>
        <row r="133">
          <cell r="B133" t="str">
            <v>203-KRR3-E2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</row>
        <row r="134">
          <cell r="B134" t="str">
            <v>F-211-M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</row>
        <row r="135">
          <cell r="B135" t="str">
            <v>PB001096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/>
          <cell r="BY135"/>
        </row>
        <row r="136">
          <cell r="B136" t="str">
            <v>PB002861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</row>
        <row r="137">
          <cell r="B137" t="str">
            <v>M040000077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</row>
        <row r="138">
          <cell r="B138" t="str">
            <v>32220-MX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</row>
        <row r="139">
          <cell r="B139" t="str">
            <v>209-KYYB2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</row>
        <row r="140">
          <cell r="B140" t="str">
            <v>205KYR2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</row>
        <row r="141">
          <cell r="B141" t="str">
            <v>MS02-2RLD-C3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</row>
        <row r="142">
          <cell r="B142" t="str">
            <v>01.10.017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/>
          <cell r="BY142"/>
        </row>
        <row r="143">
          <cell r="B143" t="str">
            <v>ECL-207-35DG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/>
          <cell r="BY143"/>
        </row>
        <row r="144">
          <cell r="B144" t="str">
            <v>PB006186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</row>
        <row r="145">
          <cell r="B145" t="str">
            <v>HCP211-32G</v>
          </cell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</row>
        <row r="146">
          <cell r="B146" t="str">
            <v>ACL-210-50mm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  <cell r="BN146"/>
          <cell r="BO146"/>
          <cell r="BP146"/>
          <cell r="BQ146"/>
          <cell r="BR146"/>
          <cell r="BS146"/>
          <cell r="BT146"/>
          <cell r="BU146"/>
          <cell r="BV146"/>
          <cell r="BW146"/>
          <cell r="BX146"/>
          <cell r="BY146"/>
        </row>
        <row r="147">
          <cell r="B147" t="str">
            <v>UCF205-16G</v>
          </cell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/>
          <cell r="BR147"/>
          <cell r="BS147"/>
          <cell r="BT147"/>
          <cell r="BU147"/>
          <cell r="BV147"/>
          <cell r="BW147"/>
          <cell r="BX147"/>
          <cell r="BY147"/>
        </row>
        <row r="148">
          <cell r="B148" t="str">
            <v>5203-KYY5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</row>
        <row r="149">
          <cell r="B149" t="str">
            <v>PB005307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</row>
        <row r="150">
          <cell r="B150" t="str">
            <v>SAB209-45DG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</row>
        <row r="151">
          <cell r="B151" t="str">
            <v>PB001842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</row>
        <row r="152">
          <cell r="B152" t="str">
            <v>ACLR208-40RG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</row>
        <row r="153">
          <cell r="B153" t="str">
            <v>FHP208-24G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</row>
        <row r="154">
          <cell r="B154" t="str">
            <v>30308-MX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</row>
        <row r="155">
          <cell r="B155" t="str">
            <v>207-KYYB2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</row>
        <row r="156">
          <cell r="B156" t="str">
            <v>PB004010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</row>
        <row r="157">
          <cell r="B157" t="str">
            <v>PB001335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</row>
        <row r="158">
          <cell r="B158" t="str">
            <v>PB001029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</row>
        <row r="159">
          <cell r="B159" t="str">
            <v>LS06-D</v>
          </cell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/>
          <cell r="BK159"/>
          <cell r="BL159"/>
          <cell r="BM159"/>
          <cell r="BN159"/>
          <cell r="BO159"/>
          <cell r="BP159"/>
          <cell r="BQ159"/>
          <cell r="BR159"/>
          <cell r="BS159"/>
          <cell r="BT159"/>
          <cell r="BU159"/>
          <cell r="BV159"/>
          <cell r="BW159"/>
          <cell r="BX159"/>
          <cell r="BY159"/>
        </row>
        <row r="160">
          <cell r="B160" t="str">
            <v>PB004758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</row>
        <row r="161">
          <cell r="B161" t="str">
            <v>PB000157</v>
          </cell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  <cell r="BE161"/>
          <cell r="BF161"/>
          <cell r="BG161"/>
          <cell r="BH161"/>
          <cell r="BI161"/>
          <cell r="BJ161"/>
          <cell r="BK161"/>
          <cell r="BL161"/>
          <cell r="BM161"/>
          <cell r="BN161"/>
          <cell r="BO161"/>
          <cell r="BP161"/>
          <cell r="BQ161"/>
          <cell r="BR161"/>
          <cell r="BS161"/>
          <cell r="BT161"/>
          <cell r="BU161"/>
          <cell r="BV161"/>
          <cell r="BW161"/>
          <cell r="BX161"/>
          <cell r="BY161"/>
        </row>
        <row r="162">
          <cell r="B162" t="str">
            <v>HCFTS205-16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/>
          <cell r="BI162"/>
          <cell r="BJ162"/>
          <cell r="BK162"/>
          <cell r="BL162"/>
          <cell r="BM162"/>
          <cell r="BN162"/>
          <cell r="BO162"/>
          <cell r="BP162"/>
          <cell r="BQ162"/>
          <cell r="BR162"/>
          <cell r="BS162"/>
          <cell r="BT162"/>
          <cell r="BU162"/>
          <cell r="BV162"/>
          <cell r="BW162"/>
          <cell r="BX162"/>
          <cell r="BY162"/>
        </row>
        <row r="163">
          <cell r="B163" t="str">
            <v>PB000840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/>
          <cell r="BK163"/>
          <cell r="BL163"/>
          <cell r="BM163"/>
          <cell r="BN163"/>
          <cell r="BO163"/>
          <cell r="BP163"/>
          <cell r="BQ163"/>
          <cell r="BR163"/>
          <cell r="BS163"/>
          <cell r="BT163"/>
          <cell r="BU163"/>
          <cell r="BV163"/>
          <cell r="BW163"/>
          <cell r="BX163"/>
          <cell r="BY163"/>
        </row>
        <row r="164">
          <cell r="B164" t="str">
            <v>ECL-206-19DG</v>
          </cell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/>
          <cell r="BG164"/>
          <cell r="BH164"/>
          <cell r="BI164"/>
          <cell r="BJ164"/>
          <cell r="BK164"/>
          <cell r="BL164"/>
          <cell r="BM164"/>
          <cell r="BN164"/>
          <cell r="BO164"/>
          <cell r="BP164"/>
          <cell r="BQ164"/>
          <cell r="BR164"/>
          <cell r="BS164"/>
          <cell r="BT164"/>
          <cell r="BU164"/>
          <cell r="BV164"/>
          <cell r="BW164"/>
          <cell r="BX164"/>
          <cell r="BY164"/>
        </row>
        <row r="165">
          <cell r="B165" t="str">
            <v>SAB207-35DD</v>
          </cell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/>
          <cell r="BF165"/>
          <cell r="BG165"/>
          <cell r="BH165"/>
          <cell r="BI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</row>
        <row r="166">
          <cell r="B166" t="str">
            <v>PB006001</v>
          </cell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AY166"/>
          <cell r="AZ166"/>
          <cell r="BA166"/>
          <cell r="BB166"/>
          <cell r="BC166"/>
          <cell r="BD166"/>
          <cell r="BE166"/>
          <cell r="BF166"/>
          <cell r="BG166"/>
          <cell r="BH166"/>
          <cell r="BI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</row>
        <row r="167">
          <cell r="B167" t="str">
            <v>SAB207-3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/>
          <cell r="BK167"/>
          <cell r="BL167"/>
          <cell r="BM167"/>
          <cell r="BN167"/>
          <cell r="BO167"/>
          <cell r="BP167"/>
          <cell r="BQ167"/>
          <cell r="BR167"/>
          <cell r="BS167"/>
          <cell r="BT167"/>
          <cell r="BU167"/>
          <cell r="BV167"/>
          <cell r="BW167"/>
          <cell r="BX167"/>
          <cell r="BY167"/>
        </row>
        <row r="168">
          <cell r="B168" t="str">
            <v>MS06-2RLD-C3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/>
          <cell r="BK168"/>
          <cell r="BL168"/>
          <cell r="BM168"/>
          <cell r="BN168"/>
          <cell r="BO168"/>
          <cell r="BP168"/>
          <cell r="BQ168"/>
          <cell r="BR168"/>
          <cell r="BS168"/>
          <cell r="BT168"/>
          <cell r="BU168"/>
          <cell r="BV168"/>
          <cell r="BW168"/>
          <cell r="BX168"/>
          <cell r="BY168"/>
        </row>
        <row r="169">
          <cell r="B169" t="str">
            <v>PB001097</v>
          </cell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  <cell r="BE169"/>
          <cell r="BF169"/>
          <cell r="BG169"/>
          <cell r="BH169"/>
          <cell r="BI169"/>
          <cell r="BJ169"/>
          <cell r="BK169"/>
          <cell r="BL169"/>
          <cell r="BM169"/>
          <cell r="BN169"/>
          <cell r="BO169"/>
          <cell r="BP169"/>
          <cell r="BQ169"/>
          <cell r="BR169"/>
          <cell r="BS169"/>
          <cell r="BT169"/>
          <cell r="BU169"/>
          <cell r="BV169"/>
          <cell r="BW169"/>
          <cell r="BX169"/>
          <cell r="BY169"/>
        </row>
        <row r="170">
          <cell r="B170" t="str">
            <v>PB002862</v>
          </cell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/>
          <cell r="BA170"/>
          <cell r="BB170"/>
          <cell r="BC170"/>
          <cell r="BD170"/>
          <cell r="BE170"/>
          <cell r="BF170"/>
          <cell r="BG170"/>
          <cell r="BH170"/>
          <cell r="BI170"/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</row>
        <row r="171">
          <cell r="B171" t="str">
            <v>PB004011</v>
          </cell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  <cell r="BE171"/>
          <cell r="BF171"/>
          <cell r="BG171"/>
          <cell r="BH171"/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</row>
        <row r="172">
          <cell r="B172" t="str">
            <v>LS05-D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/>
          <cell r="BK172"/>
          <cell r="BL172"/>
          <cell r="BM172"/>
          <cell r="BN172"/>
          <cell r="BO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</row>
        <row r="173">
          <cell r="B173" t="str">
            <v>ECL-205-14DG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/>
          <cell r="BK173"/>
          <cell r="BL173"/>
          <cell r="BM173"/>
          <cell r="BN173"/>
          <cell r="BO173"/>
          <cell r="BP173"/>
          <cell r="BQ173"/>
          <cell r="BR173"/>
          <cell r="BS173"/>
          <cell r="BT173"/>
          <cell r="BU173"/>
          <cell r="BV173"/>
          <cell r="BW173"/>
          <cell r="BX173"/>
          <cell r="BY173"/>
        </row>
        <row r="174">
          <cell r="B174" t="str">
            <v>FD-205-C</v>
          </cell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/>
          <cell r="BK174"/>
          <cell r="BL174"/>
          <cell r="BM174"/>
          <cell r="BN174"/>
          <cell r="BO174"/>
          <cell r="BP174"/>
          <cell r="BQ174"/>
          <cell r="BR174"/>
          <cell r="BS174"/>
          <cell r="BT174"/>
          <cell r="BU174"/>
          <cell r="BV174"/>
          <cell r="BW174"/>
          <cell r="BX174"/>
          <cell r="BY174"/>
        </row>
        <row r="175">
          <cell r="B175" t="str">
            <v>F-209-A</v>
          </cell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/>
          <cell r="BK175"/>
          <cell r="BL175"/>
          <cell r="BM175"/>
          <cell r="BN175"/>
          <cell r="BO175"/>
          <cell r="BP175"/>
          <cell r="BQ175"/>
          <cell r="BR175"/>
          <cell r="BS175"/>
          <cell r="BT175"/>
          <cell r="BU175"/>
          <cell r="BV175"/>
          <cell r="BW175"/>
          <cell r="BX175"/>
          <cell r="BY175"/>
        </row>
        <row r="176">
          <cell r="B176" t="str">
            <v>PB004008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  <cell r="BE176"/>
          <cell r="BF176"/>
          <cell r="BG176"/>
          <cell r="BH176"/>
          <cell r="BI176"/>
          <cell r="BJ176"/>
          <cell r="BK176"/>
          <cell r="BL176"/>
          <cell r="BM176"/>
          <cell r="BN176"/>
          <cell r="BO176"/>
          <cell r="BP176"/>
          <cell r="BQ176"/>
          <cell r="BR176"/>
          <cell r="BS176"/>
          <cell r="BT176"/>
          <cell r="BU176"/>
          <cell r="BV176"/>
          <cell r="BW176"/>
          <cell r="BX176"/>
          <cell r="BY176"/>
        </row>
        <row r="177">
          <cell r="B177" t="str">
            <v>30310-MX</v>
          </cell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/>
          <cell r="BI177"/>
          <cell r="BJ177"/>
          <cell r="BK177"/>
          <cell r="BL177"/>
          <cell r="BM177"/>
          <cell r="BN177"/>
          <cell r="BO177"/>
          <cell r="BP177"/>
          <cell r="BQ177"/>
          <cell r="BR177"/>
          <cell r="BS177"/>
          <cell r="BT177"/>
          <cell r="BU177"/>
          <cell r="BV177"/>
          <cell r="BW177"/>
          <cell r="BX177"/>
          <cell r="BY177"/>
        </row>
        <row r="178">
          <cell r="B178" t="str">
            <v>MS04-D-C3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M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</row>
        <row r="179">
          <cell r="B179" t="str">
            <v>PB003254</v>
          </cell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  <cell r="BE179"/>
          <cell r="BF179"/>
          <cell r="BG179"/>
          <cell r="BH179"/>
          <cell r="BI179"/>
          <cell r="BJ179"/>
          <cell r="BK179"/>
          <cell r="BL179"/>
          <cell r="BM179"/>
          <cell r="BN179"/>
          <cell r="BO179"/>
          <cell r="BP179"/>
          <cell r="BQ179"/>
          <cell r="BR179"/>
          <cell r="BS179"/>
          <cell r="BT179"/>
          <cell r="BU179"/>
          <cell r="BV179"/>
          <cell r="BW179"/>
          <cell r="BX179"/>
          <cell r="BY179"/>
        </row>
        <row r="180">
          <cell r="B180" t="str">
            <v>AG59517-65</v>
          </cell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/>
          <cell r="AW180"/>
          <cell r="AX180"/>
          <cell r="AY180"/>
          <cell r="AZ180"/>
          <cell r="BA180"/>
          <cell r="BB180"/>
          <cell r="BC180"/>
          <cell r="BD180"/>
          <cell r="BE180"/>
          <cell r="BF180"/>
          <cell r="BG180"/>
          <cell r="BH180"/>
          <cell r="BI180"/>
          <cell r="BJ180"/>
          <cell r="BK180"/>
          <cell r="BL180"/>
          <cell r="BM180"/>
          <cell r="BN180"/>
          <cell r="BO180"/>
          <cell r="BP180"/>
          <cell r="BQ180"/>
          <cell r="BR180"/>
          <cell r="BS180"/>
          <cell r="BT180"/>
          <cell r="BU180"/>
          <cell r="BV180"/>
          <cell r="BW180"/>
          <cell r="BX180"/>
          <cell r="BY180"/>
        </row>
        <row r="181">
          <cell r="B181" t="str">
            <v>33213-MX</v>
          </cell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/>
          <cell r="AW181"/>
          <cell r="AX181"/>
          <cell r="AY181"/>
          <cell r="AZ181"/>
          <cell r="BA181"/>
          <cell r="BB181"/>
          <cell r="BC181"/>
          <cell r="BD181"/>
          <cell r="BE181"/>
          <cell r="BF181"/>
          <cell r="BG181"/>
          <cell r="BH181"/>
          <cell r="BI181"/>
          <cell r="BJ181"/>
          <cell r="BK181"/>
          <cell r="BL181"/>
          <cell r="BM181"/>
          <cell r="BN181"/>
          <cell r="BO181"/>
          <cell r="BP181"/>
          <cell r="BQ181"/>
          <cell r="BR181"/>
          <cell r="BS181"/>
          <cell r="BT181"/>
          <cell r="BU181"/>
          <cell r="BV181"/>
          <cell r="BW181"/>
          <cell r="BX181"/>
          <cell r="BY181"/>
        </row>
        <row r="182">
          <cell r="B182" t="str">
            <v>PB005350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/>
          <cell r="BL182"/>
          <cell r="BM182"/>
          <cell r="BN182"/>
          <cell r="BO182"/>
          <cell r="BP182"/>
          <cell r="BQ182"/>
          <cell r="BR182"/>
          <cell r="BS182"/>
          <cell r="BT182"/>
          <cell r="BU182"/>
          <cell r="BV182"/>
          <cell r="BW182"/>
          <cell r="BX182"/>
          <cell r="BY182"/>
        </row>
        <row r="183">
          <cell r="B183" t="str">
            <v>30214-MX</v>
          </cell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/>
          <cell r="BI183"/>
          <cell r="BJ183"/>
          <cell r="BK183"/>
          <cell r="BL183"/>
          <cell r="BM183"/>
          <cell r="BN183"/>
          <cell r="BO183"/>
          <cell r="BP183"/>
          <cell r="BQ183"/>
          <cell r="BR183"/>
          <cell r="BS183"/>
          <cell r="BT183"/>
          <cell r="BU183"/>
          <cell r="BV183"/>
          <cell r="BW183"/>
          <cell r="BX183"/>
          <cell r="BY183"/>
        </row>
        <row r="184">
          <cell r="B184" t="str">
            <v>ACL205-14RG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/>
          <cell r="BO184"/>
          <cell r="BP184"/>
          <cell r="BQ184"/>
          <cell r="BR184"/>
          <cell r="BS184"/>
          <cell r="BT184"/>
          <cell r="BU184"/>
          <cell r="BV184"/>
          <cell r="BW184"/>
          <cell r="BX184"/>
          <cell r="BY184"/>
        </row>
        <row r="185">
          <cell r="B185" t="str">
            <v>206-KRRB6</v>
          </cell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  <cell r="BE185"/>
          <cell r="BF185"/>
          <cell r="BG185"/>
          <cell r="BH185"/>
          <cell r="BI185"/>
          <cell r="BJ185"/>
          <cell r="BK185"/>
          <cell r="BL185"/>
          <cell r="BM185"/>
          <cell r="BN185"/>
          <cell r="BO185"/>
          <cell r="BP185"/>
          <cell r="BQ185"/>
          <cell r="BR185"/>
          <cell r="BS185"/>
          <cell r="BT185"/>
          <cell r="BU185"/>
          <cell r="BV185"/>
          <cell r="BW185"/>
          <cell r="BX185"/>
          <cell r="BY185"/>
        </row>
        <row r="186">
          <cell r="B186" t="str">
            <v>SAB209-3</v>
          </cell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  <cell r="BE186"/>
          <cell r="BF186"/>
          <cell r="BG186"/>
          <cell r="BH186"/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</row>
        <row r="187">
          <cell r="B187" t="str">
            <v>ASL-205-25MM</v>
          </cell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/>
          <cell r="BA187"/>
          <cell r="BB187"/>
          <cell r="BC187"/>
          <cell r="BD187"/>
          <cell r="BE187"/>
          <cell r="BF187"/>
          <cell r="BG187"/>
          <cell r="BH187"/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</row>
        <row r="188">
          <cell r="B188" t="str">
            <v>ACL206-18RG</v>
          </cell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</row>
        <row r="189">
          <cell r="B189" t="str">
            <v>AG256514-CH</v>
          </cell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M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</row>
        <row r="190">
          <cell r="B190" t="str">
            <v>HM-803146/10</v>
          </cell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M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</row>
        <row r="191">
          <cell r="B191" t="str">
            <v>F208-M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/>
          <cell r="BO191"/>
          <cell r="BP191"/>
          <cell r="BQ191"/>
          <cell r="BR191"/>
          <cell r="BS191"/>
          <cell r="BT191"/>
          <cell r="BU191"/>
          <cell r="BV191"/>
          <cell r="BW191"/>
          <cell r="BX191"/>
          <cell r="BY191"/>
        </row>
        <row r="192">
          <cell r="B192" t="str">
            <v>5203-KYY9-A</v>
          </cell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/>
          <cell r="BO192"/>
          <cell r="BP192"/>
          <cell r="BQ192"/>
          <cell r="BR192"/>
          <cell r="BS192"/>
          <cell r="BT192"/>
          <cell r="BU192"/>
          <cell r="BV192"/>
          <cell r="BW192"/>
          <cell r="BX192"/>
          <cell r="BY192"/>
        </row>
        <row r="193">
          <cell r="B193" t="str">
            <v>30307-MX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M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</row>
        <row r="194">
          <cell r="B194" t="str">
            <v>PB002091</v>
          </cell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M194"/>
          <cell r="BN194"/>
          <cell r="BO194"/>
          <cell r="BP194"/>
          <cell r="BQ194"/>
          <cell r="BR194"/>
          <cell r="BS194"/>
          <cell r="BT194"/>
          <cell r="BU194"/>
          <cell r="BV194"/>
          <cell r="BW194"/>
          <cell r="BX194"/>
          <cell r="BY194"/>
        </row>
        <row r="195">
          <cell r="B195" t="str">
            <v>PB004013</v>
          </cell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  <cell r="BE195"/>
          <cell r="BF195"/>
          <cell r="BG195"/>
          <cell r="BH195"/>
          <cell r="BI195"/>
          <cell r="BJ195"/>
          <cell r="BK195"/>
          <cell r="BL195"/>
          <cell r="BM195"/>
          <cell r="BN195"/>
          <cell r="BO195"/>
          <cell r="BP195"/>
          <cell r="BQ195"/>
          <cell r="BR195"/>
          <cell r="BS195"/>
          <cell r="BT195"/>
          <cell r="BU195"/>
          <cell r="BV195"/>
          <cell r="BW195"/>
          <cell r="BX195"/>
          <cell r="BY195"/>
        </row>
        <row r="196">
          <cell r="B196" t="str">
            <v>3T-12012-MX</v>
          </cell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I196"/>
          <cell r="BJ196"/>
          <cell r="BK196"/>
          <cell r="BL196"/>
          <cell r="BM196"/>
          <cell r="BN196"/>
          <cell r="BO196"/>
          <cell r="BP196"/>
          <cell r="BQ196"/>
          <cell r="BR196"/>
          <cell r="BS196"/>
          <cell r="BT196"/>
          <cell r="BU196"/>
          <cell r="BV196"/>
          <cell r="BW196"/>
          <cell r="BX196"/>
          <cell r="BY196"/>
        </row>
        <row r="197">
          <cell r="B197" t="str">
            <v>32014-MX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I197"/>
          <cell r="BJ197"/>
          <cell r="BK197"/>
          <cell r="BL197"/>
          <cell r="BM197"/>
          <cell r="BN197"/>
          <cell r="BO197"/>
          <cell r="BP197"/>
          <cell r="BQ197"/>
          <cell r="BR197"/>
          <cell r="BS197"/>
          <cell r="BT197"/>
          <cell r="BU197"/>
          <cell r="BV197"/>
          <cell r="BW197"/>
          <cell r="BX197"/>
          <cell r="BY197"/>
        </row>
        <row r="198">
          <cell r="B198" t="str">
            <v>PB004009</v>
          </cell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M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</row>
        <row r="199">
          <cell r="B199" t="str">
            <v>ASLLF205-14R</v>
          </cell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  <cell r="BE199"/>
          <cell r="BF199"/>
          <cell r="BG199"/>
          <cell r="BH199"/>
          <cell r="BI199"/>
          <cell r="BJ199"/>
          <cell r="BK199"/>
          <cell r="BL199"/>
          <cell r="BM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</row>
        <row r="200">
          <cell r="B200" t="str">
            <v>AG593062</v>
          </cell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  <cell r="BE200"/>
          <cell r="BF200"/>
          <cell r="BG200"/>
          <cell r="BH200"/>
          <cell r="BI200"/>
          <cell r="BJ200"/>
          <cell r="BK200"/>
          <cell r="BL200"/>
          <cell r="BM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</row>
        <row r="201">
          <cell r="B201" t="str">
            <v>FT208-M</v>
          </cell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  <cell r="BE201"/>
          <cell r="BF201"/>
          <cell r="BG201"/>
          <cell r="BH201"/>
          <cell r="BI201"/>
          <cell r="BJ201"/>
          <cell r="BK201"/>
          <cell r="BL201"/>
          <cell r="BM201"/>
          <cell r="BN201"/>
          <cell r="BO201"/>
          <cell r="BP201"/>
          <cell r="BQ201"/>
          <cell r="BR201"/>
          <cell r="BS201"/>
          <cell r="BT201"/>
          <cell r="BU201"/>
          <cell r="BV201"/>
          <cell r="BW201"/>
          <cell r="BX201"/>
          <cell r="BY201"/>
        </row>
        <row r="202">
          <cell r="B202" t="str">
            <v>30305-MX</v>
          </cell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  <cell r="BE202"/>
          <cell r="BF202"/>
          <cell r="BG202"/>
          <cell r="BH202"/>
          <cell r="BI202"/>
          <cell r="BJ202"/>
          <cell r="BK202"/>
          <cell r="BL202"/>
          <cell r="BM202"/>
          <cell r="BN202"/>
          <cell r="BO202"/>
          <cell r="BP202"/>
          <cell r="BQ202"/>
          <cell r="BR202"/>
          <cell r="BS202"/>
          <cell r="BT202"/>
          <cell r="BU202"/>
          <cell r="BV202"/>
          <cell r="BW202"/>
          <cell r="BX202"/>
          <cell r="BY202"/>
        </row>
        <row r="203">
          <cell r="B203" t="str">
            <v>30216-MX</v>
          </cell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M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</row>
        <row r="204">
          <cell r="B204" t="str">
            <v>PB005305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M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</row>
        <row r="205">
          <cell r="B205" t="str">
            <v>ACL-207-22</v>
          </cell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M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</row>
        <row r="206">
          <cell r="B206" t="str">
            <v>HA-212</v>
          </cell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  <cell r="BE206"/>
          <cell r="BF206"/>
          <cell r="BG206"/>
          <cell r="BH206"/>
          <cell r="BI206"/>
          <cell r="BJ206"/>
          <cell r="BK206"/>
          <cell r="BL206"/>
          <cell r="BM206"/>
          <cell r="BN206"/>
          <cell r="BO206"/>
          <cell r="BP206"/>
          <cell r="BQ206"/>
          <cell r="BR206"/>
          <cell r="BS206"/>
          <cell r="BT206"/>
          <cell r="BU206"/>
          <cell r="BV206"/>
          <cell r="BW206"/>
          <cell r="BX206"/>
          <cell r="BY206"/>
        </row>
        <row r="207">
          <cell r="B207" t="str">
            <v>204-JY5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  <cell r="BE207"/>
          <cell r="BF207"/>
          <cell r="BG207"/>
          <cell r="BH207"/>
          <cell r="BI207"/>
          <cell r="BJ207"/>
          <cell r="BK207"/>
          <cell r="BL207"/>
          <cell r="BM207"/>
          <cell r="BN207"/>
          <cell r="BO207"/>
          <cell r="BP207"/>
          <cell r="BQ207"/>
          <cell r="BR207"/>
          <cell r="BS207"/>
          <cell r="BT207"/>
          <cell r="BU207"/>
          <cell r="BV207"/>
          <cell r="BW207"/>
          <cell r="BX207"/>
          <cell r="BY207"/>
        </row>
        <row r="208">
          <cell r="B208" t="str">
            <v>E080001012</v>
          </cell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M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</row>
        <row r="209">
          <cell r="B209" t="str">
            <v>32009-MX</v>
          </cell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M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</row>
        <row r="210">
          <cell r="B210" t="str">
            <v>BP-13014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M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</row>
        <row r="211">
          <cell r="B211" t="str">
            <v>SAB205-25DG</v>
          </cell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/>
          <cell r="BY211"/>
        </row>
        <row r="212">
          <cell r="B212" t="str">
            <v>33110-MX</v>
          </cell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/>
          <cell r="BY212"/>
        </row>
        <row r="213">
          <cell r="B213" t="str">
            <v>F4X-208</v>
          </cell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</row>
        <row r="214">
          <cell r="B214" t="str">
            <v>22218-CW33C3</v>
          </cell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</row>
        <row r="215">
          <cell r="B215" t="str">
            <v>W207-KYYB3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</row>
        <row r="216">
          <cell r="B216" t="str">
            <v>3984-20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/>
          <cell r="BL216"/>
          <cell r="BM216"/>
          <cell r="BN216"/>
          <cell r="BO216"/>
          <cell r="BP216"/>
          <cell r="BQ216"/>
          <cell r="BR216"/>
          <cell r="BS216"/>
          <cell r="BT216"/>
          <cell r="BU216"/>
          <cell r="BV216"/>
          <cell r="BW216"/>
          <cell r="BX216"/>
          <cell r="BY216"/>
        </row>
        <row r="217">
          <cell r="B217" t="str">
            <v>PB005519</v>
          </cell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/>
          <cell r="BY217"/>
        </row>
        <row r="218">
          <cell r="B218" t="str">
            <v>ACL-205-25MM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/>
          <cell r="BY218"/>
        </row>
        <row r="219">
          <cell r="B219" t="str">
            <v>ECL-305DG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/>
          <cell r="BY219"/>
        </row>
        <row r="220">
          <cell r="B220" t="str">
            <v>FHF205-16G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</row>
        <row r="221">
          <cell r="B221" t="str">
            <v>MS08-2RSTX</v>
          </cell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</row>
        <row r="222">
          <cell r="B222" t="str">
            <v>FB-211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</row>
        <row r="223">
          <cell r="B223" t="str">
            <v>PB004763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</row>
        <row r="224">
          <cell r="B224" t="str">
            <v>30306-MX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  <cell r="BE224"/>
          <cell r="BF224"/>
          <cell r="BG224"/>
          <cell r="BH224"/>
          <cell r="BI224"/>
          <cell r="BJ224"/>
          <cell r="BK224"/>
          <cell r="BL224"/>
          <cell r="BM224"/>
          <cell r="BN224"/>
          <cell r="BO224"/>
          <cell r="BP224"/>
          <cell r="BQ224"/>
          <cell r="BR224"/>
          <cell r="BS224"/>
          <cell r="BT224"/>
          <cell r="BU224"/>
          <cell r="BV224"/>
          <cell r="BW224"/>
          <cell r="BX224"/>
          <cell r="BY224"/>
        </row>
        <row r="225">
          <cell r="B225" t="str">
            <v>BP-23005-ST</v>
          </cell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  <cell r="BE225"/>
          <cell r="BF225"/>
          <cell r="BG225"/>
          <cell r="BH225"/>
          <cell r="BI225"/>
          <cell r="BJ225"/>
          <cell r="BK225"/>
          <cell r="BL225"/>
          <cell r="BM225"/>
          <cell r="BN225"/>
          <cell r="BO225"/>
          <cell r="BP225"/>
          <cell r="BQ225"/>
          <cell r="BR225"/>
          <cell r="BS225"/>
          <cell r="BT225"/>
          <cell r="BU225"/>
          <cell r="BV225"/>
          <cell r="BW225"/>
          <cell r="BX225"/>
          <cell r="BY225"/>
        </row>
        <row r="226">
          <cell r="B226" t="str">
            <v>ECL209-45D-3</v>
          </cell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/>
          <cell r="AO226"/>
          <cell r="AP226"/>
          <cell r="AQ226"/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/>
          <cell r="BI226"/>
          <cell r="BJ226"/>
          <cell r="BK226"/>
          <cell r="BL226"/>
          <cell r="BM226"/>
          <cell r="BN226"/>
          <cell r="BO226"/>
          <cell r="BP226"/>
          <cell r="BQ226"/>
          <cell r="BR226"/>
          <cell r="BS226"/>
          <cell r="BT226"/>
          <cell r="BU226"/>
          <cell r="BV226"/>
          <cell r="BW226"/>
          <cell r="BX226"/>
          <cell r="BY226"/>
        </row>
        <row r="227">
          <cell r="B227" t="str">
            <v>PB004520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/>
          <cell r="BI227"/>
          <cell r="BJ227"/>
          <cell r="BK227"/>
          <cell r="BL227"/>
          <cell r="BM227"/>
          <cell r="BN227"/>
          <cell r="BO227"/>
          <cell r="BP227"/>
          <cell r="BQ227"/>
          <cell r="BR227"/>
          <cell r="BS227"/>
          <cell r="BT227"/>
          <cell r="BU227"/>
          <cell r="BV227"/>
          <cell r="BW227"/>
          <cell r="BX227"/>
          <cell r="BY227"/>
        </row>
        <row r="228">
          <cell r="B228" t="str">
            <v>PB005641</v>
          </cell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</row>
        <row r="229">
          <cell r="B229" t="str">
            <v>6307</v>
          </cell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</row>
        <row r="230">
          <cell r="B230" t="str">
            <v>205-KYR2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  <cell r="BE230"/>
          <cell r="BF230"/>
          <cell r="BG230"/>
          <cell r="BH230"/>
          <cell r="BI230"/>
          <cell r="BJ230"/>
          <cell r="BK230"/>
          <cell r="BL230"/>
          <cell r="BM230"/>
          <cell r="BN230"/>
          <cell r="BO230"/>
          <cell r="BP230"/>
          <cell r="BQ230"/>
          <cell r="BR230"/>
          <cell r="BS230"/>
          <cell r="BT230"/>
          <cell r="BU230"/>
          <cell r="BV230"/>
          <cell r="BW230"/>
          <cell r="BX230"/>
          <cell r="BY230"/>
        </row>
        <row r="231">
          <cell r="B231" t="str">
            <v>BP-23005-MM</v>
          </cell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  <cell r="BE231"/>
          <cell r="BF231"/>
          <cell r="BG231"/>
          <cell r="BH231"/>
          <cell r="BI231"/>
          <cell r="BJ231"/>
          <cell r="BK231"/>
          <cell r="BL231"/>
          <cell r="BM231"/>
          <cell r="BN231"/>
          <cell r="BO231"/>
          <cell r="BP231"/>
          <cell r="BQ231"/>
          <cell r="BR231"/>
          <cell r="BS231"/>
          <cell r="BT231"/>
          <cell r="BU231"/>
          <cell r="BV231"/>
          <cell r="BW231"/>
          <cell r="BX231"/>
          <cell r="BY231"/>
        </row>
        <row r="232">
          <cell r="B232" t="str">
            <v>ASL207-35RR</v>
          </cell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/>
        </row>
        <row r="233">
          <cell r="B233" t="str">
            <v>PB006005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/>
        </row>
        <row r="234">
          <cell r="B234" t="str">
            <v>32311-MX</v>
          </cell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/>
        </row>
        <row r="235">
          <cell r="B235" t="str">
            <v>33208-MX</v>
          </cell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</row>
        <row r="236">
          <cell r="B236" t="str">
            <v>32308-MX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</row>
        <row r="237">
          <cell r="B237" t="str">
            <v>ASL206-30RG</v>
          </cell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  <cell r="BE237"/>
          <cell r="BF237"/>
          <cell r="BG237"/>
          <cell r="BH237"/>
          <cell r="BI237"/>
          <cell r="BJ237"/>
          <cell r="BK237"/>
          <cell r="BL237"/>
          <cell r="BM237"/>
          <cell r="BN237"/>
          <cell r="BO237"/>
          <cell r="BP237"/>
          <cell r="BQ237"/>
          <cell r="BR237"/>
          <cell r="BS237"/>
          <cell r="BT237"/>
          <cell r="BU237"/>
          <cell r="BV237"/>
          <cell r="BW237"/>
          <cell r="BX237"/>
          <cell r="BY237"/>
        </row>
        <row r="238">
          <cell r="B238" t="str">
            <v>F-208-C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/>
        </row>
        <row r="239">
          <cell r="B239" t="str">
            <v>FC-207-M</v>
          </cell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/>
        </row>
        <row r="240">
          <cell r="B240" t="str">
            <v>HCP209-28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/>
        </row>
        <row r="241">
          <cell r="B241" t="str">
            <v>PB000849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</row>
        <row r="242">
          <cell r="B242" t="str">
            <v>32205-MX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</row>
        <row r="243">
          <cell r="B243" t="str">
            <v>BP15009</v>
          </cell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</row>
        <row r="244">
          <cell r="B244" t="str">
            <v>33010-MX</v>
          </cell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</row>
        <row r="245">
          <cell r="B245" t="str">
            <v>SAB210-50DG</v>
          </cell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/>
          <cell r="BI245"/>
          <cell r="BJ245"/>
          <cell r="BK245"/>
          <cell r="BL245"/>
          <cell r="BM245"/>
          <cell r="BN245"/>
          <cell r="BO245"/>
          <cell r="BP245"/>
          <cell r="BQ245"/>
          <cell r="BR245"/>
          <cell r="BS245"/>
          <cell r="BT245"/>
          <cell r="BU245"/>
          <cell r="BV245"/>
          <cell r="BW245"/>
          <cell r="BX245"/>
          <cell r="BY245"/>
        </row>
        <row r="246">
          <cell r="B246" t="str">
            <v>33209-MX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  <cell r="BE246"/>
          <cell r="BF246"/>
          <cell r="BG246"/>
          <cell r="BH246"/>
          <cell r="BI246"/>
          <cell r="BJ246"/>
          <cell r="BK246"/>
          <cell r="BL246"/>
          <cell r="BM246"/>
          <cell r="BN246"/>
          <cell r="BO246"/>
          <cell r="BP246"/>
          <cell r="BQ246"/>
          <cell r="BR246"/>
          <cell r="BS246"/>
          <cell r="BT246"/>
          <cell r="BU246"/>
          <cell r="BV246"/>
          <cell r="BW246"/>
          <cell r="BX246"/>
          <cell r="BY246"/>
        </row>
        <row r="247">
          <cell r="B247" t="str">
            <v>CF5202-RM16</v>
          </cell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  <cell r="BE247"/>
          <cell r="BF247"/>
          <cell r="BG247"/>
          <cell r="BH247"/>
          <cell r="BI247"/>
          <cell r="BJ247"/>
          <cell r="BK247"/>
          <cell r="BL247"/>
          <cell r="BM247"/>
          <cell r="BN247"/>
          <cell r="BO247"/>
          <cell r="BP247"/>
          <cell r="BQ247"/>
          <cell r="BR247"/>
          <cell r="BS247"/>
          <cell r="BT247"/>
          <cell r="BU247"/>
          <cell r="BV247"/>
          <cell r="BW247"/>
          <cell r="BX247"/>
          <cell r="BY247"/>
        </row>
        <row r="248">
          <cell r="B248" t="str">
            <v>BP15010</v>
          </cell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  <cell r="BE248"/>
          <cell r="BF248"/>
          <cell r="BG248"/>
          <cell r="BH248"/>
          <cell r="BI248"/>
          <cell r="BJ248"/>
          <cell r="BK248"/>
          <cell r="BL248"/>
          <cell r="BM248"/>
          <cell r="BN248"/>
          <cell r="BO248"/>
          <cell r="BP248"/>
          <cell r="BQ248"/>
          <cell r="BR248"/>
          <cell r="BS248"/>
          <cell r="BT248"/>
          <cell r="BU248"/>
          <cell r="BV248"/>
          <cell r="BW248"/>
          <cell r="BX248"/>
          <cell r="BY248"/>
        </row>
        <row r="249">
          <cell r="B249" t="str">
            <v>207-KRRB17</v>
          </cell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</row>
        <row r="250">
          <cell r="B250" t="str">
            <v>HCP207-22G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</row>
        <row r="251">
          <cell r="B251" t="str">
            <v>FHLP205-16</v>
          </cell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  <cell r="BE251"/>
          <cell r="BF251"/>
          <cell r="BG251"/>
          <cell r="BH251"/>
          <cell r="BI251"/>
          <cell r="BJ251"/>
          <cell r="BK251"/>
          <cell r="BL251"/>
          <cell r="BM251"/>
          <cell r="BN251"/>
          <cell r="BO251"/>
          <cell r="BP251"/>
          <cell r="BQ251"/>
          <cell r="BR251"/>
          <cell r="BS251"/>
          <cell r="BT251"/>
          <cell r="BU251"/>
          <cell r="BV251"/>
          <cell r="BW251"/>
          <cell r="BX251"/>
          <cell r="BY251"/>
        </row>
        <row r="252">
          <cell r="B252" t="str">
            <v>ACL206-20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  <cell r="BE252"/>
          <cell r="BF252"/>
          <cell r="BG252"/>
          <cell r="BH252"/>
          <cell r="BI252"/>
          <cell r="BJ252"/>
          <cell r="BK252"/>
          <cell r="BL252"/>
          <cell r="BM252"/>
          <cell r="BN252"/>
          <cell r="BO252"/>
          <cell r="BP252"/>
          <cell r="BQ252"/>
          <cell r="BR252"/>
          <cell r="BS252"/>
          <cell r="BT252"/>
          <cell r="BU252"/>
          <cell r="BV252"/>
          <cell r="BW252"/>
          <cell r="BX252"/>
          <cell r="BY252"/>
        </row>
        <row r="253">
          <cell r="B253" t="str">
            <v>32310-MX</v>
          </cell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</row>
        <row r="254">
          <cell r="B254" t="str">
            <v>32309-MX</v>
          </cell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</row>
        <row r="255">
          <cell r="B255" t="str">
            <v>DTR2047-FM</v>
          </cell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</row>
        <row r="256">
          <cell r="B256" t="str">
            <v>205-KYYB5</v>
          </cell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</row>
        <row r="257">
          <cell r="B257" t="str">
            <v>SAB-206-30DG</v>
          </cell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</row>
        <row r="258">
          <cell r="B258" t="str">
            <v>ECL207-23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/>
          <cell r="BI258"/>
          <cell r="BJ258"/>
          <cell r="BK258"/>
          <cell r="BL258"/>
          <cell r="BM258"/>
          <cell r="BN258"/>
          <cell r="BO258"/>
          <cell r="BP258"/>
          <cell r="BQ258"/>
          <cell r="BR258"/>
          <cell r="BS258"/>
          <cell r="BT258"/>
          <cell r="BU258"/>
          <cell r="BV258"/>
          <cell r="BW258"/>
          <cell r="BX258"/>
          <cell r="BY258"/>
        </row>
        <row r="259">
          <cell r="B259" t="str">
            <v>32016-MX</v>
          </cell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</row>
        <row r="260">
          <cell r="B260" t="str">
            <v>FT206-M</v>
          </cell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</row>
        <row r="261">
          <cell r="B261" t="str">
            <v>FHFD205-16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</row>
        <row r="262">
          <cell r="B262" t="str">
            <v>33013-MX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</row>
        <row r="263">
          <cell r="B263" t="str">
            <v>32012-MX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</row>
        <row r="264">
          <cell r="B264" t="str">
            <v>6202-2RLD-C3</v>
          </cell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</row>
        <row r="265">
          <cell r="B265" t="str">
            <v>PB004773</v>
          </cell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</row>
        <row r="266">
          <cell r="B266" t="str">
            <v>HCP207-20G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  <cell r="BE266"/>
          <cell r="BF266"/>
          <cell r="BG266"/>
          <cell r="BH266"/>
          <cell r="BI266"/>
          <cell r="BJ266"/>
          <cell r="BK266"/>
          <cell r="BL266"/>
          <cell r="BM266"/>
          <cell r="BN266"/>
          <cell r="BO266"/>
          <cell r="BP266"/>
          <cell r="BQ266"/>
          <cell r="BR266"/>
          <cell r="BS266"/>
          <cell r="BT266"/>
          <cell r="BU266"/>
          <cell r="BV266"/>
          <cell r="BW266"/>
          <cell r="BX266"/>
          <cell r="BY266"/>
        </row>
        <row r="267">
          <cell r="B267" t="str">
            <v>PB004012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  <cell r="BE267"/>
          <cell r="BF267"/>
          <cell r="BG267"/>
          <cell r="BH267"/>
          <cell r="BI267"/>
          <cell r="BJ267"/>
          <cell r="BK267"/>
          <cell r="BL267"/>
          <cell r="BM267"/>
          <cell r="BN267"/>
          <cell r="BO267"/>
          <cell r="BP267"/>
          <cell r="BQ267"/>
          <cell r="BR267"/>
          <cell r="BS267"/>
          <cell r="BT267"/>
          <cell r="BU267"/>
          <cell r="BV267"/>
          <cell r="BW267"/>
          <cell r="BX267"/>
          <cell r="BY267"/>
        </row>
        <row r="268">
          <cell r="B268" t="str">
            <v>32312-MX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  <cell r="BE268"/>
          <cell r="BF268"/>
          <cell r="BG268"/>
          <cell r="BH268"/>
          <cell r="BI268"/>
          <cell r="BJ268"/>
          <cell r="BK268"/>
          <cell r="BL268"/>
          <cell r="BM268"/>
          <cell r="BN268"/>
          <cell r="BO268"/>
          <cell r="BP268"/>
          <cell r="BQ268"/>
          <cell r="BR268"/>
          <cell r="BS268"/>
          <cell r="BT268"/>
          <cell r="BU268"/>
          <cell r="BV268"/>
          <cell r="BW268"/>
          <cell r="BX268"/>
          <cell r="BY268"/>
        </row>
        <row r="269">
          <cell r="B269" t="str">
            <v>BP-21003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  <cell r="BH269"/>
          <cell r="BI269"/>
          <cell r="BJ269"/>
          <cell r="BK269"/>
          <cell r="BL269"/>
          <cell r="BM269"/>
          <cell r="BN269"/>
          <cell r="BO269"/>
          <cell r="BP269"/>
          <cell r="BQ269"/>
          <cell r="BR269"/>
          <cell r="BS269"/>
          <cell r="BT269"/>
          <cell r="BU269"/>
          <cell r="BV269"/>
          <cell r="BW269"/>
          <cell r="BX269"/>
          <cell r="BY269"/>
        </row>
        <row r="270">
          <cell r="B270" t="str">
            <v>7209-B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</row>
        <row r="271">
          <cell r="B271" t="str">
            <v>204-KRRB2</v>
          </cell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  <cell r="BE271"/>
          <cell r="BF271"/>
          <cell r="BG271"/>
          <cell r="BH271"/>
          <cell r="BI271"/>
          <cell r="BJ271"/>
          <cell r="BK271"/>
          <cell r="BL271"/>
          <cell r="BM271"/>
          <cell r="BN271"/>
          <cell r="BO271"/>
          <cell r="BP271"/>
          <cell r="BQ271"/>
          <cell r="BR271"/>
          <cell r="BS271"/>
          <cell r="BT271"/>
          <cell r="BU271"/>
          <cell r="BV271"/>
          <cell r="BW271"/>
          <cell r="BX271"/>
          <cell r="BY271"/>
        </row>
        <row r="272">
          <cell r="B272" t="str">
            <v>CA627-M40A-9</v>
          </cell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  <cell r="BH272"/>
          <cell r="BI272"/>
          <cell r="BJ272"/>
          <cell r="BK272"/>
          <cell r="BL272"/>
          <cell r="BM272"/>
          <cell r="BN272"/>
          <cell r="BO272"/>
          <cell r="BP272"/>
          <cell r="BQ272"/>
          <cell r="BR272"/>
          <cell r="BS272"/>
          <cell r="BT272"/>
          <cell r="BU272"/>
          <cell r="BV272"/>
          <cell r="BW272"/>
          <cell r="BX272"/>
          <cell r="BY272"/>
        </row>
        <row r="273">
          <cell r="B273" t="str">
            <v>BP-12011-01</v>
          </cell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  <cell r="BE273"/>
          <cell r="BF273"/>
          <cell r="BG273"/>
          <cell r="BH273"/>
          <cell r="BI273"/>
          <cell r="BJ273"/>
          <cell r="BK273"/>
          <cell r="BL273"/>
          <cell r="BM273"/>
          <cell r="BN273"/>
          <cell r="BO273"/>
          <cell r="BP273"/>
          <cell r="BQ273"/>
          <cell r="BR273"/>
          <cell r="BS273"/>
          <cell r="BT273"/>
          <cell r="BU273"/>
          <cell r="BV273"/>
          <cell r="BW273"/>
          <cell r="BX273"/>
          <cell r="BY273"/>
        </row>
        <row r="274">
          <cell r="B274" t="str">
            <v>30217-MX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  <cell r="BE274"/>
          <cell r="BF274"/>
          <cell r="BG274"/>
          <cell r="BH274"/>
          <cell r="BI274"/>
          <cell r="BJ274"/>
          <cell r="BK274"/>
          <cell r="BL274"/>
          <cell r="BM274"/>
          <cell r="BN274"/>
          <cell r="BO274"/>
          <cell r="BP274"/>
          <cell r="BQ274"/>
          <cell r="BR274"/>
          <cell r="BS274"/>
          <cell r="BT274"/>
          <cell r="BU274"/>
          <cell r="BV274"/>
          <cell r="BW274"/>
          <cell r="BX274"/>
          <cell r="BY274"/>
        </row>
        <row r="275">
          <cell r="B275" t="str">
            <v>T060001020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  <cell r="BE275"/>
          <cell r="BF275"/>
          <cell r="BG275"/>
          <cell r="BH275"/>
          <cell r="BI275"/>
          <cell r="BJ275"/>
          <cell r="BK275"/>
          <cell r="BL275"/>
          <cell r="BM275"/>
          <cell r="BN275"/>
          <cell r="BO275"/>
          <cell r="BP275"/>
          <cell r="BQ275"/>
          <cell r="BR275"/>
          <cell r="BS275"/>
          <cell r="BT275"/>
          <cell r="BU275"/>
          <cell r="BV275"/>
          <cell r="BW275"/>
          <cell r="BX275"/>
          <cell r="BY275"/>
        </row>
        <row r="276">
          <cell r="B276" t="str">
            <v>30220-MX</v>
          </cell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  <cell r="BE276"/>
          <cell r="BF276"/>
          <cell r="BG276"/>
          <cell r="BH276"/>
          <cell r="BI276"/>
          <cell r="BJ276"/>
          <cell r="BK276"/>
          <cell r="BL276"/>
          <cell r="BM276"/>
          <cell r="BN276"/>
          <cell r="BO276"/>
          <cell r="BP276"/>
          <cell r="BQ276"/>
          <cell r="BR276"/>
          <cell r="BS276"/>
          <cell r="BT276"/>
          <cell r="BU276"/>
          <cell r="BV276"/>
          <cell r="BW276"/>
          <cell r="BX276"/>
          <cell r="BY276"/>
        </row>
        <row r="277">
          <cell r="B277" t="str">
            <v>W208PPB5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  <cell r="BE277"/>
          <cell r="BF277"/>
          <cell r="BG277"/>
          <cell r="BH277"/>
          <cell r="BI277"/>
          <cell r="BJ277"/>
          <cell r="BK277"/>
          <cell r="BL277"/>
          <cell r="BM277"/>
          <cell r="BN277"/>
          <cell r="BO277"/>
          <cell r="BP277"/>
          <cell r="BQ277"/>
          <cell r="BR277"/>
          <cell r="BS277"/>
          <cell r="BT277"/>
          <cell r="BU277"/>
          <cell r="BV277"/>
          <cell r="BW277"/>
          <cell r="BX277"/>
          <cell r="BY277"/>
        </row>
        <row r="278">
          <cell r="B278" t="str">
            <v>SAB5207-35</v>
          </cell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  <cell r="BE278"/>
          <cell r="BF278"/>
          <cell r="BG278"/>
          <cell r="BH278"/>
          <cell r="BI278"/>
          <cell r="BJ278"/>
          <cell r="BK278"/>
          <cell r="BL278"/>
          <cell r="BM278"/>
          <cell r="BN278"/>
          <cell r="BO278"/>
          <cell r="BP278"/>
          <cell r="BQ278"/>
          <cell r="BR278"/>
          <cell r="BS278"/>
          <cell r="BT278"/>
          <cell r="BU278"/>
          <cell r="BV278"/>
          <cell r="BW278"/>
          <cell r="BX278"/>
          <cell r="BY278"/>
        </row>
        <row r="279">
          <cell r="B279" t="str">
            <v>PB005306</v>
          </cell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  <cell r="BH279"/>
          <cell r="BI279"/>
          <cell r="BJ279"/>
          <cell r="BK279"/>
          <cell r="BL279"/>
          <cell r="BM279"/>
          <cell r="BN279"/>
          <cell r="BO279"/>
          <cell r="BP279"/>
          <cell r="BQ279"/>
          <cell r="BR279"/>
          <cell r="BS279"/>
          <cell r="BT279"/>
          <cell r="BU279"/>
          <cell r="BV279"/>
          <cell r="BW279"/>
          <cell r="BX279"/>
          <cell r="BY279"/>
        </row>
        <row r="280">
          <cell r="B280" t="str">
            <v>PB001284</v>
          </cell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  <cell r="BH280"/>
          <cell r="BI280"/>
          <cell r="BJ280"/>
          <cell r="BK280"/>
          <cell r="BL280"/>
          <cell r="BM280"/>
          <cell r="BN280"/>
          <cell r="BO280"/>
          <cell r="BP280"/>
          <cell r="BQ280"/>
          <cell r="BR280"/>
          <cell r="BS280"/>
          <cell r="BT280"/>
          <cell r="BU280"/>
          <cell r="BV280"/>
          <cell r="BW280"/>
          <cell r="BX280"/>
          <cell r="BY280"/>
        </row>
        <row r="281">
          <cell r="B281" t="str">
            <v>33019-MX</v>
          </cell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  <cell r="BE281"/>
          <cell r="BF281"/>
          <cell r="BG281"/>
          <cell r="BH281"/>
          <cell r="BI281"/>
          <cell r="BJ281"/>
          <cell r="BK281"/>
          <cell r="BL281"/>
          <cell r="BM281"/>
          <cell r="BN281"/>
          <cell r="BO281"/>
          <cell r="BP281"/>
          <cell r="BQ281"/>
          <cell r="BR281"/>
          <cell r="BS281"/>
          <cell r="BT281"/>
          <cell r="BU281"/>
          <cell r="BV281"/>
          <cell r="BW281"/>
          <cell r="BX281"/>
          <cell r="BY281"/>
        </row>
        <row r="282">
          <cell r="B282" t="str">
            <v>30219-MX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  <cell r="BH282"/>
          <cell r="BI282"/>
          <cell r="BJ282"/>
          <cell r="BK282"/>
          <cell r="BL282"/>
          <cell r="BM282"/>
          <cell r="BN282"/>
          <cell r="BO282"/>
          <cell r="BP282"/>
          <cell r="BQ282"/>
          <cell r="BR282"/>
          <cell r="BS282"/>
          <cell r="BT282"/>
          <cell r="BU282"/>
          <cell r="BV282"/>
          <cell r="BW282"/>
          <cell r="BX282"/>
          <cell r="BY282"/>
        </row>
        <row r="283">
          <cell r="B283" t="str">
            <v>ECL206-18DG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  <cell r="BE283"/>
          <cell r="BF283"/>
          <cell r="BG283"/>
          <cell r="BH283"/>
          <cell r="BI283"/>
          <cell r="BJ283"/>
          <cell r="BK283"/>
          <cell r="BL283"/>
          <cell r="BM283"/>
          <cell r="BN283"/>
          <cell r="BO283"/>
          <cell r="BP283"/>
          <cell r="BQ283"/>
          <cell r="BR283"/>
          <cell r="BS283"/>
          <cell r="BT283"/>
          <cell r="BU283"/>
          <cell r="BV283"/>
          <cell r="BW283"/>
          <cell r="BX283"/>
          <cell r="BY283"/>
        </row>
        <row r="284">
          <cell r="B284" t="str">
            <v>33210-MX</v>
          </cell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  <cell r="BH284"/>
          <cell r="BI284"/>
          <cell r="BJ284"/>
          <cell r="BK284"/>
          <cell r="BL284"/>
          <cell r="BM284"/>
          <cell r="BN284"/>
          <cell r="BO284"/>
          <cell r="BP284"/>
          <cell r="BQ284"/>
          <cell r="BR284"/>
          <cell r="BS284"/>
          <cell r="BT284"/>
          <cell r="BU284"/>
          <cell r="BV284"/>
          <cell r="BW284"/>
          <cell r="BX284"/>
          <cell r="BY284"/>
        </row>
        <row r="285">
          <cell r="B285" t="str">
            <v>ECLR205-16D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  <cell r="BE285"/>
          <cell r="BF285"/>
          <cell r="BG285"/>
          <cell r="BH285"/>
          <cell r="BI285"/>
          <cell r="BJ285"/>
          <cell r="BK285"/>
          <cell r="BL285"/>
          <cell r="BM285"/>
          <cell r="BN285"/>
          <cell r="BO285"/>
          <cell r="BP285"/>
          <cell r="BQ285"/>
          <cell r="BR285"/>
          <cell r="BS285"/>
          <cell r="BT285"/>
          <cell r="BU285"/>
          <cell r="BV285"/>
          <cell r="BW285"/>
          <cell r="BX285"/>
          <cell r="BY285"/>
        </row>
        <row r="286">
          <cell r="B286" t="str">
            <v>30218-MX</v>
          </cell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  <cell r="BE286"/>
          <cell r="BF286"/>
          <cell r="BG286"/>
          <cell r="BH286"/>
          <cell r="BI286"/>
          <cell r="BJ286"/>
          <cell r="BK286"/>
          <cell r="BL286"/>
          <cell r="BM286"/>
          <cell r="BN286"/>
          <cell r="BO286"/>
          <cell r="BP286"/>
          <cell r="BQ286"/>
          <cell r="BR286"/>
          <cell r="BS286"/>
          <cell r="BT286"/>
          <cell r="BU286"/>
          <cell r="BV286"/>
          <cell r="BW286"/>
          <cell r="BX286"/>
          <cell r="BY286"/>
        </row>
        <row r="287">
          <cell r="B287" t="str">
            <v>DTR2047-TPL</v>
          </cell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  <cell r="BE287"/>
          <cell r="BF287"/>
          <cell r="BG287"/>
          <cell r="BH287"/>
          <cell r="BI287"/>
          <cell r="BJ287"/>
          <cell r="BK287"/>
          <cell r="BL287"/>
          <cell r="BM287"/>
          <cell r="BN287"/>
          <cell r="BO287"/>
          <cell r="BP287"/>
          <cell r="BQ287"/>
          <cell r="BR287"/>
          <cell r="BS287"/>
          <cell r="BT287"/>
          <cell r="BU287"/>
          <cell r="BV287"/>
          <cell r="BW287"/>
          <cell r="BX287"/>
          <cell r="BY287"/>
        </row>
        <row r="288">
          <cell r="B288" t="str">
            <v>3T-12413-MX</v>
          </cell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  <cell r="BE288"/>
          <cell r="BF288"/>
          <cell r="BG288"/>
          <cell r="BH288"/>
          <cell r="BI288"/>
          <cell r="BJ288"/>
          <cell r="BK288"/>
          <cell r="BL288"/>
          <cell r="BM288"/>
          <cell r="BN288"/>
          <cell r="BO288"/>
          <cell r="BP288"/>
          <cell r="BQ288"/>
          <cell r="BR288"/>
          <cell r="BS288"/>
          <cell r="BT288"/>
          <cell r="BU288"/>
          <cell r="BV288"/>
          <cell r="BW288"/>
          <cell r="BX288"/>
          <cell r="BY288"/>
        </row>
        <row r="289">
          <cell r="B289" t="str">
            <v>32307-MX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  <cell r="BE289"/>
          <cell r="BF289"/>
          <cell r="BG289"/>
          <cell r="BH289"/>
          <cell r="BI289"/>
          <cell r="BJ289"/>
          <cell r="BK289"/>
          <cell r="BL289"/>
          <cell r="BM289"/>
          <cell r="BN289"/>
          <cell r="BO289"/>
          <cell r="BP289"/>
          <cell r="BQ289"/>
          <cell r="BR289"/>
          <cell r="BS289"/>
          <cell r="BT289"/>
          <cell r="BU289"/>
          <cell r="BV289"/>
          <cell r="BW289"/>
          <cell r="BX289"/>
          <cell r="BY289"/>
        </row>
        <row r="290">
          <cell r="B290" t="str">
            <v>G205-KYYB5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  <cell r="BE290"/>
          <cell r="BF290"/>
          <cell r="BG290"/>
          <cell r="BH290"/>
          <cell r="BI290"/>
          <cell r="BJ290"/>
          <cell r="BK290"/>
          <cell r="BL290"/>
          <cell r="BM290"/>
          <cell r="BN290"/>
          <cell r="BO290"/>
          <cell r="BP290"/>
          <cell r="BQ290"/>
          <cell r="BR290"/>
          <cell r="BS290"/>
          <cell r="BT290"/>
          <cell r="BU290"/>
          <cell r="BV290"/>
          <cell r="BW290"/>
          <cell r="BX290"/>
          <cell r="BY290"/>
        </row>
        <row r="291">
          <cell r="B291" t="str">
            <v>PB001030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  <cell r="BE291"/>
          <cell r="BF291"/>
          <cell r="BG291"/>
          <cell r="BH291"/>
          <cell r="BI291"/>
          <cell r="BJ291"/>
          <cell r="BK291"/>
          <cell r="BL291"/>
          <cell r="BM291"/>
          <cell r="BN291"/>
          <cell r="BO291"/>
          <cell r="BP291"/>
          <cell r="BQ291"/>
          <cell r="BR291"/>
          <cell r="BS291"/>
          <cell r="BT291"/>
          <cell r="BU291"/>
          <cell r="BV291"/>
          <cell r="BW291"/>
          <cell r="BX291"/>
          <cell r="BY291"/>
        </row>
        <row r="292">
          <cell r="B292" t="str">
            <v>ECL208-40D-3</v>
          </cell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  <cell r="BE292"/>
          <cell r="BF292"/>
          <cell r="BG292"/>
          <cell r="BH292"/>
          <cell r="BI292"/>
          <cell r="BJ292"/>
          <cell r="BK292"/>
          <cell r="BL292"/>
          <cell r="BM292"/>
          <cell r="BN292"/>
          <cell r="BO292"/>
          <cell r="BP292"/>
          <cell r="BQ292"/>
          <cell r="BR292"/>
          <cell r="BS292"/>
          <cell r="BT292"/>
          <cell r="BU292"/>
          <cell r="BV292"/>
          <cell r="BW292"/>
          <cell r="BX292"/>
          <cell r="BY292"/>
        </row>
        <row r="293">
          <cell r="B293" t="str">
            <v>PE208-M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  <cell r="BE293"/>
          <cell r="BF293"/>
          <cell r="BG293"/>
          <cell r="BH293"/>
          <cell r="BI293"/>
          <cell r="BJ293"/>
          <cell r="BK293"/>
          <cell r="BL293"/>
          <cell r="BM293"/>
          <cell r="BN293"/>
          <cell r="BO293"/>
          <cell r="BP293"/>
          <cell r="BQ293"/>
          <cell r="BR293"/>
          <cell r="BS293"/>
          <cell r="BT293"/>
          <cell r="BU293"/>
          <cell r="BV293"/>
          <cell r="BW293"/>
          <cell r="BX293"/>
          <cell r="BY293"/>
        </row>
        <row r="294">
          <cell r="B294" t="str">
            <v>FHF206-20G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  <cell r="BE294"/>
          <cell r="BF294"/>
          <cell r="BG294"/>
          <cell r="BH294"/>
          <cell r="BI294"/>
          <cell r="BJ294"/>
          <cell r="BK294"/>
          <cell r="BL294"/>
          <cell r="BM294"/>
          <cell r="BN294"/>
          <cell r="BO294"/>
          <cell r="BP294"/>
          <cell r="BQ294"/>
          <cell r="BR294"/>
          <cell r="BS294"/>
          <cell r="BT294"/>
          <cell r="BU294"/>
          <cell r="BV294"/>
          <cell r="BW294"/>
          <cell r="BX294"/>
          <cell r="BY294"/>
        </row>
        <row r="295">
          <cell r="B295" t="str">
            <v>ACL-206-19</v>
          </cell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  <cell r="BE295"/>
          <cell r="BF295"/>
          <cell r="BG295"/>
          <cell r="BH295"/>
          <cell r="BI295"/>
          <cell r="BJ295"/>
          <cell r="BK295"/>
          <cell r="BL295"/>
          <cell r="BM295"/>
          <cell r="BN295"/>
          <cell r="BO295"/>
          <cell r="BP295"/>
          <cell r="BQ295"/>
          <cell r="BR295"/>
          <cell r="BS295"/>
          <cell r="BT295"/>
          <cell r="BU295"/>
          <cell r="BV295"/>
          <cell r="BW295"/>
          <cell r="BX295"/>
          <cell r="BY295"/>
        </row>
        <row r="296">
          <cell r="B296" t="str">
            <v>BP-21001-BD</v>
          </cell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  <cell r="BE296"/>
          <cell r="BF296"/>
          <cell r="BG296"/>
          <cell r="BH296"/>
          <cell r="BI296"/>
          <cell r="BJ296"/>
          <cell r="BK296"/>
          <cell r="BL296"/>
          <cell r="BM296"/>
          <cell r="BN296"/>
          <cell r="BO296"/>
          <cell r="BP296"/>
          <cell r="BQ296"/>
          <cell r="BR296"/>
          <cell r="BS296"/>
          <cell r="BT296"/>
          <cell r="BU296"/>
          <cell r="BV296"/>
          <cell r="BW296"/>
          <cell r="BX296"/>
          <cell r="BY296"/>
        </row>
        <row r="297">
          <cell r="B297" t="str">
            <v>BP-21001-BI</v>
          </cell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/>
          <cell r="AO297"/>
          <cell r="AP297"/>
          <cell r="AQ297"/>
          <cell r="AR297"/>
          <cell r="AS297"/>
          <cell r="AT297"/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  <cell r="BE297"/>
          <cell r="BF297"/>
          <cell r="BG297"/>
          <cell r="BH297"/>
          <cell r="BI297"/>
          <cell r="BJ297"/>
          <cell r="BK297"/>
          <cell r="BL297"/>
          <cell r="BM297"/>
          <cell r="BN297"/>
          <cell r="BO297"/>
          <cell r="BP297"/>
          <cell r="BQ297"/>
          <cell r="BR297"/>
          <cell r="BS297"/>
          <cell r="BT297"/>
          <cell r="BU297"/>
          <cell r="BV297"/>
          <cell r="BW297"/>
          <cell r="BX297"/>
          <cell r="BY297"/>
        </row>
        <row r="298">
          <cell r="B298" t="str">
            <v>BP-13002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/>
          <cell r="AO298"/>
          <cell r="AP298"/>
          <cell r="AQ298"/>
          <cell r="AR298"/>
          <cell r="AS298"/>
          <cell r="AT298"/>
          <cell r="AU298"/>
          <cell r="AV298"/>
          <cell r="AW298"/>
          <cell r="AX298"/>
          <cell r="AY298"/>
          <cell r="AZ298"/>
          <cell r="BA298"/>
          <cell r="BB298"/>
          <cell r="BC298"/>
          <cell r="BD298"/>
          <cell r="BE298"/>
          <cell r="BF298"/>
          <cell r="BG298"/>
          <cell r="BH298"/>
          <cell r="BI298"/>
          <cell r="BJ298"/>
          <cell r="BK298"/>
          <cell r="BL298"/>
          <cell r="BM298"/>
          <cell r="BN298"/>
          <cell r="BO298"/>
          <cell r="BP298"/>
          <cell r="BQ298"/>
          <cell r="BR298"/>
          <cell r="BS298"/>
          <cell r="BT298"/>
          <cell r="BU298"/>
          <cell r="BV298"/>
          <cell r="BW298"/>
          <cell r="BX298"/>
          <cell r="BY298"/>
        </row>
        <row r="299">
          <cell r="B299" t="str">
            <v>32005-MX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/>
          <cell r="AO299"/>
          <cell r="AP299"/>
          <cell r="AQ299"/>
          <cell r="AR299"/>
          <cell r="AS299"/>
          <cell r="AT299"/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  <cell r="BE299"/>
          <cell r="BF299"/>
          <cell r="BG299"/>
          <cell r="BH299"/>
          <cell r="BI299"/>
          <cell r="BJ299"/>
          <cell r="BK299"/>
          <cell r="BL299"/>
          <cell r="BM299"/>
          <cell r="BN299"/>
          <cell r="BO299"/>
          <cell r="BP299"/>
          <cell r="BQ299"/>
          <cell r="BR299"/>
          <cell r="BS299"/>
          <cell r="BT299"/>
          <cell r="BU299"/>
          <cell r="BV299"/>
          <cell r="BW299"/>
          <cell r="BX299"/>
          <cell r="BY299"/>
        </row>
        <row r="300">
          <cell r="B300" t="str">
            <v>PB004761</v>
          </cell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  <cell r="BE300"/>
          <cell r="BF300"/>
          <cell r="BG300"/>
          <cell r="BH300"/>
          <cell r="BI300"/>
          <cell r="BJ300"/>
          <cell r="BK300"/>
          <cell r="BL300"/>
          <cell r="BM300"/>
          <cell r="BN300"/>
          <cell r="BO300"/>
          <cell r="BP300"/>
          <cell r="BQ300"/>
          <cell r="BR300"/>
          <cell r="BS300"/>
          <cell r="BT300"/>
          <cell r="BU300"/>
          <cell r="BV300"/>
          <cell r="BW300"/>
          <cell r="BX300"/>
          <cell r="BY300"/>
        </row>
        <row r="301">
          <cell r="B301" t="str">
            <v>F-205</v>
          </cell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/>
          <cell r="AO301"/>
          <cell r="AP301"/>
          <cell r="AQ301"/>
          <cell r="AR301"/>
          <cell r="AS301"/>
          <cell r="AT301"/>
          <cell r="AU301"/>
          <cell r="AV301"/>
          <cell r="AW301"/>
          <cell r="AX301"/>
          <cell r="AY301"/>
          <cell r="AZ301"/>
          <cell r="BA301"/>
          <cell r="BB301"/>
          <cell r="BC301"/>
          <cell r="BD301"/>
          <cell r="BE301"/>
          <cell r="BF301"/>
          <cell r="BG301"/>
          <cell r="BH301"/>
          <cell r="BI301"/>
          <cell r="BJ301"/>
          <cell r="BK301"/>
          <cell r="BL301"/>
          <cell r="BM301"/>
          <cell r="BN301"/>
          <cell r="BO301"/>
          <cell r="BP301"/>
          <cell r="BQ301"/>
          <cell r="BR301"/>
          <cell r="BS301"/>
          <cell r="BT301"/>
          <cell r="BU301"/>
          <cell r="BV301"/>
          <cell r="BW301"/>
          <cell r="BX301"/>
          <cell r="BY301"/>
        </row>
        <row r="302">
          <cell r="B302" t="str">
            <v>ACL-207-23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/>
          <cell r="AO302"/>
          <cell r="AP302"/>
          <cell r="AQ302"/>
          <cell r="AR302"/>
          <cell r="AS302"/>
          <cell r="AT302"/>
          <cell r="AU302"/>
          <cell r="AV302"/>
          <cell r="AW302"/>
          <cell r="AX302"/>
          <cell r="AY302"/>
          <cell r="AZ302"/>
          <cell r="BA302"/>
          <cell r="BB302"/>
          <cell r="BC302"/>
          <cell r="BD302"/>
          <cell r="BE302"/>
          <cell r="BF302"/>
          <cell r="BG302"/>
          <cell r="BH302"/>
          <cell r="BI302"/>
          <cell r="BJ302"/>
          <cell r="BK302"/>
          <cell r="BL302"/>
          <cell r="BM302"/>
          <cell r="BN302"/>
          <cell r="BO302"/>
          <cell r="BP302"/>
          <cell r="BQ302"/>
          <cell r="BR302"/>
          <cell r="BS302"/>
          <cell r="BT302"/>
          <cell r="BU302"/>
          <cell r="BV302"/>
          <cell r="BW302"/>
          <cell r="BX302"/>
          <cell r="BY302"/>
        </row>
        <row r="303">
          <cell r="B303" t="str">
            <v>ECL-212-39-D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/>
          <cell r="AO303"/>
          <cell r="AP303"/>
          <cell r="AQ303"/>
          <cell r="AR303"/>
          <cell r="AS303"/>
          <cell r="AT303"/>
          <cell r="AU303"/>
          <cell r="AV303"/>
          <cell r="AW303"/>
          <cell r="AX303"/>
          <cell r="AY303"/>
          <cell r="AZ303"/>
          <cell r="BA303"/>
          <cell r="BB303"/>
          <cell r="BC303"/>
          <cell r="BD303"/>
          <cell r="BE303"/>
          <cell r="BF303"/>
          <cell r="BG303"/>
          <cell r="BH303"/>
          <cell r="BI303"/>
          <cell r="BJ303"/>
          <cell r="BK303"/>
          <cell r="BL303"/>
          <cell r="BM303"/>
          <cell r="BN303"/>
          <cell r="BO303"/>
          <cell r="BP303"/>
          <cell r="BQ303"/>
          <cell r="BR303"/>
          <cell r="BS303"/>
          <cell r="BT303"/>
          <cell r="BU303"/>
          <cell r="BV303"/>
          <cell r="BW303"/>
          <cell r="BX303"/>
          <cell r="BY303"/>
        </row>
        <row r="304">
          <cell r="B304" t="str">
            <v>ACLR205-14R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/>
          <cell r="AO304"/>
          <cell r="AP304"/>
          <cell r="AQ304"/>
          <cell r="AR304"/>
          <cell r="AS304"/>
          <cell r="AT304"/>
          <cell r="AU304"/>
          <cell r="AV304"/>
          <cell r="AW304"/>
          <cell r="AX304"/>
          <cell r="AY304"/>
          <cell r="AZ304"/>
          <cell r="BA304"/>
          <cell r="BB304"/>
          <cell r="BC304"/>
          <cell r="BD304"/>
          <cell r="BE304"/>
          <cell r="BF304"/>
          <cell r="BG304"/>
          <cell r="BH304"/>
          <cell r="BI304"/>
          <cell r="BJ304"/>
          <cell r="BK304"/>
          <cell r="BL304"/>
          <cell r="BM304"/>
          <cell r="BN304"/>
          <cell r="BO304"/>
          <cell r="BP304"/>
          <cell r="BQ304"/>
          <cell r="BR304"/>
          <cell r="BS304"/>
          <cell r="BT304"/>
          <cell r="BU304"/>
          <cell r="BV304"/>
          <cell r="BW304"/>
          <cell r="BX304"/>
          <cell r="BY304"/>
        </row>
        <row r="305">
          <cell r="B305" t="str">
            <v>MS03-D-C3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/>
          <cell r="AO305"/>
          <cell r="AP305"/>
          <cell r="AQ305"/>
          <cell r="AR305"/>
          <cell r="AS305"/>
          <cell r="AT305"/>
          <cell r="AU305"/>
          <cell r="AV305"/>
          <cell r="AW305"/>
          <cell r="AX305"/>
          <cell r="AY305"/>
          <cell r="AZ305"/>
          <cell r="BA305"/>
          <cell r="BB305"/>
          <cell r="BC305"/>
          <cell r="BD305"/>
          <cell r="BE305"/>
          <cell r="BF305"/>
          <cell r="BG305"/>
          <cell r="BH305"/>
          <cell r="BI305"/>
          <cell r="BJ305"/>
          <cell r="BK305"/>
          <cell r="BL305"/>
          <cell r="BM305"/>
          <cell r="BN305"/>
          <cell r="BO305"/>
          <cell r="BP305"/>
          <cell r="BQ305"/>
          <cell r="BR305"/>
          <cell r="BS305"/>
          <cell r="BT305"/>
          <cell r="BU305"/>
          <cell r="BV305"/>
          <cell r="BW305"/>
          <cell r="BX305"/>
          <cell r="BY305"/>
        </row>
        <row r="306">
          <cell r="B306" t="str">
            <v>CB6203-1450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/>
          <cell r="AO306"/>
          <cell r="AP306"/>
          <cell r="AQ306"/>
          <cell r="AR306"/>
          <cell r="AS306"/>
          <cell r="AT306"/>
          <cell r="AU306"/>
          <cell r="AV306"/>
          <cell r="AW306"/>
          <cell r="AX306"/>
          <cell r="AY306"/>
          <cell r="AZ306"/>
          <cell r="BA306"/>
          <cell r="BB306"/>
          <cell r="BC306"/>
          <cell r="BD306"/>
          <cell r="BE306"/>
          <cell r="BF306"/>
          <cell r="BG306"/>
          <cell r="BH306"/>
          <cell r="BI306"/>
          <cell r="BJ306"/>
          <cell r="BK306"/>
          <cell r="BL306"/>
          <cell r="BM306"/>
          <cell r="BN306"/>
          <cell r="BO306"/>
          <cell r="BP306"/>
          <cell r="BQ306"/>
          <cell r="BR306"/>
          <cell r="BS306"/>
          <cell r="BT306"/>
          <cell r="BU306"/>
          <cell r="BV306"/>
          <cell r="BW306"/>
          <cell r="BX306"/>
          <cell r="BY306"/>
        </row>
        <row r="307">
          <cell r="B307" t="str">
            <v>F-209-C</v>
          </cell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/>
          <cell r="AO307"/>
          <cell r="AP307"/>
          <cell r="AQ307"/>
          <cell r="AR307"/>
          <cell r="AS307"/>
          <cell r="AT307"/>
          <cell r="AU307"/>
          <cell r="AV307"/>
          <cell r="AW307"/>
          <cell r="AX307"/>
          <cell r="AY307"/>
          <cell r="AZ307"/>
          <cell r="BA307"/>
          <cell r="BB307"/>
          <cell r="BC307"/>
          <cell r="BD307"/>
          <cell r="BE307"/>
          <cell r="BF307"/>
          <cell r="BG307"/>
          <cell r="BH307"/>
          <cell r="BI307"/>
          <cell r="BJ307"/>
          <cell r="BK307"/>
          <cell r="BL307"/>
          <cell r="BM307"/>
          <cell r="BN307"/>
          <cell r="BO307"/>
          <cell r="BP307"/>
          <cell r="BQ307"/>
          <cell r="BR307"/>
          <cell r="BS307"/>
          <cell r="BT307"/>
          <cell r="BU307"/>
          <cell r="BV307"/>
          <cell r="BW307"/>
          <cell r="BX307"/>
          <cell r="BY307"/>
        </row>
        <row r="308">
          <cell r="B308" t="str">
            <v>33211-MX</v>
          </cell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/>
          <cell r="AO308"/>
          <cell r="AP308"/>
          <cell r="AQ308"/>
          <cell r="AR308"/>
          <cell r="AS308"/>
          <cell r="AT308"/>
          <cell r="AU308"/>
          <cell r="AV308"/>
          <cell r="AW308"/>
          <cell r="AX308"/>
          <cell r="AY308"/>
          <cell r="AZ308"/>
          <cell r="BA308"/>
          <cell r="BB308"/>
          <cell r="BC308"/>
          <cell r="BD308"/>
          <cell r="BE308"/>
          <cell r="BF308"/>
          <cell r="BG308"/>
          <cell r="BH308"/>
          <cell r="BI308"/>
          <cell r="BJ308"/>
          <cell r="BK308"/>
          <cell r="BL308"/>
          <cell r="BM308"/>
          <cell r="BN308"/>
          <cell r="BO308"/>
          <cell r="BP308"/>
          <cell r="BQ308"/>
          <cell r="BR308"/>
          <cell r="BS308"/>
          <cell r="BT308"/>
          <cell r="BU308"/>
          <cell r="BV308"/>
          <cell r="BW308"/>
          <cell r="BX308"/>
          <cell r="BY308"/>
        </row>
        <row r="309">
          <cell r="B309" t="str">
            <v>E080001004</v>
          </cell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/>
          <cell r="AO309"/>
          <cell r="AP309"/>
          <cell r="AQ309"/>
          <cell r="AR309"/>
          <cell r="AS309"/>
          <cell r="AT309"/>
          <cell r="AU309"/>
          <cell r="AV309"/>
          <cell r="AW309"/>
          <cell r="AX309"/>
          <cell r="AY309"/>
          <cell r="AZ309"/>
          <cell r="BA309"/>
          <cell r="BB309"/>
          <cell r="BC309"/>
          <cell r="BD309"/>
          <cell r="BE309"/>
          <cell r="BF309"/>
          <cell r="BG309"/>
          <cell r="BH309"/>
          <cell r="BI309"/>
          <cell r="BJ309"/>
          <cell r="BK309"/>
          <cell r="BL309"/>
          <cell r="BM309"/>
          <cell r="BN309"/>
          <cell r="BO309"/>
          <cell r="BP309"/>
          <cell r="BQ309"/>
          <cell r="BR309"/>
          <cell r="BS309"/>
          <cell r="BT309"/>
          <cell r="BU309"/>
          <cell r="BV309"/>
          <cell r="BW309"/>
          <cell r="BX309"/>
          <cell r="BY309"/>
        </row>
        <row r="310">
          <cell r="B310" t="str">
            <v>32315-MX</v>
          </cell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/>
          <cell r="AO310"/>
          <cell r="AP310"/>
          <cell r="AQ310"/>
          <cell r="AR310"/>
          <cell r="AS310"/>
          <cell r="AT310"/>
          <cell r="AU310"/>
          <cell r="AV310"/>
          <cell r="AW310"/>
          <cell r="AX310"/>
          <cell r="AY310"/>
          <cell r="AZ310"/>
          <cell r="BA310"/>
          <cell r="BB310"/>
          <cell r="BC310"/>
          <cell r="BD310"/>
          <cell r="BE310"/>
          <cell r="BF310"/>
          <cell r="BG310"/>
          <cell r="BH310"/>
          <cell r="BI310"/>
          <cell r="BJ310"/>
          <cell r="BK310"/>
          <cell r="BL310"/>
          <cell r="BM310"/>
          <cell r="BN310"/>
          <cell r="BO310"/>
          <cell r="BP310"/>
          <cell r="BQ310"/>
          <cell r="BR310"/>
          <cell r="BS310"/>
          <cell r="BT310"/>
          <cell r="BU310"/>
          <cell r="BV310"/>
          <cell r="BW310"/>
          <cell r="BX310"/>
          <cell r="BY310"/>
        </row>
        <row r="311">
          <cell r="B311" t="str">
            <v>51118</v>
          </cell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/>
          <cell r="AO311"/>
          <cell r="AP311"/>
          <cell r="AQ311"/>
          <cell r="AR311"/>
          <cell r="AS311"/>
          <cell r="AT311"/>
          <cell r="AU311"/>
          <cell r="AV311"/>
          <cell r="AW311"/>
          <cell r="AX311"/>
          <cell r="AY311"/>
          <cell r="AZ311"/>
          <cell r="BA311"/>
          <cell r="BB311"/>
          <cell r="BC311"/>
          <cell r="BD311"/>
          <cell r="BE311"/>
          <cell r="BF311"/>
          <cell r="BG311"/>
          <cell r="BH311"/>
          <cell r="BI311"/>
          <cell r="BJ311"/>
          <cell r="BK311"/>
          <cell r="BL311"/>
          <cell r="BM311"/>
          <cell r="BN311"/>
          <cell r="BO311"/>
          <cell r="BP311"/>
          <cell r="BQ311"/>
          <cell r="BR311"/>
          <cell r="BS311"/>
          <cell r="BT311"/>
          <cell r="BU311"/>
          <cell r="BV311"/>
          <cell r="BW311"/>
          <cell r="BX311"/>
          <cell r="BY311"/>
        </row>
        <row r="312">
          <cell r="B312" t="str">
            <v>MS00-2RST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/>
          <cell r="AO312"/>
          <cell r="AP312"/>
          <cell r="AQ312"/>
          <cell r="AR312"/>
          <cell r="AS312"/>
          <cell r="AT312"/>
          <cell r="AU312"/>
          <cell r="AV312"/>
          <cell r="AW312"/>
          <cell r="AX312"/>
          <cell r="AY312"/>
          <cell r="AZ312"/>
          <cell r="BA312"/>
          <cell r="BB312"/>
          <cell r="BC312"/>
          <cell r="BD312"/>
          <cell r="BE312"/>
          <cell r="BF312"/>
          <cell r="BG312"/>
          <cell r="BH312"/>
          <cell r="BI312"/>
          <cell r="BJ312"/>
          <cell r="BK312"/>
          <cell r="BL312"/>
          <cell r="BM312"/>
          <cell r="BN312"/>
          <cell r="BO312"/>
          <cell r="BP312"/>
          <cell r="BQ312"/>
          <cell r="BR312"/>
          <cell r="BS312"/>
          <cell r="BT312"/>
          <cell r="BU312"/>
          <cell r="BV312"/>
          <cell r="BW312"/>
          <cell r="BX312"/>
          <cell r="BY312"/>
        </row>
        <row r="313">
          <cell r="B313" t="str">
            <v>32314-MX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/>
          <cell r="AO313"/>
          <cell r="AP313"/>
          <cell r="AQ313"/>
          <cell r="AR313"/>
          <cell r="AS313"/>
          <cell r="AT313"/>
          <cell r="AU313"/>
          <cell r="AV313"/>
          <cell r="AW313"/>
          <cell r="AX313"/>
          <cell r="AY313"/>
          <cell r="AZ313"/>
          <cell r="BA313"/>
          <cell r="BB313"/>
          <cell r="BC313"/>
          <cell r="BD313"/>
          <cell r="BE313"/>
          <cell r="BF313"/>
          <cell r="BG313"/>
          <cell r="BH313"/>
          <cell r="BI313"/>
          <cell r="BJ313"/>
          <cell r="BK313"/>
          <cell r="BL313"/>
          <cell r="BM313"/>
          <cell r="BN313"/>
          <cell r="BO313"/>
          <cell r="BP313"/>
          <cell r="BQ313"/>
          <cell r="BR313"/>
          <cell r="BS313"/>
          <cell r="BT313"/>
          <cell r="BU313"/>
          <cell r="BV313"/>
          <cell r="BW313"/>
          <cell r="BX313"/>
          <cell r="BY313"/>
        </row>
        <row r="314">
          <cell r="B314" t="str">
            <v>ECL-208-40DG</v>
          </cell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/>
          <cell r="T314"/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/>
          <cell r="AO314"/>
          <cell r="AP314"/>
          <cell r="AQ314"/>
          <cell r="AR314"/>
          <cell r="AS314"/>
          <cell r="AT314"/>
          <cell r="AU314"/>
          <cell r="AV314"/>
          <cell r="AW314"/>
          <cell r="AX314"/>
          <cell r="AY314"/>
          <cell r="AZ314"/>
          <cell r="BA314"/>
          <cell r="BB314"/>
          <cell r="BC314"/>
          <cell r="BD314"/>
          <cell r="BE314"/>
          <cell r="BF314"/>
          <cell r="BG314"/>
          <cell r="BH314"/>
          <cell r="BI314"/>
          <cell r="BJ314"/>
          <cell r="BK314"/>
          <cell r="BL314"/>
          <cell r="BM314"/>
          <cell r="BN314"/>
          <cell r="BO314"/>
          <cell r="BP314"/>
          <cell r="BQ314"/>
          <cell r="BR314"/>
          <cell r="BS314"/>
          <cell r="BT314"/>
          <cell r="BU314"/>
          <cell r="BV314"/>
          <cell r="BW314"/>
          <cell r="BX314"/>
          <cell r="BY314"/>
        </row>
        <row r="315">
          <cell r="B315" t="str">
            <v>MS07-D-C3</v>
          </cell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/>
          <cell r="AO315"/>
          <cell r="AP315"/>
          <cell r="AQ315"/>
          <cell r="AR315"/>
          <cell r="AS315"/>
          <cell r="AT315"/>
          <cell r="AU315"/>
          <cell r="AV315"/>
          <cell r="AW315"/>
          <cell r="AX315"/>
          <cell r="AY315"/>
          <cell r="AZ315"/>
          <cell r="BA315"/>
          <cell r="BB315"/>
          <cell r="BC315"/>
          <cell r="BD315"/>
          <cell r="BE315"/>
          <cell r="BF315"/>
          <cell r="BG315"/>
          <cell r="BH315"/>
          <cell r="BI315"/>
          <cell r="BJ315"/>
          <cell r="BK315"/>
          <cell r="BL315"/>
          <cell r="BM315"/>
          <cell r="BN315"/>
          <cell r="BO315"/>
          <cell r="BP315"/>
          <cell r="BQ315"/>
          <cell r="BR315"/>
          <cell r="BS315"/>
          <cell r="BT315"/>
          <cell r="BU315"/>
          <cell r="BV315"/>
          <cell r="BW315"/>
          <cell r="BX315"/>
          <cell r="BY315"/>
        </row>
        <row r="316">
          <cell r="B316" t="str">
            <v>F-207-M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/>
          <cell r="AO316"/>
          <cell r="AP316"/>
          <cell r="AQ316"/>
          <cell r="AR316"/>
          <cell r="AS316"/>
          <cell r="AT316"/>
          <cell r="AU316"/>
          <cell r="AV316"/>
          <cell r="AW316"/>
          <cell r="AX316"/>
          <cell r="AY316"/>
          <cell r="AZ316"/>
          <cell r="BA316"/>
          <cell r="BB316"/>
          <cell r="BC316"/>
          <cell r="BD316"/>
          <cell r="BE316"/>
          <cell r="BF316"/>
          <cell r="BG316"/>
          <cell r="BH316"/>
          <cell r="BI316"/>
          <cell r="BJ316"/>
          <cell r="BK316"/>
          <cell r="BL316"/>
          <cell r="BM316"/>
          <cell r="BN316"/>
          <cell r="BO316"/>
          <cell r="BP316"/>
          <cell r="BQ316"/>
          <cell r="BR316"/>
          <cell r="BS316"/>
          <cell r="BT316"/>
          <cell r="BU316"/>
          <cell r="BV316"/>
          <cell r="BW316"/>
          <cell r="BX316"/>
          <cell r="BY316"/>
        </row>
        <row r="317">
          <cell r="B317" t="str">
            <v>F-209-M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/>
          <cell r="AO317"/>
          <cell r="AP317"/>
          <cell r="AQ317"/>
          <cell r="AR317"/>
          <cell r="AS317"/>
          <cell r="AT317"/>
          <cell r="AU317"/>
          <cell r="AV317"/>
          <cell r="AW317"/>
          <cell r="AX317"/>
          <cell r="AY317"/>
          <cell r="AZ317"/>
          <cell r="BA317"/>
          <cell r="BB317"/>
          <cell r="BC317"/>
          <cell r="BD317"/>
          <cell r="BE317"/>
          <cell r="BF317"/>
          <cell r="BG317"/>
          <cell r="BH317"/>
          <cell r="BI317"/>
          <cell r="BJ317"/>
          <cell r="BK317"/>
          <cell r="BL317"/>
          <cell r="BM317"/>
          <cell r="BN317"/>
          <cell r="BO317"/>
          <cell r="BP317"/>
          <cell r="BQ317"/>
          <cell r="BR317"/>
          <cell r="BS317"/>
          <cell r="BT317"/>
          <cell r="BU317"/>
          <cell r="BV317"/>
          <cell r="BW317"/>
          <cell r="BX317"/>
          <cell r="BY317"/>
        </row>
        <row r="318">
          <cell r="B318" t="str">
            <v>33112-MX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/>
          <cell r="AO318"/>
          <cell r="AP318"/>
          <cell r="AQ318"/>
          <cell r="AR318"/>
          <cell r="AS318"/>
          <cell r="AT318"/>
          <cell r="AU318"/>
          <cell r="AV318"/>
          <cell r="AW318"/>
          <cell r="AX318"/>
          <cell r="AY318"/>
          <cell r="AZ318"/>
          <cell r="BA318"/>
          <cell r="BB318"/>
          <cell r="BC318"/>
          <cell r="BD318"/>
          <cell r="BE318"/>
          <cell r="BF318"/>
          <cell r="BG318"/>
          <cell r="BH318"/>
          <cell r="BI318"/>
          <cell r="BJ318"/>
          <cell r="BK318"/>
          <cell r="BL318"/>
          <cell r="BM318"/>
          <cell r="BN318"/>
          <cell r="BO318"/>
          <cell r="BP318"/>
          <cell r="BQ318"/>
          <cell r="BR318"/>
          <cell r="BS318"/>
          <cell r="BT318"/>
          <cell r="BU318"/>
          <cell r="BV318"/>
          <cell r="BW318"/>
          <cell r="BX318"/>
          <cell r="BY318"/>
        </row>
        <row r="319">
          <cell r="B319" t="str">
            <v>CF5202-P</v>
          </cell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/>
          <cell r="AO319"/>
          <cell r="AP319"/>
          <cell r="AQ319"/>
          <cell r="AR319"/>
          <cell r="AS319"/>
          <cell r="AT319"/>
          <cell r="AU319"/>
          <cell r="AV319"/>
          <cell r="AW319"/>
          <cell r="AX319"/>
          <cell r="AY319"/>
          <cell r="AZ319"/>
          <cell r="BA319"/>
          <cell r="BB319"/>
          <cell r="BC319"/>
          <cell r="BD319"/>
          <cell r="BE319"/>
          <cell r="BF319"/>
          <cell r="BG319"/>
          <cell r="BH319"/>
          <cell r="BI319"/>
          <cell r="BJ319"/>
          <cell r="BK319"/>
          <cell r="BL319"/>
          <cell r="BM319"/>
          <cell r="BN319"/>
          <cell r="BO319"/>
          <cell r="BP319"/>
          <cell r="BQ319"/>
          <cell r="BR319"/>
          <cell r="BS319"/>
          <cell r="BT319"/>
          <cell r="BU319"/>
          <cell r="BV319"/>
          <cell r="BW319"/>
          <cell r="BX319"/>
          <cell r="BY319"/>
        </row>
        <row r="320">
          <cell r="B320" t="str">
            <v>32306-MX</v>
          </cell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/>
          <cell r="AO320"/>
          <cell r="AP320"/>
          <cell r="AQ320"/>
          <cell r="AR320"/>
          <cell r="AS320"/>
          <cell r="AT320"/>
          <cell r="AU320"/>
          <cell r="AV320"/>
          <cell r="AW320"/>
          <cell r="AX320"/>
          <cell r="AY320"/>
          <cell r="AZ320"/>
          <cell r="BA320"/>
          <cell r="BB320"/>
          <cell r="BC320"/>
          <cell r="BD320"/>
          <cell r="BE320"/>
          <cell r="BF320"/>
          <cell r="BG320"/>
          <cell r="BH320"/>
          <cell r="BI320"/>
          <cell r="BJ320"/>
          <cell r="BK320"/>
          <cell r="BL320"/>
          <cell r="BM320"/>
          <cell r="BN320"/>
          <cell r="BO320"/>
          <cell r="BP320"/>
          <cell r="BQ320"/>
          <cell r="BR320"/>
          <cell r="BS320"/>
          <cell r="BT320"/>
          <cell r="BU320"/>
          <cell r="BV320"/>
          <cell r="BW320"/>
          <cell r="BX320"/>
          <cell r="BY320"/>
        </row>
        <row r="321">
          <cell r="B321" t="str">
            <v>32316-MX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/>
          <cell r="AO321"/>
          <cell r="AP321"/>
          <cell r="AQ321"/>
          <cell r="AR321"/>
          <cell r="AS321"/>
          <cell r="AT321"/>
          <cell r="AU321"/>
          <cell r="AV321"/>
          <cell r="AW321"/>
          <cell r="AX321"/>
          <cell r="AY321"/>
          <cell r="AZ321"/>
          <cell r="BA321"/>
          <cell r="BB321"/>
          <cell r="BC321"/>
          <cell r="BD321"/>
          <cell r="BE321"/>
          <cell r="BF321"/>
          <cell r="BG321"/>
          <cell r="BH321"/>
          <cell r="BI321"/>
          <cell r="BJ321"/>
          <cell r="BK321"/>
          <cell r="BL321"/>
          <cell r="BM321"/>
          <cell r="BN321"/>
          <cell r="BO321"/>
          <cell r="BP321"/>
          <cell r="BQ321"/>
          <cell r="BR321"/>
          <cell r="BS321"/>
          <cell r="BT321"/>
          <cell r="BU321"/>
          <cell r="BV321"/>
          <cell r="BW321"/>
          <cell r="BX321"/>
          <cell r="BY321"/>
        </row>
        <row r="322">
          <cell r="B322" t="str">
            <v>29685-620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/>
          <cell r="AO322"/>
          <cell r="AP322"/>
          <cell r="AQ322"/>
          <cell r="AR322"/>
          <cell r="AS322"/>
          <cell r="AT322"/>
          <cell r="AU322"/>
          <cell r="AV322"/>
          <cell r="AW322"/>
          <cell r="AX322"/>
          <cell r="AY322"/>
          <cell r="AZ322"/>
          <cell r="BA322"/>
          <cell r="BB322"/>
          <cell r="BC322"/>
          <cell r="BD322"/>
          <cell r="BE322"/>
          <cell r="BF322"/>
          <cell r="BG322"/>
          <cell r="BH322"/>
          <cell r="BI322"/>
          <cell r="BJ322"/>
          <cell r="BK322"/>
          <cell r="BL322"/>
          <cell r="BM322"/>
          <cell r="BN322"/>
          <cell r="BO322"/>
          <cell r="BP322"/>
          <cell r="BQ322"/>
          <cell r="BR322"/>
          <cell r="BS322"/>
          <cell r="BT322"/>
          <cell r="BU322"/>
          <cell r="BV322"/>
          <cell r="BW322"/>
          <cell r="BX322"/>
          <cell r="BY322"/>
        </row>
        <row r="323">
          <cell r="B323" t="str">
            <v>7207-B</v>
          </cell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/>
          <cell r="T323"/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/>
          <cell r="AO323"/>
          <cell r="AP323"/>
          <cell r="AQ323"/>
          <cell r="AR323"/>
          <cell r="AS323"/>
          <cell r="AT323"/>
          <cell r="AU323"/>
          <cell r="AV323"/>
          <cell r="AW323"/>
          <cell r="AX323"/>
          <cell r="AY323"/>
          <cell r="AZ323"/>
          <cell r="BA323"/>
          <cell r="BB323"/>
          <cell r="BC323"/>
          <cell r="BD323"/>
          <cell r="BE323"/>
          <cell r="BF323"/>
          <cell r="BG323"/>
          <cell r="BH323"/>
          <cell r="BI323"/>
          <cell r="BJ323"/>
          <cell r="BK323"/>
          <cell r="BL323"/>
          <cell r="BM323"/>
          <cell r="BN323"/>
          <cell r="BO323"/>
          <cell r="BP323"/>
          <cell r="BQ323"/>
          <cell r="BR323"/>
          <cell r="BS323"/>
          <cell r="BT323"/>
          <cell r="BU323"/>
          <cell r="BV323"/>
          <cell r="BW323"/>
          <cell r="BX323"/>
          <cell r="BY323"/>
        </row>
        <row r="324">
          <cell r="B324" t="str">
            <v>ASLR205-16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/>
          <cell r="AO324"/>
          <cell r="AP324"/>
          <cell r="AQ324"/>
          <cell r="AR324"/>
          <cell r="AS324"/>
          <cell r="AT324"/>
          <cell r="AU324"/>
          <cell r="AV324"/>
          <cell r="AW324"/>
          <cell r="AX324"/>
          <cell r="AY324"/>
          <cell r="AZ324"/>
          <cell r="BA324"/>
          <cell r="BB324"/>
          <cell r="BC324"/>
          <cell r="BD324"/>
          <cell r="BE324"/>
          <cell r="BF324"/>
          <cell r="BG324"/>
          <cell r="BH324"/>
          <cell r="BI324"/>
          <cell r="BJ324"/>
          <cell r="BK324"/>
          <cell r="BL324"/>
          <cell r="BM324"/>
          <cell r="BN324"/>
          <cell r="BO324"/>
          <cell r="BP324"/>
          <cell r="BQ324"/>
          <cell r="BR324"/>
          <cell r="BS324"/>
          <cell r="BT324"/>
          <cell r="BU324"/>
          <cell r="BV324"/>
          <cell r="BW324"/>
          <cell r="BX324"/>
          <cell r="BY324"/>
        </row>
        <row r="325">
          <cell r="B325" t="str">
            <v>1WW30</v>
          </cell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/>
          <cell r="AO325"/>
          <cell r="AP325"/>
          <cell r="AQ325"/>
          <cell r="AR325"/>
          <cell r="AS325"/>
          <cell r="AT325"/>
          <cell r="AU325"/>
          <cell r="AV325"/>
          <cell r="AW325"/>
          <cell r="AX325"/>
          <cell r="AY325"/>
          <cell r="AZ325"/>
          <cell r="BA325"/>
          <cell r="BB325"/>
          <cell r="BC325"/>
          <cell r="BD325"/>
          <cell r="BE325"/>
          <cell r="BF325"/>
          <cell r="BG325"/>
          <cell r="BH325"/>
          <cell r="BI325"/>
          <cell r="BJ325"/>
          <cell r="BK325"/>
          <cell r="BL325"/>
          <cell r="BM325"/>
          <cell r="BN325"/>
          <cell r="BO325"/>
          <cell r="BP325"/>
          <cell r="BQ325"/>
          <cell r="BR325"/>
          <cell r="BS325"/>
          <cell r="BT325"/>
          <cell r="BU325"/>
          <cell r="BV325"/>
          <cell r="BW325"/>
          <cell r="BX325"/>
          <cell r="BY325"/>
        </row>
        <row r="326">
          <cell r="B326" t="str">
            <v>MS03-2Z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/>
          <cell r="AO326"/>
          <cell r="AP326"/>
          <cell r="AQ326"/>
          <cell r="AR326"/>
          <cell r="AS326"/>
          <cell r="AT326"/>
          <cell r="AU326"/>
          <cell r="AV326"/>
          <cell r="AW326"/>
          <cell r="AX326"/>
          <cell r="AY326"/>
          <cell r="AZ326"/>
          <cell r="BA326"/>
          <cell r="BB326"/>
          <cell r="BC326"/>
          <cell r="BD326"/>
          <cell r="BE326"/>
          <cell r="BF326"/>
          <cell r="BG326"/>
          <cell r="BH326"/>
          <cell r="BI326"/>
          <cell r="BJ326"/>
          <cell r="BK326"/>
          <cell r="BL326"/>
          <cell r="BM326"/>
          <cell r="BN326"/>
          <cell r="BO326"/>
          <cell r="BP326"/>
          <cell r="BQ326"/>
          <cell r="BR326"/>
          <cell r="BS326"/>
          <cell r="BT326"/>
          <cell r="BU326"/>
          <cell r="BV326"/>
          <cell r="BW326"/>
          <cell r="BX326"/>
          <cell r="BY326"/>
        </row>
        <row r="327">
          <cell r="B327" t="str">
            <v>30311-MX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/>
          <cell r="AO327"/>
          <cell r="AP327"/>
          <cell r="AQ327"/>
          <cell r="AR327"/>
          <cell r="AS327"/>
          <cell r="AT327"/>
          <cell r="AU327"/>
          <cell r="AV327"/>
          <cell r="AW327"/>
          <cell r="AX327"/>
          <cell r="AY327"/>
          <cell r="AZ327"/>
          <cell r="BA327"/>
          <cell r="BB327"/>
          <cell r="BC327"/>
          <cell r="BD327"/>
          <cell r="BE327"/>
          <cell r="BF327"/>
          <cell r="BG327"/>
          <cell r="BH327"/>
          <cell r="BI327"/>
          <cell r="BJ327"/>
          <cell r="BK327"/>
          <cell r="BL327"/>
          <cell r="BM327"/>
          <cell r="BN327"/>
          <cell r="BO327"/>
          <cell r="BP327"/>
          <cell r="BQ327"/>
          <cell r="BR327"/>
          <cell r="BS327"/>
          <cell r="BT327"/>
          <cell r="BU327"/>
          <cell r="BV327"/>
          <cell r="BW327"/>
          <cell r="BX327"/>
          <cell r="BY327"/>
        </row>
        <row r="328">
          <cell r="B328" t="str">
            <v>ENG458053CHS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/>
          <cell r="AO328"/>
          <cell r="AP328"/>
          <cell r="AQ328"/>
          <cell r="AR328"/>
          <cell r="AS328"/>
          <cell r="AT328"/>
          <cell r="AU328"/>
          <cell r="AV328"/>
          <cell r="AW328"/>
          <cell r="AX328"/>
          <cell r="AY328"/>
          <cell r="AZ328"/>
          <cell r="BA328"/>
          <cell r="BB328"/>
          <cell r="BC328"/>
          <cell r="BD328"/>
          <cell r="BE328"/>
          <cell r="BF328"/>
          <cell r="BG328"/>
          <cell r="BH328"/>
          <cell r="BI328"/>
          <cell r="BJ328"/>
          <cell r="BK328"/>
          <cell r="BL328"/>
          <cell r="BM328"/>
          <cell r="BN328"/>
          <cell r="BO328"/>
          <cell r="BP328"/>
          <cell r="BQ328"/>
          <cell r="BR328"/>
          <cell r="BS328"/>
          <cell r="BT328"/>
          <cell r="BU328"/>
          <cell r="BV328"/>
          <cell r="BW328"/>
          <cell r="BX328"/>
          <cell r="BY328"/>
        </row>
        <row r="329">
          <cell r="B329" t="str">
            <v>ECL-207-22-D</v>
          </cell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/>
          <cell r="AO329"/>
          <cell r="AP329"/>
          <cell r="AQ329"/>
          <cell r="AR329"/>
          <cell r="AS329"/>
          <cell r="AT329"/>
          <cell r="AU329"/>
          <cell r="AV329"/>
          <cell r="AW329"/>
          <cell r="AX329"/>
          <cell r="AY329"/>
          <cell r="AZ329"/>
          <cell r="BA329"/>
          <cell r="BB329"/>
          <cell r="BC329"/>
          <cell r="BD329"/>
          <cell r="BE329"/>
          <cell r="BF329"/>
          <cell r="BG329"/>
          <cell r="BH329"/>
          <cell r="BI329"/>
          <cell r="BJ329"/>
          <cell r="BK329"/>
          <cell r="BL329"/>
          <cell r="BM329"/>
          <cell r="BN329"/>
          <cell r="BO329"/>
          <cell r="BP329"/>
          <cell r="BQ329"/>
          <cell r="BR329"/>
          <cell r="BS329"/>
          <cell r="BT329"/>
          <cell r="BU329"/>
          <cell r="BV329"/>
          <cell r="BW329"/>
          <cell r="BX329"/>
          <cell r="BY329"/>
        </row>
        <row r="330">
          <cell r="B330" t="str">
            <v>F-206</v>
          </cell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/>
          <cell r="AO330"/>
          <cell r="AP330"/>
          <cell r="AQ330"/>
          <cell r="AR330"/>
          <cell r="AS330"/>
          <cell r="AT330"/>
          <cell r="AU330"/>
          <cell r="AV330"/>
          <cell r="AW330"/>
          <cell r="AX330"/>
          <cell r="AY330"/>
          <cell r="AZ330"/>
          <cell r="BA330"/>
          <cell r="BB330"/>
          <cell r="BC330"/>
          <cell r="BD330"/>
          <cell r="BE330"/>
          <cell r="BF330"/>
          <cell r="BG330"/>
          <cell r="BH330"/>
          <cell r="BI330"/>
          <cell r="BJ330"/>
          <cell r="BK330"/>
          <cell r="BL330"/>
          <cell r="BM330"/>
          <cell r="BN330"/>
          <cell r="BO330"/>
          <cell r="BP330"/>
          <cell r="BQ330"/>
          <cell r="BR330"/>
          <cell r="BS330"/>
          <cell r="BT330"/>
          <cell r="BU330"/>
          <cell r="BV330"/>
          <cell r="BW330"/>
          <cell r="BX330"/>
          <cell r="BY330"/>
        </row>
        <row r="331">
          <cell r="B331" t="str">
            <v>FD-205</v>
          </cell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/>
          <cell r="AO331"/>
          <cell r="AP331"/>
          <cell r="AQ331"/>
          <cell r="AR331"/>
          <cell r="AS331"/>
          <cell r="AT331"/>
          <cell r="AU331"/>
          <cell r="AV331"/>
          <cell r="AW331"/>
          <cell r="AX331"/>
          <cell r="AY331"/>
          <cell r="AZ331"/>
          <cell r="BA331"/>
          <cell r="BB331"/>
          <cell r="BC331"/>
          <cell r="BD331"/>
          <cell r="BE331"/>
          <cell r="BF331"/>
          <cell r="BG331"/>
          <cell r="BH331"/>
          <cell r="BI331"/>
          <cell r="BJ331"/>
          <cell r="BK331"/>
          <cell r="BL331"/>
          <cell r="BM331"/>
          <cell r="BN331"/>
          <cell r="BO331"/>
          <cell r="BP331"/>
          <cell r="BQ331"/>
          <cell r="BR331"/>
          <cell r="BS331"/>
          <cell r="BT331"/>
          <cell r="BU331"/>
          <cell r="BV331"/>
          <cell r="BW331"/>
          <cell r="BX331"/>
          <cell r="BY331"/>
        </row>
        <row r="332">
          <cell r="B332" t="str">
            <v>206-KYY6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/>
          <cell r="AO332"/>
          <cell r="AP332"/>
          <cell r="AQ332"/>
          <cell r="AR332"/>
          <cell r="AS332"/>
          <cell r="AT332"/>
          <cell r="AU332"/>
          <cell r="AV332"/>
          <cell r="AW332"/>
          <cell r="AX332"/>
          <cell r="AY332"/>
          <cell r="AZ332"/>
          <cell r="BA332"/>
          <cell r="BB332"/>
          <cell r="BC332"/>
          <cell r="BD332"/>
          <cell r="BE332"/>
          <cell r="BF332"/>
          <cell r="BG332"/>
          <cell r="BH332"/>
          <cell r="BI332"/>
          <cell r="BJ332"/>
          <cell r="BK332"/>
          <cell r="BL332"/>
          <cell r="BM332"/>
          <cell r="BN332"/>
          <cell r="BO332"/>
          <cell r="BP332"/>
          <cell r="BQ332"/>
          <cell r="BR332"/>
          <cell r="BS332"/>
          <cell r="BT332"/>
          <cell r="BU332"/>
          <cell r="BV332"/>
          <cell r="BW332"/>
          <cell r="BX332"/>
          <cell r="BY332"/>
        </row>
        <row r="333">
          <cell r="B333" t="str">
            <v>PB008775</v>
          </cell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/>
          <cell r="AO333"/>
          <cell r="AP333"/>
          <cell r="AQ333"/>
          <cell r="AR333"/>
          <cell r="AS333"/>
          <cell r="AT333"/>
          <cell r="AU333"/>
          <cell r="AV333"/>
          <cell r="AW333"/>
          <cell r="AX333"/>
          <cell r="AY333"/>
          <cell r="AZ333"/>
          <cell r="BA333"/>
          <cell r="BB333"/>
          <cell r="BC333"/>
          <cell r="BD333"/>
          <cell r="BE333"/>
          <cell r="BF333"/>
          <cell r="BG333"/>
          <cell r="BH333"/>
          <cell r="BI333"/>
          <cell r="BJ333"/>
          <cell r="BK333"/>
          <cell r="BL333"/>
          <cell r="BM333"/>
          <cell r="BN333"/>
          <cell r="BO333"/>
          <cell r="BP333"/>
          <cell r="BQ333"/>
          <cell r="BR333"/>
          <cell r="BS333"/>
          <cell r="BT333"/>
          <cell r="BU333"/>
          <cell r="BV333"/>
          <cell r="BW333"/>
          <cell r="BX333"/>
          <cell r="BY333"/>
        </row>
        <row r="334">
          <cell r="B334" t="str">
            <v>MS02-D-C3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/>
          <cell r="AO334"/>
          <cell r="AP334"/>
          <cell r="AQ334"/>
          <cell r="AR334"/>
          <cell r="AS334"/>
          <cell r="AT334"/>
          <cell r="AU334"/>
          <cell r="AV334"/>
          <cell r="AW334"/>
          <cell r="AX334"/>
          <cell r="AY334"/>
          <cell r="AZ334"/>
          <cell r="BA334"/>
          <cell r="BB334"/>
          <cell r="BC334"/>
          <cell r="BD334"/>
          <cell r="BE334"/>
          <cell r="BF334"/>
          <cell r="BG334"/>
          <cell r="BH334"/>
          <cell r="BI334"/>
          <cell r="BJ334"/>
          <cell r="BK334"/>
          <cell r="BL334"/>
          <cell r="BM334"/>
          <cell r="BN334"/>
          <cell r="BO334"/>
          <cell r="BP334"/>
          <cell r="BQ334"/>
          <cell r="BR334"/>
          <cell r="BS334"/>
          <cell r="BT334"/>
          <cell r="BU334"/>
          <cell r="BV334"/>
          <cell r="BW334"/>
          <cell r="BX334"/>
          <cell r="BY334"/>
        </row>
        <row r="335">
          <cell r="B335" t="str">
            <v>AG-1235-B</v>
          </cell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/>
          <cell r="AO335"/>
          <cell r="AP335"/>
          <cell r="AQ335"/>
          <cell r="AR335"/>
          <cell r="AS335"/>
          <cell r="AT335"/>
          <cell r="AU335"/>
          <cell r="AV335"/>
          <cell r="AW335"/>
          <cell r="AX335"/>
          <cell r="AY335"/>
          <cell r="AZ335"/>
          <cell r="BA335"/>
          <cell r="BB335"/>
          <cell r="BC335"/>
          <cell r="BD335"/>
          <cell r="BE335"/>
          <cell r="BF335"/>
          <cell r="BG335"/>
          <cell r="BH335"/>
          <cell r="BI335"/>
          <cell r="BJ335"/>
          <cell r="BK335"/>
          <cell r="BL335"/>
          <cell r="BM335"/>
          <cell r="BN335"/>
          <cell r="BO335"/>
          <cell r="BP335"/>
          <cell r="BQ335"/>
          <cell r="BR335"/>
          <cell r="BS335"/>
          <cell r="BT335"/>
          <cell r="BU335"/>
          <cell r="BV335"/>
          <cell r="BW335"/>
          <cell r="BX335"/>
          <cell r="BY335"/>
        </row>
        <row r="336">
          <cell r="B336" t="str">
            <v>PB001098</v>
          </cell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/>
          <cell r="AO336"/>
          <cell r="AP336"/>
          <cell r="AQ336"/>
          <cell r="AR336"/>
          <cell r="AS336"/>
          <cell r="AT336"/>
          <cell r="AU336"/>
          <cell r="AV336"/>
          <cell r="AW336"/>
          <cell r="AX336"/>
          <cell r="AY336"/>
          <cell r="AZ336"/>
          <cell r="BA336"/>
          <cell r="BB336"/>
          <cell r="BC336"/>
          <cell r="BD336"/>
          <cell r="BE336"/>
          <cell r="BF336"/>
          <cell r="BG336"/>
          <cell r="BH336"/>
          <cell r="BI336"/>
          <cell r="BJ336"/>
          <cell r="BK336"/>
          <cell r="BL336"/>
          <cell r="BM336"/>
          <cell r="BN336"/>
          <cell r="BO336"/>
          <cell r="BP336"/>
          <cell r="BQ336"/>
          <cell r="BR336"/>
          <cell r="BS336"/>
          <cell r="BT336"/>
          <cell r="BU336"/>
          <cell r="BV336"/>
          <cell r="BW336"/>
          <cell r="BX336"/>
          <cell r="BY336"/>
        </row>
        <row r="337">
          <cell r="B337" t="str">
            <v>6212-2RS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/>
          <cell r="AO337"/>
          <cell r="AP337"/>
          <cell r="AQ337"/>
          <cell r="AR337"/>
          <cell r="AS337"/>
          <cell r="AT337"/>
          <cell r="AU337"/>
          <cell r="AV337"/>
          <cell r="AW337"/>
          <cell r="AX337"/>
          <cell r="AY337"/>
          <cell r="AZ337"/>
          <cell r="BA337"/>
          <cell r="BB337"/>
          <cell r="BC337"/>
          <cell r="BD337"/>
          <cell r="BE337"/>
          <cell r="BF337"/>
          <cell r="BG337"/>
          <cell r="BH337"/>
          <cell r="BI337"/>
          <cell r="BJ337"/>
          <cell r="BK337"/>
          <cell r="BL337"/>
          <cell r="BM337"/>
          <cell r="BN337"/>
          <cell r="BO337"/>
          <cell r="BP337"/>
          <cell r="BQ337"/>
          <cell r="BR337"/>
          <cell r="BS337"/>
          <cell r="BT337"/>
          <cell r="BU337"/>
          <cell r="BV337"/>
          <cell r="BW337"/>
          <cell r="BX337"/>
          <cell r="BY337"/>
        </row>
        <row r="338">
          <cell r="B338" t="str">
            <v>PB001027</v>
          </cell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/>
          <cell r="AR338"/>
          <cell r="AS338"/>
          <cell r="AT338"/>
          <cell r="AU338"/>
          <cell r="AV338"/>
          <cell r="AW338"/>
          <cell r="AX338"/>
          <cell r="AY338"/>
          <cell r="AZ338"/>
          <cell r="BA338"/>
          <cell r="BB338"/>
          <cell r="BC338"/>
          <cell r="BD338"/>
          <cell r="BE338"/>
          <cell r="BF338"/>
          <cell r="BG338"/>
          <cell r="BH338"/>
          <cell r="BI338"/>
          <cell r="BJ338"/>
          <cell r="BK338"/>
          <cell r="BL338"/>
          <cell r="BM338"/>
          <cell r="BN338"/>
          <cell r="BO338"/>
          <cell r="BP338"/>
          <cell r="BQ338"/>
          <cell r="BR338"/>
          <cell r="BS338"/>
          <cell r="BT338"/>
          <cell r="BU338"/>
          <cell r="BV338"/>
          <cell r="BW338"/>
          <cell r="BX338"/>
          <cell r="BY338"/>
        </row>
        <row r="339">
          <cell r="B339" t="str">
            <v>F-211</v>
          </cell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/>
          <cell r="AO339"/>
          <cell r="AP339"/>
          <cell r="AQ339"/>
          <cell r="AR339"/>
          <cell r="AS339"/>
          <cell r="AT339"/>
          <cell r="AU339"/>
          <cell r="AV339"/>
          <cell r="AW339"/>
          <cell r="AX339"/>
          <cell r="AY339"/>
          <cell r="AZ339"/>
          <cell r="BA339"/>
          <cell r="BB339"/>
          <cell r="BC339"/>
          <cell r="BD339"/>
          <cell r="BE339"/>
          <cell r="BF339"/>
          <cell r="BG339"/>
          <cell r="BH339"/>
          <cell r="BI339"/>
          <cell r="BJ339"/>
          <cell r="BK339"/>
          <cell r="BL339"/>
          <cell r="BM339"/>
          <cell r="BN339"/>
          <cell r="BO339"/>
          <cell r="BP339"/>
          <cell r="BQ339"/>
          <cell r="BR339"/>
          <cell r="BS339"/>
          <cell r="BT339"/>
          <cell r="BU339"/>
          <cell r="BV339"/>
          <cell r="BW339"/>
          <cell r="BX339"/>
          <cell r="BY339"/>
        </row>
        <row r="340">
          <cell r="B340" t="str">
            <v>PB003312</v>
          </cell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/>
          <cell r="AO340"/>
          <cell r="AP340"/>
          <cell r="AQ340"/>
          <cell r="AR340"/>
          <cell r="AS340"/>
          <cell r="AT340"/>
          <cell r="AU340"/>
          <cell r="AV340"/>
          <cell r="AW340"/>
          <cell r="AX340"/>
          <cell r="AY340"/>
          <cell r="AZ340"/>
          <cell r="BA340"/>
          <cell r="BB340"/>
          <cell r="BC340"/>
          <cell r="BD340"/>
          <cell r="BE340"/>
          <cell r="BF340"/>
          <cell r="BG340"/>
          <cell r="BH340"/>
          <cell r="BI340"/>
          <cell r="BJ340"/>
          <cell r="BK340"/>
          <cell r="BL340"/>
          <cell r="BM340"/>
          <cell r="BN340"/>
          <cell r="BO340"/>
          <cell r="BP340"/>
          <cell r="BQ340"/>
          <cell r="BR340"/>
          <cell r="BS340"/>
          <cell r="BT340"/>
          <cell r="BU340"/>
          <cell r="BV340"/>
          <cell r="BW340"/>
          <cell r="BX340"/>
          <cell r="BY340"/>
        </row>
        <row r="341">
          <cell r="B341" t="str">
            <v>BP-18013</v>
          </cell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/>
          <cell r="AO341"/>
          <cell r="AP341"/>
          <cell r="AQ341"/>
          <cell r="AR341"/>
          <cell r="AS341"/>
          <cell r="AT341"/>
          <cell r="AU341"/>
          <cell r="AV341"/>
          <cell r="AW341"/>
          <cell r="AX341"/>
          <cell r="AY341"/>
          <cell r="AZ341"/>
          <cell r="BA341"/>
          <cell r="BB341"/>
          <cell r="BC341"/>
          <cell r="BD341"/>
          <cell r="BE341"/>
          <cell r="BF341"/>
          <cell r="BG341"/>
          <cell r="BH341"/>
          <cell r="BI341"/>
          <cell r="BJ341"/>
          <cell r="BK341"/>
          <cell r="BL341"/>
          <cell r="BM341"/>
          <cell r="BN341"/>
          <cell r="BO341"/>
          <cell r="BP341"/>
          <cell r="BQ341"/>
          <cell r="BR341"/>
          <cell r="BS341"/>
          <cell r="BT341"/>
          <cell r="BU341"/>
          <cell r="BV341"/>
          <cell r="BW341"/>
          <cell r="BX341"/>
          <cell r="BY341"/>
        </row>
        <row r="342">
          <cell r="B342" t="str">
            <v>ACL205-16RG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/>
          <cell r="AO342"/>
          <cell r="AP342"/>
          <cell r="AQ342"/>
          <cell r="AR342"/>
          <cell r="AS342"/>
          <cell r="AT342"/>
          <cell r="AU342"/>
          <cell r="AV342"/>
          <cell r="AW342"/>
          <cell r="AX342"/>
          <cell r="AY342"/>
          <cell r="AZ342"/>
          <cell r="BA342"/>
          <cell r="BB342"/>
          <cell r="BC342"/>
          <cell r="BD342"/>
          <cell r="BE342"/>
          <cell r="BF342"/>
          <cell r="BG342"/>
          <cell r="BH342"/>
          <cell r="BI342"/>
          <cell r="BJ342"/>
          <cell r="BK342"/>
          <cell r="BL342"/>
          <cell r="BM342"/>
          <cell r="BN342"/>
          <cell r="BO342"/>
          <cell r="BP342"/>
          <cell r="BQ342"/>
          <cell r="BR342"/>
          <cell r="BS342"/>
          <cell r="BT342"/>
          <cell r="BU342"/>
          <cell r="BV342"/>
          <cell r="BW342"/>
          <cell r="BX342"/>
          <cell r="BY342"/>
        </row>
        <row r="343">
          <cell r="B343" t="str">
            <v>ENG256553CHS</v>
          </cell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/>
          <cell r="AO343"/>
          <cell r="AP343"/>
          <cell r="AQ343"/>
          <cell r="AR343"/>
          <cell r="AS343"/>
          <cell r="AT343"/>
          <cell r="AU343"/>
          <cell r="AV343"/>
          <cell r="AW343"/>
          <cell r="AX343"/>
          <cell r="AY343"/>
          <cell r="AZ343"/>
          <cell r="BA343"/>
          <cell r="BB343"/>
          <cell r="BC343"/>
          <cell r="BD343"/>
          <cell r="BE343"/>
          <cell r="BF343"/>
          <cell r="BG343"/>
          <cell r="BH343"/>
          <cell r="BI343"/>
          <cell r="BJ343"/>
          <cell r="BK343"/>
          <cell r="BL343"/>
          <cell r="BM343"/>
          <cell r="BN343"/>
          <cell r="BO343"/>
          <cell r="BP343"/>
          <cell r="BQ343"/>
          <cell r="BR343"/>
          <cell r="BS343"/>
          <cell r="BT343"/>
          <cell r="BU343"/>
          <cell r="BV343"/>
          <cell r="BW343"/>
          <cell r="BX343"/>
          <cell r="BY343"/>
        </row>
        <row r="344">
          <cell r="B344" t="str">
            <v>PB001028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/>
          <cell r="AO344"/>
          <cell r="AP344"/>
          <cell r="AQ344"/>
          <cell r="AR344"/>
          <cell r="AS344"/>
          <cell r="AT344"/>
          <cell r="AU344"/>
          <cell r="AV344"/>
          <cell r="AW344"/>
          <cell r="AX344"/>
          <cell r="AY344"/>
          <cell r="AZ344"/>
          <cell r="BA344"/>
          <cell r="BB344"/>
          <cell r="BC344"/>
          <cell r="BD344"/>
          <cell r="BE344"/>
          <cell r="BF344"/>
          <cell r="BG344"/>
          <cell r="BH344"/>
          <cell r="BI344"/>
          <cell r="BJ344"/>
          <cell r="BK344"/>
          <cell r="BL344"/>
          <cell r="BM344"/>
          <cell r="BN344"/>
          <cell r="BO344"/>
          <cell r="BP344"/>
          <cell r="BQ344"/>
          <cell r="BR344"/>
          <cell r="BS344"/>
          <cell r="BT344"/>
          <cell r="BU344"/>
          <cell r="BV344"/>
          <cell r="BW344"/>
          <cell r="BX344"/>
          <cell r="BY344"/>
        </row>
        <row r="345">
          <cell r="B345" t="str">
            <v>PB001055</v>
          </cell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/>
          <cell r="AO345"/>
          <cell r="AP345"/>
          <cell r="AQ345"/>
          <cell r="AR345"/>
          <cell r="AS345"/>
          <cell r="AT345"/>
          <cell r="AU345"/>
          <cell r="AV345"/>
          <cell r="AW345"/>
          <cell r="AX345"/>
          <cell r="AY345"/>
          <cell r="AZ345"/>
          <cell r="BA345"/>
          <cell r="BB345"/>
          <cell r="BC345"/>
          <cell r="BD345"/>
          <cell r="BE345"/>
          <cell r="BF345"/>
          <cell r="BG345"/>
          <cell r="BH345"/>
          <cell r="BI345"/>
          <cell r="BJ345"/>
          <cell r="BK345"/>
          <cell r="BL345"/>
          <cell r="BM345"/>
          <cell r="BN345"/>
          <cell r="BO345"/>
          <cell r="BP345"/>
          <cell r="BQ345"/>
          <cell r="BR345"/>
          <cell r="BS345"/>
          <cell r="BT345"/>
          <cell r="BU345"/>
          <cell r="BV345"/>
          <cell r="BW345"/>
          <cell r="BX345"/>
          <cell r="BY345"/>
        </row>
        <row r="346">
          <cell r="B346" t="str">
            <v>204-KRR2</v>
          </cell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/>
          <cell r="AO346"/>
          <cell r="AP346"/>
          <cell r="AQ346"/>
          <cell r="AR346"/>
          <cell r="AS346"/>
          <cell r="AT346"/>
          <cell r="AU346"/>
          <cell r="AV346"/>
          <cell r="AW346"/>
          <cell r="AX346"/>
          <cell r="AY346"/>
          <cell r="AZ346"/>
          <cell r="BA346"/>
          <cell r="BB346"/>
          <cell r="BC346"/>
          <cell r="BD346"/>
          <cell r="BE346"/>
          <cell r="BF346"/>
          <cell r="BG346"/>
          <cell r="BH346"/>
          <cell r="BI346"/>
          <cell r="BJ346"/>
          <cell r="BK346"/>
          <cell r="BL346"/>
          <cell r="BM346"/>
          <cell r="BN346"/>
          <cell r="BO346"/>
          <cell r="BP346"/>
          <cell r="BQ346"/>
          <cell r="BR346"/>
          <cell r="BS346"/>
          <cell r="BT346"/>
          <cell r="BU346"/>
          <cell r="BV346"/>
          <cell r="BW346"/>
          <cell r="BX346"/>
          <cell r="BY346"/>
        </row>
        <row r="347">
          <cell r="B347" t="str">
            <v>PB006212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/>
          <cell r="AR347"/>
          <cell r="AS347"/>
          <cell r="AT347"/>
          <cell r="AU347"/>
          <cell r="AV347"/>
          <cell r="AW347"/>
          <cell r="AX347"/>
          <cell r="AY347"/>
          <cell r="AZ347"/>
          <cell r="BA347"/>
          <cell r="BB347"/>
          <cell r="BC347"/>
          <cell r="BD347"/>
          <cell r="BE347"/>
          <cell r="BF347"/>
          <cell r="BG347"/>
          <cell r="BH347"/>
          <cell r="BI347"/>
          <cell r="BJ347"/>
          <cell r="BK347"/>
          <cell r="BL347"/>
          <cell r="BM347"/>
          <cell r="BN347"/>
          <cell r="BO347"/>
          <cell r="BP347"/>
          <cell r="BQ347"/>
          <cell r="BR347"/>
          <cell r="BS347"/>
          <cell r="BT347"/>
          <cell r="BU347"/>
          <cell r="BV347"/>
          <cell r="BW347"/>
          <cell r="BX347"/>
          <cell r="BY347"/>
        </row>
        <row r="348">
          <cell r="B348" t="str">
            <v>DTR2552-RG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/>
          <cell r="AR348"/>
          <cell r="AS348"/>
          <cell r="AT348"/>
          <cell r="AU348"/>
          <cell r="AV348"/>
          <cell r="AW348"/>
          <cell r="AX348"/>
          <cell r="AY348"/>
          <cell r="AZ348"/>
          <cell r="BA348"/>
          <cell r="BB348"/>
          <cell r="BC348"/>
          <cell r="BD348"/>
          <cell r="BE348"/>
          <cell r="BF348"/>
          <cell r="BG348"/>
          <cell r="BH348"/>
          <cell r="BI348"/>
          <cell r="BJ348"/>
          <cell r="BK348"/>
          <cell r="BL348"/>
          <cell r="BM348"/>
          <cell r="BN348"/>
          <cell r="BO348"/>
          <cell r="BP348"/>
          <cell r="BQ348"/>
          <cell r="BR348"/>
          <cell r="BS348"/>
          <cell r="BT348"/>
          <cell r="BU348"/>
          <cell r="BV348"/>
          <cell r="BW348"/>
          <cell r="BX348"/>
          <cell r="BY348"/>
        </row>
        <row r="349">
          <cell r="B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/>
          <cell r="AR349"/>
          <cell r="AS349"/>
          <cell r="AT349"/>
          <cell r="AU349"/>
          <cell r="AV349"/>
          <cell r="AW349"/>
          <cell r="AX349"/>
          <cell r="AY349"/>
          <cell r="AZ349"/>
          <cell r="BA349"/>
          <cell r="BB349"/>
          <cell r="BC349"/>
          <cell r="BD349"/>
          <cell r="BE349"/>
          <cell r="BF349"/>
          <cell r="BG349"/>
          <cell r="BH349"/>
          <cell r="BI349"/>
          <cell r="BJ349"/>
          <cell r="BK349"/>
          <cell r="BL349"/>
          <cell r="BM349"/>
          <cell r="BN349"/>
          <cell r="BO349"/>
          <cell r="BP349"/>
          <cell r="BQ349"/>
          <cell r="BR349"/>
          <cell r="BS349"/>
          <cell r="BT349"/>
          <cell r="BU349"/>
          <cell r="BV349"/>
          <cell r="BW349"/>
          <cell r="BX349"/>
          <cell r="BY349"/>
        </row>
        <row r="350">
          <cell r="B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/>
          <cell r="AR350"/>
          <cell r="AS350"/>
          <cell r="AT350"/>
          <cell r="AU350"/>
          <cell r="AV350"/>
          <cell r="AW350"/>
          <cell r="AX350"/>
          <cell r="AY350"/>
          <cell r="AZ350"/>
          <cell r="BA350"/>
          <cell r="BB350"/>
          <cell r="BC350"/>
          <cell r="BD350"/>
          <cell r="BE350"/>
          <cell r="BF350"/>
          <cell r="BG350"/>
          <cell r="BH350"/>
          <cell r="BI350"/>
          <cell r="BJ350"/>
          <cell r="BK350"/>
          <cell r="BL350"/>
          <cell r="BM350"/>
          <cell r="BN350"/>
          <cell r="BO350"/>
          <cell r="BP350"/>
          <cell r="BQ350"/>
          <cell r="BR350"/>
          <cell r="BS350"/>
          <cell r="BT350"/>
          <cell r="BU350"/>
          <cell r="BV350"/>
          <cell r="BW350"/>
          <cell r="BX350"/>
          <cell r="BY350"/>
        </row>
        <row r="351">
          <cell r="B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/>
          <cell r="AR351"/>
          <cell r="AS351"/>
          <cell r="AT351"/>
          <cell r="AU351"/>
          <cell r="AV351"/>
          <cell r="AW351"/>
          <cell r="AX351"/>
          <cell r="AY351"/>
          <cell r="AZ351"/>
          <cell r="BA351"/>
          <cell r="BB351"/>
          <cell r="BC351"/>
          <cell r="BD351"/>
          <cell r="BE351"/>
          <cell r="BF351"/>
          <cell r="BG351"/>
          <cell r="BH351"/>
          <cell r="BI351"/>
          <cell r="BJ351"/>
          <cell r="BK351"/>
          <cell r="BL351"/>
          <cell r="BM351"/>
          <cell r="BN351"/>
          <cell r="BO351"/>
          <cell r="BP351"/>
          <cell r="BQ351"/>
          <cell r="BR351"/>
          <cell r="BS351"/>
          <cell r="BT351"/>
          <cell r="BU351"/>
          <cell r="BV351"/>
          <cell r="BW351"/>
          <cell r="BX351"/>
          <cell r="BY351"/>
        </row>
        <row r="352">
          <cell r="B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/>
          <cell r="AR352"/>
          <cell r="AS352"/>
          <cell r="AT352"/>
          <cell r="AU352"/>
          <cell r="AV352"/>
          <cell r="AW352"/>
          <cell r="AX352"/>
          <cell r="AY352"/>
          <cell r="AZ352"/>
          <cell r="BA352"/>
          <cell r="BB352"/>
          <cell r="BC352"/>
          <cell r="BD352"/>
          <cell r="BE352"/>
          <cell r="BF352"/>
          <cell r="BG352"/>
          <cell r="BH352"/>
          <cell r="BI352"/>
          <cell r="BJ352"/>
          <cell r="BK352"/>
          <cell r="BL352"/>
          <cell r="BM352"/>
          <cell r="BN352"/>
          <cell r="BO352"/>
          <cell r="BP352"/>
          <cell r="BQ352"/>
          <cell r="BR352"/>
          <cell r="BS352"/>
          <cell r="BT352"/>
          <cell r="BU352"/>
          <cell r="BV352"/>
          <cell r="BW352"/>
          <cell r="BX352"/>
          <cell r="BY352"/>
        </row>
        <row r="353">
          <cell r="B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/>
          <cell r="AR353"/>
          <cell r="AS353"/>
          <cell r="AT353"/>
          <cell r="AU353"/>
          <cell r="AV353"/>
          <cell r="AW353"/>
          <cell r="AX353"/>
          <cell r="AY353"/>
          <cell r="AZ353"/>
          <cell r="BA353"/>
          <cell r="BB353"/>
          <cell r="BC353"/>
          <cell r="BD353"/>
          <cell r="BE353"/>
          <cell r="BF353"/>
          <cell r="BG353"/>
          <cell r="BH353"/>
          <cell r="BI353"/>
          <cell r="BJ353"/>
          <cell r="BK353"/>
          <cell r="BL353"/>
          <cell r="BM353"/>
          <cell r="BN353"/>
          <cell r="BO353"/>
          <cell r="BP353"/>
          <cell r="BQ353"/>
          <cell r="BR353"/>
          <cell r="BS353"/>
          <cell r="BT353"/>
          <cell r="BU353"/>
          <cell r="BV353"/>
          <cell r="BW353"/>
          <cell r="BX353"/>
          <cell r="BY353"/>
        </row>
        <row r="354">
          <cell r="B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/>
          <cell r="AR354"/>
          <cell r="AS354"/>
          <cell r="AT354"/>
          <cell r="AU354"/>
          <cell r="AV354"/>
          <cell r="AW354"/>
          <cell r="AX354"/>
          <cell r="AY354"/>
          <cell r="AZ354"/>
          <cell r="BA354"/>
          <cell r="BB354"/>
          <cell r="BC354"/>
          <cell r="BD354"/>
          <cell r="BE354"/>
          <cell r="BF354"/>
          <cell r="BG354"/>
          <cell r="BH354"/>
          <cell r="BI354"/>
          <cell r="BJ354"/>
          <cell r="BK354"/>
          <cell r="BL354"/>
          <cell r="BM354"/>
          <cell r="BN354"/>
          <cell r="BO354"/>
          <cell r="BP354"/>
          <cell r="BQ354"/>
          <cell r="BR354"/>
          <cell r="BS354"/>
          <cell r="BT354"/>
          <cell r="BU354"/>
          <cell r="BV354"/>
          <cell r="BW354"/>
          <cell r="BX354"/>
          <cell r="BY354"/>
        </row>
        <row r="355">
          <cell r="B355" t="str">
            <v>APROBADO POR:</v>
          </cell>
          <cell r="D355"/>
          <cell r="E355" t="str">
            <v xml:space="preserve">NOTAS: </v>
          </cell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/>
          <cell r="AR355"/>
          <cell r="AS355"/>
          <cell r="AT355"/>
          <cell r="AU355"/>
          <cell r="AV355"/>
          <cell r="AW355"/>
          <cell r="AX355"/>
          <cell r="AY355"/>
          <cell r="AZ355"/>
          <cell r="BA355"/>
          <cell r="BB355"/>
          <cell r="BC355"/>
          <cell r="BD355"/>
          <cell r="BE355"/>
          <cell r="BF355"/>
          <cell r="BG355"/>
          <cell r="BH355"/>
          <cell r="BI355"/>
          <cell r="BJ355"/>
          <cell r="BK355"/>
          <cell r="BL355"/>
          <cell r="BM355"/>
          <cell r="BN355"/>
          <cell r="BO355"/>
          <cell r="BP355"/>
          <cell r="BQ355"/>
          <cell r="BR355"/>
          <cell r="BS355"/>
          <cell r="BT355"/>
          <cell r="BU355"/>
          <cell r="BV355"/>
          <cell r="BW355"/>
          <cell r="BX355"/>
          <cell r="BY355"/>
        </row>
        <row r="356">
          <cell r="B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/>
          <cell r="AR356"/>
          <cell r="AS356"/>
          <cell r="AT356"/>
          <cell r="AU356"/>
          <cell r="AV356"/>
          <cell r="AW356"/>
          <cell r="AX356"/>
          <cell r="AY356"/>
          <cell r="AZ356"/>
          <cell r="BA356"/>
          <cell r="BB356"/>
          <cell r="BC356"/>
          <cell r="BD356"/>
          <cell r="BE356"/>
          <cell r="BF356"/>
          <cell r="BG356"/>
          <cell r="BH356"/>
          <cell r="BI356"/>
          <cell r="BJ356"/>
          <cell r="BK356"/>
          <cell r="BL356"/>
          <cell r="BM356"/>
          <cell r="BN356"/>
          <cell r="BO356"/>
          <cell r="BP356"/>
          <cell r="BQ356"/>
          <cell r="BR356"/>
          <cell r="BS356"/>
          <cell r="BT356"/>
          <cell r="BU356"/>
          <cell r="BV356"/>
          <cell r="BW356"/>
          <cell r="BX356"/>
          <cell r="BY356"/>
        </row>
        <row r="357">
          <cell r="B357"/>
          <cell r="D357"/>
          <cell r="E357"/>
          <cell r="F357"/>
          <cell r="G357"/>
          <cell r="H357"/>
          <cell r="I357"/>
        </row>
        <row r="358">
          <cell r="B358"/>
        </row>
        <row r="359">
          <cell r="B359"/>
        </row>
        <row r="360">
          <cell r="B360"/>
        </row>
        <row r="361">
          <cell r="B361"/>
        </row>
        <row r="362">
          <cell r="B362"/>
        </row>
        <row r="363">
          <cell r="B363"/>
        </row>
        <row r="364">
          <cell r="B364"/>
        </row>
        <row r="365">
          <cell r="B365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4"/>
  <sheetViews>
    <sheetView showGridLines="0" tabSelected="1" zoomScale="90" zoomScaleNormal="90" workbookViewId="0">
      <selection activeCell="J24" sqref="J24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54" t="s">
        <v>58</v>
      </c>
      <c r="D3" s="154"/>
      <c r="E3" s="10" t="s">
        <v>1</v>
      </c>
      <c r="F3" s="50">
        <v>45950</v>
      </c>
      <c r="G3" s="10" t="s">
        <v>2</v>
      </c>
      <c r="H3" s="155">
        <f>DolarBlueVenta()</f>
        <v>1485</v>
      </c>
      <c r="I3" s="155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56" t="s">
        <v>23</v>
      </c>
      <c r="D5" s="156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43"/>
      <c r="T5" s="143"/>
    </row>
    <row r="6" spans="1:20" ht="30" customHeight="1">
      <c r="A6" s="4"/>
      <c r="B6" s="19" t="s">
        <v>6</v>
      </c>
      <c r="C6" s="144" t="s">
        <v>24</v>
      </c>
      <c r="D6" s="144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45" t="s">
        <v>9</v>
      </c>
      <c r="E8" s="145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45" t="s">
        <v>13</v>
      </c>
      <c r="L8" s="145"/>
      <c r="M8" s="28" t="s">
        <v>14</v>
      </c>
      <c r="N8" s="4"/>
      <c r="O8" s="4"/>
    </row>
    <row r="9" spans="1:20" ht="30" customHeight="1">
      <c r="A9" s="4"/>
      <c r="B9" s="132" t="s">
        <v>15</v>
      </c>
      <c r="C9" s="146" t="s">
        <v>16</v>
      </c>
      <c r="D9" s="148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B&amp;P-001-LS06-D</v>
      </c>
      <c r="E9" s="149"/>
      <c r="F9" s="125"/>
      <c r="G9" s="82" t="str">
        <f>IF(D9="","", IF(ISERROR(FIND("Seleccionar", D9)), "-", ""))</f>
        <v>-</v>
      </c>
      <c r="H9" s="56">
        <f>IFERROR(
  INDEX([6]Hoja1!$P:$P,
         MATCH($D9, [6]Hoja1!$A:$A, 0)),
"")</f>
        <v>0.25619999999999998</v>
      </c>
      <c r="I9" s="81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48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IDESP - Cotizado el 19/09/2024 a $ 982,00</v>
      </c>
      <c r="L9" s="149"/>
      <c r="M9" s="65">
        <f>IF(H9=""," ",IFERROR(H9*I9,""))</f>
        <v>0.25619999999999998</v>
      </c>
      <c r="N9" s="4"/>
      <c r="O9" s="4"/>
    </row>
    <row r="10" spans="1:20" ht="30" customHeight="1">
      <c r="A10" s="4"/>
      <c r="B10" s="131"/>
      <c r="C10" s="147"/>
      <c r="D10" s="150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B&amp;P-002-LS06-D</v>
      </c>
      <c r="E10" s="151"/>
      <c r="F10" s="86"/>
      <c r="G10" s="126" t="str">
        <f t="shared" ref="G10:G13" si="0">IF(D10="","", IF(ISERROR(FIND("Seleccionar", D10)), "-", ""))</f>
        <v>-</v>
      </c>
      <c r="H10" s="127">
        <f>IFERROR(
  INDEX([6]Hoja1!$P:$P,
         MATCH($D10, [6]Hoja1!$A:$A, 0)),
"")</f>
        <v>0.222</v>
      </c>
      <c r="I10" s="12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129" t="str">
        <f t="shared" ref="J10:J13" si="1">IF(D10="","", IF(ISERROR(FIND("Seleccionar", D10)), "un / Pieza", ""))</f>
        <v>un / Pieza</v>
      </c>
      <c r="K10" s="150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19/09/2024 a $ 982,00</v>
      </c>
      <c r="L10" s="151"/>
      <c r="M10" s="66">
        <f t="shared" ref="M10:M13" si="2">IF(H10=""," ",IFERROR(H10*I10,""))</f>
        <v>0.222</v>
      </c>
      <c r="N10" s="4"/>
      <c r="O10" s="4"/>
    </row>
    <row r="11" spans="1:20" ht="30" customHeight="1">
      <c r="A11" s="4"/>
      <c r="B11" s="131"/>
      <c r="C11" s="147"/>
      <c r="D11" s="150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B&amp;P-005-RET/SET-LS06</v>
      </c>
      <c r="E11" s="151"/>
      <c r="F11" s="86"/>
      <c r="G11" s="126" t="str">
        <f t="shared" si="0"/>
        <v>-</v>
      </c>
      <c r="H11" s="127">
        <f>IFERROR(
  INDEX([6]Hoja1!$P:$P,
         MATCH($D11, [6]Hoja1!$A:$A, 0)),
"")</f>
        <v>4.7899999999999998E-2</v>
      </c>
      <c r="I11" s="12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1</v>
      </c>
      <c r="J11" s="129" t="str">
        <f t="shared" si="1"/>
        <v>un / Pieza</v>
      </c>
      <c r="K11" s="150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19/09/2024 a $ 982,00</v>
      </c>
      <c r="L11" s="151"/>
      <c r="M11" s="66">
        <f t="shared" si="2"/>
        <v>4.7899999999999998E-2</v>
      </c>
      <c r="N11" s="4"/>
      <c r="O11" s="4"/>
    </row>
    <row r="12" spans="1:20" ht="30" customHeight="1">
      <c r="A12" s="4"/>
      <c r="B12" s="131"/>
      <c r="C12" s="147"/>
      <c r="D12" s="150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B&amp;P-003-Ball-9/32</v>
      </c>
      <c r="E12" s="151"/>
      <c r="F12" s="86"/>
      <c r="G12" s="126" t="str">
        <f t="shared" si="0"/>
        <v>-</v>
      </c>
      <c r="H12" s="127">
        <f>IFERROR(
  INDEX([6]Hoja1!$P:$P,
         MATCH($D12, [6]Hoja1!$A:$A, 0)),
"")</f>
        <v>0.01</v>
      </c>
      <c r="I12" s="12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11</v>
      </c>
      <c r="J12" s="129" t="str">
        <f t="shared" si="1"/>
        <v>un / Pieza</v>
      </c>
      <c r="K12" s="150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19/09/2024 a $ 982,00</v>
      </c>
      <c r="L12" s="151"/>
      <c r="M12" s="66">
        <f t="shared" si="2"/>
        <v>0.11</v>
      </c>
      <c r="N12" s="4"/>
      <c r="O12" s="4"/>
    </row>
    <row r="13" spans="1:20" ht="30" customHeight="1">
      <c r="A13" s="4"/>
      <c r="B13" s="131"/>
      <c r="C13" s="147"/>
      <c r="D13" s="152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B&amp;P-004-LS06-2RST-08</v>
      </c>
      <c r="E13" s="153"/>
      <c r="F13" s="124"/>
      <c r="G13" s="74" t="str">
        <f t="shared" si="0"/>
        <v>-</v>
      </c>
      <c r="H13" s="98">
        <f>IFERROR(
  INDEX([6]Hoja1!$P:$P,
         MATCH($D13, [6]Hoja1!$A:$A, 0)),
"")</f>
        <v>5.5E-2</v>
      </c>
      <c r="I13" s="99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2</v>
      </c>
      <c r="J13" s="58" t="str">
        <f t="shared" si="1"/>
        <v>un / Pieza</v>
      </c>
      <c r="K13" s="152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>IDESP - Cotizado el 03/03/2023 a $ 205,00</v>
      </c>
      <c r="L13" s="153"/>
      <c r="M13" s="52">
        <f t="shared" si="2"/>
        <v>0.11</v>
      </c>
      <c r="N13" s="4"/>
      <c r="O13" s="4"/>
    </row>
    <row r="14" spans="1:20" ht="30" customHeight="1">
      <c r="A14" s="4"/>
      <c r="B14" s="131"/>
      <c r="C14" s="147"/>
      <c r="D14" s="150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/>
      </c>
      <c r="E14" s="151"/>
      <c r="F14" s="86"/>
      <c r="G14" s="126" t="str">
        <f t="shared" ref="G14" si="3">IF(D14="","", IF(ISERROR(FIND("Seleccionar", D14)), "-", ""))</f>
        <v/>
      </c>
      <c r="H14" s="127" t="str">
        <f>IFERROR(
  INDEX([6]Hoja1!$P:$P,
         MATCH($D14, [6]Hoja1!$A:$A, 0)),
"")</f>
        <v/>
      </c>
      <c r="I14" s="128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/>
      </c>
      <c r="J14" s="129" t="str">
        <f t="shared" ref="J14" si="4">IF(D14="","", IF(ISERROR(FIND("Seleccionar", D14)), "un / Pieza", ""))</f>
        <v/>
      </c>
      <c r="K14" s="150" t="str">
        <f>IFERROR(
  INDEX([6]Hoja1!$G:$G,MATCH($D14,[6]Hoja1!$A:$A,0))
  &amp; " - Cotizado el " &amp;
  TEXT(INDEX([6]Hoja1!$L:$L,MATCH($D14,[6]Hoja1!$A:$A,0))+0,"dd/mm/yyyy")
  &amp; " a $ " &amp;
  TEXT(VALUE(INDEX([6]Hoja1!$M:$M,MATCH($D14,[6]Hoja1!$A:$A,0))),"#,##0.0"), "")</f>
        <v/>
      </c>
      <c r="L14" s="151"/>
      <c r="M14" s="66" t="str">
        <f t="shared" ref="M14" si="5">IF(H14=""," ",IFERROR(H14*I14,""))</f>
        <v xml:space="preserve"> </v>
      </c>
      <c r="N14" s="4"/>
      <c r="O14" s="4"/>
    </row>
    <row r="15" spans="1:20" ht="30" customHeight="1">
      <c r="A15" s="4"/>
      <c r="B15" s="54"/>
      <c r="C15" s="73"/>
      <c r="D15" s="106"/>
      <c r="E15" s="107"/>
      <c r="F15" s="73"/>
      <c r="G15" s="68"/>
      <c r="H15" s="69"/>
      <c r="I15" s="68"/>
      <c r="J15" s="70"/>
      <c r="K15" s="71"/>
      <c r="L15" s="72"/>
      <c r="M15" s="47"/>
      <c r="N15" s="4"/>
      <c r="O15" s="4"/>
    </row>
    <row r="16" spans="1:20" ht="30" customHeight="1">
      <c r="A16" s="4"/>
      <c r="B16" s="130" t="s">
        <v>41</v>
      </c>
      <c r="C16" s="100" t="s">
        <v>34</v>
      </c>
      <c r="D16" s="134"/>
      <c r="E16" s="135"/>
      <c r="F16" s="105"/>
      <c r="G16" s="74" t="str">
        <f>IF(D16="","","-")</f>
        <v/>
      </c>
      <c r="H16" s="109" t="str">
        <f>IF(D16="","",PromedioMultiSeleccion(D16,
[1]INDICE!$C$6:$C$100,
[1]INDICE!$D$6:$D$100))</f>
        <v/>
      </c>
      <c r="I16" s="99"/>
      <c r="J16" s="58" t="str">
        <f>IF(D16="",""," un / h ")</f>
        <v/>
      </c>
      <c r="K16" s="136"/>
      <c r="L16" s="136"/>
      <c r="M16" s="66" t="str">
        <f>IF(H16=""," ",IFERROR(H16/I16,""))</f>
        <v xml:space="preserve"> </v>
      </c>
      <c r="N16" s="4"/>
      <c r="O16" s="4"/>
    </row>
    <row r="17" spans="1:15" ht="30" customHeight="1">
      <c r="A17" s="4"/>
      <c r="B17" s="131"/>
      <c r="C17" s="62" t="s">
        <v>50</v>
      </c>
      <c r="D17" s="134"/>
      <c r="E17" s="135"/>
      <c r="F17" s="111" t="str">
        <f>IFERROR(
  INDEX('[1]INFO-INSUMOS'!$D$11:$EA$11,
         1,
         MATCH(D22, '[1]INFO-INSUMOS'!$D$12:$EA$12, 0)
  ),
  ""
)</f>
        <v/>
      </c>
      <c r="G17" s="74" t="str">
        <f>IFERROR(
  INDEX(
    '[1]INFO-INSUMOS'!$D$13:$EA$5000,
    MATCH($C$3, '[1]INFO-INSUMOS'!$B$13:$B$5000, 0),
    MATCH(D22, '[1]INFO-INSUMOS'!$D$12:$EA$12, 0)
  ),
  ""
)</f>
        <v/>
      </c>
      <c r="H17" s="104" t="str">
        <f>IF(D22="","",PromedioMultiSeleccion(D22,
'[1]INFO-INSUMOS'!$D$12:$EA$12,
'[1]INFO-INSUMOS'!$D$13:$EA$13))</f>
        <v/>
      </c>
      <c r="I17" s="77"/>
      <c r="J17" s="59" t="str">
        <f>IF(D17="",""," un / pieza ")</f>
        <v/>
      </c>
      <c r="K17" s="136"/>
      <c r="L17" s="136"/>
      <c r="M17" s="66" t="str">
        <f>IF(H17="","",IFERROR(H17/I17,""))</f>
        <v/>
      </c>
      <c r="N17" s="4"/>
      <c r="O17" s="4"/>
    </row>
    <row r="18" spans="1:15" ht="30" customHeight="1">
      <c r="A18" s="4"/>
      <c r="B18" s="54"/>
      <c r="C18" s="53"/>
      <c r="D18" s="106"/>
      <c r="E18" s="107"/>
      <c r="F18" s="73"/>
      <c r="G18" s="68"/>
      <c r="H18" s="68"/>
      <c r="I18" s="68"/>
      <c r="J18" s="78"/>
      <c r="K18" s="71"/>
      <c r="L18" s="72"/>
      <c r="M18" s="47"/>
      <c r="N18" s="4"/>
      <c r="O18" s="4"/>
    </row>
    <row r="19" spans="1:15" ht="30" customHeight="1">
      <c r="A19" s="4"/>
      <c r="B19" s="130" t="s">
        <v>33</v>
      </c>
      <c r="C19" s="62" t="s">
        <v>34</v>
      </c>
      <c r="D19" s="134"/>
      <c r="E19" s="135"/>
      <c r="F19" s="62"/>
      <c r="G19" s="48" t="str">
        <f t="shared" ref="G19:G22" si="6">IF(D19="","","-")</f>
        <v/>
      </c>
      <c r="H19" s="109" t="str">
        <f>IF(D19="","",PromedioMultiSeleccion(D19,
 [2]INDICE!$C$6:$C$100,
 [2]INDICE!$D$6:$D$100))</f>
        <v/>
      </c>
      <c r="I19" s="40"/>
      <c r="J19" s="58" t="str">
        <f>IF(D19="",""," un / h ")</f>
        <v/>
      </c>
      <c r="K19" s="137"/>
      <c r="L19" s="137"/>
      <c r="M19" s="52" t="str">
        <f>IF(H19=""," ",IFERROR(H19/I19,""))</f>
        <v xml:space="preserve"> </v>
      </c>
      <c r="N19" s="4"/>
      <c r="O19" s="4"/>
    </row>
    <row r="20" spans="1:15" ht="30" customHeight="1">
      <c r="A20" s="4"/>
      <c r="B20" s="131"/>
      <c r="C20" s="62" t="s">
        <v>35</v>
      </c>
      <c r="D20" s="160"/>
      <c r="E20" s="161"/>
      <c r="F20" s="86"/>
      <c r="G20" s="74"/>
      <c r="H20" s="91" t="str">
        <f>IF(D20="","",IFERROR(INDEX('[2]INFO-INSUMOS-P'!$G$9:$G$5000,MATCH(D20,'[2]INFO-INSUMOS-P'!$D$9:$D$5000,0)),""))</f>
        <v/>
      </c>
      <c r="I20" s="92"/>
      <c r="J20" s="58" t="str">
        <f>IF(D20="",""," un / Pieza ")</f>
        <v/>
      </c>
      <c r="K20" s="136"/>
      <c r="L20" s="136"/>
      <c r="M20" s="66" t="str">
        <f>IF(H20="","",IFERROR((H20/G20)*I20,""))</f>
        <v/>
      </c>
      <c r="N20" s="4"/>
      <c r="O20" s="4"/>
    </row>
    <row r="21" spans="1:15" ht="30" customHeight="1">
      <c r="A21" s="4"/>
      <c r="B21" s="54"/>
      <c r="C21" s="53"/>
      <c r="D21" s="106"/>
      <c r="E21" s="107"/>
      <c r="F21" s="73"/>
      <c r="G21" s="68"/>
      <c r="H21" s="68"/>
      <c r="I21" s="68"/>
      <c r="J21" s="78"/>
      <c r="K21" s="71"/>
      <c r="L21" s="72"/>
      <c r="M21" s="47"/>
      <c r="N21" s="4"/>
      <c r="O21" s="4"/>
    </row>
    <row r="22" spans="1:15" ht="30" customHeight="1">
      <c r="A22" s="4"/>
      <c r="B22" s="130" t="s">
        <v>22</v>
      </c>
      <c r="C22" s="84" t="s">
        <v>36</v>
      </c>
      <c r="D22" s="141"/>
      <c r="E22" s="142"/>
      <c r="F22" s="84"/>
      <c r="G22" s="74" t="str">
        <f t="shared" si="6"/>
        <v/>
      </c>
      <c r="H22" s="51" t="str">
        <f>IF(D22="","",PromedioMultiSeleccion(D22,
 [3]INDICE!$C$6:$C$100,
 [3]INDICE!$D$6:$D$100))</f>
        <v/>
      </c>
      <c r="I22" s="48"/>
      <c r="J22" s="58" t="str">
        <f>IF(D22="",""," un / h ")</f>
        <v/>
      </c>
      <c r="K22" s="85"/>
      <c r="L22" s="87"/>
      <c r="M22" s="52" t="str">
        <f>IF(H22="","",IFERROR(H22/I22,""))</f>
        <v/>
      </c>
      <c r="N22" s="4"/>
      <c r="O22" s="4"/>
    </row>
    <row r="23" spans="1:15" ht="30" customHeight="1">
      <c r="A23" s="4"/>
      <c r="B23" s="131"/>
      <c r="C23" s="84" t="s">
        <v>45</v>
      </c>
      <c r="D23" s="100" t="str">
        <f>IF(C3="", " ↑ ", "Minorista")</f>
        <v>Minorista</v>
      </c>
      <c r="E23" s="108" t="str">
        <f>IF(C3="", "Seleccionar Pieza", "Costo de Embalaje")</f>
        <v>Costo de Embalaje</v>
      </c>
      <c r="F23" s="84" t="str">
        <f>IFERROR(INDEX('[3]INFO-E'!$C$10:$C$42,MATCH(E23,'[3]INFO-E'!$B$10:$B$42,0)),"")</f>
        <v/>
      </c>
      <c r="G23" s="74" t="str">
        <f>IF(ISERROR(FIND("Seleccionar", E23)), "-", "")</f>
        <v>-</v>
      </c>
      <c r="H23" s="51">
        <f>IFERROR(INDEX('[3]INFO-Embalaje'!$DB$13:$DB$349,MATCH($C$3,'[3]INFO-Embalaje'!$B$13:$B$349,0)),"")</f>
        <v>0</v>
      </c>
      <c r="I23" s="48" t="str">
        <f>IF(H23="","","1")</f>
        <v>1</v>
      </c>
      <c r="J23" s="58" t="str">
        <f>IF(ISERROR(FIND("Seleccionar", E23)), "$ / h", "")</f>
        <v>$ / h</v>
      </c>
      <c r="K23" s="85"/>
      <c r="L23" s="87"/>
      <c r="M23" s="52">
        <f>IF(H23=""," ",IFERROR(H23*I23,""))</f>
        <v>0</v>
      </c>
      <c r="N23" s="4"/>
      <c r="O23" s="4"/>
    </row>
    <row r="24" spans="1:15" ht="30" customHeight="1">
      <c r="A24" s="4"/>
      <c r="B24" s="140"/>
      <c r="C24" s="84" t="s">
        <v>46</v>
      </c>
      <c r="D24" s="100" t="str">
        <f>IF(C3="", " ↑ ", "Mayorista")</f>
        <v>Mayorista</v>
      </c>
      <c r="E24" s="108" t="str">
        <f>IF(C3="", "Seleccionar Pieza", "Costo de Embalaje")</f>
        <v>Costo de Embalaje</v>
      </c>
      <c r="F24" s="84" t="str">
        <f>IFERROR(INDEX('[3]INFO-E'!$C$10:$C$42,MATCH(E24,'[3]INFO-E'!$B$10:$B$42,0)),"")</f>
        <v/>
      </c>
      <c r="G24" s="74" t="str">
        <f>IF(ISERROR(FIND("Seleccionar", E24)), "-", "")</f>
        <v>-</v>
      </c>
      <c r="H24" s="51">
        <f>IFERROR(INDEX('[3]INFO-Embalaje'!$DC$13:$DC$349,MATCH($C$3,'[3]INFO-Embalaje'!$B$13:$B$349,0)),"")</f>
        <v>0</v>
      </c>
      <c r="I24" s="48" t="str">
        <f>IF(H24="","","1")</f>
        <v>1</v>
      </c>
      <c r="J24" s="58" t="str">
        <f>IF(ISERROR(FIND("Seleccionar", E24)), "$ / h", "")</f>
        <v>$ / h</v>
      </c>
      <c r="K24" s="85"/>
      <c r="L24" s="87"/>
      <c r="M24" s="52">
        <f>IF(H24=""," ",IFERROR(H24*I24,""))</f>
        <v>0</v>
      </c>
      <c r="N24" s="4"/>
      <c r="O24" s="4"/>
    </row>
    <row r="25" spans="1:15" ht="30" customHeight="1">
      <c r="A25" s="4"/>
      <c r="B25" s="93"/>
      <c r="C25" s="53"/>
      <c r="D25" s="138"/>
      <c r="E25" s="139"/>
      <c r="F25" s="73"/>
      <c r="G25" s="68"/>
      <c r="H25" s="68"/>
      <c r="I25" s="68"/>
      <c r="J25" s="78"/>
      <c r="K25" s="138"/>
      <c r="L25" s="139"/>
      <c r="M25" s="47"/>
      <c r="N25" s="4"/>
      <c r="O25" s="4"/>
    </row>
    <row r="26" spans="1:15" ht="30" customHeight="1">
      <c r="A26" s="4"/>
      <c r="B26" s="103" t="s">
        <v>47</v>
      </c>
      <c r="C26" s="60" t="s">
        <v>36</v>
      </c>
      <c r="D26" s="133"/>
      <c r="E26" s="133"/>
      <c r="F26" s="62"/>
      <c r="G26" s="48" t="str">
        <f>IF(D26="","","-")</f>
        <v/>
      </c>
      <c r="H26" s="51" t="str">
        <f>IF(D26="","",PromedioMultiSeleccion(D26,
 [7]INDICE!$C$6:$C$100,
 [7]INDICE!$D$6:$D$100))</f>
        <v/>
      </c>
      <c r="I26" s="40"/>
      <c r="J26" s="58" t="str">
        <f>IF(D26="",""," u / h ")</f>
        <v/>
      </c>
      <c r="K26" s="137"/>
      <c r="L26" s="137"/>
      <c r="M26" s="52" t="str">
        <f>IF(H26=""," ",IFERROR(H26/I26,""))</f>
        <v xml:space="preserve"> </v>
      </c>
      <c r="N26" s="4"/>
      <c r="O26" s="4"/>
    </row>
    <row r="27" spans="1:15" ht="30" customHeight="1">
      <c r="A27" s="4"/>
      <c r="B27" s="93"/>
      <c r="C27" s="53"/>
      <c r="D27" s="138"/>
      <c r="E27" s="139"/>
      <c r="F27" s="73"/>
      <c r="G27" s="68"/>
      <c r="H27" s="68"/>
      <c r="I27" s="68"/>
      <c r="J27" s="78"/>
      <c r="K27" s="138"/>
      <c r="L27" s="139"/>
      <c r="M27" s="47"/>
      <c r="N27" s="4"/>
      <c r="O27" s="4"/>
    </row>
    <row r="28" spans="1:15" ht="30" customHeight="1">
      <c r="A28" s="4"/>
      <c r="B28" s="103" t="s">
        <v>42</v>
      </c>
      <c r="C28" s="60" t="s">
        <v>36</v>
      </c>
      <c r="D28" s="133"/>
      <c r="E28" s="133"/>
      <c r="F28" s="100"/>
      <c r="G28" s="48" t="str">
        <f t="shared" ref="G28" si="7">IF(D28="","","-")</f>
        <v/>
      </c>
      <c r="H28" s="41"/>
      <c r="I28" s="40"/>
      <c r="J28" s="58" t="str">
        <f>IF(D28="",""," u ")</f>
        <v/>
      </c>
      <c r="K28" s="137"/>
      <c r="L28" s="137"/>
      <c r="M28" s="52" t="str">
        <f>IF(H28=""," ",IFERROR(H28*I28,""))</f>
        <v xml:space="preserve"> </v>
      </c>
      <c r="N28" s="4"/>
      <c r="O28" s="4"/>
    </row>
    <row r="29" spans="1:15" ht="30" customHeight="1">
      <c r="A29" s="4"/>
      <c r="B29" s="93"/>
      <c r="C29" s="73"/>
      <c r="D29" s="138"/>
      <c r="E29" s="139"/>
      <c r="F29" s="73"/>
      <c r="G29" s="68"/>
      <c r="H29" s="68"/>
      <c r="I29" s="68"/>
      <c r="J29" s="78"/>
      <c r="K29" s="162"/>
      <c r="L29" s="163"/>
      <c r="M29" s="90"/>
      <c r="N29" s="4"/>
      <c r="O29" s="4"/>
    </row>
    <row r="30" spans="1:15" ht="30" customHeight="1">
      <c r="A30" s="4"/>
      <c r="B30" s="119" t="s">
        <v>55</v>
      </c>
      <c r="C30" s="116" t="s">
        <v>16</v>
      </c>
      <c r="D30" s="165" t="str">
        <f>IF(C3="", "Seleccionar Pieza ↑", "Monto asumido de " &amp; C3)</f>
        <v>Monto asumido de LS06-2RST</v>
      </c>
      <c r="E30" s="166"/>
      <c r="F30" s="110" t="s">
        <v>51</v>
      </c>
      <c r="G30" s="74" t="str">
        <f>IF(ISERROR(FIND("Seleccionar", D30)), "-", "")</f>
        <v>-</v>
      </c>
      <c r="H30" s="120">
        <f>IF(F30="NAC",
    IFERROR(INDEX([8]NAC!$AU$6:$AU$1838,
                    MATCH(C3,[8]NAC!$A$6:$A$1838,0)),
             ""),
IF(F30="IMP",
    IFERROR(INDEX([8]IMP!$AU$6:$AU$1838,
                    MATCH(C3,[8]IMP!$A$6:$A$1838,0)),
             ""),
""))</f>
        <v>0.16020348998793796</v>
      </c>
      <c r="I30" s="48" t="str">
        <f>IF(H30="","","1")</f>
        <v>1</v>
      </c>
      <c r="J30" s="58" t="str">
        <f>IF(ISERROR(FIND("Seleccionar", D30)), "$ / u", "")</f>
        <v>$ / u</v>
      </c>
      <c r="K30" s="117"/>
      <c r="L30" s="118"/>
      <c r="M30" s="52">
        <f>IF(H30=""," ",IFERROR(H30*I30,""))</f>
        <v>0.16020348998793796</v>
      </c>
      <c r="N30" s="4"/>
      <c r="O30" s="4"/>
    </row>
    <row r="31" spans="1:15" ht="30" customHeight="1">
      <c r="A31" s="4"/>
      <c r="B31" s="93"/>
      <c r="C31" s="73"/>
      <c r="D31" s="114"/>
      <c r="E31" s="115"/>
      <c r="F31" s="73"/>
      <c r="G31" s="68"/>
      <c r="H31" s="68"/>
      <c r="I31" s="68"/>
      <c r="J31" s="78"/>
      <c r="K31" s="112"/>
      <c r="L31" s="113"/>
      <c r="M31" s="90"/>
      <c r="N31" s="4"/>
      <c r="O31" s="4"/>
    </row>
    <row r="32" spans="1:15" ht="30" customHeight="1">
      <c r="A32" s="4"/>
      <c r="B32" s="83" t="s">
        <v>49</v>
      </c>
      <c r="C32" s="62" t="s">
        <v>16</v>
      </c>
      <c r="D32" s="152" t="str">
        <f>IF(C3="", "Seleccionar Pieza ↑", "Monto asumido de " &amp; C3)</f>
        <v>Monto asumido de LS06-2RST</v>
      </c>
      <c r="E32" s="153"/>
      <c r="F32" s="110" t="s">
        <v>51</v>
      </c>
      <c r="G32" s="74" t="str">
        <f>IF(ISERROR(FIND("Seleccionar", D32)), "-", "")</f>
        <v>-</v>
      </c>
      <c r="H32" s="79">
        <f>IF(F32="NAC",
    IFERROR(INDEX([8]NAC!$AS$6:$AS$1838,
                    MATCH(C3,[8]NAC!$A$6:$A$1838,0)),
             ""),
IF(F32="IMP",
    IFERROR(INDEX([8]IMP!$AS$6:$AS$1838,
                    MATCH(C3,[8]IMP!$A$6:$A$1838,0)),
             ""),
""))</f>
        <v>0.33155204553943696</v>
      </c>
      <c r="I32" s="48" t="str">
        <f>IF(H32="","","1")</f>
        <v>1</v>
      </c>
      <c r="J32" s="58" t="str">
        <f>IF(ISERROR(FIND("Seleccionar", D32)), "$ / u", "")</f>
        <v>$ / u</v>
      </c>
      <c r="K32" s="137"/>
      <c r="L32" s="137"/>
      <c r="M32" s="52">
        <f>IF(H32=""," ",IFERROR(H32*I32,""))</f>
        <v>0.33155204553943696</v>
      </c>
      <c r="N32" s="4"/>
      <c r="O32" s="4"/>
    </row>
    <row r="33" spans="1:15" ht="30" customHeight="1" thickBot="1">
      <c r="A33" s="4"/>
      <c r="B33" s="29"/>
      <c r="C33" s="30"/>
      <c r="D33" s="30"/>
      <c r="E33" s="30"/>
      <c r="F33" s="30"/>
      <c r="G33" s="24"/>
      <c r="H33" s="80"/>
      <c r="I33" s="24"/>
      <c r="J33" s="24"/>
      <c r="K33" s="30"/>
      <c r="L33" s="30"/>
      <c r="M33" s="31"/>
      <c r="N33" s="4"/>
      <c r="O33" s="4"/>
    </row>
    <row r="34" spans="1:15" ht="30" customHeight="1" thickBot="1">
      <c r="A34" s="4"/>
      <c r="B34" s="29"/>
      <c r="C34" s="64"/>
      <c r="D34" s="30"/>
      <c r="E34" s="30"/>
      <c r="F34" s="30"/>
      <c r="G34" s="24"/>
      <c r="H34" s="24"/>
      <c r="I34" s="24"/>
      <c r="J34" s="24"/>
      <c r="K34" s="64"/>
      <c r="L34" s="49" t="s">
        <v>29</v>
      </c>
      <c r="M34" s="49" t="s">
        <v>30</v>
      </c>
      <c r="N34" s="4"/>
      <c r="O34" s="4"/>
    </row>
    <row r="35" spans="1:15" ht="30" customHeight="1" thickBot="1">
      <c r="A35" s="4"/>
      <c r="B35" s="29"/>
      <c r="C35" s="64"/>
      <c r="D35" s="30"/>
      <c r="E35" s="30"/>
      <c r="F35" s="64"/>
      <c r="G35" s="24"/>
      <c r="H35" s="24"/>
      <c r="I35" s="21"/>
      <c r="J35" s="21"/>
      <c r="K35" s="32" t="s">
        <v>17</v>
      </c>
      <c r="L35" s="42">
        <f t="array" aca="1" ref="L35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0.74609999999999999</v>
      </c>
      <c r="M35" s="42">
        <f t="array" aca="1" ref="M35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0.74609999999999999</v>
      </c>
      <c r="N35" s="4"/>
      <c r="O35" s="4"/>
    </row>
    <row r="36" spans="1:15" ht="30" customHeight="1" thickBot="1">
      <c r="A36" s="4"/>
      <c r="B36" s="23"/>
      <c r="C36" s="24"/>
      <c r="D36" s="24"/>
      <c r="E36" s="164"/>
      <c r="F36" s="164"/>
      <c r="G36" s="21"/>
      <c r="H36" s="21"/>
      <c r="I36" s="21"/>
      <c r="J36" s="21"/>
      <c r="K36" s="33" t="s">
        <v>18</v>
      </c>
      <c r="L36" s="43">
        <f t="array" aca="1" ref="L36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6" s="43">
        <f t="array" aca="1" ref="M36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6" s="4"/>
      <c r="O36" s="4"/>
    </row>
    <row r="37" spans="1:15" ht="30" customHeight="1" thickBot="1">
      <c r="A37" s="89"/>
      <c r="B37" s="23"/>
      <c r="I37" s="4"/>
      <c r="J37" s="26"/>
      <c r="K37" s="33" t="s">
        <v>20</v>
      </c>
      <c r="L37" s="44">
        <f ca="1">L35+L36</f>
        <v>0.74609999999999999</v>
      </c>
      <c r="M37" s="44">
        <f ca="1">M35+M36</f>
        <v>0.74609999999999999</v>
      </c>
      <c r="N37" s="4"/>
      <c r="O37" s="4"/>
    </row>
    <row r="38" spans="1:15" ht="30" customHeight="1" thickBot="1">
      <c r="A38" s="4"/>
      <c r="B38" s="34" t="s">
        <v>27</v>
      </c>
      <c r="C38" s="157"/>
      <c r="D38" s="157"/>
      <c r="E38" s="35" t="s">
        <v>19</v>
      </c>
      <c r="F38" s="158"/>
      <c r="G38" s="158"/>
      <c r="H38" s="158"/>
      <c r="I38" s="26"/>
      <c r="J38" s="26"/>
      <c r="K38" s="67" t="s">
        <v>21</v>
      </c>
      <c r="L38" s="42">
        <f t="array" aca="1" ref="L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0.33155204553943696</v>
      </c>
      <c r="M38" s="42">
        <f t="array" aca="1" ref="M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0.33155204553943696</v>
      </c>
      <c r="N38" s="4"/>
      <c r="O38" s="4"/>
    </row>
    <row r="39" spans="1:15" ht="30" customHeight="1" thickBot="1">
      <c r="A39" s="4"/>
      <c r="B39" s="34"/>
      <c r="C39" s="121"/>
      <c r="D39" s="121"/>
      <c r="E39" s="35"/>
      <c r="F39" s="122"/>
      <c r="G39" s="122"/>
      <c r="H39" s="122"/>
      <c r="I39" s="26"/>
      <c r="J39" s="26"/>
      <c r="K39" s="88" t="s">
        <v>54</v>
      </c>
      <c r="L39" s="45">
        <f t="array" aca="1" ref="L39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0.16020348998793796</v>
      </c>
      <c r="M39" s="45">
        <f t="array" aca="1" ref="M39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0.16020348998793796</v>
      </c>
      <c r="N39" s="4"/>
      <c r="O39" s="4"/>
    </row>
    <row r="40" spans="1:15" ht="30" customHeight="1" thickBot="1">
      <c r="A40" s="4"/>
      <c r="B40" s="34"/>
      <c r="C40" s="26"/>
      <c r="D40" s="26"/>
      <c r="E40" s="26"/>
      <c r="F40" s="35"/>
      <c r="G40" s="26"/>
      <c r="H40" s="26"/>
      <c r="I40" s="26"/>
      <c r="J40" s="26"/>
      <c r="K40" s="88" t="s">
        <v>43</v>
      </c>
      <c r="L40" s="45">
        <f t="array" aca="1" ref="L40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40" s="45">
        <f t="array" aca="1" ref="M40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40" s="4"/>
      <c r="O40" s="4"/>
    </row>
    <row r="41" spans="1:15" ht="30" customHeight="1" thickBot="1">
      <c r="A41" s="4"/>
      <c r="B41" s="34"/>
      <c r="C41" s="26"/>
      <c r="D41" s="26"/>
      <c r="E41" s="26"/>
      <c r="F41" s="35"/>
      <c r="G41" s="26"/>
      <c r="H41" s="26"/>
      <c r="I41" s="26"/>
      <c r="J41" s="26"/>
      <c r="K41" s="33" t="s">
        <v>56</v>
      </c>
      <c r="L41" s="45">
        <f t="array" aca="1" ref="L41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L40 + L39 + L37
    ),
""
)</f>
        <v>0.90630348998793797</v>
      </c>
      <c r="M41" s="45">
        <f t="array" aca="1" ref="M41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M40 + M39 + M37
    ),
""
)</f>
        <v>0.90630348998793797</v>
      </c>
      <c r="N41" s="4"/>
      <c r="O41" s="4"/>
    </row>
    <row r="42" spans="1:15" ht="28.5" customHeight="1" thickBot="1">
      <c r="A42" s="4"/>
      <c r="B42" s="36"/>
      <c r="C42" s="61"/>
      <c r="D42" s="61"/>
      <c r="E42" s="61"/>
      <c r="F42" s="61"/>
      <c r="G42" s="159"/>
      <c r="H42" s="159"/>
      <c r="I42" s="159"/>
      <c r="J42" s="61"/>
      <c r="K42" s="123" t="s">
        <v>57</v>
      </c>
      <c r="L42" s="45">
        <f ca="1">IFERROR(SUM(L37:L40),"")</f>
        <v>1.2378555355273748</v>
      </c>
      <c r="M42" s="45">
        <f ca="1">IFERROR(SUM(M37:M40),"")</f>
        <v>1.2378555355273748</v>
      </c>
      <c r="N42" s="4"/>
      <c r="O42" s="4"/>
    </row>
    <row r="43" spans="1:15" ht="30" customHeight="1">
      <c r="A43" s="4"/>
      <c r="B43" s="37"/>
      <c r="C43" s="37"/>
      <c r="D43" s="37"/>
      <c r="E43" s="38"/>
      <c r="F43" s="38"/>
      <c r="G43" s="38"/>
      <c r="H43" s="38"/>
      <c r="I43" s="38"/>
      <c r="J43" s="38"/>
      <c r="K43" s="38"/>
      <c r="L43" s="39"/>
      <c r="M43" s="4"/>
      <c r="N43" s="4"/>
      <c r="O43" s="4"/>
    </row>
    <row r="44" spans="1:15" ht="30" customHeight="1">
      <c r="B44" s="2"/>
    </row>
    <row r="45" spans="1:15" ht="30" customHeight="1">
      <c r="B45" s="2"/>
    </row>
    <row r="46" spans="1:15" ht="30" customHeight="1">
      <c r="B46" s="2"/>
      <c r="C46" s="2"/>
      <c r="D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49" spans="2:4" ht="30" customHeight="1">
      <c r="B49" s="2"/>
      <c r="C49" s="2"/>
      <c r="D49" s="2"/>
    </row>
    <row r="50" spans="2:4" ht="30" customHeight="1">
      <c r="B50" s="2"/>
      <c r="C50" s="2"/>
      <c r="D50" s="2"/>
    </row>
    <row r="51" spans="2:4" ht="30" customHeight="1">
      <c r="B51" s="2"/>
      <c r="C51" s="2"/>
      <c r="D51" s="2"/>
    </row>
    <row r="54" spans="2:4" ht="30" customHeight="1">
      <c r="C54" s="3"/>
      <c r="D54" s="3"/>
    </row>
  </sheetData>
  <sheetProtection selectLockedCells="1"/>
  <mergeCells count="50">
    <mergeCell ref="K13:L13"/>
    <mergeCell ref="K29:L29"/>
    <mergeCell ref="D32:E32"/>
    <mergeCell ref="K32:L32"/>
    <mergeCell ref="E36:F36"/>
    <mergeCell ref="K20:L20"/>
    <mergeCell ref="D30:E30"/>
    <mergeCell ref="C38:D38"/>
    <mergeCell ref="F38:H38"/>
    <mergeCell ref="G42:I42"/>
    <mergeCell ref="D20:E20"/>
    <mergeCell ref="D29:E29"/>
    <mergeCell ref="D25:E25"/>
    <mergeCell ref="D27:E27"/>
    <mergeCell ref="D26:E26"/>
    <mergeCell ref="C3:D3"/>
    <mergeCell ref="H3:I3"/>
    <mergeCell ref="C5:D5"/>
    <mergeCell ref="S5:T5"/>
    <mergeCell ref="C6:D6"/>
    <mergeCell ref="D8:E8"/>
    <mergeCell ref="K8:L8"/>
    <mergeCell ref="C9:C14"/>
    <mergeCell ref="D9:E9"/>
    <mergeCell ref="K9:L9"/>
    <mergeCell ref="D14:E14"/>
    <mergeCell ref="K14:L14"/>
    <mergeCell ref="D11:E11"/>
    <mergeCell ref="K11:L11"/>
    <mergeCell ref="D12:E12"/>
    <mergeCell ref="K12:L12"/>
    <mergeCell ref="D10:E10"/>
    <mergeCell ref="K10:L10"/>
    <mergeCell ref="D13:E13"/>
    <mergeCell ref="B19:B20"/>
    <mergeCell ref="B9:B14"/>
    <mergeCell ref="D28:E28"/>
    <mergeCell ref="D16:E16"/>
    <mergeCell ref="K16:L16"/>
    <mergeCell ref="K26:L26"/>
    <mergeCell ref="K28:L28"/>
    <mergeCell ref="K27:L27"/>
    <mergeCell ref="K25:L25"/>
    <mergeCell ref="B22:B24"/>
    <mergeCell ref="D22:E22"/>
    <mergeCell ref="B16:B17"/>
    <mergeCell ref="D19:E19"/>
    <mergeCell ref="K19:L19"/>
    <mergeCell ref="D17:E17"/>
    <mergeCell ref="K17:L17"/>
  </mergeCells>
  <conditionalFormatting sqref="H17 H9:H14">
    <cfRule type="expression" priority="255">
      <formula>D9&lt;&gt;""</formula>
    </cfRule>
  </conditionalFormatting>
  <conditionalFormatting sqref="I19 I22">
    <cfRule type="expression" dxfId="4" priority="128" stopIfTrue="1">
      <formula>D19&lt;&gt;""</formula>
    </cfRule>
  </conditionalFormatting>
  <conditionalFormatting sqref="I17">
    <cfRule type="cellIs" dxfId="3" priority="125" operator="equal">
      <formula>D17="Seleccionar Maquinaria"</formula>
    </cfRule>
  </conditionalFormatting>
  <conditionalFormatting sqref="H15">
    <cfRule type="expression" priority="72">
      <formula>D15&lt;&gt;""</formula>
    </cfRule>
  </conditionalFormatting>
  <conditionalFormatting sqref="H16">
    <cfRule type="expression" priority="6">
      <formula>D16&lt;&gt;""</formula>
    </cfRule>
  </conditionalFormatting>
  <conditionalFormatting sqref="I16">
    <cfRule type="cellIs" dxfId="2" priority="4" operator="equal">
      <formula>D16="Seleccionar Maquinaria"</formula>
    </cfRule>
  </conditionalFormatting>
  <conditionalFormatting sqref="H19">
    <cfRule type="expression" priority="3">
      <formula>D19&lt;&gt;""</formula>
    </cfRule>
  </conditionalFormatting>
  <dataValidations count="7">
    <dataValidation type="list" allowBlank="1" showInputMessage="1" showErrorMessage="1" sqref="D19:E19">
      <formula1>Ensamble_Auxiliar</formula1>
    </dataValidation>
    <dataValidation type="list" allowBlank="1" showInputMessage="1" showErrorMessage="1" sqref="D22">
      <formula1>Embalaje_Auxiliar</formula1>
    </dataValidation>
    <dataValidation type="list" allowBlank="1" showInputMessage="1" showErrorMessage="1" sqref="D26:E26">
      <formula1>Deposito_Auxiliar</formula1>
    </dataValidation>
    <dataValidation type="list" allowBlank="1" showInputMessage="1" showErrorMessage="1" sqref="D16:E16">
      <formula1>Produccion_Auxiliar</formula1>
    </dataValidation>
    <dataValidation type="list" allowBlank="1" showInputMessage="1" showErrorMessage="1" sqref="D20:E20">
      <formula1>INFO_INSUMO_P_ENSAMBLE</formula1>
    </dataValidation>
    <dataValidation type="list" allowBlank="1" showInputMessage="1" showErrorMessage="1" sqref="F32 F30">
      <formula1>NACIMP</formula1>
    </dataValidation>
    <dataValidation type="list" allowBlank="1" showInputMessage="1" showErrorMessage="1" sqref="D17:E17">
      <formula1>Fresas_Auxiliar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36</xdr:row>
                    <xdr:rowOff>333375</xdr:rowOff>
                  </from>
                  <to>
                    <xdr:col>1</xdr:col>
                    <xdr:colOff>1762125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32</xdr:row>
                    <xdr:rowOff>95250</xdr:rowOff>
                  </from>
                  <to>
                    <xdr:col>1</xdr:col>
                    <xdr:colOff>1609725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" operator="containsText" id="{8A1B9D62-BEF4-418B-B3B2-5C22BC43EF13}">
            <xm:f>NOT(ISERROR(SEARCH(D17="Insumos",I17)))</xm:f>
            <xm:f>D17="Insumos"</xm:f>
            <x14:dxf>
              <fill>
                <patternFill>
                  <bgColor theme="4" tint="0.7999816888943144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containsText" priority="5" operator="containsText" id="{AB2EC109-C368-46A3-903A-8A731013A443}">
            <xm:f>NOT(ISERROR(SEARCH(D16="Insumos",I16)))</xm:f>
            <xm:f>D16="Insumos"</xm:f>
            <x14:dxf>
              <fill>
                <patternFill>
                  <bgColor theme="4" tint="0.79998168889431442"/>
                </patternFill>
              </fill>
            </x14:dxf>
          </x14:cfRule>
          <xm:sqref>I16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6"/>
      <c r="B1" s="168" t="s">
        <v>48</v>
      </c>
      <c r="C1" s="168"/>
      <c r="D1" s="168"/>
    </row>
    <row r="2" spans="1:14">
      <c r="A2" s="94"/>
      <c r="B2" s="97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7" t="str">
        <v>Grasa</v>
      </c>
      <c r="D2" s="97" t="str">
        <v>ANTICORROSIVO</v>
      </c>
      <c r="E2" s="95" t="str">
        <v/>
      </c>
      <c r="F2" s="95" t="str">
        <v/>
      </c>
      <c r="G2" s="95" t="str">
        <v/>
      </c>
      <c r="H2" s="95" t="str">
        <v/>
      </c>
      <c r="I2" s="95" t="str">
        <v/>
      </c>
      <c r="J2" s="95" t="str">
        <v/>
      </c>
      <c r="K2" s="95" t="str">
        <v/>
      </c>
      <c r="L2" s="95" t="str">
        <v/>
      </c>
      <c r="M2" s="95" t="str">
        <v/>
      </c>
      <c r="N2" s="95" t="str">
        <v/>
      </c>
    </row>
    <row r="3" spans="1:14">
      <c r="A3" s="94"/>
      <c r="B3" s="95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5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4"/>
      <c r="B4" s="95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5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4"/>
      <c r="B5" s="95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5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4"/>
      <c r="B6" s="95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5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4"/>
      <c r="B7" s="95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5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4"/>
      <c r="B8" s="95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5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4"/>
      <c r="B9" s="95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5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4"/>
      <c r="B10" s="95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5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1"/>
    </row>
    <row r="11" spans="1:14">
      <c r="A11" s="94"/>
      <c r="B11" s="95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5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4"/>
      <c r="B12" s="95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5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4"/>
      <c r="B13" s="95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5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4"/>
      <c r="B14" s="95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5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4"/>
      <c r="B15" s="95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5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4"/>
      <c r="B16" s="95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5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4"/>
      <c r="B17" s="95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5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4"/>
      <c r="B18" s="95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5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4"/>
      <c r="B19" s="95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5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4"/>
      <c r="B20" s="95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5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5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5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5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5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5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5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5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5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5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5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5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5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5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5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5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5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5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5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5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5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5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5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5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5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5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5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5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5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5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5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5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5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5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5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5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5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5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5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5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5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5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5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5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5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5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5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5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5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5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5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5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5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5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5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5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5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5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</row>
    <row r="76" spans="1:79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</row>
    <row r="78" spans="1:79">
      <c r="A78" s="167" t="s">
        <v>37</v>
      </c>
      <c r="B78" s="167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7" t="s">
        <v>38</v>
      </c>
      <c r="B82" s="167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7" t="s">
        <v>39</v>
      </c>
      <c r="B86" s="167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7" t="s">
        <v>40</v>
      </c>
      <c r="B90" s="167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7" t="s">
        <v>53</v>
      </c>
      <c r="B94" s="167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2026-01-28T16:05:10Z</dcterms:modified>
</cp:coreProperties>
</file>