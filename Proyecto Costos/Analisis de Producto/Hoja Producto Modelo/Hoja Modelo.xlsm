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Hoja Producto Modelo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2" l="1"/>
  <c r="D10" i="2"/>
  <c r="H10" i="2" s="1"/>
  <c r="M10" i="2" s="1"/>
  <c r="J10" i="2" l="1"/>
  <c r="G10" i="2"/>
  <c r="K10" i="2"/>
  <c r="J13" i="2" l="1"/>
  <c r="M13" i="2"/>
  <c r="H19" i="2" l="1"/>
  <c r="H20" i="2"/>
  <c r="H26" i="2" l="1"/>
  <c r="H28" i="2" l="1"/>
  <c r="I28" i="2" s="1"/>
  <c r="D26" i="2"/>
  <c r="J26" i="2" s="1"/>
  <c r="G26" i="2" l="1"/>
  <c r="I26" i="2"/>
  <c r="M26" i="2" s="1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l="1"/>
  <c r="M35" i="2" a="1"/>
  <c r="M35" i="2" s="1"/>
  <c r="L35" i="2" a="1"/>
  <c r="L35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22" i="2" l="1"/>
  <c r="J16" i="2"/>
  <c r="J18" i="2"/>
  <c r="H3" i="2"/>
  <c r="H22" i="2" l="1"/>
  <c r="M22" i="2" s="1"/>
  <c r="H15" i="2"/>
  <c r="H12" i="2"/>
  <c r="H18" i="2"/>
  <c r="M18" i="2" l="1"/>
  <c r="G12" i="2"/>
  <c r="B2" i="5" l="1" a="1"/>
  <c r="B2" i="5" s="1"/>
  <c r="C2" i="5" l="1"/>
  <c r="D2" i="5" l="1"/>
  <c r="E2" i="5" s="1"/>
  <c r="F2" i="5" l="1"/>
  <c r="G2" i="5" s="1"/>
  <c r="M15" i="2"/>
  <c r="J15" i="2"/>
  <c r="M12" i="2"/>
  <c r="J12" i="2"/>
  <c r="H2" i="5" l="1"/>
  <c r="I2" i="5" s="1"/>
  <c r="J24" i="2"/>
  <c r="J2" i="5" l="1"/>
  <c r="K2" i="5" s="1"/>
  <c r="L2" i="5" l="1"/>
  <c r="M2" i="5" s="1"/>
  <c r="N2" i="5" s="1"/>
  <c r="H16" i="2"/>
  <c r="M16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2" i="2" l="1"/>
  <c r="M24" i="2" l="1"/>
  <c r="G24" i="2"/>
  <c r="L36" i="2" l="1" a="1"/>
  <c r="L36" i="2" s="1"/>
  <c r="M36" i="2" a="1"/>
  <c r="M36" i="2" s="1"/>
  <c r="D28" i="2"/>
  <c r="J28" i="2" s="1"/>
  <c r="J9" i="2"/>
  <c r="D20" i="2"/>
  <c r="D19" i="2"/>
  <c r="E19" i="2"/>
  <c r="J19" i="2" s="1"/>
  <c r="E20" i="2"/>
  <c r="G18" i="2"/>
  <c r="G19" i="2" l="1"/>
  <c r="G9" i="2"/>
  <c r="G20" i="2"/>
  <c r="J20" i="2"/>
  <c r="G28" i="2"/>
  <c r="G15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K9" i="2" l="1"/>
  <c r="M32" i="2" l="1" a="1"/>
  <c r="M32" i="2" s="1"/>
  <c r="L32" i="2" a="1"/>
  <c r="L32" i="2" s="1"/>
  <c r="M28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0" i="2"/>
  <c r="F19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1" i="2" l="1" a="1"/>
  <c r="M31" i="2" s="1"/>
  <c r="M33" i="2" s="1"/>
  <c r="L31" i="2" a="1"/>
  <c r="L31" i="2" s="1"/>
  <c r="L33" i="2" s="1"/>
  <c r="I20" i="2"/>
  <c r="M20" i="2" s="1"/>
  <c r="M34" i="2" s="1" a="1"/>
  <c r="M34" i="2" s="1"/>
  <c r="I19" i="2"/>
  <c r="M19" i="2" s="1"/>
  <c r="L34" i="2" s="1" a="1"/>
  <c r="L34" i="2" s="1"/>
  <c r="M37" i="2" l="1" a="1"/>
  <c r="M37" i="2" s="1"/>
  <c r="L37" i="2" a="1"/>
  <c r="L37" i="2" s="1"/>
  <c r="L38" i="2"/>
  <c r="M38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<sst xmlns="http://schemas.openxmlformats.org/spreadsheetml/2006/main" count="63" uniqueCount="58">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</sst>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  <numFmt numFmtId="167" formatCode="0.0000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67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2" borderId="19" xfId="4" applyFont="1" applyFill="1" applyBorder="1" applyAlignment="1" applyProtection="1">
      <alignment horizontal="right" vertical="center" indent="1"/>
    </xf>
    <xf numFmtId="167" fontId="7" fillId="2" borderId="11" xfId="4" applyNumberFormat="1" applyFont="1" applyFill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0" xfId="4" applyFont="1" applyBorder="1" applyAlignment="1" applyProtection="1">
      <alignment horizontal="center" vertical="center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7" fillId="0" borderId="31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222250</xdr:colOff>
          <xdr:row>32</xdr:row>
          <xdr:rowOff>333375</xdr:rowOff>
        </xdr:from>
        <xdr:to>
          <xdr:col>1</xdr:col>
          <xdr:colOff>1762125</xdr:colOff>
          <xdr:row>34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28</xdr:row>
          <xdr:rowOff>95250</xdr:rowOff>
        </xdr:from>
        <xdr:to>
          <xdr:col>1</xdr:col>
          <xdr:colOff>1609725</xdr:colOff>
          <xdr:row>29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18.742526666815987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10.530817354719174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0"/>
  <sheetViews>
    <sheetView showGridLines="0" tabSelected="1" topLeftCell="A10" zoomScale="60" zoomScaleNormal="60" workbookViewId="0">
      <selection activeCell="V21" sqref="V21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45"/>
      <c r="D3" s="145"/>
      <c r="E3" s="10" t="s">
        <v>1</v>
      </c>
      <c r="F3" s="50">
        <v>45950</v>
      </c>
      <c r="G3" s="10" t="s">
        <v>2</v>
      </c>
      <c r="H3" s="146">
        <f>DolarBlueVenta()</f>
        <v>1485</v>
      </c>
      <c r="I3" s="146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47" t="s">
        <v>23</v>
      </c>
      <c r="D5" s="147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48"/>
      <c r="T5" s="148"/>
    </row>
    <row r="6" spans="1:20" ht="30" customHeight="1">
      <c r="A6" s="4"/>
      <c r="B6" s="19" t="s">
        <v>6</v>
      </c>
      <c r="C6" s="149" t="s">
        <v>24</v>
      </c>
      <c r="D6" s="149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52" t="s">
        <v>9</v>
      </c>
      <c r="E8" s="152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52" t="s">
        <v>13</v>
      </c>
      <c r="L8" s="152"/>
      <c r="M8" s="28" t="s">
        <v>14</v>
      </c>
      <c r="N8" s="4"/>
      <c r="O8" s="4"/>
    </row>
    <row r="9" spans="1:20" ht="30" customHeight="1">
      <c r="A9" s="4"/>
      <c r="B9" s="159" t="s">
        <v>15</v>
      </c>
      <c r="C9" s="153" t="s">
        <v>16</v>
      </c>
      <c r="D9" s="155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Seleccionar Pieza ↑</v>
      </c>
      <c r="E9" s="156"/>
      <c r="F9" s="127"/>
      <c r="G9" s="81" t="str">
        <f>IF(D9="","", IF(ISERROR(FIND("Seleccionar", D9)), "-", ""))</f>
        <v/>
      </c>
      <c r="H9" s="56" t="str">
        <f>IFERROR(
  INDEX([6]Hoja1!$P:$P,
         MATCH($D9, [6]Hoja1!$A:$A, 0)),
"")</f>
        <v/>
      </c>
      <c r="I9" s="80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/>
      </c>
      <c r="J9" s="57" t="str">
        <f>IF(D9="","", IF(ISERROR(FIND("Seleccionar", D9)), "un / Pieza", ""))</f>
        <v/>
      </c>
      <c r="K9" s="155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/>
      </c>
      <c r="L9" s="156"/>
      <c r="M9" s="65" t="str">
        <f>IF(H9=""," ",IFERROR(H9*I9,""))</f>
        <v xml:space="preserve"> </v>
      </c>
      <c r="N9" s="4"/>
      <c r="O9" s="4"/>
    </row>
    <row r="10" spans="1:20" ht="30" customHeight="1">
      <c r="A10" s="4"/>
      <c r="B10" s="151"/>
      <c r="C10" s="154"/>
      <c r="D10" s="157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Seleccionar Pieza ↑</v>
      </c>
      <c r="E10" s="158"/>
      <c r="F10" s="85"/>
      <c r="G10" s="120" t="str">
        <f t="shared" ref="G10" si="0">IF(D10="","", IF(ISERROR(FIND("Seleccionar", D10)), "-", ""))</f>
        <v/>
      </c>
      <c r="H10" s="121" t="str">
        <f>IFERROR(
  INDEX([6]Hoja1!$P:$P,
         MATCH($D10, [6]Hoja1!$A:$A, 0)),
"")</f>
        <v/>
      </c>
      <c r="I10" s="122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/>
      </c>
      <c r="J10" s="123" t="str">
        <f t="shared" ref="J10" si="1">IF(D10="","", IF(ISERROR(FIND("Seleccionar", D10)), "un / Pieza", ""))</f>
        <v/>
      </c>
      <c r="K10" s="157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/>
      </c>
      <c r="L10" s="158"/>
      <c r="M10" s="66" t="str">
        <f t="shared" ref="M10" si="2">IF(H10=""," ",IFERROR(H10*I10,""))</f>
        <v xml:space="preserve"> </v>
      </c>
      <c r="N10" s="4"/>
      <c r="O10" s="4"/>
    </row>
    <row r="11" spans="1:20" ht="30" customHeight="1">
      <c r="A11" s="4"/>
      <c r="B11" s="54"/>
      <c r="C11" s="73"/>
      <c r="D11" s="103"/>
      <c r="E11" s="104"/>
      <c r="F11" s="73"/>
      <c r="G11" s="68"/>
      <c r="H11" s="69"/>
      <c r="I11" s="68"/>
      <c r="J11" s="70"/>
      <c r="K11" s="71"/>
      <c r="L11" s="72"/>
      <c r="M11" s="47"/>
      <c r="N11" s="4"/>
      <c r="O11" s="4"/>
    </row>
    <row r="12" spans="1:20" ht="30" customHeight="1">
      <c r="A12" s="4"/>
      <c r="B12" s="150" t="s">
        <v>41</v>
      </c>
      <c r="C12" s="97" t="s">
        <v>34</v>
      </c>
      <c r="D12" s="160"/>
      <c r="E12" s="161"/>
      <c r="F12" s="102"/>
      <c r="G12" s="74" t="str">
        <f>IF(D12="","","-")</f>
        <v/>
      </c>
      <c r="H12" s="106" t="str">
        <f>IF(D12="","",PromedioMultiSeleccion(D12,
[1]INDICE!$C$6:$C$100,
[1]INDICE!$D$6:$D$100))</f>
        <v/>
      </c>
      <c r="I12" s="126"/>
      <c r="J12" s="58" t="str">
        <f>IF(D12="",""," un / h ")</f>
        <v/>
      </c>
      <c r="K12" s="134"/>
      <c r="L12" s="134"/>
      <c r="M12" s="66" t="str">
        <f>IF(H12=""," ",IFERROR(H12/I12,""))</f>
        <v xml:space="preserve"> </v>
      </c>
      <c r="N12" s="4"/>
      <c r="O12" s="4"/>
    </row>
    <row r="13" spans="1:20" ht="30" customHeight="1">
      <c r="A13" s="4"/>
      <c r="B13" s="151"/>
      <c r="C13" s="62" t="s">
        <v>50</v>
      </c>
      <c r="D13" s="144"/>
      <c r="E13" s="144"/>
      <c r="F13" s="124"/>
      <c r="G13" s="74"/>
      <c r="H13" s="101"/>
      <c r="I13" s="125"/>
      <c r="J13" s="59" t="str">
        <f>IF(D13="",""," un / pieza ")</f>
        <v/>
      </c>
      <c r="K13" s="134"/>
      <c r="L13" s="134"/>
      <c r="M13" s="66" t="str">
        <f>IF(H13="","",IFERROR((H13/G13)*I13,""))</f>
        <v/>
      </c>
      <c r="N13" s="4"/>
      <c r="O13" s="4"/>
    </row>
    <row r="14" spans="1:20" ht="30" customHeight="1">
      <c r="A14" s="4"/>
      <c r="B14" s="54"/>
      <c r="C14" s="53"/>
      <c r="D14" s="103"/>
      <c r="E14" s="104"/>
      <c r="F14" s="73"/>
      <c r="G14" s="68"/>
      <c r="H14" s="68"/>
      <c r="I14" s="68"/>
      <c r="J14" s="77"/>
      <c r="K14" s="71"/>
      <c r="L14" s="72"/>
      <c r="M14" s="47"/>
      <c r="N14" s="4"/>
      <c r="O14" s="4"/>
    </row>
    <row r="15" spans="1:20" ht="30" customHeight="1">
      <c r="A15" s="4"/>
      <c r="B15" s="150" t="s">
        <v>33</v>
      </c>
      <c r="C15" s="62" t="s">
        <v>34</v>
      </c>
      <c r="D15" s="160"/>
      <c r="E15" s="161"/>
      <c r="F15" s="62"/>
      <c r="G15" s="48" t="str">
        <f t="shared" ref="G15:G18" si="3">IF(D15="","","-")</f>
        <v/>
      </c>
      <c r="H15" s="106" t="str">
        <f>IF(D15="","",PromedioMultiSeleccion(D15,
 [2]INDICE!$C$6:$C$100,
 [2]INDICE!$D$6:$D$100))</f>
        <v/>
      </c>
      <c r="I15" s="40"/>
      <c r="J15" s="58" t="str">
        <f>IF(D15="",""," un / h ")</f>
        <v/>
      </c>
      <c r="K15" s="132"/>
      <c r="L15" s="132"/>
      <c r="M15" s="52" t="str">
        <f>IF(H15=""," ",IFERROR(H15/I15,""))</f>
        <v xml:space="preserve"> </v>
      </c>
      <c r="N15" s="4"/>
      <c r="O15" s="4"/>
    </row>
    <row r="16" spans="1:20" ht="30" customHeight="1">
      <c r="A16" s="4"/>
      <c r="B16" s="151"/>
      <c r="C16" s="62" t="s">
        <v>35</v>
      </c>
      <c r="D16" s="140"/>
      <c r="E16" s="141"/>
      <c r="F16" s="85"/>
      <c r="G16" s="74"/>
      <c r="H16" s="90" t="str">
        <f>IF(D16="","",IFERROR(INDEX('[2]INFO-INSUMOS-P'!$G$9:$G$5000,MATCH(D16,'[2]INFO-INSUMOS-P'!$D$9:$D$5000,0)),""))</f>
        <v/>
      </c>
      <c r="I16" s="91"/>
      <c r="J16" s="58" t="str">
        <f>IF(D16="",""," un / Pieza ")</f>
        <v/>
      </c>
      <c r="K16" s="134"/>
      <c r="L16" s="134"/>
      <c r="M16" s="66" t="str">
        <f>IF(H16="","",IFERROR((H16/G16)*I16,""))</f>
        <v/>
      </c>
      <c r="N16" s="4"/>
      <c r="O16" s="4"/>
    </row>
    <row r="17" spans="1:15" ht="30" customHeight="1">
      <c r="A17" s="4"/>
      <c r="B17" s="54"/>
      <c r="C17" s="53"/>
      <c r="D17" s="103"/>
      <c r="E17" s="104"/>
      <c r="F17" s="73"/>
      <c r="G17" s="68"/>
      <c r="H17" s="68"/>
      <c r="I17" s="68"/>
      <c r="J17" s="77"/>
      <c r="K17" s="71"/>
      <c r="L17" s="72"/>
      <c r="M17" s="47"/>
      <c r="N17" s="4"/>
      <c r="O17" s="4"/>
    </row>
    <row r="18" spans="1:15" ht="30" customHeight="1">
      <c r="A18" s="4"/>
      <c r="B18" s="150" t="s">
        <v>22</v>
      </c>
      <c r="C18" s="83" t="s">
        <v>36</v>
      </c>
      <c r="D18" s="163"/>
      <c r="E18" s="164"/>
      <c r="F18" s="83"/>
      <c r="G18" s="74" t="str">
        <f t="shared" si="3"/>
        <v/>
      </c>
      <c r="H18" s="51" t="str">
        <f>IF(D18="","",PromedioMultiSeleccion(D18,
 [3]INDICE!$C$6:$C$100,
 [3]INDICE!$D$6:$D$100))</f>
        <v/>
      </c>
      <c r="I18" s="48"/>
      <c r="J18" s="58" t="str">
        <f>IF(D18="",""," un / h ")</f>
        <v/>
      </c>
      <c r="K18" s="84"/>
      <c r="L18" s="86"/>
      <c r="M18" s="52" t="str">
        <f>IF(H18="","",IFERROR(H18/I18,""))</f>
        <v/>
      </c>
      <c r="N18" s="4"/>
      <c r="O18" s="4"/>
    </row>
    <row r="19" spans="1:15" ht="30" customHeight="1">
      <c r="A19" s="4"/>
      <c r="B19" s="151"/>
      <c r="C19" s="83" t="s">
        <v>45</v>
      </c>
      <c r="D19" s="97" t="str">
        <f>IF(C3="", " ↑ ", "Minorista")</f>
        <v xml:space="preserve"> ↑ </v>
      </c>
      <c r="E19" s="105" t="str">
        <f>IF(C3="", "Seleccionar Pieza", "Costo de Embalaje")</f>
        <v>Seleccionar Pieza</v>
      </c>
      <c r="F19" s="83" t="str">
        <f>IFERROR(INDEX('[3]INFO-E'!$C$10:$C$42,MATCH(E19,'[3]INFO-E'!$B$10:$B$42,0)),"")</f>
        <v/>
      </c>
      <c r="G19" s="74" t="str">
        <f>IF(ISERROR(FIND("Seleccionar", E19)), "-", "")</f>
        <v/>
      </c>
      <c r="H19" s="51" t="str">
        <f>IFERROR(INDEX('[3]INFO-Embalaje'!$DB$13:$DB$349,MATCH($C$3,'[3]INFO-Embalaje'!$B$13:$B$349,0)),"")</f>
        <v/>
      </c>
      <c r="I19" s="48" t="str">
        <f>IF(H19="","","1")</f>
        <v/>
      </c>
      <c r="J19" s="58" t="str">
        <f>IF(ISERROR(FIND("Seleccionar", E19)), "$ / h", "")</f>
        <v/>
      </c>
      <c r="K19" s="84"/>
      <c r="L19" s="86"/>
      <c r="M19" s="52" t="str">
        <f>IF(H19=""," ",IFERROR(H19*I19,""))</f>
        <v xml:space="preserve"> </v>
      </c>
      <c r="N19" s="4"/>
      <c r="O19" s="4"/>
    </row>
    <row r="20" spans="1:15" ht="30" customHeight="1">
      <c r="A20" s="4"/>
      <c r="B20" s="162"/>
      <c r="C20" s="83" t="s">
        <v>46</v>
      </c>
      <c r="D20" s="97" t="str">
        <f>IF(C3="", " ↑ ", "Mayorista")</f>
        <v xml:space="preserve"> ↑ </v>
      </c>
      <c r="E20" s="105" t="str">
        <f>IF(C3="", "Seleccionar Pieza", "Costo de Embalaje")</f>
        <v>Seleccionar Pieza</v>
      </c>
      <c r="F20" s="83" t="str">
        <f>IFERROR(INDEX('[3]INFO-E'!$C$10:$C$42,MATCH(E20,'[3]INFO-E'!$B$10:$B$42,0)),"")</f>
        <v/>
      </c>
      <c r="G20" s="74" t="str">
        <f>IF(ISERROR(FIND("Seleccionar", E20)), "-", "")</f>
        <v/>
      </c>
      <c r="H20" s="51" t="str">
        <f>IFERROR(INDEX('[3]INFO-Embalaje'!$DC$13:$DC$349,MATCH($C$3,'[3]INFO-Embalaje'!$B$13:$B$349,0)),"")</f>
        <v/>
      </c>
      <c r="I20" s="48" t="str">
        <f>IF(H20="","","1")</f>
        <v/>
      </c>
      <c r="J20" s="58" t="str">
        <f>IF(ISERROR(FIND("Seleccionar", E20)), "$ / h", "")</f>
        <v/>
      </c>
      <c r="K20" s="84"/>
      <c r="L20" s="86"/>
      <c r="M20" s="52" t="str">
        <f>IF(H20=""," ",IFERROR(H20*I20,""))</f>
        <v xml:space="preserve"> </v>
      </c>
      <c r="N20" s="4"/>
      <c r="O20" s="4"/>
    </row>
    <row r="21" spans="1:15" ht="30" customHeight="1">
      <c r="A21" s="4"/>
      <c r="B21" s="92"/>
      <c r="C21" s="53"/>
      <c r="D21" s="142"/>
      <c r="E21" s="143"/>
      <c r="F21" s="73"/>
      <c r="G21" s="68"/>
      <c r="H21" s="68"/>
      <c r="I21" s="68"/>
      <c r="J21" s="77"/>
      <c r="K21" s="142"/>
      <c r="L21" s="143"/>
      <c r="M21" s="47"/>
      <c r="N21" s="4"/>
      <c r="O21" s="4"/>
    </row>
    <row r="22" spans="1:15" ht="30" customHeight="1">
      <c r="A22" s="4"/>
      <c r="B22" s="100" t="s">
        <v>47</v>
      </c>
      <c r="C22" s="60" t="s">
        <v>36</v>
      </c>
      <c r="D22" s="144"/>
      <c r="E22" s="144"/>
      <c r="F22" s="62"/>
      <c r="G22" s="48" t="str">
        <f>IF(D22="","","-")</f>
        <v/>
      </c>
      <c r="H22" s="51" t="str">
        <f>IF(D22="","",PromedioMultiSeleccion(D22,
 [7]INDICE!$C$6:$C$100,
 [7]INDICE!$D$6:$D$100))</f>
        <v/>
      </c>
      <c r="I22" s="40"/>
      <c r="J22" s="58" t="str">
        <f>IF(D22="",""," u / h ")</f>
        <v/>
      </c>
      <c r="K22" s="132"/>
      <c r="L22" s="132"/>
      <c r="M22" s="52" t="str">
        <f>IF(H22=""," ",IFERROR(H22/I22,""))</f>
        <v xml:space="preserve"> </v>
      </c>
      <c r="N22" s="4"/>
      <c r="O22" s="4"/>
    </row>
    <row r="23" spans="1:15" ht="30" customHeight="1">
      <c r="A23" s="4"/>
      <c r="B23" s="92"/>
      <c r="C23" s="53"/>
      <c r="D23" s="142"/>
      <c r="E23" s="143"/>
      <c r="F23" s="73"/>
      <c r="G23" s="68"/>
      <c r="H23" s="68"/>
      <c r="I23" s="68"/>
      <c r="J23" s="77"/>
      <c r="K23" s="142"/>
      <c r="L23" s="143"/>
      <c r="M23" s="47"/>
      <c r="N23" s="4"/>
      <c r="O23" s="4"/>
    </row>
    <row r="24" spans="1:15" ht="30" customHeight="1">
      <c r="A24" s="4"/>
      <c r="B24" s="100" t="s">
        <v>42</v>
      </c>
      <c r="C24" s="60" t="s">
        <v>36</v>
      </c>
      <c r="D24" s="144"/>
      <c r="E24" s="144"/>
      <c r="F24" s="97"/>
      <c r="G24" s="48" t="str">
        <f t="shared" ref="G24" si="4">IF(D24="","","-")</f>
        <v/>
      </c>
      <c r="H24" s="41"/>
      <c r="I24" s="40"/>
      <c r="J24" s="58" t="str">
        <f>IF(D24="",""," u ")</f>
        <v/>
      </c>
      <c r="K24" s="132"/>
      <c r="L24" s="132"/>
      <c r="M24" s="52" t="str">
        <f>IF(H24=""," ",IFERROR(H24*I24,""))</f>
        <v xml:space="preserve"> </v>
      </c>
      <c r="N24" s="4"/>
      <c r="O24" s="4"/>
    </row>
    <row r="25" spans="1:15" ht="30" customHeight="1">
      <c r="A25" s="4"/>
      <c r="B25" s="92"/>
      <c r="C25" s="73"/>
      <c r="D25" s="142"/>
      <c r="E25" s="143"/>
      <c r="F25" s="73"/>
      <c r="G25" s="68"/>
      <c r="H25" s="68"/>
      <c r="I25" s="68"/>
      <c r="J25" s="77"/>
      <c r="K25" s="128"/>
      <c r="L25" s="129"/>
      <c r="M25" s="89"/>
      <c r="N25" s="4"/>
      <c r="O25" s="4"/>
    </row>
    <row r="26" spans="1:15" ht="30" customHeight="1">
      <c r="A26" s="4"/>
      <c r="B26" s="115" t="s">
        <v>55</v>
      </c>
      <c r="C26" s="112" t="s">
        <v>16</v>
      </c>
      <c r="D26" s="135" t="str">
        <f>IF(C3="", "Seleccionar Pieza ↑", "Monto asumido de " &amp; C3)</f>
        <v>Seleccionar Pieza ↑</v>
      </c>
      <c r="E26" s="136"/>
      <c r="F26" s="107"/>
      <c r="G26" s="74" t="str">
        <f>IF(ISERROR(FIND("Seleccionar", D26)), "-", "")</f>
        <v/>
      </c>
      <c r="H26" s="116" t="str">
        <f>IF(F26="NAC",
    IFERROR(INDEX([8]NAC!$AU$6:$AU$1838,
                    MATCH(C3,[8]NAC!$A$6:$A$1838,0)),
             ""),
IF(F26="IMP",
    IFERROR(INDEX([8]IMP!$AU$6:$AU$1838,
                    MATCH(C3,[8]IMP!$A$6:$A$1838,0)),
             ""),
""))</f>
        <v/>
      </c>
      <c r="I26" s="48" t="str">
        <f>IF(H26="","","1")</f>
        <v/>
      </c>
      <c r="J26" s="58" t="str">
        <f>IF(ISERROR(FIND("Seleccionar", D26)), "$ / u", "")</f>
        <v/>
      </c>
      <c r="K26" s="113"/>
      <c r="L26" s="114"/>
      <c r="M26" s="52" t="str">
        <f>IF(H26=""," ",IFERROR(H26*I26,""))</f>
        <v xml:space="preserve"> </v>
      </c>
      <c r="N26" s="4"/>
      <c r="O26" s="4"/>
    </row>
    <row r="27" spans="1:15" ht="30" customHeight="1">
      <c r="A27" s="4"/>
      <c r="B27" s="92"/>
      <c r="C27" s="73"/>
      <c r="D27" s="110"/>
      <c r="E27" s="111"/>
      <c r="F27" s="73"/>
      <c r="G27" s="68"/>
      <c r="H27" s="68"/>
      <c r="I27" s="68"/>
      <c r="J27" s="77"/>
      <c r="K27" s="108"/>
      <c r="L27" s="109"/>
      <c r="M27" s="89"/>
      <c r="N27" s="4"/>
      <c r="O27" s="4"/>
    </row>
    <row r="28" spans="1:15" ht="30" customHeight="1">
      <c r="A28" s="4"/>
      <c r="B28" s="82" t="s">
        <v>49</v>
      </c>
      <c r="C28" s="62" t="s">
        <v>16</v>
      </c>
      <c r="D28" s="130" t="str">
        <f>IF(C3="", "Seleccionar Pieza ↑", "Monto asumido de " &amp; C3)</f>
        <v>Seleccionar Pieza ↑</v>
      </c>
      <c r="E28" s="131"/>
      <c r="F28" s="107"/>
      <c r="G28" s="74" t="str">
        <f>IF(ISERROR(FIND("Seleccionar", D28)), "-", "")</f>
        <v/>
      </c>
      <c r="H28" s="78" t="str">
        <f>IF(F28="NAC",
    IFERROR(INDEX([8]NAC!$AS$6:$AS$1838,
                    MATCH(C3,[8]NAC!$A$6:$A$1838,0)),
             ""),
IF(F28="IMP",
    IFERROR(INDEX([8]IMP!$AS$6:$AS$1838,
                    MATCH(C3,[8]IMP!$A$6:$A$1838,0)),
             ""),
""))</f>
        <v/>
      </c>
      <c r="I28" s="48" t="str">
        <f>IF(H28="","","1")</f>
        <v/>
      </c>
      <c r="J28" s="58" t="str">
        <f>IF(ISERROR(FIND("Seleccionar", D28)), "$ / u", "")</f>
        <v/>
      </c>
      <c r="K28" s="132"/>
      <c r="L28" s="132"/>
      <c r="M28" s="52" t="str">
        <f>IF(H28=""," ",IFERROR(H28*I28,""))</f>
        <v xml:space="preserve"> </v>
      </c>
      <c r="N28" s="4"/>
      <c r="O28" s="4"/>
    </row>
    <row r="29" spans="1:15" ht="30" customHeight="1" thickBot="1">
      <c r="A29" s="4"/>
      <c r="B29" s="29"/>
      <c r="C29" s="30"/>
      <c r="D29" s="30"/>
      <c r="E29" s="30"/>
      <c r="F29" s="30"/>
      <c r="G29" s="24"/>
      <c r="H29" s="79"/>
      <c r="I29" s="24"/>
      <c r="J29" s="24"/>
      <c r="K29" s="30"/>
      <c r="L29" s="30"/>
      <c r="M29" s="31"/>
      <c r="N29" s="4"/>
      <c r="O29" s="4"/>
    </row>
    <row r="30" spans="1:15" ht="30" customHeight="1" thickBot="1">
      <c r="A30" s="4"/>
      <c r="B30" s="29"/>
      <c r="C30" s="64"/>
      <c r="D30" s="30"/>
      <c r="E30" s="30"/>
      <c r="F30" s="30"/>
      <c r="G30" s="24"/>
      <c r="H30" s="24"/>
      <c r="I30" s="24"/>
      <c r="J30" s="24"/>
      <c r="K30" s="64"/>
      <c r="L30" s="49" t="s">
        <v>29</v>
      </c>
      <c r="M30" s="49" t="s">
        <v>30</v>
      </c>
      <c r="N30" s="4"/>
      <c r="O30" s="4"/>
    </row>
    <row r="31" spans="1:15" ht="30" customHeight="1" thickBot="1">
      <c r="A31" s="4"/>
      <c r="B31" s="29"/>
      <c r="C31" s="64"/>
      <c r="D31" s="30"/>
      <c r="E31" s="30"/>
      <c r="F31" s="64"/>
      <c r="G31" s="24"/>
      <c r="H31" s="24"/>
      <c r="I31" s="21"/>
      <c r="J31" s="21"/>
      <c r="K31" s="32" t="s">
        <v>17</v>
      </c>
      <c r="L31" s="42">
        <f t="array" aca="1" ref="L31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</v>
      </c>
      <c r="M31" s="42">
        <f t="array" aca="1" ref="M31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</v>
      </c>
      <c r="N31" s="4"/>
      <c r="O31" s="4"/>
    </row>
    <row r="32" spans="1:15" ht="30" customHeight="1" thickBot="1">
      <c r="A32" s="4"/>
      <c r="B32" s="23"/>
      <c r="C32" s="24"/>
      <c r="D32" s="24"/>
      <c r="E32" s="133"/>
      <c r="F32" s="133"/>
      <c r="G32" s="21"/>
      <c r="H32" s="21"/>
      <c r="I32" s="21"/>
      <c r="J32" s="21"/>
      <c r="K32" s="33" t="s">
        <v>18</v>
      </c>
      <c r="L32" s="43">
        <f t="array" aca="1" ref="L32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2" s="43">
        <f t="array" aca="1" ref="M32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2" s="4"/>
      <c r="O32" s="4"/>
    </row>
    <row r="33" spans="1:15" ht="30" customHeight="1" thickBot="1">
      <c r="A33" s="88"/>
      <c r="B33" s="23"/>
      <c r="I33" s="4"/>
      <c r="J33" s="26"/>
      <c r="K33" s="33" t="s">
        <v>20</v>
      </c>
      <c r="L33" s="44">
        <f ca="1">L31+L32</f>
        <v>0</v>
      </c>
      <c r="M33" s="44">
        <f ca="1">M31+M32</f>
        <v>0</v>
      </c>
      <c r="N33" s="4"/>
      <c r="O33" s="4"/>
    </row>
    <row r="34" spans="1:15" ht="30" customHeight="1" thickBot="1">
      <c r="A34" s="4"/>
      <c r="B34" s="34" t="s">
        <v>27</v>
      </c>
      <c r="C34" s="137"/>
      <c r="D34" s="137"/>
      <c r="E34" s="35" t="s">
        <v>19</v>
      </c>
      <c r="F34" s="138"/>
      <c r="G34" s="138"/>
      <c r="H34" s="138"/>
      <c r="I34" s="26"/>
      <c r="J34" s="26"/>
      <c r="K34" s="67" t="s">
        <v>21</v>
      </c>
      <c r="L34" s="42" t="str">
        <f t="array" aca="1" ref="L34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/>
      </c>
      <c r="M34" s="42" t="str">
        <f t="array" aca="1" ref="M34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/>
      </c>
      <c r="N34" s="4"/>
      <c r="O34" s="4"/>
    </row>
    <row r="35" spans="1:15" ht="30" customHeight="1" thickBot="1">
      <c r="A35" s="4"/>
      <c r="B35" s="34"/>
      <c r="C35" s="117"/>
      <c r="D35" s="117"/>
      <c r="E35" s="35"/>
      <c r="F35" s="118"/>
      <c r="G35" s="118"/>
      <c r="H35" s="118"/>
      <c r="I35" s="26"/>
      <c r="J35" s="26"/>
      <c r="K35" s="87" t="s">
        <v>54</v>
      </c>
      <c r="L35" s="45">
        <f t="array" aca="1" ref="L35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</v>
      </c>
      <c r="M35" s="45">
        <f t="array" aca="1" ref="M35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</v>
      </c>
      <c r="N35" s="4"/>
      <c r="O35" s="4"/>
    </row>
    <row r="36" spans="1:15" ht="30" customHeight="1" thickBot="1">
      <c r="A36" s="4"/>
      <c r="B36" s="34"/>
      <c r="C36" s="26"/>
      <c r="D36" s="26"/>
      <c r="E36" s="26"/>
      <c r="F36" s="35"/>
      <c r="G36" s="26"/>
      <c r="H36" s="26"/>
      <c r="I36" s="26"/>
      <c r="J36" s="26"/>
      <c r="K36" s="87" t="s">
        <v>43</v>
      </c>
      <c r="L36" s="45">
        <f t="array" aca="1" ref="L36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36" s="45">
        <f t="array" aca="1" ref="M36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36" s="4"/>
      <c r="O36" s="4"/>
    </row>
    <row r="37" spans="1:15" ht="30" customHeight="1" thickBot="1">
      <c r="A37" s="4"/>
      <c r="B37" s="34"/>
      <c r="C37" s="26"/>
      <c r="D37" s="26"/>
      <c r="E37" s="26"/>
      <c r="F37" s="35"/>
      <c r="G37" s="26"/>
      <c r="H37" s="26"/>
      <c r="I37" s="26"/>
      <c r="J37" s="26"/>
      <c r="K37" s="33" t="s">
        <v>56</v>
      </c>
      <c r="L37" s="45" t="str">
        <f t="array" aca="1" ref="L37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L36 + L35 + L33
    ),
""
)</f>
        <v/>
      </c>
      <c r="M37" s="45" t="str">
        <f t="array" aca="1" ref="M37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M36 + M35 + M33
    ),
""
)</f>
        <v/>
      </c>
      <c r="N37" s="4"/>
      <c r="O37" s="4"/>
    </row>
    <row r="38" spans="1:15" ht="28.5" customHeight="1" thickBot="1">
      <c r="A38" s="4"/>
      <c r="B38" s="36"/>
      <c r="C38" s="61"/>
      <c r="D38" s="61"/>
      <c r="E38" s="61"/>
      <c r="F38" s="61"/>
      <c r="G38" s="139"/>
      <c r="H38" s="139"/>
      <c r="I38" s="139"/>
      <c r="J38" s="61"/>
      <c r="K38" s="119" t="s">
        <v>57</v>
      </c>
      <c r="L38" s="45">
        <f ca="1">IFERROR(SUM(L33:L36),"")</f>
        <v>0</v>
      </c>
      <c r="M38" s="45">
        <f ca="1">IFERROR(SUM(M33:M36),"")</f>
        <v>0</v>
      </c>
      <c r="N38" s="4"/>
      <c r="O38" s="4"/>
    </row>
    <row r="39" spans="1:15" ht="30" customHeight="1">
      <c r="A39" s="4"/>
      <c r="B39" s="37"/>
      <c r="C39" s="37"/>
      <c r="D39" s="37"/>
      <c r="E39" s="38"/>
      <c r="F39" s="38"/>
      <c r="G39" s="38"/>
      <c r="H39" s="38"/>
      <c r="I39" s="38"/>
      <c r="J39" s="38"/>
      <c r="K39" s="38"/>
      <c r="L39" s="39"/>
      <c r="M39" s="4"/>
      <c r="N39" s="4"/>
      <c r="O39" s="4"/>
    </row>
    <row r="40" spans="1:15" ht="30" customHeight="1">
      <c r="B40" s="2"/>
    </row>
    <row r="41" spans="1:15" ht="30" customHeight="1">
      <c r="B41" s="2"/>
    </row>
    <row r="42" spans="1:15" ht="30" customHeight="1">
      <c r="B42" s="2"/>
      <c r="C42" s="2"/>
      <c r="D42" s="2"/>
    </row>
    <row r="43" spans="1:15" ht="30" customHeight="1">
      <c r="B43" s="2"/>
      <c r="C43" s="2"/>
      <c r="D43" s="2"/>
    </row>
    <row r="44" spans="1:15" ht="30" customHeight="1">
      <c r="B44" s="2"/>
      <c r="C44" s="2"/>
      <c r="D44" s="2"/>
    </row>
    <row r="45" spans="1:15" ht="30" customHeight="1">
      <c r="B45" s="2"/>
      <c r="C45" s="2"/>
      <c r="D45" s="2"/>
    </row>
    <row r="46" spans="1:15" ht="30" customHeight="1">
      <c r="B46" s="2"/>
      <c r="C46" s="2"/>
      <c r="D46" s="2"/>
    </row>
    <row r="47" spans="1:15" ht="30" customHeight="1">
      <c r="B47" s="2"/>
      <c r="C47" s="2"/>
      <c r="D47" s="2"/>
    </row>
    <row r="50" spans="3:4" ht="30" customHeight="1">
      <c r="C50" s="3"/>
      <c r="D50" s="3"/>
    </row>
  </sheetData>
  <sheetProtection selectLockedCells="1"/>
  <mergeCells count="42">
    <mergeCell ref="B15:B16"/>
    <mergeCell ref="B9:B10"/>
    <mergeCell ref="D24:E24"/>
    <mergeCell ref="D12:E12"/>
    <mergeCell ref="K12:L12"/>
    <mergeCell ref="K22:L22"/>
    <mergeCell ref="K24:L24"/>
    <mergeCell ref="K23:L23"/>
    <mergeCell ref="K21:L21"/>
    <mergeCell ref="B18:B20"/>
    <mergeCell ref="D18:E18"/>
    <mergeCell ref="D15:E15"/>
    <mergeCell ref="K15:L15"/>
    <mergeCell ref="D13:E13"/>
    <mergeCell ref="K13:L13"/>
    <mergeCell ref="B12:B13"/>
    <mergeCell ref="D8:E8"/>
    <mergeCell ref="K8:L8"/>
    <mergeCell ref="C9:C10"/>
    <mergeCell ref="D9:E9"/>
    <mergeCell ref="K9:L9"/>
    <mergeCell ref="D10:E10"/>
    <mergeCell ref="K10:L10"/>
    <mergeCell ref="C3:D3"/>
    <mergeCell ref="H3:I3"/>
    <mergeCell ref="C5:D5"/>
    <mergeCell ref="S5:T5"/>
    <mergeCell ref="C6:D6"/>
    <mergeCell ref="C34:D34"/>
    <mergeCell ref="F34:H34"/>
    <mergeCell ref="G38:I38"/>
    <mergeCell ref="D16:E16"/>
    <mergeCell ref="D25:E25"/>
    <mergeCell ref="D21:E21"/>
    <mergeCell ref="D23:E23"/>
    <mergeCell ref="D22:E22"/>
    <mergeCell ref="K25:L25"/>
    <mergeCell ref="D28:E28"/>
    <mergeCell ref="K28:L28"/>
    <mergeCell ref="E32:F32"/>
    <mergeCell ref="K16:L16"/>
    <mergeCell ref="D26:E26"/>
  </mergeCells>
  <conditionalFormatting sqref="H9:H10">
    <cfRule type="expression" priority="295">
      <formula>D9&lt;&gt;""</formula>
    </cfRule>
  </conditionalFormatting>
  <conditionalFormatting sqref="I15 I18">
    <cfRule type="expression" dxfId="4" priority="168" stopIfTrue="1">
      <formula>D15&lt;&gt;""</formula>
    </cfRule>
  </conditionalFormatting>
  <conditionalFormatting sqref="H11">
    <cfRule type="expression" priority="112">
      <formula>D11&lt;&gt;""</formula>
    </cfRule>
  </conditionalFormatting>
  <conditionalFormatting sqref="H12">
    <cfRule type="expression" priority="46">
      <formula>D12&lt;&gt;""</formula>
    </cfRule>
  </conditionalFormatting>
  <conditionalFormatting sqref="H15">
    <cfRule type="expression" priority="43">
      <formula>D15&lt;&gt;""</formula>
    </cfRule>
  </conditionalFormatting>
  <conditionalFormatting sqref="H13">
    <cfRule type="expression" priority="27">
      <formula>D13&lt;&gt;""</formula>
    </cfRule>
  </conditionalFormatting>
  <conditionalFormatting sqref="I13">
    <cfRule type="cellIs" dxfId="3" priority="20" operator="equal">
      <formula>D13="Seleccionar Maquinaria"</formula>
    </cfRule>
  </conditionalFormatting>
  <conditionalFormatting sqref="I12">
    <cfRule type="cellIs" dxfId="2" priority="18" operator="equal">
      <formula>D12="Seleccionar Maquinaria"</formula>
    </cfRule>
  </conditionalFormatting>
  <dataValidations count="6">
    <dataValidation type="list" allowBlank="1" showInputMessage="1" showErrorMessage="1" sqref="D15:E15">
      <formula1>Ensamble_Auxiliar</formula1>
    </dataValidation>
    <dataValidation type="list" allowBlank="1" showInputMessage="1" showErrorMessage="1" sqref="D18">
      <formula1>Embalaje_Auxiliar</formula1>
    </dataValidation>
    <dataValidation type="list" allowBlank="1" showInputMessage="1" showErrorMessage="1" sqref="D22:E22">
      <formula1>Deposito_Auxiliar</formula1>
    </dataValidation>
    <dataValidation type="list" allowBlank="1" showInputMessage="1" showErrorMessage="1" sqref="D12:E12">
      <formula1>Produccion_Auxiliar</formula1>
    </dataValidation>
    <dataValidation type="list" allowBlank="1" showInputMessage="1" showErrorMessage="1" sqref="D16:E16">
      <formula1>INFO_INSUMO_P_ENSAMBLE</formula1>
    </dataValidation>
    <dataValidation type="list" allowBlank="1" showInputMessage="1" showErrorMessage="1" sqref="F28 F26">
      <formula1>NACIMP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219075</xdr:colOff>
                    <xdr:row>32</xdr:row>
                    <xdr:rowOff>333375</xdr:rowOff>
                  </from>
                  <to>
                    <xdr:col>1</xdr:col>
                    <xdr:colOff>1762125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28</xdr:row>
                    <xdr:rowOff>95250</xdr:rowOff>
                  </from>
                  <to>
                    <xdr:col>1</xdr:col>
                    <xdr:colOff>1609725</xdr:colOff>
                    <xdr:row>29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442B287A-E026-4AE0-BC7A-39D3232F22CC}">
            <xm:f>NOT(ISERROR(SEARCH(D13="Insumos",I13)))</xm:f>
            <xm:f>D13="Insumos"</xm:f>
            <x14:dxf>
              <fill>
                <patternFill>
                  <bgColor theme="4" tint="0.7999816888943144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containsText" priority="19" operator="containsText" id="{6DDB9022-09C6-450A-8227-016F09FB281B}">
            <xm:f>NOT(ISERROR(SEARCH(D12="Insumos",I12)))</xm:f>
            <xm:f>D12="Insumos"</xm:f>
            <x14:dxf>
              <fill>
                <patternFill>
                  <bgColor theme="4" tint="0.79998168889431442"/>
                </patternFill>
              </fill>
            </x14:dxf>
          </x14:cfRule>
          <xm:sqref>I12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6" t="s">
        <v>48</v>
      </c>
      <c r="C1" s="166"/>
      <c r="D1" s="166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98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99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  <c r="BM75" s="99"/>
      <c r="BN75" s="99"/>
      <c r="BO75" s="99"/>
      <c r="BP75" s="99"/>
      <c r="BQ75" s="99"/>
      <c r="BR75" s="99"/>
      <c r="BS75" s="99"/>
      <c r="BT75" s="99"/>
      <c r="BU75" s="99"/>
      <c r="BV75" s="99"/>
      <c r="BW75" s="99"/>
      <c r="BX75" s="99"/>
      <c r="BY75" s="99"/>
      <c r="BZ75" s="99"/>
      <c r="CA75" s="99"/>
    </row>
    <row r="76" spans="1:79">
      <c r="A76" s="99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  <c r="BM76" s="99"/>
      <c r="BN76" s="99"/>
      <c r="BO76" s="99"/>
      <c r="BP76" s="99"/>
      <c r="BQ76" s="99"/>
      <c r="BR76" s="99"/>
      <c r="BS76" s="99"/>
      <c r="BT76" s="99"/>
      <c r="BU76" s="99"/>
      <c r="BV76" s="99"/>
      <c r="BW76" s="99"/>
      <c r="BX76" s="99"/>
      <c r="BY76" s="99"/>
      <c r="BZ76" s="99"/>
      <c r="CA76" s="99"/>
    </row>
    <row r="78" spans="1:79">
      <c r="A78" s="165" t="s">
        <v>37</v>
      </c>
      <c r="B78" s="165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5" t="s">
        <v>38</v>
      </c>
      <c r="B82" s="165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5" t="s">
        <v>39</v>
      </c>
      <c r="B86" s="165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5" t="s">
        <v>40</v>
      </c>
      <c r="B90" s="165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5" t="s">
        <v>53</v>
      </c>
      <c r="B94" s="165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2026-02-13T14:27:59Z</dcterms:modified>
</cp:coreProperties>
</file>