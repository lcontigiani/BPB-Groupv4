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cesos\Analisis de Costos Deposito y Logistica\"/>
    </mc:Choice>
  </mc:AlternateContent>
  <bookViews>
    <workbookView xWindow="0" yWindow="0" windowWidth="28710" windowHeight="12900" firstSheet="1" activeTab="4"/>
  </bookViews>
  <sheets>
    <sheet name="INDICE" sheetId="10" r:id="rId1"/>
    <sheet name="INFO-OEE" sheetId="1" r:id="rId2"/>
    <sheet name="INFO-Personal" sheetId="2" r:id="rId3"/>
    <sheet name="INFO-Direc" sheetId="3" r:id="rId4"/>
    <sheet name="INFO-Mant" sheetId="4" r:id="rId5"/>
    <sheet name="INFO-Pos" sheetId="5" r:id="rId6"/>
    <sheet name="RECOLECCIÓN" sheetId="6" r:id="rId7"/>
    <sheet name="TRANSPORTE" sheetId="7" r:id="rId8"/>
    <sheet name="CARGA-DESCARGA" sheetId="8" r:id="rId9"/>
    <sheet name="CARGA DE PALLETS" sheetId="9" r:id="rId10"/>
  </sheets>
  <functionGroups builtInGroupCount="18"/>
  <externalReferences>
    <externalReference r:id="rId11"/>
    <externalReference r:id="rId12"/>
    <externalReference r:id="rId13"/>
    <externalReference r:id="rId14"/>
  </externalReferences>
  <definedNames>
    <definedName name="AireComprimido">OFFSET('[1]INFO-Direc'!$D$11,0,0,COUNTIF('[1]INFO-Direc'!$D$11:$D$12,"?*"),1)</definedName>
    <definedName name="AireComprimido_Deposito">OFFSET('INFO-Direc'!$D$11,0,0,COUNTIF('INFO-Direc'!$D$11:$D$12,"?*"),1)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Deposito">OFFSET('INFO-Pos'!$P$9,0,0,COUNTIF('INFO-Pos'!$P$9:$P$50,"?*"),1)</definedName>
    <definedName name="Areas_Ensamble">OFFSET('[2]INFO-Pos'!$O$9,0,0,COUNTIF('[2]INFO-Pos'!$O$9:$O$122,"?*"),1)</definedName>
    <definedName name="Combustible_Deposito">OFFSET('INFO-Direc'!$D$20,0,0,COUNTIF('INFO-Direc'!$D$20:$D$22,"?*"),1)</definedName>
    <definedName name="Fresas" localSheetId="0">OFFSET('[1]INFO-INSUMOS'!$D$11:$E$11,0,0,COUNTIF('[1]INFO-INSUMOS'!$D$11:$AC$11,"?*"),1)</definedName>
    <definedName name="Fresas">OFFSET('[1]INFO-INSUMOS'!$D$11:$E$11,0,0,COUNTIF('[1]INFO-INSUMOS'!$D$11:$AC$11,"?*"),1)</definedName>
    <definedName name="Grasa">OFFSET('[1]INFO-Direc'!$D$17,0,0,COUNTIF('[1]INFO-Direc'!$D$17:$D$19,"?*"),1)</definedName>
    <definedName name="Grasa_Deposito">OFFSET('INFO-Direc'!$D$17,0,0,COUNTIF('INFO-Direc'!$D$17:$D$19,"?*"),1)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Herramientas_Lista">OFFSET('INFO-Pos'!$N$9,0,0,COUNTIF('INFO-Pos'!$N$9:$N$50,"?*"),1)</definedName>
    <definedName name="INSUMOS" localSheetId="0">OFFSET('[1]INFO-INSUMOS'!$CJ$9,0,0,COUNTIF('[1]INFO-INSUMOS'!$CJ$9:$CJ$14,"?*"),1)</definedName>
    <definedName name="INSUMOS">OFFSET('[1]INFO-INSUMOS'!$CJ$9,0,0,COUNTIF('[1]INFO-INSUMOS'!$CJ$9:$CJ$14,"?*"),1)</definedName>
    <definedName name="Lista_Deposito">OFFSET('INFO-Personal'!$AE$10,0,0,COUNTIF('INFO-Personal'!$AE$10:$AE$100,"?*"),1)</definedName>
    <definedName name="Lista_Ensamble" localSheetId="0">OFFSET('[2]INFO-Personal'!$AW$10,0,0,COUNTIF('[2]INFO-Personal'!$AW$10:$AW$100,"?*"),1)</definedName>
    <definedName name="Lista_Ensamble">OFFSET(#REF!,0,0,COUNTIF(#REF!,"?*"),1)</definedName>
    <definedName name="Lista_Produccion" localSheetId="0">OFFSET('[1]INFO-Personal'!$AE$10,0,0,COUNTIF('[1]INFO-Personal'!$AE$10:$AE$100,"?*"),1)</definedName>
    <definedName name="Lista_Produccion">OFFSET('[1]INFO-Personal'!$AE$10,0,0,COUNTIF('[1]INFO-Personal'!$AE$10:$AE$100,"?*"),1)</definedName>
    <definedName name="Lubricantes" localSheetId="0">OFFSET('[1]INFO-Direc'!$D$13,0,0,COUNTIF('[1]INFO-Direc'!$D$13:$D$16,"?*"),1)</definedName>
    <definedName name="Lubricantes">OFFSET('[1]INFO-Direc'!$D$13,0,0,COUNTIF('[1]INFO-Direc'!$D$13:$D$16,"?*"),1)</definedName>
    <definedName name="Lubricantes_Deposito">OFFSET('INFO-Direc'!$D$13,0,0,COUNTIF('INFO-Direc'!$D$13:$D$16,"?*"),1)</definedName>
    <definedName name="Lubricantes_Ensamble">OFFSET('[2]INFO-Direc'!$D$13,0,0,COUNTIF('[2]INFO-Direc'!$D$13:$D$16,"?*"),1)</definedName>
    <definedName name="Maquinaria" localSheetId="0">OFFSET('[1]INFO-Pos'!$N$9,0,0,COUNTIF('[1]INFO-Pos'!$N$9:$N$122,"?*"),1)</definedName>
    <definedName name="Maquinaria" localSheetId="5">OFFSET('INFO-Pos'!#REF!,0,0,COUNTIF('INFO-Pos'!#REF!,"?*"),1)</definedName>
    <definedName name="Maquinaria">OFFSET('[1]INFO-Pos'!$N$9,0,0,COUNTIF('[1]INFO-Pos'!$N$9:$N$68,"?*"),1)</definedName>
    <definedName name="Maquinaria_Ensamble">OFFSET('[2]INFO-Pos'!$N$9,0,0,COUNTIF('[2]INFO-Pos'!$N$9:$N$188,"?*"),1)</definedName>
    <definedName name="Personal" localSheetId="0">'[1]INFO-Personal'!$C$26:$C$29</definedName>
    <definedName name="Personal">'[1]INFO-Personal'!$C$26:$C$29</definedName>
    <definedName name="Refrigerantes" localSheetId="0">OFFSET('[1]INFO-Direc'!$D$20,0,0,COUNTIF('[1]INFO-Direc'!$D$20:$D$22,"?*"),1)</definedName>
    <definedName name="Refrigerantes" localSheetId="3">'INFO-Direc'!$D$18:$D$25</definedName>
    <definedName name="Refrigerantes">'[1]INFO-Direc'!$D$27:$D$32</definedName>
    <definedName name="Refrigerantes_Deposito">OFFSET('INFO-Direc'!$D$23,0,0,COUNTIF('INFO-Direc'!$D$23:$D$25,"?*"),1)</definedName>
    <definedName name="Refrigerantes_Ensamble">OFFSET('[2]INFO-Direc'!$D$20,0,0,COUNTIF('[2]INFO-Direc'!$D$20:$D$22,"?*"),1)</definedName>
    <definedName name="Repuestos" localSheetId="0">OFFSET(INDICE!$D$6,0,0,COUNTIF(INDICE!$D$6:$D$19,"?*"),1)</definedName>
    <definedName name="Repuestos" localSheetId="4">'INFO-Mant'!$D$9:$D$30</definedName>
    <definedName name="Repuestos">'[1]INFO-Mant'!$D$9:$D$20</definedName>
    <definedName name="Repuestos_Deposito">OFFSET('INFO-Mant'!$D$9,0,0,COUNTIF('INFO-Mant'!$D$9:$D$26,"?*"),1)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3" l="1"/>
  <c r="F11" i="3"/>
  <c r="F14" i="3"/>
  <c r="F15" i="3"/>
  <c r="F16" i="3"/>
  <c r="F13" i="3"/>
  <c r="F18" i="3"/>
  <c r="F19" i="3"/>
  <c r="F17" i="3"/>
  <c r="F20" i="3"/>
  <c r="F21" i="3"/>
  <c r="F22" i="3"/>
  <c r="F23" i="3"/>
  <c r="F24" i="3"/>
  <c r="F25" i="3"/>
  <c r="D28" i="6"/>
  <c r="F28" i="6" s="1"/>
  <c r="D26" i="6"/>
  <c r="F26" i="6" s="1"/>
  <c r="F29" i="6"/>
  <c r="G27" i="6"/>
  <c r="F27" i="6"/>
  <c r="G25" i="6"/>
  <c r="F25" i="6"/>
  <c r="L25" i="6" l="1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10" i="2"/>
  <c r="F26" i="2"/>
  <c r="K26" i="2"/>
  <c r="P26" i="2"/>
  <c r="M26" i="2"/>
  <c r="R26" i="2"/>
  <c r="W26" i="2"/>
  <c r="V26" i="2"/>
  <c r="L26" i="2"/>
  <c r="I26" i="2"/>
  <c r="Y26" i="2"/>
  <c r="O26" i="2"/>
  <c r="J26" i="2"/>
  <c r="S26" i="2"/>
  <c r="T26" i="2"/>
  <c r="Q26" i="2"/>
  <c r="Z26" i="2"/>
  <c r="E26" i="2"/>
  <c r="N26" i="2"/>
  <c r="H26" i="2"/>
  <c r="X26" i="2"/>
  <c r="U26" i="2"/>
  <c r="G26" i="2"/>
  <c r="G36" i="9" l="1"/>
  <c r="F36" i="9"/>
  <c r="D36" i="9"/>
  <c r="G35" i="9"/>
  <c r="F35" i="9"/>
  <c r="D35" i="9"/>
  <c r="G36" i="8"/>
  <c r="F36" i="8"/>
  <c r="D36" i="8"/>
  <c r="G35" i="8"/>
  <c r="F35" i="8"/>
  <c r="D35" i="8"/>
  <c r="G41" i="6"/>
  <c r="F41" i="6"/>
  <c r="D41" i="6"/>
  <c r="G40" i="6"/>
  <c r="F40" i="6"/>
  <c r="D40" i="6"/>
  <c r="G36" i="7"/>
  <c r="G35" i="7"/>
  <c r="D36" i="7"/>
  <c r="D35" i="7"/>
  <c r="G10" i="3" l="1"/>
  <c r="F18" i="1" l="1"/>
  <c r="G18" i="1"/>
  <c r="H18" i="1"/>
  <c r="I18" i="1"/>
  <c r="J18" i="1"/>
  <c r="E18" i="1"/>
  <c r="G9" i="3" l="1"/>
  <c r="G13" i="6" l="1"/>
  <c r="G12" i="6"/>
  <c r="G13" i="7"/>
  <c r="G12" i="7"/>
  <c r="G13" i="8"/>
  <c r="G12" i="8"/>
  <c r="G13" i="9"/>
  <c r="G12" i="9"/>
  <c r="G11" i="6" l="1"/>
  <c r="G11" i="7"/>
  <c r="G11" i="8"/>
  <c r="G11" i="9"/>
  <c r="L30" i="6" l="1"/>
  <c r="L16" i="6"/>
  <c r="L25" i="7"/>
  <c r="L16" i="7"/>
  <c r="L25" i="8"/>
  <c r="L16" i="8"/>
  <c r="L25" i="9"/>
  <c r="L16" i="9"/>
  <c r="G27" i="9" l="1"/>
  <c r="G25" i="9"/>
  <c r="G27" i="8"/>
  <c r="G25" i="8"/>
  <c r="G27" i="7"/>
  <c r="G25" i="7"/>
  <c r="G32" i="6"/>
  <c r="G30" i="6"/>
  <c r="G10" i="9" l="1"/>
  <c r="G10" i="8"/>
  <c r="G10" i="7"/>
  <c r="G10" i="6"/>
  <c r="P10" i="5" a="1"/>
  <c r="P10" i="5" s="1"/>
  <c r="P11" i="5" a="1"/>
  <c r="P11" i="5" s="1"/>
  <c r="P12" i="5" a="1"/>
  <c r="P12" i="5" s="1"/>
  <c r="P13" i="5" a="1"/>
  <c r="P13" i="5" s="1"/>
  <c r="P14" i="5" a="1"/>
  <c r="P14" i="5" s="1"/>
  <c r="P15" i="5" a="1"/>
  <c r="P15" i="5" s="1"/>
  <c r="P16" i="5" a="1"/>
  <c r="P16" i="5" s="1"/>
  <c r="P17" i="5" a="1"/>
  <c r="P17" i="5" s="1"/>
  <c r="P18" i="5" a="1"/>
  <c r="P18" i="5" s="1"/>
  <c r="P19" i="5" a="1"/>
  <c r="P19" i="5" s="1"/>
  <c r="P20" i="5" a="1"/>
  <c r="P20" i="5" s="1"/>
  <c r="P21" i="5" a="1"/>
  <c r="P21" i="5" s="1"/>
  <c r="P22" i="5" a="1"/>
  <c r="P22" i="5" s="1"/>
  <c r="P23" i="5" a="1"/>
  <c r="P23" i="5" s="1"/>
  <c r="P24" i="5" a="1"/>
  <c r="P24" i="5" s="1"/>
  <c r="P25" i="5" a="1"/>
  <c r="P25" i="5" s="1"/>
  <c r="P26" i="5" a="1"/>
  <c r="P26" i="5" s="1"/>
  <c r="P27" i="5" a="1"/>
  <c r="P27" i="5" s="1"/>
  <c r="P28" i="5" a="1"/>
  <c r="P28" i="5" s="1"/>
  <c r="P29" i="5" a="1"/>
  <c r="P29" i="5" s="1"/>
  <c r="P30" i="5" a="1"/>
  <c r="P30" i="5" s="1"/>
  <c r="P31" i="5" a="1"/>
  <c r="P31" i="5" s="1"/>
  <c r="P32" i="5" a="1"/>
  <c r="P32" i="5" s="1"/>
  <c r="P33" i="5" a="1"/>
  <c r="P33" i="5" s="1"/>
  <c r="P34" i="5" a="1"/>
  <c r="P34" i="5" s="1"/>
  <c r="P35" i="5" a="1"/>
  <c r="P35" i="5" s="1"/>
  <c r="P36" i="5" a="1"/>
  <c r="P36" i="5" s="1"/>
  <c r="P37" i="5" a="1"/>
  <c r="P37" i="5" s="1"/>
  <c r="P38" i="5" a="1"/>
  <c r="P38" i="5" s="1"/>
  <c r="P39" i="5" a="1"/>
  <c r="P39" i="5" s="1"/>
  <c r="P40" i="5" a="1"/>
  <c r="P40" i="5" s="1"/>
  <c r="P41" i="5" a="1"/>
  <c r="P41" i="5" s="1"/>
  <c r="P42" i="5" a="1"/>
  <c r="P42" i="5" s="1"/>
  <c r="P43" i="5" a="1"/>
  <c r="P43" i="5" s="1"/>
  <c r="P44" i="5" a="1"/>
  <c r="P44" i="5" s="1"/>
  <c r="P45" i="5" a="1"/>
  <c r="P45" i="5" s="1"/>
  <c r="P46" i="5" a="1"/>
  <c r="P46" i="5" s="1"/>
  <c r="P47" i="5" a="1"/>
  <c r="P47" i="5" s="1"/>
  <c r="P48" i="5" a="1"/>
  <c r="P48" i="5" s="1"/>
  <c r="P49" i="5" a="1"/>
  <c r="P49" i="5" s="1"/>
  <c r="P50" i="5" a="1"/>
  <c r="P50" i="5" s="1"/>
  <c r="P51" i="5" a="1"/>
  <c r="P51" i="5" s="1"/>
  <c r="P52" i="5" a="1"/>
  <c r="P52" i="5" s="1"/>
  <c r="P53" i="5" a="1"/>
  <c r="P53" i="5" s="1"/>
  <c r="P54" i="5" a="1"/>
  <c r="P54" i="5" s="1"/>
  <c r="P9" i="5" a="1"/>
  <c r="P9" i="5" s="1"/>
  <c r="O10" i="5" a="1"/>
  <c r="O10" i="5" s="1"/>
  <c r="O11" i="5" a="1"/>
  <c r="O11" i="5" s="1"/>
  <c r="O12" i="5" a="1"/>
  <c r="O12" i="5" s="1"/>
  <c r="O13" i="5" a="1"/>
  <c r="O13" i="5" s="1"/>
  <c r="O14" i="5" a="1"/>
  <c r="O14" i="5" s="1"/>
  <c r="O15" i="5" a="1"/>
  <c r="O15" i="5" s="1"/>
  <c r="O16" i="5" a="1"/>
  <c r="O16" i="5" s="1"/>
  <c r="O17" i="5" a="1"/>
  <c r="O17" i="5" s="1"/>
  <c r="O18" i="5" a="1"/>
  <c r="O18" i="5" s="1"/>
  <c r="O19" i="5" a="1"/>
  <c r="O19" i="5" s="1"/>
  <c r="O20" i="5" a="1"/>
  <c r="O20" i="5" s="1"/>
  <c r="O21" i="5" a="1"/>
  <c r="O21" i="5" s="1"/>
  <c r="O22" i="5" a="1"/>
  <c r="O22" i="5" s="1"/>
  <c r="O23" i="5" a="1"/>
  <c r="O23" i="5" s="1"/>
  <c r="O24" i="5" a="1"/>
  <c r="O24" i="5" s="1"/>
  <c r="O25" i="5" a="1"/>
  <c r="O25" i="5" s="1"/>
  <c r="O26" i="5" a="1"/>
  <c r="O26" i="5" s="1"/>
  <c r="O27" i="5" a="1"/>
  <c r="O27" i="5" s="1"/>
  <c r="O28" i="5" a="1"/>
  <c r="O28" i="5" s="1"/>
  <c r="O29" i="5" a="1"/>
  <c r="O29" i="5" s="1"/>
  <c r="O30" i="5" a="1"/>
  <c r="O30" i="5" s="1"/>
  <c r="O31" i="5" a="1"/>
  <c r="O31" i="5" s="1"/>
  <c r="O32" i="5" a="1"/>
  <c r="O32" i="5" s="1"/>
  <c r="O33" i="5" a="1"/>
  <c r="O33" i="5" s="1"/>
  <c r="O34" i="5" a="1"/>
  <c r="O34" i="5" s="1"/>
  <c r="O35" i="5" a="1"/>
  <c r="O35" i="5" s="1"/>
  <c r="O36" i="5" a="1"/>
  <c r="O36" i="5" s="1"/>
  <c r="O37" i="5" a="1"/>
  <c r="O37" i="5" s="1"/>
  <c r="O38" i="5" a="1"/>
  <c r="O38" i="5" s="1"/>
  <c r="O39" i="5" a="1"/>
  <c r="O39" i="5" s="1"/>
  <c r="O40" i="5" a="1"/>
  <c r="O40" i="5" s="1"/>
  <c r="O41" i="5" a="1"/>
  <c r="O41" i="5" s="1"/>
  <c r="O42" i="5" a="1"/>
  <c r="O42" i="5" s="1"/>
  <c r="O43" i="5" a="1"/>
  <c r="O43" i="5" s="1"/>
  <c r="O44" i="5" a="1"/>
  <c r="O44" i="5" s="1"/>
  <c r="O45" i="5" a="1"/>
  <c r="O45" i="5" s="1"/>
  <c r="O46" i="5" a="1"/>
  <c r="O46" i="5" s="1"/>
  <c r="O47" i="5" a="1"/>
  <c r="O47" i="5" s="1"/>
  <c r="O48" i="5" a="1"/>
  <c r="O48" i="5" s="1"/>
  <c r="O49" i="5" a="1"/>
  <c r="O49" i="5" s="1"/>
  <c r="O50" i="5" a="1"/>
  <c r="O50" i="5" s="1"/>
  <c r="O9" i="5" a="1"/>
  <c r="O9" i="5" s="1"/>
  <c r="F36" i="7" l="1"/>
  <c r="F35" i="7"/>
  <c r="G54" i="6"/>
  <c r="H54" i="6" s="1"/>
  <c r="F54" i="6"/>
  <c r="G53" i="6"/>
  <c r="H53" i="6" s="1"/>
  <c r="F53" i="6"/>
  <c r="G52" i="6"/>
  <c r="H52" i="6" s="1"/>
  <c r="F52" i="6"/>
  <c r="G51" i="6"/>
  <c r="H51" i="6" s="1"/>
  <c r="F51" i="6"/>
  <c r="G50" i="6"/>
  <c r="H50" i="6" s="1"/>
  <c r="F50" i="6"/>
  <c r="F48" i="6"/>
  <c r="D47" i="6"/>
  <c r="F47" i="6" s="1"/>
  <c r="G46" i="6"/>
  <c r="F46" i="6"/>
  <c r="D45" i="6"/>
  <c r="F45" i="6" s="1"/>
  <c r="G44" i="6"/>
  <c r="F44" i="6"/>
  <c r="D43" i="6"/>
  <c r="F43" i="6" s="1"/>
  <c r="G42" i="6"/>
  <c r="F42" i="6"/>
  <c r="F39" i="6"/>
  <c r="F38" i="6"/>
  <c r="D38" i="6"/>
  <c r="F36" i="6"/>
  <c r="F35" i="6"/>
  <c r="D35" i="6"/>
  <c r="F34" i="6"/>
  <c r="D33" i="6"/>
  <c r="F33" i="6" s="1"/>
  <c r="F32" i="6"/>
  <c r="D31" i="6"/>
  <c r="F31" i="6" s="1"/>
  <c r="F30" i="6"/>
  <c r="F24" i="6"/>
  <c r="G23" i="6"/>
  <c r="D23" i="6"/>
  <c r="F23" i="6" s="1"/>
  <c r="D22" i="6"/>
  <c r="F22" i="6" s="1"/>
  <c r="G21" i="6"/>
  <c r="F21" i="6"/>
  <c r="F20" i="6"/>
  <c r="D19" i="6"/>
  <c r="F19" i="6" s="1"/>
  <c r="G18" i="6"/>
  <c r="F18" i="6"/>
  <c r="D17" i="6"/>
  <c r="F17" i="6" s="1"/>
  <c r="G16" i="6"/>
  <c r="F16" i="6"/>
  <c r="F15" i="6"/>
  <c r="F14" i="6"/>
  <c r="D14" i="6"/>
  <c r="F13" i="6"/>
  <c r="D13" i="6"/>
  <c r="F12" i="6"/>
  <c r="D11" i="6"/>
  <c r="F10" i="6"/>
  <c r="G49" i="9"/>
  <c r="H49" i="9" s="1"/>
  <c r="F49" i="9"/>
  <c r="G48" i="9"/>
  <c r="H48" i="9" s="1"/>
  <c r="F48" i="9"/>
  <c r="G47" i="9"/>
  <c r="H47" i="9" s="1"/>
  <c r="F47" i="9"/>
  <c r="G46" i="9"/>
  <c r="H46" i="9" s="1"/>
  <c r="F46" i="9"/>
  <c r="G45" i="9"/>
  <c r="H45" i="9" s="1"/>
  <c r="F45" i="9"/>
  <c r="F43" i="9"/>
  <c r="D42" i="9"/>
  <c r="F42" i="9" s="1"/>
  <c r="G41" i="9"/>
  <c r="F41" i="9"/>
  <c r="D40" i="9"/>
  <c r="F40" i="9" s="1"/>
  <c r="G39" i="9"/>
  <c r="F39" i="9"/>
  <c r="D38" i="9"/>
  <c r="F38" i="9" s="1"/>
  <c r="G37" i="9"/>
  <c r="F37" i="9"/>
  <c r="F34" i="9"/>
  <c r="F33" i="9"/>
  <c r="D33" i="9"/>
  <c r="F31" i="9"/>
  <c r="F30" i="9"/>
  <c r="D30" i="9"/>
  <c r="F29" i="9"/>
  <c r="D28" i="9"/>
  <c r="F28" i="9" s="1"/>
  <c r="F27" i="9"/>
  <c r="D26" i="9"/>
  <c r="F26" i="9" s="1"/>
  <c r="F25" i="9"/>
  <c r="F24" i="9"/>
  <c r="G23" i="9"/>
  <c r="D23" i="9"/>
  <c r="F23" i="9" s="1"/>
  <c r="D22" i="9"/>
  <c r="F22" i="9" s="1"/>
  <c r="G21" i="9"/>
  <c r="F21" i="9"/>
  <c r="F20" i="9"/>
  <c r="D19" i="9"/>
  <c r="F19" i="9" s="1"/>
  <c r="G18" i="9"/>
  <c r="F18" i="9"/>
  <c r="D17" i="9"/>
  <c r="F17" i="9" s="1"/>
  <c r="G16" i="9"/>
  <c r="F16" i="9"/>
  <c r="F15" i="9"/>
  <c r="F14" i="9"/>
  <c r="D14" i="9"/>
  <c r="F13" i="9"/>
  <c r="D13" i="9"/>
  <c r="F12" i="9"/>
  <c r="D11" i="9"/>
  <c r="F11" i="9" s="1"/>
  <c r="F10" i="9"/>
  <c r="G49" i="8"/>
  <c r="H49" i="8" s="1"/>
  <c r="F49" i="8"/>
  <c r="G48" i="8"/>
  <c r="H48" i="8" s="1"/>
  <c r="F48" i="8"/>
  <c r="G47" i="8"/>
  <c r="H47" i="8" s="1"/>
  <c r="F47" i="8"/>
  <c r="G46" i="8"/>
  <c r="H46" i="8" s="1"/>
  <c r="F46" i="8"/>
  <c r="G45" i="8"/>
  <c r="H45" i="8" s="1"/>
  <c r="F45" i="8"/>
  <c r="F43" i="8"/>
  <c r="D42" i="8"/>
  <c r="F42" i="8" s="1"/>
  <c r="G41" i="8"/>
  <c r="F41" i="8"/>
  <c r="D40" i="8"/>
  <c r="F40" i="8" s="1"/>
  <c r="G39" i="8"/>
  <c r="F39" i="8"/>
  <c r="D38" i="8"/>
  <c r="F38" i="8" s="1"/>
  <c r="G37" i="8"/>
  <c r="F37" i="8"/>
  <c r="F34" i="8"/>
  <c r="F33" i="8"/>
  <c r="D33" i="8"/>
  <c r="F31" i="8"/>
  <c r="F30" i="8"/>
  <c r="D30" i="8"/>
  <c r="F29" i="8"/>
  <c r="D28" i="8"/>
  <c r="F28" i="8" s="1"/>
  <c r="F27" i="8"/>
  <c r="D26" i="8"/>
  <c r="F26" i="8" s="1"/>
  <c r="F25" i="8"/>
  <c r="F24" i="8"/>
  <c r="G23" i="8"/>
  <c r="D23" i="8"/>
  <c r="F23" i="8" s="1"/>
  <c r="D22" i="8"/>
  <c r="F22" i="8" s="1"/>
  <c r="G21" i="8"/>
  <c r="F21" i="8"/>
  <c r="F20" i="8"/>
  <c r="D19" i="8"/>
  <c r="F19" i="8" s="1"/>
  <c r="G18" i="8"/>
  <c r="F18" i="8"/>
  <c r="D17" i="8"/>
  <c r="F17" i="8" s="1"/>
  <c r="G16" i="8"/>
  <c r="F16" i="8"/>
  <c r="F15" i="8"/>
  <c r="F14" i="8"/>
  <c r="D14" i="8"/>
  <c r="F13" i="8"/>
  <c r="D13" i="8"/>
  <c r="F12" i="8"/>
  <c r="D11" i="8"/>
  <c r="F10" i="8"/>
  <c r="G46" i="7"/>
  <c r="L46" i="7" s="1"/>
  <c r="G47" i="7"/>
  <c r="L47" i="7" s="1"/>
  <c r="G48" i="7"/>
  <c r="L48" i="7" s="1"/>
  <c r="G49" i="7"/>
  <c r="H49" i="7" s="1"/>
  <c r="G45" i="7"/>
  <c r="H45" i="7" s="1"/>
  <c r="F49" i="7"/>
  <c r="F48" i="7"/>
  <c r="F47" i="7"/>
  <c r="F46" i="7"/>
  <c r="F45" i="7"/>
  <c r="F43" i="7"/>
  <c r="G41" i="7"/>
  <c r="G39" i="7"/>
  <c r="G37" i="7"/>
  <c r="D42" i="7"/>
  <c r="F42" i="7" s="1"/>
  <c r="F41" i="7"/>
  <c r="D40" i="7"/>
  <c r="F40" i="7" s="1"/>
  <c r="F39" i="7"/>
  <c r="D38" i="7"/>
  <c r="F38" i="7" s="1"/>
  <c r="F37" i="7"/>
  <c r="F34" i="7"/>
  <c r="F33" i="7"/>
  <c r="D33" i="7"/>
  <c r="F31" i="7"/>
  <c r="F30" i="7"/>
  <c r="D30" i="7"/>
  <c r="F29" i="7"/>
  <c r="D28" i="7"/>
  <c r="F28" i="7" s="1"/>
  <c r="F27" i="7"/>
  <c r="D26" i="7"/>
  <c r="F26" i="7" s="1"/>
  <c r="F25" i="7"/>
  <c r="F24" i="7"/>
  <c r="F20" i="7"/>
  <c r="F15" i="7"/>
  <c r="F14" i="7"/>
  <c r="D14" i="7"/>
  <c r="F13" i="7"/>
  <c r="D13" i="7"/>
  <c r="G23" i="7"/>
  <c r="H30" i="4"/>
  <c r="H29" i="4"/>
  <c r="H28" i="4"/>
  <c r="H27" i="4"/>
  <c r="G30" i="4"/>
  <c r="G29" i="4"/>
  <c r="G28" i="4"/>
  <c r="G27" i="4"/>
  <c r="G21" i="7"/>
  <c r="D23" i="7"/>
  <c r="F23" i="7" s="1"/>
  <c r="D22" i="7"/>
  <c r="F22" i="7" s="1"/>
  <c r="F21" i="7"/>
  <c r="G18" i="7"/>
  <c r="G16" i="7"/>
  <c r="D19" i="7"/>
  <c r="F19" i="7" s="1"/>
  <c r="F18" i="7"/>
  <c r="D17" i="7"/>
  <c r="F17" i="7" s="1"/>
  <c r="F16" i="7"/>
  <c r="F12" i="7"/>
  <c r="D11" i="7"/>
  <c r="F10" i="7"/>
  <c r="G49" i="5"/>
  <c r="G43" i="5"/>
  <c r="G37" i="5"/>
  <c r="G31" i="5"/>
  <c r="G25" i="5"/>
  <c r="G19" i="5"/>
  <c r="L21" i="6" l="1"/>
  <c r="L21" i="8"/>
  <c r="L21" i="7"/>
  <c r="L21" i="9"/>
  <c r="L46" i="9"/>
  <c r="L45" i="9"/>
  <c r="L45" i="8"/>
  <c r="L52" i="6"/>
  <c r="L47" i="8"/>
  <c r="L51" i="6"/>
  <c r="L49" i="9"/>
  <c r="L50" i="6"/>
  <c r="L54" i="6"/>
  <c r="L53" i="6"/>
  <c r="L49" i="8"/>
  <c r="L48" i="9"/>
  <c r="L47" i="9"/>
  <c r="F11" i="6"/>
  <c r="L48" i="8"/>
  <c r="L46" i="8"/>
  <c r="F11" i="8"/>
  <c r="L45" i="7"/>
  <c r="L49" i="7"/>
  <c r="H48" i="7"/>
  <c r="H47" i="7"/>
  <c r="H46" i="7"/>
  <c r="F11" i="7"/>
  <c r="G11" i="3"/>
  <c r="H10" i="3"/>
  <c r="H9" i="3"/>
  <c r="H9" i="2"/>
  <c r="G9" i="2"/>
  <c r="F9" i="2"/>
  <c r="E9" i="2"/>
  <c r="G9" i="1"/>
  <c r="H9" i="1"/>
  <c r="F9" i="1"/>
  <c r="E9" i="1"/>
  <c r="L35" i="9" l="1"/>
  <c r="L35" i="7"/>
  <c r="L35" i="8"/>
  <c r="L40" i="6"/>
  <c r="G14" i="6" a="1"/>
  <c r="G14" i="6" s="1"/>
  <c r="L10" i="6" s="1"/>
  <c r="G14" i="7" a="1"/>
  <c r="G14" i="7" s="1"/>
  <c r="L10" i="7" s="1"/>
  <c r="G14" i="9" a="1"/>
  <c r="G14" i="9" s="1"/>
  <c r="L10" i="9" s="1"/>
  <c r="G14" i="8" a="1"/>
  <c r="G14" i="8" s="1"/>
  <c r="L10" i="8" s="1"/>
  <c r="G33" i="8"/>
  <c r="G30" i="8"/>
  <c r="L30" i="8" s="1"/>
  <c r="G35" i="6"/>
  <c r="L35" i="6" s="1"/>
  <c r="G33" i="9"/>
  <c r="L33" i="9" s="1"/>
  <c r="G30" i="9"/>
  <c r="L30" i="9" s="1"/>
  <c r="G38" i="6"/>
  <c r="L38" i="6" s="1"/>
  <c r="L33" i="8"/>
  <c r="C4" i="6"/>
  <c r="C4" i="9"/>
  <c r="C4" i="8"/>
  <c r="C4" i="7"/>
  <c r="G33" i="7"/>
  <c r="L33" i="7" s="1"/>
  <c r="G30" i="7"/>
  <c r="L30" i="7" s="1"/>
  <c r="L52" i="9" l="1"/>
  <c r="D14" i="10" s="1"/>
  <c r="L52" i="8"/>
  <c r="D13" i="10" s="1"/>
  <c r="L52" i="7"/>
  <c r="D12" i="10" s="1"/>
  <c r="L57" i="6"/>
  <c r="D11" i="10" s="1"/>
  <c r="N10" i="5" a="1"/>
  <c r="N10" i="5" s="1"/>
  <c r="N11" i="5" a="1"/>
  <c r="N11" i="5" s="1"/>
  <c r="N12" i="5" a="1"/>
  <c r="N12" i="5" s="1"/>
  <c r="N13" i="5" a="1"/>
  <c r="N13" i="5" s="1"/>
  <c r="N14" i="5" l="1" a="1"/>
  <c r="N14" i="5" s="1"/>
  <c r="N15" i="5" a="1"/>
  <c r="N15" i="5" s="1"/>
  <c r="N16" i="5" a="1"/>
  <c r="N16" i="5" s="1"/>
  <c r="N17" i="5" a="1"/>
  <c r="N17" i="5" s="1"/>
  <c r="N18" i="5" a="1"/>
  <c r="N18" i="5" s="1"/>
  <c r="N19" i="5" a="1"/>
  <c r="N19" i="5" s="1"/>
  <c r="N20" i="5" a="1"/>
  <c r="N20" i="5" s="1"/>
  <c r="N21" i="5" a="1"/>
  <c r="N21" i="5" s="1"/>
  <c r="N22" i="5" a="1"/>
  <c r="N22" i="5" s="1"/>
  <c r="N23" i="5" a="1"/>
  <c r="N23" i="5" s="1"/>
  <c r="N24" i="5" a="1"/>
  <c r="N24" i="5" s="1"/>
  <c r="N25" i="5" a="1"/>
  <c r="N25" i="5" s="1"/>
  <c r="N26" i="5" a="1"/>
  <c r="N26" i="5" s="1"/>
  <c r="N27" i="5" a="1"/>
  <c r="N27" i="5" s="1"/>
  <c r="N28" i="5" a="1"/>
  <c r="N28" i="5" s="1"/>
  <c r="N29" i="5" a="1"/>
  <c r="N29" i="5" s="1"/>
  <c r="N30" i="5" a="1"/>
  <c r="N30" i="5" s="1"/>
  <c r="N31" i="5" a="1"/>
  <c r="N31" i="5" s="1"/>
  <c r="N32" i="5" a="1"/>
  <c r="N32" i="5" s="1"/>
  <c r="N33" i="5" a="1"/>
  <c r="N33" i="5" s="1"/>
  <c r="N34" i="5" a="1"/>
  <c r="N34" i="5" s="1"/>
  <c r="N35" i="5" a="1"/>
  <c r="N35" i="5" s="1"/>
  <c r="N36" i="5" a="1"/>
  <c r="N36" i="5" s="1"/>
  <c r="N37" i="5" a="1"/>
  <c r="N37" i="5" s="1"/>
  <c r="N38" i="5" a="1"/>
  <c r="N38" i="5" s="1"/>
  <c r="N39" i="5" a="1"/>
  <c r="N39" i="5" s="1"/>
  <c r="N40" i="5" a="1"/>
  <c r="N40" i="5" s="1"/>
  <c r="N41" i="5" a="1"/>
  <c r="N41" i="5" s="1"/>
  <c r="N42" i="5" a="1"/>
  <c r="N42" i="5" s="1"/>
  <c r="N43" i="5" a="1"/>
  <c r="N43" i="5" s="1"/>
  <c r="N44" i="5" a="1"/>
  <c r="N44" i="5" s="1"/>
  <c r="N45" i="5" a="1"/>
  <c r="N45" i="5" s="1"/>
  <c r="N46" i="5" a="1"/>
  <c r="N46" i="5" s="1"/>
  <c r="N47" i="5" a="1"/>
  <c r="N47" i="5" s="1"/>
  <c r="N48" i="5" a="1"/>
  <c r="N48" i="5" s="1"/>
  <c r="N49" i="5" a="1"/>
  <c r="N49" i="5" s="1"/>
  <c r="N50" i="5" a="1"/>
  <c r="N50" i="5" s="1"/>
  <c r="N51" i="5" a="1"/>
  <c r="N51" i="5" s="1"/>
  <c r="N52" i="5" a="1"/>
  <c r="N52" i="5" s="1"/>
  <c r="N53" i="5" a="1"/>
  <c r="N53" i="5" s="1"/>
  <c r="N54" i="5" a="1"/>
  <c r="N54" i="5" s="1"/>
  <c r="G13" i="5"/>
  <c r="F3" i="9" l="1"/>
  <c r="F3" i="8"/>
  <c r="F3" i="7"/>
  <c r="H3" i="3"/>
  <c r="F3" i="6" l="1"/>
  <c r="N9" i="5" a="1"/>
  <c r="N9" i="5" s="1"/>
  <c r="E3" i="5"/>
  <c r="E3" i="4"/>
  <c r="E3" i="3"/>
  <c r="I3" i="9" l="1"/>
  <c r="I3" i="8"/>
  <c r="I3" i="7"/>
  <c r="AE20" i="2" a="1"/>
  <c r="AE20" i="2" s="1"/>
  <c r="H3" i="4"/>
  <c r="I3" i="6"/>
  <c r="AE98" i="2" a="1"/>
  <c r="AE98" i="2" s="1"/>
  <c r="AE86" i="2" a="1"/>
  <c r="AE86" i="2" s="1"/>
  <c r="AE70" i="2" a="1"/>
  <c r="AE70" i="2" s="1"/>
  <c r="AE58" i="2" a="1"/>
  <c r="AE58" i="2" s="1"/>
  <c r="AE42" i="2" a="1"/>
  <c r="AE42" i="2" s="1"/>
  <c r="AE30" i="2" a="1"/>
  <c r="AE30" i="2" s="1"/>
  <c r="AE15" i="2" a="1"/>
  <c r="AE15" i="2" s="1"/>
  <c r="AE99" i="2" a="1"/>
  <c r="AE99" i="2" s="1"/>
  <c r="AE95" i="2" a="1"/>
  <c r="AE95" i="2" s="1"/>
  <c r="AE91" i="2" a="1"/>
  <c r="AE91" i="2" s="1"/>
  <c r="AE87" i="2" a="1"/>
  <c r="AE87" i="2" s="1"/>
  <c r="AE83" i="2" a="1"/>
  <c r="AE83" i="2" s="1"/>
  <c r="AE79" i="2" a="1"/>
  <c r="AE79" i="2" s="1"/>
  <c r="AE75" i="2" a="1"/>
  <c r="AE75" i="2" s="1"/>
  <c r="AE71" i="2" a="1"/>
  <c r="AE71" i="2" s="1"/>
  <c r="AE67" i="2" a="1"/>
  <c r="AE67" i="2" s="1"/>
  <c r="AE63" i="2" a="1"/>
  <c r="AE63" i="2" s="1"/>
  <c r="AE59" i="2" a="1"/>
  <c r="AE59" i="2" s="1"/>
  <c r="AE55" i="2" a="1"/>
  <c r="AE55" i="2" s="1"/>
  <c r="AE51" i="2" a="1"/>
  <c r="AE51" i="2" s="1"/>
  <c r="AE47" i="2" a="1"/>
  <c r="AE47" i="2" s="1"/>
  <c r="AE43" i="2" a="1"/>
  <c r="AE43" i="2" s="1"/>
  <c r="AE39" i="2" a="1"/>
  <c r="AE39" i="2" s="1"/>
  <c r="AE35" i="2" a="1"/>
  <c r="AE35" i="2" s="1"/>
  <c r="AE31" i="2" a="1"/>
  <c r="AE31" i="2" s="1"/>
  <c r="AE27" i="2" a="1"/>
  <c r="AE27" i="2" s="1"/>
  <c r="AE23" i="2" a="1"/>
  <c r="AE23" i="2" s="1"/>
  <c r="AE19" i="2" a="1"/>
  <c r="AE19" i="2" s="1"/>
  <c r="AE16" i="2" a="1"/>
  <c r="AE16" i="2" s="1"/>
  <c r="AE12" i="2" a="1"/>
  <c r="AE12" i="2" s="1"/>
  <c r="AE94" i="2" a="1"/>
  <c r="AE94" i="2" s="1"/>
  <c r="AE82" i="2" a="1"/>
  <c r="AE82" i="2" s="1"/>
  <c r="AE74" i="2" a="1"/>
  <c r="AE74" i="2" s="1"/>
  <c r="AE66" i="2" a="1"/>
  <c r="AE66" i="2" s="1"/>
  <c r="AE54" i="2" a="1"/>
  <c r="AE54" i="2" s="1"/>
  <c r="AE46" i="2" a="1"/>
  <c r="AE46" i="2" s="1"/>
  <c r="AE38" i="2" a="1"/>
  <c r="AE38" i="2" s="1"/>
  <c r="AE26" i="2" a="1"/>
  <c r="AE26" i="2" s="1"/>
  <c r="AE22" i="2" a="1"/>
  <c r="AE22" i="2" s="1"/>
  <c r="AE11" i="2" a="1"/>
  <c r="AE11" i="2" s="1"/>
  <c r="AE10" i="2" a="1"/>
  <c r="AE10" i="2" s="1"/>
  <c r="AE97" i="2" a="1"/>
  <c r="AE97" i="2" s="1"/>
  <c r="AE93" i="2" a="1"/>
  <c r="AE93" i="2" s="1"/>
  <c r="AE89" i="2" a="1"/>
  <c r="AE89" i="2" s="1"/>
  <c r="AE85" i="2" a="1"/>
  <c r="AE85" i="2" s="1"/>
  <c r="AE81" i="2" a="1"/>
  <c r="AE81" i="2" s="1"/>
  <c r="AE77" i="2" a="1"/>
  <c r="AE77" i="2" s="1"/>
  <c r="AE73" i="2" a="1"/>
  <c r="AE73" i="2" s="1"/>
  <c r="AE69" i="2" a="1"/>
  <c r="AE69" i="2" s="1"/>
  <c r="AE65" i="2" a="1"/>
  <c r="AE65" i="2" s="1"/>
  <c r="AE61" i="2" a="1"/>
  <c r="AE61" i="2" s="1"/>
  <c r="AE57" i="2" a="1"/>
  <c r="AE57" i="2" s="1"/>
  <c r="AE53" i="2" a="1"/>
  <c r="AE53" i="2" s="1"/>
  <c r="AE49" i="2" a="1"/>
  <c r="AE49" i="2" s="1"/>
  <c r="AE45" i="2" a="1"/>
  <c r="AE45" i="2" s="1"/>
  <c r="AE41" i="2" a="1"/>
  <c r="AE41" i="2" s="1"/>
  <c r="AE37" i="2" a="1"/>
  <c r="AE37" i="2" s="1"/>
  <c r="AE33" i="2" a="1"/>
  <c r="AE33" i="2" s="1"/>
  <c r="AE29" i="2" a="1"/>
  <c r="AE29" i="2" s="1"/>
  <c r="AE25" i="2" a="1"/>
  <c r="AE25" i="2" s="1"/>
  <c r="AE21" i="2" a="1"/>
  <c r="AE21" i="2" s="1"/>
  <c r="AE17" i="2" a="1"/>
  <c r="AE17" i="2" s="1"/>
  <c r="AE13" i="2" a="1"/>
  <c r="AE13" i="2" s="1"/>
  <c r="AE90" i="2" a="1"/>
  <c r="AE90" i="2" s="1"/>
  <c r="AE78" i="2" a="1"/>
  <c r="AE78" i="2" s="1"/>
  <c r="AE62" i="2" a="1"/>
  <c r="AE62" i="2" s="1"/>
  <c r="AE50" i="2" a="1"/>
  <c r="AE50" i="2" s="1"/>
  <c r="AE34" i="2" a="1"/>
  <c r="AE34" i="2" s="1"/>
  <c r="AE18" i="2" a="1"/>
  <c r="AE18" i="2" s="1"/>
  <c r="AE100" i="2" a="1"/>
  <c r="AE100" i="2" s="1"/>
  <c r="AE96" i="2" a="1"/>
  <c r="AE96" i="2" s="1"/>
  <c r="AE92" i="2" a="1"/>
  <c r="AE92" i="2" s="1"/>
  <c r="AE88" i="2" a="1"/>
  <c r="AE88" i="2" s="1"/>
  <c r="AE84" i="2" a="1"/>
  <c r="AE84" i="2" s="1"/>
  <c r="AE80" i="2" a="1"/>
  <c r="AE80" i="2" s="1"/>
  <c r="AE76" i="2" a="1"/>
  <c r="AE76" i="2" s="1"/>
  <c r="AE72" i="2" a="1"/>
  <c r="AE72" i="2" s="1"/>
  <c r="AE68" i="2" a="1"/>
  <c r="AE68" i="2" s="1"/>
  <c r="AE64" i="2" a="1"/>
  <c r="AE64" i="2" s="1"/>
  <c r="AE60" i="2" a="1"/>
  <c r="AE60" i="2" s="1"/>
  <c r="AE56" i="2" a="1"/>
  <c r="AE56" i="2" s="1"/>
  <c r="AE52" i="2" a="1"/>
  <c r="AE52" i="2" s="1"/>
  <c r="AE48" i="2" a="1"/>
  <c r="AE48" i="2" s="1"/>
  <c r="AE44" i="2" a="1"/>
  <c r="AE44" i="2" s="1"/>
  <c r="AE40" i="2" a="1"/>
  <c r="AE40" i="2" s="1"/>
  <c r="AE36" i="2" a="1"/>
  <c r="AE36" i="2" s="1"/>
  <c r="AE32" i="2" a="1"/>
  <c r="AE32" i="2" s="1"/>
  <c r="AE28" i="2" a="1"/>
  <c r="AE28" i="2" s="1"/>
  <c r="AE24" i="2" a="1"/>
  <c r="AE24" i="2" s="1"/>
  <c r="AE14" i="2" a="1"/>
  <c r="AE14" i="2" s="1"/>
  <c r="F3" i="2" l="1"/>
  <c r="J17" i="1"/>
  <c r="I17" i="1"/>
  <c r="H17" i="1"/>
  <c r="G17" i="1"/>
  <c r="F17" i="1"/>
  <c r="E17" i="1"/>
  <c r="E3" i="1"/>
  <c r="V28" i="2"/>
  <c r="T29" i="2"/>
  <c r="N29" i="2"/>
  <c r="G28" i="2"/>
  <c r="M27" i="2"/>
  <c r="E27" i="2"/>
  <c r="U28" i="2"/>
  <c r="U27" i="2"/>
  <c r="Q28" i="2"/>
  <c r="K27" i="2"/>
  <c r="P27" i="2"/>
  <c r="U29" i="2"/>
  <c r="J29" i="2"/>
  <c r="F28" i="2"/>
  <c r="W28" i="2"/>
  <c r="G27" i="2"/>
  <c r="R29" i="2"/>
  <c r="M29" i="2"/>
  <c r="E28" i="2"/>
  <c r="H28" i="2"/>
  <c r="Y28" i="2"/>
  <c r="G29" i="2"/>
  <c r="H27" i="2"/>
  <c r="Z27" i="2"/>
  <c r="H29" i="2"/>
  <c r="S29" i="2"/>
  <c r="O29" i="2"/>
  <c r="L27" i="2"/>
  <c r="X29" i="2"/>
  <c r="X28" i="2"/>
  <c r="K29" i="2"/>
  <c r="V27" i="2"/>
  <c r="I27" i="2"/>
  <c r="F27" i="2"/>
  <c r="V29" i="2"/>
  <c r="S28" i="2"/>
  <c r="Y29" i="2"/>
  <c r="Q29" i="2"/>
  <c r="W29" i="2"/>
  <c r="F29" i="2"/>
  <c r="P29" i="2"/>
  <c r="T28" i="2"/>
  <c r="O27" i="2"/>
  <c r="N28" i="2"/>
  <c r="N27" i="2"/>
  <c r="L28" i="2"/>
  <c r="T27" i="2"/>
  <c r="W27" i="2"/>
  <c r="Y27" i="2"/>
  <c r="Z28" i="2"/>
  <c r="R27" i="2"/>
  <c r="X27" i="2"/>
  <c r="Z29" i="2"/>
  <c r="J27" i="2"/>
  <c r="J28" i="2"/>
  <c r="O28" i="2"/>
  <c r="I28" i="2"/>
  <c r="L29" i="2"/>
  <c r="R28" i="2"/>
  <c r="P28" i="2"/>
  <c r="I29" i="2"/>
  <c r="S27" i="2"/>
  <c r="E29" i="2"/>
  <c r="Q27" i="2"/>
  <c r="M28" i="2"/>
  <c r="K28" i="2"/>
  <c r="K30" i="2" l="1"/>
  <c r="S30" i="2"/>
  <c r="L30" i="2"/>
  <c r="T30" i="2"/>
  <c r="H30" i="2"/>
  <c r="P30" i="2"/>
  <c r="X30" i="2"/>
  <c r="G30" i="2"/>
  <c r="O30" i="2"/>
  <c r="W30" i="2"/>
  <c r="E30" i="2"/>
  <c r="I30" i="2"/>
  <c r="M30" i="2"/>
  <c r="Q30" i="2"/>
  <c r="U30" i="2"/>
  <c r="Y30" i="2"/>
  <c r="F30" i="2"/>
  <c r="J30" i="2"/>
  <c r="N30" i="2"/>
  <c r="R30" i="2"/>
  <c r="V30" i="2"/>
  <c r="Z30" i="2"/>
  <c r="C31" i="2" l="1"/>
</calcChain>
</file>

<file path=xl/sharedStrings.xml><?xml version="1.0" encoding="utf-8"?>
<sst xmlns="http://schemas.openxmlformats.org/spreadsheetml/2006/main" count="536" uniqueCount="146">
  <si>
    <t>PLANILLA DE DATOS GENERALES</t>
  </si>
  <si>
    <t>CATEGORIA:</t>
  </si>
  <si>
    <t>OEE</t>
  </si>
  <si>
    <t>FECHA DE ANALISIS:</t>
  </si>
  <si>
    <t>INFORMACIÓN DEL RESPONSABLE:</t>
  </si>
  <si>
    <t>NOMBRE</t>
  </si>
  <si>
    <t>Lorenzo Contigiani</t>
  </si>
  <si>
    <t>PUESTO</t>
  </si>
  <si>
    <t>Ing. en Operaciones</t>
  </si>
  <si>
    <t>DEPARTAMENTO</t>
  </si>
  <si>
    <t>Oficina Tecnica</t>
  </si>
  <si>
    <t>SUPERVISOR</t>
  </si>
  <si>
    <t>Luciano Cochis</t>
  </si>
  <si>
    <t>Factores</t>
  </si>
  <si>
    <t xml:space="preserve">Descripcion </t>
  </si>
  <si>
    <t>Parametros</t>
  </si>
  <si>
    <t>Maquinarias</t>
  </si>
  <si>
    <t>Disponibilidad</t>
  </si>
  <si>
    <t>Tiempo que la maquina estuvo funcionando respecto al tiempo planificado.</t>
  </si>
  <si>
    <t>Tiempo Operativo Real</t>
  </si>
  <si>
    <t>Tiempo Planificado</t>
  </si>
  <si>
    <t>Rendimiento</t>
  </si>
  <si>
    <t>Velocidad de produccion respecto al ideal.</t>
  </si>
  <si>
    <t>Producción Real</t>
  </si>
  <si>
    <t>Tiempo de Ciclo Ideal</t>
  </si>
  <si>
    <t>Calidad</t>
  </si>
  <si>
    <t>Proporcion de productos bajo estandares respecto al total fabricado.</t>
  </si>
  <si>
    <t>Piezas Buenas</t>
  </si>
  <si>
    <t>Piezas Totales Producidas</t>
  </si>
  <si>
    <t>OEE (Overall Equipment Effectiveness)</t>
  </si>
  <si>
    <t>Horas Productivas Mensuales (h)</t>
  </si>
  <si>
    <t>APROBADO POR:</t>
  </si>
  <si>
    <t xml:space="preserve">NOTAS: </t>
  </si>
  <si>
    <t>TIPO DE COSTOS:</t>
  </si>
  <si>
    <t>Personal</t>
  </si>
  <si>
    <t>SUPERIOR</t>
  </si>
  <si>
    <t>Categoria</t>
  </si>
  <si>
    <t>Costo del Personal (USD) asociado a Producción</t>
  </si>
  <si>
    <t>Listado Crudo</t>
  </si>
  <si>
    <t>Listado Pulido</t>
  </si>
  <si>
    <t>Operarios</t>
  </si>
  <si>
    <t>TOTALES ($/mes)</t>
  </si>
  <si>
    <t>Supervisores</t>
  </si>
  <si>
    <t>Mantenimiento Preventivo</t>
  </si>
  <si>
    <t>Mantenimiento Correctivo</t>
  </si>
  <si>
    <t>Total por Maquina</t>
  </si>
  <si>
    <t>Verificacion</t>
  </si>
  <si>
    <t xml:space="preserve">ACLARACIONES: </t>
  </si>
  <si>
    <t>1 - Rol Principal</t>
  </si>
  <si>
    <t>A - Actividad Principal</t>
  </si>
  <si>
    <t xml:space="preserve">APROBADO POR:  </t>
  </si>
  <si>
    <t>2 - Rol Secundario</t>
  </si>
  <si>
    <t>B - Actividad Secundaria</t>
  </si>
  <si>
    <t>3 - Rol Terciario</t>
  </si>
  <si>
    <t>C - Actividad Terciaria</t>
  </si>
  <si>
    <t>Ortiz Raul Edgardo</t>
  </si>
  <si>
    <t>Sayago Alberto Martin</t>
  </si>
  <si>
    <t>Rinaldi Jorge Gabriel</t>
  </si>
  <si>
    <t>Piacenza Facundo Javier</t>
  </si>
  <si>
    <t>Oviedo Leandro Carlos</t>
  </si>
  <si>
    <t>Appendino Tomas</t>
  </si>
  <si>
    <t>Costos Operativos Directos</t>
  </si>
  <si>
    <t>VALOR DOLAR:</t>
  </si>
  <si>
    <t>Tipo de Costo</t>
  </si>
  <si>
    <t>Subconcepto</t>
  </si>
  <si>
    <t>Descripción</t>
  </si>
  <si>
    <t>Unidad</t>
  </si>
  <si>
    <t>Valor</t>
  </si>
  <si>
    <t>Observaciones</t>
  </si>
  <si>
    <t>Energía Eléctrica</t>
  </si>
  <si>
    <t>Costo de Operación Directo</t>
  </si>
  <si>
    <t>Lubricantes</t>
  </si>
  <si>
    <t>Lubricante 1</t>
  </si>
  <si>
    <t>Aire Comprimido</t>
  </si>
  <si>
    <t>Refrigerantes</t>
  </si>
  <si>
    <t>Refrigerante 1</t>
  </si>
  <si>
    <t>Repuestos</t>
  </si>
  <si>
    <t>Costo de Operación Indirecto</t>
  </si>
  <si>
    <t>Repuesto 1</t>
  </si>
  <si>
    <t>$/u</t>
  </si>
  <si>
    <t>Repuesto 2</t>
  </si>
  <si>
    <t>Costos Operativos Indirectos</t>
  </si>
  <si>
    <t>Costo de Posesión - Depreciación</t>
  </si>
  <si>
    <t>Valor de Adquisición</t>
  </si>
  <si>
    <t>$</t>
  </si>
  <si>
    <t xml:space="preserve">Vida Util </t>
  </si>
  <si>
    <t>Años</t>
  </si>
  <si>
    <t>Valor Residual</t>
  </si>
  <si>
    <t>Horas anuales de utilización</t>
  </si>
  <si>
    <t>h/año</t>
  </si>
  <si>
    <t>Ajuste Extra</t>
  </si>
  <si>
    <t>$/h</t>
  </si>
  <si>
    <t>ANALISIS DE COSTOS MAQUINARIA</t>
  </si>
  <si>
    <t>MAQUINA:</t>
  </si>
  <si>
    <t>OEE:</t>
  </si>
  <si>
    <t>Costo / Hora</t>
  </si>
  <si>
    <t>$/kWh</t>
  </si>
  <si>
    <t>Mano de Obra</t>
  </si>
  <si>
    <t>Mantenimiento</t>
  </si>
  <si>
    <t>Depreciación</t>
  </si>
  <si>
    <t>Costo de Posesión</t>
  </si>
  <si>
    <t xml:space="preserve">Costo de Transformacion </t>
  </si>
  <si>
    <t>RECOLECCIÓN</t>
  </si>
  <si>
    <t/>
  </si>
  <si>
    <t>CARGA DE PALLETS</t>
  </si>
  <si>
    <t>CARGA-DESCARGA</t>
  </si>
  <si>
    <t>TRANSPORTE</t>
  </si>
  <si>
    <t>Order Picker Crown 30SP42TT</t>
  </si>
  <si>
    <t>Fecha de Adquisición</t>
  </si>
  <si>
    <t>Fecha</t>
  </si>
  <si>
    <t>Compresor</t>
  </si>
  <si>
    <t>Grasa</t>
  </si>
  <si>
    <t>Valor [$/u]</t>
  </si>
  <si>
    <t>Vida Util Auxiliar [hs/u]</t>
  </si>
  <si>
    <t>Grasa 1</t>
  </si>
  <si>
    <t>Compresor - Filtro de Aceite</t>
  </si>
  <si>
    <t>Compresor - Filtro de Aire</t>
  </si>
  <si>
    <t xml:space="preserve">Compresor - Aceite Roto Inject Fluid </t>
  </si>
  <si>
    <t>Atlas Copco</t>
  </si>
  <si>
    <t>Compresor - Kit Separador de Aceite</t>
  </si>
  <si>
    <t>30SP42TT-240</t>
  </si>
  <si>
    <t>Serial number: 1A105451</t>
  </si>
  <si>
    <t>Order Picker Crown 45RRTT</t>
  </si>
  <si>
    <t>45RRTT-270</t>
  </si>
  <si>
    <t>Serial number: W-60307</t>
  </si>
  <si>
    <t>Monta Carga 1</t>
  </si>
  <si>
    <t>Monta Carga 2</t>
  </si>
  <si>
    <t>Monta Carga 3</t>
  </si>
  <si>
    <t>INDICE</t>
  </si>
  <si>
    <t>N</t>
  </si>
  <si>
    <t>Maquina / Proceso</t>
  </si>
  <si>
    <t>INFO-OEE</t>
  </si>
  <si>
    <t xml:space="preserve"> - </t>
  </si>
  <si>
    <t>INFO-Personal</t>
  </si>
  <si>
    <t>INFO-Direc</t>
  </si>
  <si>
    <t>INFO-Mant</t>
  </si>
  <si>
    <t>INFO-Pos</t>
  </si>
  <si>
    <t>EPEC kW</t>
  </si>
  <si>
    <t>EPEC kWh</t>
  </si>
  <si>
    <t>$/kW</t>
  </si>
  <si>
    <t>ACLARACIONES: (Operarios)</t>
  </si>
  <si>
    <t>Simultaneidad Horizontal: H</t>
  </si>
  <si>
    <t>Simultaneidad Vertical: V</t>
  </si>
  <si>
    <t>Combustible</t>
  </si>
  <si>
    <t>Combustible 1</t>
  </si>
  <si>
    <t>Depósito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</si>
</sst>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7" formatCode="&quot;$&quot;\ #,##0.00;\-&quot;$&quot;\ #,##0.00"/>
    <numFmt numFmtId="44" formatCode="_-&quot;$&quot;\ * #,##0.00_-;\-&quot;$&quot;\ * #,##0.00_-;_-&quot;$&quot;\ * &quot;-&quot;??_-;_-@_-"/>
    <numFmt numFmtId="164" formatCode="#,##0.00\ &quot;€&quot;;\-#,##0.00\ &quot;€&quot;"/>
    <numFmt numFmtId="165" formatCode="&quot;$&quot;\ #,##0.00"/>
    <numFmt numFmtId="166" formatCode="&quot;$&quot;\ #,##0.000"/>
  </numFmts>
  <fonts count="35">
    <font>
      <sz val="11"/>
      <color theme="1" tint="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66CC"/>
      <name val="Manrope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sz val="11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b/>
      <sz val="11"/>
      <color rgb="FF002060"/>
      <name val="Manrope"/>
    </font>
    <font>
      <sz val="10"/>
      <name val="Tahoma"/>
      <family val="2"/>
    </font>
    <font>
      <u/>
      <sz val="11"/>
      <color theme="1" tint="0.24994659260841701"/>
      <name val="Calibri Light"/>
      <family val="2"/>
      <scheme val="major"/>
    </font>
    <font>
      <u/>
      <sz val="11"/>
      <color theme="1" tint="0.24994659260841701"/>
      <name val="Manrope"/>
    </font>
    <font>
      <b/>
      <i/>
      <sz val="11"/>
      <color rgb="FF0070C0"/>
      <name val="Manrope"/>
    </font>
    <font>
      <b/>
      <sz val="11"/>
      <color theme="5" tint="-0.249977111117893"/>
      <name val="Manrope"/>
    </font>
    <font>
      <sz val="11"/>
      <color theme="1" tint="0.24994659260841701"/>
      <name val="Marope"/>
    </font>
    <font>
      <sz val="12"/>
      <color theme="1" tint="0.24994659260841701"/>
      <name val="Manrope"/>
    </font>
    <font>
      <b/>
      <sz val="11"/>
      <name val="Manrope"/>
    </font>
    <font>
      <sz val="12"/>
      <color theme="1" tint="0.24994659260841701"/>
      <name val="Calibri"/>
      <family val="2"/>
      <scheme val="minor"/>
    </font>
    <font>
      <b/>
      <sz val="14"/>
      <color rgb="FF0070C0"/>
      <name val="Manrope"/>
    </font>
    <font>
      <u/>
      <sz val="11"/>
      <color theme="1" tint="0.24994659260841701"/>
      <name val="Calibri"/>
      <family val="2"/>
      <scheme val="minor"/>
    </font>
    <font>
      <sz val="12"/>
      <color theme="1" tint="4.9989318521683403E-2"/>
      <name val="Manrope"/>
    </font>
    <font>
      <b/>
      <sz val="12"/>
      <color theme="1" tint="4.9989318521683403E-2"/>
      <name val="Manrope"/>
    </font>
    <font>
      <sz val="36"/>
      <color rgb="FF0070C0"/>
      <name val="Manrope"/>
    </font>
    <font>
      <sz val="28"/>
      <color rgb="FF0070C0"/>
      <name val="Manrope"/>
    </font>
    <font>
      <u/>
      <sz val="11"/>
      <color theme="10"/>
      <name val="Calibri"/>
      <family val="2"/>
      <scheme val="minor"/>
    </font>
    <font>
      <sz val="12"/>
      <color rgb="FF0000DF"/>
      <name val="Manrope"/>
    </font>
    <font>
      <b/>
      <sz val="11"/>
      <color theme="4" tint="-0.249977111117893"/>
      <name val="Manrope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1" tint="0.34998626667073579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/>
    <xf numFmtId="0" fontId="4" fillId="0" borderId="0" applyProtection="0">
      <alignment vertical="top"/>
    </xf>
    <xf numFmtId="0" fontId="12" fillId="0" borderId="0" applyFill="0" applyProtection="0"/>
    <xf numFmtId="0" fontId="8" fillId="0" borderId="0" applyFill="0" applyProtection="0">
      <alignment horizontal="right" vertical="center" wrapText="1"/>
    </xf>
    <xf numFmtId="0" fontId="15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9" fontId="3" fillId="0" borderId="0" applyFill="0" applyBorder="0" applyAlignment="0" applyProtection="0"/>
    <xf numFmtId="14" fontId="3" fillId="0" borderId="0">
      <alignment horizontal="left" vertical="center"/>
    </xf>
    <xf numFmtId="164" fontId="1" fillId="2" borderId="50">
      <alignment horizontal="center"/>
    </xf>
    <xf numFmtId="44" fontId="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8" fillId="0" borderId="0" applyFill="0" applyProtection="0">
      <alignment horizontal="right" vertical="center" wrapText="1"/>
    </xf>
  </cellStyleXfs>
  <cellXfs count="401">
    <xf numFmtId="0" fontId="0" fillId="0" borderId="0" xfId="0"/>
    <xf numFmtId="0" fontId="0" fillId="0" borderId="0" xfId="0" applyProtection="1"/>
    <xf numFmtId="0" fontId="5" fillId="0" borderId="1" xfId="1" applyFont="1" applyBorder="1" applyProtection="1">
      <alignment vertical="top"/>
    </xf>
    <xf numFmtId="0" fontId="5" fillId="0" borderId="2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14" fontId="7" fillId="0" borderId="5" xfId="5" applyNumberFormat="1" applyFont="1" applyBorder="1" applyAlignment="1" applyProtection="1">
      <alignment horizontal="center" wrapText="1"/>
    </xf>
    <xf numFmtId="0" fontId="9" fillId="0" borderId="0" xfId="3" applyFont="1" applyBorder="1" applyAlignment="1" applyProtection="1">
      <alignment horizontal="right" wrapText="1"/>
    </xf>
    <xf numFmtId="14" fontId="10" fillId="0" borderId="0" xfId="5" applyNumberFormat="1" applyFont="1" applyBorder="1" applyAlignment="1" applyProtection="1">
      <alignment horizontal="center" wrapText="1"/>
    </xf>
    <xf numFmtId="0" fontId="11" fillId="0" borderId="0" xfId="3" applyFont="1" applyBorder="1" applyProtection="1">
      <alignment horizontal="right" vertical="center" wrapText="1"/>
    </xf>
    <xf numFmtId="14" fontId="11" fillId="0" borderId="6" xfId="3" applyNumberFormat="1" applyFont="1" applyBorder="1" applyProtection="1">
      <alignment horizontal="right" vertical="center" wrapText="1"/>
    </xf>
    <xf numFmtId="0" fontId="0" fillId="0" borderId="0" xfId="0" applyBorder="1" applyProtection="1"/>
    <xf numFmtId="0" fontId="13" fillId="0" borderId="4" xfId="2" applyFont="1" applyBorder="1" applyProtection="1"/>
    <xf numFmtId="0" fontId="14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7" xfId="4" applyFont="1" applyBorder="1" applyAlignment="1" applyProtection="1">
      <alignment horizontal="center"/>
      <protection locked="0"/>
    </xf>
    <xf numFmtId="0" fontId="7" fillId="0" borderId="0" xfId="4" applyFont="1" applyBorder="1" applyAlignment="1" applyProtection="1">
      <alignment horizontal="right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4" applyFont="1" applyBorder="1" applyProtection="1">
      <alignment horizontal="right" vertical="center" indent="1"/>
    </xf>
    <xf numFmtId="0" fontId="7" fillId="0" borderId="0" xfId="5" applyFont="1" applyBorder="1" applyAlignment="1" applyProtection="1">
      <alignment vertical="center" wrapText="1"/>
    </xf>
    <xf numFmtId="165" fontId="7" fillId="0" borderId="14" xfId="4" applyNumberFormat="1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/>
      <protection locked="0"/>
    </xf>
    <xf numFmtId="165" fontId="7" fillId="0" borderId="17" xfId="4" applyNumberFormat="1" applyFont="1" applyBorder="1" applyAlignment="1" applyProtection="1">
      <alignment horizontal="center" vertical="center"/>
    </xf>
    <xf numFmtId="0" fontId="7" fillId="0" borderId="17" xfId="4" applyFont="1" applyBorder="1" applyAlignment="1" applyProtection="1">
      <alignment horizontal="center" vertical="center"/>
      <protection locked="0"/>
    </xf>
    <xf numFmtId="165" fontId="7" fillId="0" borderId="17" xfId="4" applyNumberFormat="1" applyFont="1" applyBorder="1" applyAlignment="1" applyProtection="1">
      <alignment horizontal="center" vertical="center" wrapText="1"/>
    </xf>
    <xf numFmtId="0" fontId="16" fillId="0" borderId="4" xfId="3" applyFont="1" applyBorder="1" applyProtection="1">
      <alignment horizontal="right" vertical="center" wrapText="1"/>
    </xf>
    <xf numFmtId="0" fontId="16" fillId="0" borderId="0" xfId="3" applyFont="1" applyBorder="1" applyAlignment="1" applyProtection="1">
      <alignment horizontal="right"/>
    </xf>
    <xf numFmtId="0" fontId="7" fillId="0" borderId="6" xfId="4" applyFont="1" applyBorder="1" applyAlignment="1" applyProtection="1">
      <alignment horizontal="center" vertical="center" wrapText="1"/>
    </xf>
    <xf numFmtId="0" fontId="7" fillId="0" borderId="26" xfId="4" applyFont="1" applyBorder="1" applyAlignment="1" applyProtection="1">
      <alignment horizontal="right" vertical="center" indent="1"/>
    </xf>
    <xf numFmtId="0" fontId="7" fillId="0" borderId="27" xfId="4" applyFont="1" applyBorder="1" applyAlignment="1" applyProtection="1">
      <alignment horizontal="right" vertical="center" indent="1"/>
    </xf>
    <xf numFmtId="0" fontId="7" fillId="0" borderId="27" xfId="5" applyFont="1" applyBorder="1" applyAlignment="1" applyProtection="1">
      <alignment vertical="center" wrapText="1"/>
    </xf>
    <xf numFmtId="0" fontId="7" fillId="0" borderId="27" xfId="0" applyFont="1" applyBorder="1" applyProtection="1"/>
    <xf numFmtId="0" fontId="7" fillId="0" borderId="29" xfId="4" applyFont="1" applyBorder="1" applyAlignment="1" applyProtection="1">
      <alignment horizontal="center" vertical="center" wrapText="1"/>
    </xf>
    <xf numFmtId="0" fontId="15" fillId="0" borderId="0" xfId="4" applyAlignment="1" applyProtection="1">
      <alignment horizontal="right" vertical="center" indent="1"/>
    </xf>
    <xf numFmtId="0" fontId="17" fillId="0" borderId="0" xfId="0" applyFont="1" applyAlignment="1" applyProtection="1">
      <alignment horizontal="center"/>
    </xf>
    <xf numFmtId="0" fontId="15" fillId="0" borderId="0" xfId="4" applyBorder="1" applyAlignment="1" applyProtection="1">
      <alignment horizontal="center" vertical="center"/>
    </xf>
    <xf numFmtId="0" fontId="15" fillId="0" borderId="0" xfId="4" applyAlignment="1">
      <alignment horizontal="right" vertical="center" indent="1"/>
    </xf>
    <xf numFmtId="0" fontId="18" fillId="0" borderId="0" xfId="4" applyFont="1" applyAlignment="1">
      <alignment horizontal="right" vertical="center" indent="1"/>
    </xf>
    <xf numFmtId="0" fontId="8" fillId="0" borderId="0" xfId="3">
      <alignment horizontal="right" vertical="center" wrapText="1"/>
    </xf>
    <xf numFmtId="0" fontId="13" fillId="3" borderId="9" xfId="4" applyFont="1" applyFill="1" applyBorder="1" applyAlignment="1" applyProtection="1">
      <alignment horizontal="center" vertical="center"/>
    </xf>
    <xf numFmtId="10" fontId="13" fillId="3" borderId="9" xfId="4" applyNumberFormat="1" applyFont="1" applyFill="1" applyBorder="1" applyAlignment="1" applyProtection="1">
      <alignment horizontal="center" vertical="center"/>
    </xf>
    <xf numFmtId="2" fontId="13" fillId="3" borderId="9" xfId="4" applyNumberFormat="1" applyFont="1" applyFill="1" applyBorder="1" applyAlignment="1" applyProtection="1">
      <alignment horizontal="center" vertical="center"/>
    </xf>
    <xf numFmtId="0" fontId="0" fillId="0" borderId="0" xfId="0" applyProtection="1">
      <protection hidden="1"/>
    </xf>
    <xf numFmtId="0" fontId="5" fillId="0" borderId="1" xfId="1" applyFont="1" applyBorder="1">
      <alignment vertical="top"/>
    </xf>
    <xf numFmtId="0" fontId="5" fillId="0" borderId="2" xfId="1" applyFont="1" applyBorder="1">
      <alignment vertical="top"/>
    </xf>
    <xf numFmtId="0" fontId="7" fillId="0" borderId="2" xfId="0" applyFont="1" applyBorder="1"/>
    <xf numFmtId="0" fontId="7" fillId="0" borderId="3" xfId="0" applyFont="1" applyBorder="1"/>
    <xf numFmtId="0" fontId="9" fillId="0" borderId="4" xfId="3" applyFont="1" applyBorder="1" applyAlignment="1">
      <alignment horizontal="right" wrapText="1"/>
    </xf>
    <xf numFmtId="14" fontId="7" fillId="0" borderId="0" xfId="5" applyNumberFormat="1" applyFont="1" applyBorder="1" applyAlignment="1">
      <alignment horizontal="center" wrapText="1"/>
    </xf>
    <xf numFmtId="0" fontId="9" fillId="0" borderId="0" xfId="3" applyFont="1" applyBorder="1" applyAlignment="1">
      <alignment horizontal="right" wrapText="1"/>
    </xf>
    <xf numFmtId="0" fontId="11" fillId="0" borderId="0" xfId="3" applyFont="1" applyBorder="1">
      <alignment horizontal="right" vertical="center" wrapText="1"/>
    </xf>
    <xf numFmtId="14" fontId="11" fillId="0" borderId="6" xfId="3" applyNumberFormat="1" applyFont="1" applyBorder="1">
      <alignment horizontal="right" vertical="center" wrapText="1"/>
    </xf>
    <xf numFmtId="0" fontId="0" fillId="0" borderId="0" xfId="0" applyBorder="1"/>
    <xf numFmtId="0" fontId="13" fillId="0" borderId="4" xfId="2" applyFont="1" applyBorder="1"/>
    <xf numFmtId="0" fontId="14" fillId="0" borderId="0" xfId="2" applyFont="1" applyBorder="1"/>
    <xf numFmtId="0" fontId="7" fillId="0" borderId="0" xfId="0" applyFont="1" applyBorder="1"/>
    <xf numFmtId="0" fontId="7" fillId="0" borderId="6" xfId="0" applyFont="1" applyBorder="1"/>
    <xf numFmtId="0" fontId="7" fillId="0" borderId="4" xfId="4" applyFont="1" applyBorder="1" applyAlignment="1">
      <alignment horizontal="right"/>
    </xf>
    <xf numFmtId="0" fontId="7" fillId="0" borderId="0" xfId="4" applyFont="1" applyBorder="1" applyAlignment="1">
      <alignment vertical="center"/>
    </xf>
    <xf numFmtId="0" fontId="7" fillId="0" borderId="0" xfId="4" applyFont="1" applyBorder="1" applyAlignment="1">
      <alignment horizontal="right" indent="1"/>
    </xf>
    <xf numFmtId="0" fontId="7" fillId="0" borderId="6" xfId="4" applyFont="1" applyBorder="1">
      <alignment horizontal="right" vertical="center" indent="1"/>
    </xf>
    <xf numFmtId="0" fontId="7" fillId="0" borderId="4" xfId="4" applyFont="1" applyBorder="1" applyAlignment="1">
      <alignment horizontal="right" vertical="center" indent="1"/>
    </xf>
    <xf numFmtId="0" fontId="7" fillId="0" borderId="0" xfId="4" applyFont="1" applyBorder="1" applyAlignment="1">
      <alignment horizontal="right" vertical="center" indent="1"/>
    </xf>
    <xf numFmtId="0" fontId="7" fillId="0" borderId="0" xfId="5" applyFont="1" applyBorder="1">
      <alignment horizontal="left" vertical="center" wrapText="1"/>
    </xf>
    <xf numFmtId="0" fontId="7" fillId="0" borderId="0" xfId="4" applyFont="1" applyBorder="1">
      <alignment horizontal="right" vertical="center" indent="1"/>
    </xf>
    <xf numFmtId="0" fontId="7" fillId="0" borderId="0" xfId="5" applyFont="1" applyBorder="1" applyAlignment="1">
      <alignment vertical="center" wrapText="1"/>
    </xf>
    <xf numFmtId="0" fontId="7" fillId="0" borderId="20" xfId="4" applyFont="1" applyBorder="1" applyAlignment="1" applyProtection="1">
      <alignment horizontal="center"/>
      <protection locked="0"/>
    </xf>
    <xf numFmtId="165" fontId="7" fillId="0" borderId="17" xfId="4" applyNumberFormat="1" applyFont="1" applyBorder="1" applyAlignment="1" applyProtection="1">
      <alignment horizontal="center" vertical="center" wrapText="1"/>
      <protection hidden="1"/>
    </xf>
    <xf numFmtId="0" fontId="7" fillId="0" borderId="30" xfId="4" applyFont="1" applyBorder="1" applyAlignment="1" applyProtection="1">
      <alignment horizontal="center" vertical="center"/>
      <protection locked="0"/>
    </xf>
    <xf numFmtId="0" fontId="7" fillId="0" borderId="31" xfId="4" applyFont="1" applyBorder="1" applyAlignment="1" applyProtection="1">
      <alignment horizontal="center" vertical="center"/>
      <protection locked="0"/>
    </xf>
    <xf numFmtId="0" fontId="7" fillId="0" borderId="7" xfId="4" applyFont="1" applyBorder="1" applyAlignment="1" applyProtection="1">
      <alignment horizontal="center" vertical="center"/>
      <protection locked="0"/>
    </xf>
    <xf numFmtId="0" fontId="7" fillId="0" borderId="32" xfId="4" applyFont="1" applyBorder="1" applyAlignment="1" applyProtection="1">
      <alignment horizontal="center" vertical="center"/>
      <protection locked="0"/>
    </xf>
    <xf numFmtId="0" fontId="7" fillId="0" borderId="33" xfId="4" applyFont="1" applyBorder="1" applyAlignment="1" applyProtection="1">
      <alignment horizontal="center"/>
      <protection locked="0"/>
    </xf>
    <xf numFmtId="0" fontId="7" fillId="0" borderId="17" xfId="4" applyFont="1" applyBorder="1" applyAlignment="1" applyProtection="1">
      <alignment horizontal="center" vertical="center" wrapText="1"/>
      <protection locked="0"/>
    </xf>
    <xf numFmtId="0" fontId="7" fillId="0" borderId="34" xfId="4" applyFont="1" applyBorder="1" applyAlignment="1" applyProtection="1">
      <alignment horizontal="center" vertical="center"/>
      <protection locked="0"/>
    </xf>
    <xf numFmtId="0" fontId="7" fillId="0" borderId="8" xfId="4" applyFont="1" applyBorder="1" applyAlignment="1" applyProtection="1">
      <alignment horizontal="center" vertical="center"/>
      <protection locked="0"/>
    </xf>
    <xf numFmtId="0" fontId="7" fillId="0" borderId="35" xfId="4" applyFont="1" applyBorder="1" applyAlignment="1" applyProtection="1">
      <alignment horizontal="center" vertical="center"/>
      <protection locked="0"/>
    </xf>
    <xf numFmtId="49" fontId="7" fillId="0" borderId="17" xfId="4" applyNumberFormat="1" applyFont="1" applyBorder="1" applyAlignment="1" applyProtection="1">
      <alignment horizontal="center" vertical="center"/>
      <protection locked="0"/>
    </xf>
    <xf numFmtId="0" fontId="0" fillId="0" borderId="4" xfId="0" applyBorder="1"/>
    <xf numFmtId="0" fontId="19" fillId="0" borderId="17" xfId="4" applyFont="1" applyBorder="1" applyAlignment="1" applyProtection="1">
      <alignment horizontal="center" vertical="center"/>
      <protection locked="0"/>
    </xf>
    <xf numFmtId="0" fontId="7" fillId="0" borderId="19" xfId="4" applyFont="1" applyBorder="1" applyAlignment="1" applyProtection="1">
      <alignment horizontal="center" vertical="center"/>
      <protection locked="0"/>
    </xf>
    <xf numFmtId="0" fontId="7" fillId="0" borderId="0" xfId="4" applyFont="1" applyBorder="1" applyAlignment="1" applyProtection="1">
      <alignment horizontal="center" vertical="center"/>
    </xf>
    <xf numFmtId="0" fontId="7" fillId="0" borderId="6" xfId="4" applyFont="1" applyBorder="1" applyAlignment="1" applyProtection="1">
      <alignment horizontal="center" vertical="center"/>
    </xf>
    <xf numFmtId="0" fontId="21" fillId="0" borderId="0" xfId="3" applyFont="1" applyBorder="1" applyAlignment="1">
      <alignment horizontal="right"/>
    </xf>
    <xf numFmtId="0" fontId="16" fillId="0" borderId="4" xfId="3" applyFont="1" applyBorder="1">
      <alignment horizontal="right" vertical="center" wrapText="1"/>
    </xf>
    <xf numFmtId="0" fontId="16" fillId="0" borderId="0" xfId="3" applyFont="1" applyBorder="1" applyAlignment="1">
      <alignment horizontal="right"/>
    </xf>
    <xf numFmtId="0" fontId="7" fillId="0" borderId="6" xfId="4" applyFont="1" applyBorder="1" applyAlignment="1">
      <alignment horizontal="center" vertical="center" wrapText="1"/>
    </xf>
    <xf numFmtId="0" fontId="21" fillId="0" borderId="4" xfId="3" applyFont="1" applyBorder="1">
      <alignment horizontal="right" vertical="center" wrapText="1"/>
    </xf>
    <xf numFmtId="0" fontId="7" fillId="0" borderId="37" xfId="5" applyFont="1" applyBorder="1" applyAlignment="1">
      <alignment vertical="center" wrapText="1"/>
    </xf>
    <xf numFmtId="0" fontId="7" fillId="0" borderId="26" xfId="4" applyFont="1" applyBorder="1" applyAlignment="1">
      <alignment horizontal="right" vertical="center" indent="1"/>
    </xf>
    <xf numFmtId="0" fontId="7" fillId="0" borderId="27" xfId="4" applyFont="1" applyBorder="1" applyAlignment="1">
      <alignment horizontal="right" vertical="center" indent="1"/>
    </xf>
    <xf numFmtId="0" fontId="7" fillId="0" borderId="27" xfId="5" applyFont="1" applyBorder="1" applyAlignment="1">
      <alignment vertical="center" wrapText="1"/>
    </xf>
    <xf numFmtId="0" fontId="7" fillId="0" borderId="27" xfId="0" applyFont="1" applyBorder="1"/>
    <xf numFmtId="0" fontId="7" fillId="0" borderId="29" xfId="4" applyFont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5" fillId="0" borderId="0" xfId="4" applyBorder="1" applyAlignment="1">
      <alignment horizontal="center" vertical="center"/>
    </xf>
    <xf numFmtId="165" fontId="0" fillId="0" borderId="0" xfId="0" applyNumberFormat="1"/>
    <xf numFmtId="0" fontId="13" fillId="3" borderId="9" xfId="4" applyFont="1" applyFill="1" applyBorder="1" applyAlignment="1" applyProtection="1">
      <alignment horizontal="center" vertical="center"/>
      <protection locked="0"/>
    </xf>
    <xf numFmtId="0" fontId="13" fillId="3" borderId="9" xfId="4" applyFont="1" applyFill="1" applyBorder="1" applyAlignment="1" applyProtection="1">
      <alignment horizontal="center" vertical="center" wrapText="1"/>
      <protection locked="0"/>
    </xf>
    <xf numFmtId="165" fontId="13" fillId="4" borderId="9" xfId="4" applyNumberFormat="1" applyFont="1" applyFill="1" applyBorder="1" applyAlignment="1" applyProtection="1">
      <alignment horizontal="center" vertical="center"/>
    </xf>
    <xf numFmtId="165" fontId="13" fillId="3" borderId="9" xfId="4" applyNumberFormat="1" applyFont="1" applyFill="1" applyBorder="1" applyAlignment="1" applyProtection="1">
      <alignment horizontal="center" vertical="center"/>
    </xf>
    <xf numFmtId="0" fontId="13" fillId="3" borderId="23" xfId="4" applyFont="1" applyFill="1" applyBorder="1" applyAlignment="1" applyProtection="1">
      <alignment horizontal="center" vertical="center"/>
    </xf>
    <xf numFmtId="165" fontId="20" fillId="3" borderId="9" xfId="4" applyNumberFormat="1" applyFont="1" applyFill="1" applyBorder="1" applyAlignment="1" applyProtection="1">
      <alignment horizontal="center" vertical="center" wrapText="1"/>
    </xf>
    <xf numFmtId="0" fontId="13" fillId="4" borderId="9" xfId="4" applyFont="1" applyFill="1" applyBorder="1" applyAlignment="1" applyProtection="1">
      <alignment horizontal="center" vertical="center"/>
    </xf>
    <xf numFmtId="0" fontId="16" fillId="4" borderId="17" xfId="5" applyFont="1" applyFill="1" applyBorder="1" applyAlignment="1">
      <alignment horizontal="center" vertical="center" wrapText="1"/>
    </xf>
    <xf numFmtId="0" fontId="16" fillId="4" borderId="17" xfId="0" applyFont="1" applyFill="1" applyBorder="1" applyAlignment="1">
      <alignment horizontal="center" vertical="center"/>
    </xf>
    <xf numFmtId="9" fontId="22" fillId="2" borderId="17" xfId="6" applyFont="1" applyFill="1" applyBorder="1" applyAlignment="1">
      <alignment horizontal="center" vertical="center"/>
    </xf>
    <xf numFmtId="9" fontId="22" fillId="2" borderId="17" xfId="6" applyFont="1" applyFill="1" applyBorder="1" applyAlignment="1">
      <alignment horizontal="center" vertical="center" wrapText="1"/>
    </xf>
    <xf numFmtId="0" fontId="16" fillId="0" borderId="0" xfId="3" applyFont="1" applyBorder="1" applyAlignment="1">
      <alignment horizontal="left"/>
    </xf>
    <xf numFmtId="0" fontId="13" fillId="2" borderId="9" xfId="4" applyFont="1" applyFill="1" applyBorder="1" applyAlignment="1" applyProtection="1">
      <alignment horizontal="center" vertical="center" wrapText="1"/>
      <protection hidden="1"/>
    </xf>
    <xf numFmtId="0" fontId="6" fillId="0" borderId="2" xfId="1" applyFont="1" applyBorder="1">
      <alignment vertical="top"/>
    </xf>
    <xf numFmtId="14" fontId="7" fillId="0" borderId="5" xfId="5" applyNumberFormat="1" applyFont="1" applyBorder="1" applyAlignment="1">
      <alignment horizontal="center" wrapText="1"/>
    </xf>
    <xf numFmtId="165" fontId="10" fillId="0" borderId="5" xfId="5" applyNumberFormat="1" applyFont="1" applyBorder="1" applyAlignment="1" applyProtection="1">
      <alignment horizontal="center" wrapText="1"/>
    </xf>
    <xf numFmtId="0" fontId="7" fillId="0" borderId="7" xfId="4" applyFont="1" applyBorder="1" applyAlignment="1">
      <alignment vertical="center"/>
    </xf>
    <xf numFmtId="0" fontId="7" fillId="0" borderId="8" xfId="4" applyFont="1" applyBorder="1" applyAlignment="1">
      <alignment vertical="center"/>
    </xf>
    <xf numFmtId="0" fontId="13" fillId="3" borderId="23" xfId="4" applyFont="1" applyFill="1" applyBorder="1" applyAlignment="1" applyProtection="1">
      <alignment horizontal="center" vertical="center"/>
      <protection locked="0"/>
    </xf>
    <xf numFmtId="0" fontId="13" fillId="3" borderId="24" xfId="4" applyFont="1" applyFill="1" applyBorder="1" applyAlignment="1" applyProtection="1">
      <alignment horizontal="center" vertical="center"/>
      <protection locked="0"/>
    </xf>
    <xf numFmtId="0" fontId="7" fillId="0" borderId="17" xfId="4" applyFont="1" applyBorder="1" applyAlignment="1" applyProtection="1">
      <alignment horizontal="right" vertical="center" indent="1"/>
      <protection locked="0"/>
    </xf>
    <xf numFmtId="0" fontId="7" fillId="0" borderId="17" xfId="4" applyFont="1" applyBorder="1" applyProtection="1">
      <alignment horizontal="right" vertical="center" indent="1"/>
      <protection locked="0"/>
    </xf>
    <xf numFmtId="0" fontId="7" fillId="0" borderId="4" xfId="4" applyFont="1" applyBorder="1" applyAlignment="1">
      <alignment horizontal="center" vertical="center"/>
    </xf>
    <xf numFmtId="0" fontId="7" fillId="0" borderId="0" xfId="4" applyFont="1" applyBorder="1" applyAlignment="1">
      <alignment horizontal="center" vertical="center"/>
    </xf>
    <xf numFmtId="0" fontId="7" fillId="0" borderId="6" xfId="4" applyFont="1" applyBorder="1" applyAlignment="1">
      <alignment horizontal="center" vertical="center"/>
    </xf>
    <xf numFmtId="0" fontId="0" fillId="0" borderId="0" xfId="0" applyProtection="1">
      <protection locked="0"/>
    </xf>
    <xf numFmtId="0" fontId="5" fillId="0" borderId="1" xfId="1" applyFont="1" applyBorder="1" applyProtection="1">
      <alignment vertical="top"/>
      <protection locked="0"/>
    </xf>
    <xf numFmtId="0" fontId="6" fillId="0" borderId="2" xfId="1" applyFont="1" applyBorder="1" applyProtection="1">
      <alignment vertical="top"/>
      <protection locked="0"/>
    </xf>
    <xf numFmtId="0" fontId="7" fillId="0" borderId="2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9" fillId="0" borderId="4" xfId="3" applyFont="1" applyBorder="1" applyAlignment="1" applyProtection="1">
      <alignment horizontal="right" wrapText="1"/>
      <protection locked="0"/>
    </xf>
    <xf numFmtId="14" fontId="7" fillId="0" borderId="5" xfId="5" applyNumberFormat="1" applyFont="1" applyBorder="1" applyAlignment="1" applyProtection="1">
      <alignment horizontal="center" wrapText="1"/>
      <protection locked="0"/>
    </xf>
    <xf numFmtId="0" fontId="11" fillId="0" borderId="0" xfId="3" applyFont="1" applyBorder="1" applyProtection="1">
      <alignment horizontal="right" vertical="center" wrapText="1"/>
      <protection locked="0"/>
    </xf>
    <xf numFmtId="14" fontId="11" fillId="0" borderId="6" xfId="3" applyNumberFormat="1" applyFont="1" applyBorder="1" applyProtection="1">
      <alignment horizontal="right" vertical="center" wrapText="1"/>
      <protection locked="0"/>
    </xf>
    <xf numFmtId="0" fontId="0" fillId="0" borderId="0" xfId="0" applyBorder="1" applyProtection="1">
      <protection locked="0"/>
    </xf>
    <xf numFmtId="0" fontId="13" fillId="0" borderId="4" xfId="2" applyFont="1" applyBorder="1" applyProtection="1">
      <protection locked="0"/>
    </xf>
    <xf numFmtId="0" fontId="14" fillId="0" borderId="0" xfId="2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7" fillId="0" borderId="4" xfId="4" applyFont="1" applyBorder="1" applyAlignment="1" applyProtection="1">
      <alignment horizontal="right"/>
      <protection locked="0"/>
    </xf>
    <xf numFmtId="0" fontId="7" fillId="0" borderId="7" xfId="4" applyFont="1" applyBorder="1" applyAlignment="1" applyProtection="1">
      <alignment vertical="center"/>
      <protection locked="0"/>
    </xf>
    <xf numFmtId="0" fontId="7" fillId="0" borderId="0" xfId="4" applyFont="1" applyBorder="1" applyAlignment="1" applyProtection="1">
      <alignment horizontal="right" indent="1"/>
      <protection locked="0"/>
    </xf>
    <xf numFmtId="0" fontId="7" fillId="0" borderId="6" xfId="4" applyFont="1" applyBorder="1" applyProtection="1">
      <alignment horizontal="right" vertical="center" indent="1"/>
      <protection locked="0"/>
    </xf>
    <xf numFmtId="0" fontId="7" fillId="0" borderId="4" xfId="4" applyFont="1" applyBorder="1" applyAlignment="1" applyProtection="1">
      <alignment horizontal="right" vertical="center" indent="1"/>
      <protection locked="0"/>
    </xf>
    <xf numFmtId="0" fontId="7" fillId="0" borderId="0" xfId="4" applyFont="1" applyBorder="1" applyAlignment="1" applyProtection="1">
      <alignment horizontal="right" vertical="center" indent="1"/>
      <protection locked="0"/>
    </xf>
    <xf numFmtId="0" fontId="7" fillId="0" borderId="0" xfId="5" applyFont="1" applyBorder="1" applyProtection="1">
      <alignment horizontal="left" vertical="center" wrapText="1"/>
      <protection locked="0"/>
    </xf>
    <xf numFmtId="0" fontId="7" fillId="0" borderId="0" xfId="4" applyFont="1" applyBorder="1" applyProtection="1">
      <alignment horizontal="right" vertical="center" indent="1"/>
      <protection locked="0"/>
    </xf>
    <xf numFmtId="0" fontId="7" fillId="0" borderId="0" xfId="5" applyFont="1" applyBorder="1" applyAlignment="1" applyProtection="1">
      <alignment vertical="center" wrapText="1"/>
      <protection locked="0"/>
    </xf>
    <xf numFmtId="0" fontId="7" fillId="0" borderId="4" xfId="4" applyFont="1" applyBorder="1" applyAlignment="1" applyProtection="1">
      <alignment horizontal="center" vertical="center"/>
      <protection locked="0"/>
    </xf>
    <xf numFmtId="0" fontId="7" fillId="0" borderId="0" xfId="4" applyFont="1" applyBorder="1" applyAlignment="1" applyProtection="1">
      <alignment horizontal="center" vertical="center"/>
      <protection locked="0"/>
    </xf>
    <xf numFmtId="0" fontId="7" fillId="0" borderId="6" xfId="4" applyFont="1" applyBorder="1" applyAlignment="1" applyProtection="1">
      <alignment horizontal="center" vertical="center"/>
      <protection locked="0"/>
    </xf>
    <xf numFmtId="0" fontId="16" fillId="0" borderId="4" xfId="3" applyFont="1" applyBorder="1" applyProtection="1">
      <alignment horizontal="right" vertical="center" wrapText="1"/>
      <protection locked="0"/>
    </xf>
    <xf numFmtId="0" fontId="16" fillId="0" borderId="0" xfId="3" applyFont="1" applyBorder="1" applyAlignment="1" applyProtection="1">
      <alignment horizontal="right"/>
      <protection locked="0"/>
    </xf>
    <xf numFmtId="0" fontId="7" fillId="0" borderId="6" xfId="4" applyFont="1" applyBorder="1" applyAlignment="1" applyProtection="1">
      <alignment horizontal="center" vertical="center" wrapText="1"/>
      <protection locked="0"/>
    </xf>
    <xf numFmtId="0" fontId="7" fillId="0" borderId="26" xfId="4" applyFont="1" applyBorder="1" applyAlignment="1" applyProtection="1">
      <alignment horizontal="right" vertical="center" indent="1"/>
      <protection locked="0"/>
    </xf>
    <xf numFmtId="0" fontId="7" fillId="0" borderId="27" xfId="5" applyFont="1" applyBorder="1" applyAlignment="1" applyProtection="1">
      <alignment vertical="center" wrapText="1"/>
      <protection locked="0"/>
    </xf>
    <xf numFmtId="0" fontId="7" fillId="0" borderId="27" xfId="0" applyFont="1" applyBorder="1" applyProtection="1">
      <protection locked="0"/>
    </xf>
    <xf numFmtId="0" fontId="7" fillId="0" borderId="29" xfId="4" applyFont="1" applyBorder="1" applyAlignment="1" applyProtection="1">
      <alignment horizontal="center" vertical="center" wrapText="1"/>
      <protection locked="0"/>
    </xf>
    <xf numFmtId="0" fontId="15" fillId="0" borderId="0" xfId="4" applyAlignment="1" applyProtection="1">
      <alignment horizontal="right" vertical="center" indent="1"/>
      <protection locked="0"/>
    </xf>
    <xf numFmtId="0" fontId="17" fillId="0" borderId="0" xfId="0" applyFont="1" applyAlignment="1" applyProtection="1">
      <alignment horizontal="center"/>
      <protection locked="0"/>
    </xf>
    <xf numFmtId="0" fontId="15" fillId="0" borderId="0" xfId="4" applyBorder="1" applyAlignment="1" applyProtection="1">
      <alignment horizontal="center" vertical="center"/>
      <protection locked="0"/>
    </xf>
    <xf numFmtId="0" fontId="8" fillId="0" borderId="0" xfId="3" applyProtection="1">
      <alignment horizontal="right" vertical="center" wrapText="1"/>
      <protection locked="0"/>
    </xf>
    <xf numFmtId="0" fontId="13" fillId="3" borderId="23" xfId="4" applyFont="1" applyFill="1" applyBorder="1" applyAlignment="1">
      <alignment horizontal="center" vertical="center"/>
    </xf>
    <xf numFmtId="0" fontId="13" fillId="3" borderId="24" xfId="4" applyFont="1" applyFill="1" applyBorder="1" applyAlignment="1">
      <alignment horizontal="center" vertical="center"/>
    </xf>
    <xf numFmtId="0" fontId="23" fillId="0" borderId="17" xfId="4" applyFont="1" applyBorder="1" applyAlignment="1">
      <alignment horizontal="center" vertical="center"/>
    </xf>
    <xf numFmtId="0" fontId="23" fillId="0" borderId="17" xfId="4" applyFont="1" applyBorder="1" applyAlignment="1">
      <alignment horizontal="right" vertical="center" indent="1"/>
    </xf>
    <xf numFmtId="0" fontId="23" fillId="0" borderId="17" xfId="4" applyFont="1" applyBorder="1">
      <alignment horizontal="right" vertical="center" indent="1"/>
    </xf>
    <xf numFmtId="14" fontId="7" fillId="0" borderId="0" xfId="5" applyNumberFormat="1" applyFont="1" applyBorder="1" applyAlignment="1" applyProtection="1">
      <alignment vertical="center" wrapText="1"/>
    </xf>
    <xf numFmtId="14" fontId="11" fillId="0" borderId="0" xfId="3" applyNumberFormat="1" applyFont="1" applyBorder="1" applyProtection="1">
      <alignment horizontal="right" vertical="center" wrapText="1"/>
    </xf>
    <xf numFmtId="14" fontId="7" fillId="0" borderId="0" xfId="7" applyNumberFormat="1" applyFont="1" applyBorder="1" applyAlignment="1" applyProtection="1">
      <alignment horizontal="center" vertical="center"/>
    </xf>
    <xf numFmtId="0" fontId="0" fillId="0" borderId="4" xfId="0" applyBorder="1" applyProtection="1">
      <protection locked="0"/>
    </xf>
    <xf numFmtId="9" fontId="23" fillId="0" borderId="5" xfId="6" applyFont="1" applyBorder="1" applyAlignment="1" applyProtection="1">
      <alignment horizontal="center" wrapText="1"/>
    </xf>
    <xf numFmtId="14" fontId="10" fillId="0" borderId="0" xfId="5" applyNumberFormat="1" applyFont="1" applyBorder="1" applyAlignment="1" applyProtection="1">
      <alignment wrapText="1"/>
    </xf>
    <xf numFmtId="14" fontId="7" fillId="0" borderId="6" xfId="7" applyNumberFormat="1" applyFont="1" applyBorder="1" applyAlignment="1" applyProtection="1">
      <alignment horizontal="center" vertical="center"/>
    </xf>
    <xf numFmtId="0" fontId="23" fillId="0" borderId="17" xfId="4" applyFont="1" applyBorder="1" applyAlignment="1" applyProtection="1">
      <alignment horizontal="right" vertical="center" indent="1"/>
    </xf>
    <xf numFmtId="0" fontId="23" fillId="0" borderId="17" xfId="4" applyFont="1" applyBorder="1" applyProtection="1">
      <alignment horizontal="right" vertical="center" indent="1"/>
    </xf>
    <xf numFmtId="0" fontId="25" fillId="0" borderId="0" xfId="0" applyFont="1" applyProtection="1">
      <protection locked="0"/>
    </xf>
    <xf numFmtId="0" fontId="7" fillId="0" borderId="5" xfId="5" applyFont="1" applyBorder="1" applyAlignment="1" applyProtection="1">
      <alignment vertical="center" wrapText="1"/>
      <protection locked="0"/>
    </xf>
    <xf numFmtId="0" fontId="7" fillId="0" borderId="28" xfId="5" applyFont="1" applyBorder="1" applyAlignment="1" applyProtection="1">
      <alignment vertical="center" wrapText="1"/>
    </xf>
    <xf numFmtId="0" fontId="27" fillId="0" borderId="0" xfId="0" applyFont="1" applyProtection="1">
      <protection hidden="1"/>
    </xf>
    <xf numFmtId="0" fontId="7" fillId="0" borderId="17" xfId="4" applyFont="1" applyBorder="1" applyAlignment="1" applyProtection="1">
      <alignment horizontal="right" vertical="center" indent="1"/>
    </xf>
    <xf numFmtId="0" fontId="13" fillId="3" borderId="23" xfId="4" applyFont="1" applyFill="1" applyBorder="1" applyAlignment="1" applyProtection="1">
      <alignment horizontal="center" vertical="center"/>
    </xf>
    <xf numFmtId="0" fontId="13" fillId="3" borderId="24" xfId="4" applyFont="1" applyFill="1" applyBorder="1" applyAlignment="1" applyProtection="1">
      <alignment horizontal="center" vertical="center"/>
    </xf>
    <xf numFmtId="0" fontId="13" fillId="3" borderId="25" xfId="4" applyFont="1" applyFill="1" applyBorder="1" applyAlignment="1" applyProtection="1">
      <alignment horizontal="center" vertical="center"/>
    </xf>
    <xf numFmtId="0" fontId="13" fillId="3" borderId="9" xfId="4" applyFont="1" applyFill="1" applyBorder="1" applyAlignment="1" applyProtection="1">
      <alignment horizontal="center" vertical="center"/>
    </xf>
    <xf numFmtId="0" fontId="7" fillId="0" borderId="17" xfId="4" applyFont="1" applyBorder="1" applyAlignment="1" applyProtection="1">
      <alignment horizontal="center" vertical="center"/>
      <protection locked="0"/>
    </xf>
    <xf numFmtId="0" fontId="7" fillId="0" borderId="15" xfId="4" applyFont="1" applyBorder="1" applyAlignment="1" applyProtection="1">
      <alignment horizontal="center" vertical="center"/>
      <protection locked="0"/>
    </xf>
    <xf numFmtId="0" fontId="7" fillId="0" borderId="34" xfId="4" applyFont="1" applyBorder="1" applyAlignment="1" applyProtection="1">
      <alignment horizontal="center" vertical="center"/>
      <protection locked="0"/>
    </xf>
    <xf numFmtId="0" fontId="7" fillId="0" borderId="35" xfId="4" applyFont="1" applyBorder="1" applyAlignment="1" applyProtection="1">
      <alignment horizontal="center" vertical="center"/>
      <protection locked="0"/>
    </xf>
    <xf numFmtId="0" fontId="23" fillId="0" borderId="17" xfId="4" applyFont="1" applyBorder="1" applyAlignment="1" applyProtection="1">
      <alignment horizontal="center" vertical="center"/>
      <protection locked="0"/>
    </xf>
    <xf numFmtId="0" fontId="13" fillId="3" borderId="9" xfId="4" applyFont="1" applyFill="1" applyBorder="1" applyAlignment="1" applyProtection="1">
      <alignment horizontal="center" vertical="center" wrapText="1"/>
    </xf>
    <xf numFmtId="165" fontId="7" fillId="0" borderId="17" xfId="4" applyNumberFormat="1" applyFont="1" applyFill="1" applyBorder="1" applyAlignment="1" applyProtection="1">
      <alignment horizontal="right" vertical="center" indent="1"/>
    </xf>
    <xf numFmtId="0" fontId="7" fillId="0" borderId="51" xfId="4" applyFont="1" applyBorder="1" applyAlignment="1" applyProtection="1">
      <alignment horizontal="center" vertical="center"/>
    </xf>
    <xf numFmtId="0" fontId="7" fillId="0" borderId="52" xfId="4" applyFont="1" applyBorder="1" applyAlignment="1" applyProtection="1">
      <alignment horizontal="center" vertical="center"/>
    </xf>
    <xf numFmtId="165" fontId="7" fillId="2" borderId="17" xfId="9" applyNumberFormat="1" applyFont="1" applyFill="1" applyBorder="1" applyAlignment="1" applyProtection="1">
      <alignment vertical="center"/>
      <protection locked="0"/>
    </xf>
    <xf numFmtId="165" fontId="7" fillId="2" borderId="17" xfId="4" applyNumberFormat="1" applyFont="1" applyFill="1" applyBorder="1" applyAlignment="1" applyProtection="1">
      <alignment horizontal="right" vertical="center" indent="1"/>
      <protection locked="0"/>
    </xf>
    <xf numFmtId="165" fontId="7" fillId="2" borderId="17" xfId="4" applyNumberFormat="1" applyFont="1" applyFill="1" applyBorder="1" applyProtection="1">
      <alignment horizontal="right" vertical="center" indent="1"/>
      <protection locked="0"/>
    </xf>
    <xf numFmtId="0" fontId="28" fillId="0" borderId="15" xfId="4" applyFont="1" applyBorder="1" applyAlignment="1" applyProtection="1">
      <alignment horizontal="center" vertical="center" wrapText="1"/>
      <protection locked="0"/>
    </xf>
    <xf numFmtId="0" fontId="28" fillId="0" borderId="15" xfId="4" applyFont="1" applyBorder="1" applyAlignment="1" applyProtection="1">
      <alignment horizontal="right" vertical="center" indent="1"/>
    </xf>
    <xf numFmtId="2" fontId="28" fillId="6" borderId="15" xfId="4" applyNumberFormat="1" applyFont="1" applyFill="1" applyBorder="1" applyAlignment="1" applyProtection="1">
      <alignment horizontal="right" vertical="center" indent="1"/>
    </xf>
    <xf numFmtId="0" fontId="28" fillId="0" borderId="17" xfId="4" applyFont="1" applyBorder="1" applyAlignment="1" applyProtection="1">
      <alignment horizontal="center" vertical="center" wrapText="1"/>
    </xf>
    <xf numFmtId="0" fontId="28" fillId="0" borderId="17" xfId="4" applyFont="1" applyBorder="1" applyAlignment="1" applyProtection="1">
      <alignment horizontal="center" vertical="center"/>
      <protection locked="0"/>
    </xf>
    <xf numFmtId="0" fontId="28" fillId="0" borderId="17" xfId="4" applyFont="1" applyBorder="1" applyAlignment="1" applyProtection="1">
      <alignment horizontal="right" vertical="center" indent="1"/>
    </xf>
    <xf numFmtId="2" fontId="28" fillId="6" borderId="17" xfId="6" applyNumberFormat="1" applyFont="1" applyFill="1" applyBorder="1" applyAlignment="1" applyProtection="1">
      <alignment horizontal="right" vertical="center" indent="1"/>
    </xf>
    <xf numFmtId="0" fontId="28" fillId="0" borderId="34" xfId="4" applyFont="1" applyBorder="1" applyAlignment="1" applyProtection="1">
      <alignment horizontal="center" vertical="center"/>
      <protection locked="0"/>
    </xf>
    <xf numFmtId="0" fontId="28" fillId="0" borderId="8" xfId="4" applyFont="1" applyBorder="1" applyAlignment="1" applyProtection="1">
      <alignment horizontal="center" vertical="center"/>
      <protection locked="0"/>
    </xf>
    <xf numFmtId="0" fontId="28" fillId="0" borderId="48" xfId="4" applyFont="1" applyBorder="1" applyAlignment="1" applyProtection="1">
      <alignment horizontal="center" vertical="center"/>
      <protection locked="0"/>
    </xf>
    <xf numFmtId="165" fontId="28" fillId="0" borderId="17" xfId="4" applyNumberFormat="1" applyFont="1" applyFill="1" applyBorder="1" applyAlignment="1" applyProtection="1">
      <alignment horizontal="right" vertical="center" indent="1"/>
    </xf>
    <xf numFmtId="0" fontId="28" fillId="0" borderId="34" xfId="4" applyFont="1" applyBorder="1" applyAlignment="1" applyProtection="1">
      <alignment horizontal="center" vertical="center" wrapText="1"/>
    </xf>
    <xf numFmtId="0" fontId="28" fillId="0" borderId="17" xfId="4" applyFont="1" applyBorder="1" applyAlignment="1" applyProtection="1">
      <alignment vertical="center"/>
      <protection locked="0"/>
    </xf>
    <xf numFmtId="2" fontId="28" fillId="0" borderId="17" xfId="4" applyNumberFormat="1" applyFont="1" applyFill="1" applyBorder="1" applyAlignment="1" applyProtection="1">
      <alignment horizontal="right" vertical="center" indent="1"/>
    </xf>
    <xf numFmtId="0" fontId="28" fillId="0" borderId="17" xfId="4" applyFont="1" applyFill="1" applyBorder="1" applyAlignment="1" applyProtection="1">
      <alignment horizontal="center" vertical="center" wrapText="1"/>
    </xf>
    <xf numFmtId="165" fontId="28" fillId="0" borderId="17" xfId="6" applyNumberFormat="1" applyFont="1" applyFill="1" applyBorder="1" applyAlignment="1" applyProtection="1">
      <alignment horizontal="right" vertical="center" indent="1"/>
    </xf>
    <xf numFmtId="165" fontId="28" fillId="0" borderId="17" xfId="4" applyNumberFormat="1" applyFont="1" applyFill="1" applyBorder="1" applyProtection="1">
      <alignment horizontal="right" vertical="center" indent="1"/>
    </xf>
    <xf numFmtId="0" fontId="28" fillId="0" borderId="17" xfId="4" applyFont="1" applyBorder="1" applyProtection="1">
      <alignment horizontal="right" vertical="center" indent="1"/>
    </xf>
    <xf numFmtId="0" fontId="28" fillId="5" borderId="33" xfId="4" applyFont="1" applyFill="1" applyBorder="1" applyAlignment="1" applyProtection="1">
      <alignment horizontal="center" vertical="center"/>
    </xf>
    <xf numFmtId="0" fontId="28" fillId="5" borderId="17" xfId="4" applyFont="1" applyFill="1" applyBorder="1" applyAlignment="1" applyProtection="1">
      <alignment horizontal="center" vertical="center"/>
    </xf>
    <xf numFmtId="0" fontId="28" fillId="5" borderId="17" xfId="4" applyFont="1" applyFill="1" applyBorder="1" applyAlignment="1" applyProtection="1">
      <alignment horizontal="center" vertical="center" wrapText="1"/>
    </xf>
    <xf numFmtId="0" fontId="28" fillId="5" borderId="17" xfId="4" applyFont="1" applyFill="1" applyBorder="1" applyAlignment="1" applyProtection="1">
      <alignment horizontal="right" vertical="center" indent="1"/>
    </xf>
    <xf numFmtId="0" fontId="28" fillId="5" borderId="17" xfId="4" applyFont="1" applyFill="1" applyBorder="1" applyProtection="1">
      <alignment horizontal="right" vertical="center" indent="1"/>
    </xf>
    <xf numFmtId="165" fontId="29" fillId="5" borderId="17" xfId="4" applyNumberFormat="1" applyFont="1" applyFill="1" applyBorder="1" applyAlignment="1" applyProtection="1">
      <alignment horizontal="center" vertical="center"/>
    </xf>
    <xf numFmtId="0" fontId="28" fillId="5" borderId="49" xfId="4" applyFont="1" applyFill="1" applyBorder="1" applyAlignment="1" applyProtection="1">
      <alignment horizontal="center" vertical="center"/>
    </xf>
    <xf numFmtId="0" fontId="28" fillId="5" borderId="8" xfId="4" applyFont="1" applyFill="1" applyBorder="1" applyAlignment="1" applyProtection="1">
      <alignment horizontal="center" vertical="center"/>
    </xf>
    <xf numFmtId="0" fontId="28" fillId="5" borderId="8" xfId="4" applyFont="1" applyFill="1" applyBorder="1" applyAlignment="1" applyProtection="1">
      <alignment horizontal="center" vertical="center" wrapText="1"/>
    </xf>
    <xf numFmtId="0" fontId="28" fillId="5" borderId="8" xfId="4" applyFont="1" applyFill="1" applyBorder="1" applyAlignment="1" applyProtection="1">
      <alignment horizontal="right" vertical="center" indent="1"/>
    </xf>
    <xf numFmtId="0" fontId="28" fillId="5" borderId="8" xfId="4" applyFont="1" applyFill="1" applyBorder="1" applyProtection="1">
      <alignment horizontal="right" vertical="center" indent="1"/>
    </xf>
    <xf numFmtId="165" fontId="29" fillId="5" borderId="35" xfId="4" applyNumberFormat="1" applyFont="1" applyFill="1" applyBorder="1" applyProtection="1">
      <alignment horizontal="right" vertical="center" indent="1"/>
    </xf>
    <xf numFmtId="14" fontId="28" fillId="0" borderId="17" xfId="4" applyNumberFormat="1" applyFont="1" applyBorder="1" applyAlignment="1" applyProtection="1">
      <alignment horizontal="center" vertical="center"/>
      <protection locked="0"/>
    </xf>
    <xf numFmtId="44" fontId="23" fillId="0" borderId="17" xfId="4" applyNumberFormat="1" applyFont="1" applyBorder="1" applyAlignment="1">
      <alignment horizontal="center" vertical="center"/>
    </xf>
    <xf numFmtId="165" fontId="23" fillId="2" borderId="17" xfId="4" applyNumberFormat="1" applyFont="1" applyFill="1" applyBorder="1" applyAlignment="1" applyProtection="1">
      <alignment horizontal="center" vertical="center"/>
      <protection locked="0"/>
    </xf>
    <xf numFmtId="14" fontId="23" fillId="2" borderId="17" xfId="4" applyNumberFormat="1" applyFont="1" applyFill="1" applyBorder="1" applyAlignment="1" applyProtection="1">
      <alignment horizontal="center" vertical="center"/>
      <protection locked="0"/>
    </xf>
    <xf numFmtId="0" fontId="23" fillId="2" borderId="17" xfId="4" applyNumberFormat="1" applyFont="1" applyFill="1" applyBorder="1" applyAlignment="1" applyProtection="1">
      <alignment horizontal="center" vertical="center"/>
      <protection locked="0"/>
    </xf>
    <xf numFmtId="44" fontId="23" fillId="2" borderId="17" xfId="9" applyFont="1" applyFill="1" applyBorder="1" applyAlignment="1" applyProtection="1">
      <alignment horizontal="right" vertical="center" indent="1"/>
      <protection locked="0"/>
    </xf>
    <xf numFmtId="14" fontId="23" fillId="2" borderId="17" xfId="9" applyNumberFormat="1" applyFont="1" applyFill="1" applyBorder="1" applyAlignment="1" applyProtection="1">
      <alignment horizontal="right" vertical="center" indent="1"/>
      <protection locked="0"/>
    </xf>
    <xf numFmtId="0" fontId="23" fillId="2" borderId="17" xfId="4" applyFont="1" applyFill="1" applyBorder="1" applyProtection="1">
      <alignment horizontal="right" vertical="center" indent="1"/>
      <protection locked="0"/>
    </xf>
    <xf numFmtId="165" fontId="23" fillId="2" borderId="17" xfId="4" applyNumberFormat="1" applyFont="1" applyFill="1" applyBorder="1" applyProtection="1">
      <alignment horizontal="right" vertical="center" indent="1"/>
      <protection locked="0"/>
    </xf>
    <xf numFmtId="44" fontId="23" fillId="0" borderId="17" xfId="9" applyFont="1" applyBorder="1" applyAlignment="1" applyProtection="1">
      <alignment horizontal="right" vertical="center" indent="1"/>
    </xf>
    <xf numFmtId="0" fontId="28" fillId="2" borderId="15" xfId="4" applyFont="1" applyFill="1" applyBorder="1" applyAlignment="1" applyProtection="1">
      <alignment horizontal="center" vertical="center" wrapText="1"/>
      <protection locked="0"/>
    </xf>
    <xf numFmtId="0" fontId="28" fillId="2" borderId="17" xfId="4" applyFont="1" applyFill="1" applyBorder="1" applyAlignment="1" applyProtection="1">
      <alignment horizontal="center" vertical="center" wrapText="1"/>
      <protection locked="0"/>
    </xf>
    <xf numFmtId="9" fontId="28" fillId="2" borderId="17" xfId="6" applyFont="1" applyFill="1" applyBorder="1" applyAlignment="1" applyProtection="1">
      <alignment horizontal="right" vertical="center" indent="1"/>
      <protection locked="0"/>
    </xf>
    <xf numFmtId="165" fontId="28" fillId="2" borderId="17" xfId="4" applyNumberFormat="1" applyFont="1" applyFill="1" applyBorder="1" applyAlignment="1" applyProtection="1">
      <alignment horizontal="right" vertical="center" indent="1"/>
      <protection locked="0"/>
    </xf>
    <xf numFmtId="2" fontId="28" fillId="2" borderId="17" xfId="4" applyNumberFormat="1" applyFont="1" applyFill="1" applyBorder="1" applyAlignment="1" applyProtection="1">
      <alignment horizontal="right" vertical="center" indent="1"/>
      <protection locked="0"/>
    </xf>
    <xf numFmtId="0" fontId="13" fillId="3" borderId="24" xfId="4" applyFont="1" applyFill="1" applyBorder="1" applyAlignment="1" applyProtection="1">
      <alignment horizontal="center" vertical="center" wrapText="1"/>
      <protection locked="0"/>
    </xf>
    <xf numFmtId="2" fontId="7" fillId="2" borderId="30" xfId="4" applyNumberFormat="1" applyFont="1" applyFill="1" applyBorder="1" applyProtection="1">
      <alignment horizontal="right" vertical="center" indent="1"/>
      <protection locked="0"/>
    </xf>
    <xf numFmtId="2" fontId="7" fillId="2" borderId="34" xfId="4" applyNumberFormat="1" applyFont="1" applyFill="1" applyBorder="1" applyProtection="1">
      <alignment horizontal="right" vertical="center" indent="1"/>
      <protection locked="0"/>
    </xf>
    <xf numFmtId="2" fontId="28" fillId="2" borderId="17" xfId="4" applyNumberFormat="1" applyFont="1" applyFill="1" applyBorder="1" applyProtection="1">
      <alignment horizontal="right" vertical="center" indent="1"/>
      <protection locked="0"/>
    </xf>
    <xf numFmtId="0" fontId="28" fillId="2" borderId="17" xfId="4" applyFont="1" applyFill="1" applyBorder="1" applyProtection="1">
      <alignment horizontal="right" vertical="center" indent="1"/>
      <protection locked="0"/>
    </xf>
    <xf numFmtId="165" fontId="28" fillId="2" borderId="17" xfId="4" applyNumberFormat="1" applyFont="1" applyFill="1" applyBorder="1" applyProtection="1">
      <alignment horizontal="right" vertical="center" indent="1"/>
      <protection locked="0"/>
    </xf>
    <xf numFmtId="165" fontId="29" fillId="3" borderId="40" xfId="4" applyNumberFormat="1" applyFont="1" applyFill="1" applyBorder="1" applyAlignment="1" applyProtection="1">
      <alignment horizontal="center" vertical="center"/>
    </xf>
    <xf numFmtId="0" fontId="23" fillId="0" borderId="0" xfId="4" applyFont="1" applyFill="1" applyBorder="1" applyAlignment="1" applyProtection="1">
      <alignment horizontal="center" vertical="center" wrapText="1"/>
    </xf>
    <xf numFmtId="165" fontId="26" fillId="0" borderId="29" xfId="8" applyNumberFormat="1" applyFont="1" applyFill="1" applyBorder="1" applyProtection="1">
      <alignment horizontal="center"/>
    </xf>
    <xf numFmtId="0" fontId="23" fillId="0" borderId="53" xfId="4" applyFont="1" applyBorder="1" applyAlignment="1" applyProtection="1">
      <alignment horizontal="center" vertical="center" wrapText="1"/>
    </xf>
    <xf numFmtId="165" fontId="26" fillId="3" borderId="11" xfId="8" applyNumberFormat="1" applyFont="1" applyFill="1" applyBorder="1" applyAlignment="1" applyProtection="1">
      <alignment horizontal="center" vertical="center"/>
    </xf>
    <xf numFmtId="0" fontId="7" fillId="0" borderId="12" xfId="4" applyFont="1" applyBorder="1" applyAlignment="1" applyProtection="1">
      <alignment horizontal="center" vertical="center"/>
      <protection locked="0"/>
    </xf>
    <xf numFmtId="0" fontId="32" fillId="0" borderId="13" xfId="10" applyBorder="1" applyAlignment="1" applyProtection="1">
      <alignment horizontal="center" vertical="center" wrapText="1"/>
      <protection locked="0"/>
    </xf>
    <xf numFmtId="0" fontId="7" fillId="0" borderId="33" xfId="4" applyFont="1" applyBorder="1" applyAlignment="1" applyProtection="1">
      <alignment horizontal="center" vertical="center"/>
      <protection locked="0"/>
    </xf>
    <xf numFmtId="0" fontId="32" fillId="0" borderId="17" xfId="10" applyBorder="1" applyAlignment="1" applyProtection="1">
      <alignment horizontal="center" vertical="center" wrapText="1"/>
      <protection locked="0"/>
    </xf>
    <xf numFmtId="7" fontId="7" fillId="0" borderId="17" xfId="4" applyNumberFormat="1" applyFont="1" applyBorder="1" applyAlignment="1" applyProtection="1">
      <alignment horizontal="center" vertical="center" wrapText="1"/>
      <protection locked="0"/>
    </xf>
    <xf numFmtId="0" fontId="7" fillId="0" borderId="26" xfId="4" applyFont="1" applyBorder="1" applyAlignment="1" applyProtection="1">
      <alignment horizontal="center" vertical="center"/>
      <protection locked="0"/>
    </xf>
    <xf numFmtId="0" fontId="32" fillId="0" borderId="27" xfId="10" applyBorder="1" applyAlignment="1" applyProtection="1">
      <alignment horizontal="center" vertical="center" wrapText="1"/>
      <protection locked="0"/>
    </xf>
    <xf numFmtId="7" fontId="7" fillId="0" borderId="27" xfId="5" applyNumberFormat="1" applyFont="1" applyBorder="1" applyAlignment="1" applyProtection="1">
      <alignment horizontal="center" vertical="center" wrapText="1"/>
      <protection locked="0"/>
    </xf>
    <xf numFmtId="0" fontId="15" fillId="0" borderId="0" xfId="4" applyAlignment="1" applyProtection="1">
      <alignment horizontal="center" vertical="center"/>
      <protection locked="0"/>
    </xf>
    <xf numFmtId="0" fontId="32" fillId="0" borderId="0" xfId="10" applyAlignment="1" applyProtection="1">
      <alignment horizontal="center" vertical="center"/>
      <protection locked="0"/>
    </xf>
    <xf numFmtId="7" fontId="17" fillId="0" borderId="0" xfId="0" applyNumberFormat="1" applyFont="1" applyAlignment="1" applyProtection="1">
      <alignment horizontal="center" vertical="center"/>
      <protection locked="0"/>
    </xf>
    <xf numFmtId="7" fontId="0" fillId="0" borderId="0" xfId="0" applyNumberFormat="1" applyAlignment="1" applyProtection="1">
      <alignment horizontal="center" vertical="center"/>
      <protection locked="0"/>
    </xf>
    <xf numFmtId="0" fontId="15" fillId="0" borderId="0" xfId="4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8" fillId="0" borderId="0" xfId="3" applyAlignment="1" applyProtection="1">
      <alignment horizontal="right" vertical="center" wrapText="1"/>
      <protection locked="0"/>
    </xf>
    <xf numFmtId="9" fontId="28" fillId="0" borderId="17" xfId="6" applyFont="1" applyFill="1" applyBorder="1" applyAlignment="1" applyProtection="1">
      <alignment horizontal="right" vertical="center" indent="1"/>
    </xf>
    <xf numFmtId="0" fontId="28" fillId="0" borderId="17" xfId="4" applyFont="1" applyBorder="1" applyAlignment="1" applyProtection="1">
      <alignment horizontal="center" vertical="center"/>
      <protection locked="0"/>
    </xf>
    <xf numFmtId="0" fontId="34" fillId="0" borderId="0" xfId="12" applyFont="1" applyBorder="1" applyAlignment="1">
      <alignment horizontal="left" wrapText="1"/>
    </xf>
    <xf numFmtId="9" fontId="22" fillId="2" borderId="17" xfId="11" applyFont="1" applyFill="1" applyBorder="1" applyAlignment="1">
      <alignment horizontal="center" vertical="center"/>
    </xf>
    <xf numFmtId="0" fontId="7" fillId="0" borderId="0" xfId="0" applyFont="1" applyBorder="1" applyAlignment="1">
      <alignment wrapText="1"/>
    </xf>
    <xf numFmtId="0" fontId="7" fillId="0" borderId="34" xfId="4" applyFont="1" applyBorder="1" applyAlignment="1" applyProtection="1">
      <alignment horizontal="center" vertical="center"/>
      <protection locked="0"/>
    </xf>
    <xf numFmtId="0" fontId="7" fillId="0" borderId="35" xfId="4" applyFont="1" applyBorder="1" applyAlignment="1" applyProtection="1">
      <alignment horizontal="center" vertical="center"/>
      <protection locked="0"/>
    </xf>
    <xf numFmtId="0" fontId="7" fillId="0" borderId="17" xfId="4" applyFont="1" applyBorder="1" applyAlignment="1" applyProtection="1">
      <alignment horizontal="center" vertical="center"/>
      <protection locked="0"/>
    </xf>
    <xf numFmtId="0" fontId="28" fillId="0" borderId="17" xfId="4" applyFont="1" applyBorder="1" applyAlignment="1" applyProtection="1">
      <alignment horizontal="center" vertical="center"/>
      <protection locked="0"/>
    </xf>
    <xf numFmtId="0" fontId="7" fillId="0" borderId="34" xfId="4" applyFont="1" applyBorder="1" applyAlignment="1" applyProtection="1">
      <alignment horizontal="center" vertical="center"/>
      <protection locked="0"/>
    </xf>
    <xf numFmtId="0" fontId="7" fillId="0" borderId="8" xfId="4" applyFont="1" applyBorder="1" applyAlignment="1" applyProtection="1">
      <alignment horizontal="center" vertical="center"/>
      <protection locked="0"/>
    </xf>
    <xf numFmtId="0" fontId="7" fillId="0" borderId="35" xfId="4" applyFont="1" applyBorder="1" applyAlignment="1" applyProtection="1">
      <alignment horizontal="center" vertical="center"/>
      <protection locked="0"/>
    </xf>
    <xf numFmtId="0" fontId="30" fillId="0" borderId="1" xfId="1" applyFont="1" applyBorder="1" applyAlignment="1" applyProtection="1">
      <alignment horizontal="center" vertical="center"/>
      <protection locked="0"/>
    </xf>
    <xf numFmtId="0" fontId="30" fillId="0" borderId="3" xfId="1" applyFont="1" applyBorder="1" applyAlignment="1" applyProtection="1">
      <alignment horizontal="center" vertical="center"/>
      <protection locked="0"/>
    </xf>
    <xf numFmtId="0" fontId="30" fillId="0" borderId="4" xfId="1" applyFont="1" applyBorder="1" applyAlignment="1" applyProtection="1">
      <alignment horizontal="center" vertical="center"/>
      <protection locked="0"/>
    </xf>
    <xf numFmtId="0" fontId="30" fillId="0" borderId="6" xfId="1" applyFont="1" applyBorder="1" applyAlignment="1" applyProtection="1">
      <alignment horizontal="center" vertical="center"/>
      <protection locked="0"/>
    </xf>
    <xf numFmtId="0" fontId="30" fillId="0" borderId="26" xfId="1" applyFont="1" applyBorder="1" applyAlignment="1" applyProtection="1">
      <alignment horizontal="center" vertical="center"/>
      <protection locked="0"/>
    </xf>
    <xf numFmtId="0" fontId="30" fillId="0" borderId="29" xfId="1" applyFont="1" applyBorder="1" applyAlignment="1" applyProtection="1">
      <alignment horizontal="center" vertical="center"/>
      <protection locked="0"/>
    </xf>
    <xf numFmtId="0" fontId="31" fillId="0" borderId="10" xfId="1" applyFont="1" applyBorder="1" applyAlignment="1" applyProtection="1">
      <alignment horizontal="center" vertical="center"/>
      <protection locked="0"/>
    </xf>
    <xf numFmtId="0" fontId="31" fillId="0" borderId="36" xfId="1" applyFont="1" applyBorder="1" applyAlignment="1" applyProtection="1">
      <alignment horizontal="center" vertical="center"/>
      <protection locked="0"/>
    </xf>
    <xf numFmtId="0" fontId="31" fillId="0" borderId="11" xfId="1" applyFont="1" applyBorder="1" applyAlignment="1" applyProtection="1">
      <alignment horizontal="center" vertical="center"/>
      <protection locked="0"/>
    </xf>
    <xf numFmtId="0" fontId="13" fillId="3" borderId="9" xfId="4" applyFont="1" applyFill="1" applyBorder="1" applyAlignment="1" applyProtection="1">
      <alignment horizontal="center" vertical="center" wrapText="1"/>
      <protection locked="0"/>
    </xf>
    <xf numFmtId="0" fontId="7" fillId="0" borderId="38" xfId="4" applyFont="1" applyBorder="1" applyAlignment="1" applyProtection="1">
      <alignment horizontal="center" vertical="center"/>
      <protection locked="0"/>
    </xf>
    <xf numFmtId="0" fontId="7" fillId="0" borderId="41" xfId="4" applyFont="1" applyBorder="1" applyAlignment="1" applyProtection="1">
      <alignment horizontal="center" vertical="center"/>
      <protection locked="0"/>
    </xf>
    <xf numFmtId="0" fontId="7" fillId="0" borderId="39" xfId="4" applyFont="1" applyBorder="1" applyAlignment="1" applyProtection="1">
      <alignment horizontal="center" vertical="center"/>
      <protection locked="0"/>
    </xf>
    <xf numFmtId="14" fontId="7" fillId="0" borderId="5" xfId="5" applyNumberFormat="1" applyFont="1" applyBorder="1" applyAlignment="1" applyProtection="1">
      <alignment horizontal="center" wrapText="1"/>
    </xf>
    <xf numFmtId="0" fontId="7" fillId="0" borderId="7" xfId="4" applyFont="1" applyBorder="1" applyAlignment="1" applyProtection="1">
      <alignment horizontal="center"/>
      <protection locked="0"/>
    </xf>
    <xf numFmtId="0" fontId="7" fillId="0" borderId="8" xfId="4" applyFont="1" applyBorder="1" applyAlignment="1" applyProtection="1">
      <alignment horizontal="center"/>
      <protection locked="0"/>
    </xf>
    <xf numFmtId="0" fontId="13" fillId="3" borderId="9" xfId="4" applyFont="1" applyFill="1" applyBorder="1" applyAlignment="1" applyProtection="1">
      <alignment horizontal="center" vertical="center"/>
    </xf>
    <xf numFmtId="0" fontId="13" fillId="3" borderId="10" xfId="4" applyFont="1" applyFill="1" applyBorder="1" applyAlignment="1" applyProtection="1">
      <alignment horizontal="center" vertical="center"/>
    </xf>
    <xf numFmtId="0" fontId="13" fillId="3" borderId="11" xfId="4" applyFont="1" applyFill="1" applyBorder="1" applyAlignment="1" applyProtection="1">
      <alignment horizontal="center" vertical="center"/>
    </xf>
    <xf numFmtId="0" fontId="13" fillId="3" borderId="23" xfId="4" applyFont="1" applyFill="1" applyBorder="1" applyAlignment="1" applyProtection="1">
      <alignment horizontal="center" vertical="center"/>
    </xf>
    <xf numFmtId="0" fontId="13" fillId="3" borderId="24" xfId="4" applyFont="1" applyFill="1" applyBorder="1" applyAlignment="1" applyProtection="1">
      <alignment horizontal="center" vertical="center"/>
    </xf>
    <xf numFmtId="0" fontId="13" fillId="3" borderId="25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12" xfId="4" applyFont="1" applyBorder="1" applyAlignment="1" applyProtection="1">
      <alignment horizontal="center" vertical="center"/>
    </xf>
    <xf numFmtId="0" fontId="7" fillId="0" borderId="16" xfId="4" applyFont="1" applyBorder="1" applyAlignment="1" applyProtection="1">
      <alignment horizontal="center"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7" fillId="0" borderId="18" xfId="4" applyFont="1" applyBorder="1" applyAlignment="1" applyProtection="1">
      <alignment horizontal="center" vertical="center"/>
    </xf>
    <xf numFmtId="0" fontId="7" fillId="0" borderId="20" xfId="4" applyFont="1" applyBorder="1" applyAlignment="1" applyProtection="1">
      <alignment horizontal="center" vertical="center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7" fillId="0" borderId="21" xfId="4" applyFont="1" applyBorder="1" applyAlignment="1" applyProtection="1">
      <alignment horizontal="center" vertical="center"/>
    </xf>
    <xf numFmtId="0" fontId="7" fillId="0" borderId="22" xfId="4" applyFont="1" applyBorder="1" applyAlignment="1" applyProtection="1">
      <alignment horizontal="center" vertical="center" wrapText="1"/>
    </xf>
    <xf numFmtId="0" fontId="13" fillId="3" borderId="9" xfId="4" applyFont="1" applyFill="1" applyBorder="1" applyAlignment="1" applyProtection="1">
      <alignment horizontal="center" vertical="center" wrapText="1"/>
    </xf>
    <xf numFmtId="0" fontId="13" fillId="3" borderId="36" xfId="4" applyFont="1" applyFill="1" applyBorder="1" applyAlignment="1" applyProtection="1">
      <alignment horizontal="center" vertical="center"/>
    </xf>
    <xf numFmtId="0" fontId="13" fillId="3" borderId="10" xfId="4" applyFont="1" applyFill="1" applyBorder="1" applyAlignment="1" applyProtection="1">
      <alignment horizontal="center" vertical="center"/>
      <protection hidden="1"/>
    </xf>
    <xf numFmtId="0" fontId="13" fillId="3" borderId="36" xfId="4" applyFont="1" applyFill="1" applyBorder="1" applyAlignment="1" applyProtection="1">
      <alignment horizontal="center" vertical="center"/>
      <protection hidden="1"/>
    </xf>
    <xf numFmtId="0" fontId="13" fillId="3" borderId="11" xfId="4" applyFont="1" applyFill="1" applyBorder="1" applyAlignment="1" applyProtection="1">
      <alignment horizontal="center" vertical="center"/>
      <protection hidden="1"/>
    </xf>
    <xf numFmtId="165" fontId="7" fillId="0" borderId="0" xfId="4" applyNumberFormat="1" applyFont="1" applyBorder="1" applyAlignment="1" applyProtection="1">
      <alignment horizontal="center" vertical="center"/>
    </xf>
    <xf numFmtId="0" fontId="7" fillId="0" borderId="7" xfId="5" applyFont="1" applyBorder="1" applyAlignment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18" xfId="4" applyFont="1" applyBorder="1" applyAlignment="1" applyProtection="1">
      <alignment horizontal="center" vertical="center"/>
      <protection locked="0"/>
    </xf>
    <xf numFmtId="0" fontId="7" fillId="0" borderId="20" xfId="4" applyFont="1" applyBorder="1" applyAlignment="1" applyProtection="1">
      <alignment horizontal="center" vertical="center"/>
      <protection locked="0"/>
    </xf>
    <xf numFmtId="0" fontId="7" fillId="0" borderId="19" xfId="4" applyFont="1" applyBorder="1" applyAlignment="1" applyProtection="1">
      <alignment horizontal="center" vertical="center"/>
      <protection locked="0"/>
    </xf>
    <xf numFmtId="0" fontId="7" fillId="0" borderId="14" xfId="4" applyFont="1" applyBorder="1" applyAlignment="1" applyProtection="1">
      <alignment horizontal="center" vertical="center"/>
      <protection locked="0"/>
    </xf>
    <xf numFmtId="0" fontId="7" fillId="0" borderId="51" xfId="4" applyFont="1" applyBorder="1" applyAlignment="1" applyProtection="1">
      <alignment horizontal="center" vertical="center"/>
      <protection locked="0"/>
    </xf>
    <xf numFmtId="0" fontId="7" fillId="0" borderId="52" xfId="4" applyFont="1" applyBorder="1" applyAlignment="1" applyProtection="1">
      <alignment horizontal="center" vertical="center"/>
      <protection locked="0"/>
    </xf>
    <xf numFmtId="0" fontId="7" fillId="0" borderId="16" xfId="4" applyFont="1" applyBorder="1" applyAlignment="1" applyProtection="1">
      <alignment horizontal="center" vertical="center"/>
      <protection locked="0"/>
    </xf>
    <xf numFmtId="0" fontId="7" fillId="0" borderId="15" xfId="4" applyFont="1" applyBorder="1" applyAlignment="1" applyProtection="1">
      <alignment horizontal="center" vertical="center"/>
      <protection locked="0"/>
    </xf>
    <xf numFmtId="0" fontId="7" fillId="0" borderId="19" xfId="4" applyFont="1" applyBorder="1" applyAlignment="1" applyProtection="1">
      <alignment horizontal="center" vertical="center" wrapText="1"/>
      <protection locked="0"/>
    </xf>
    <xf numFmtId="0" fontId="7" fillId="0" borderId="15" xfId="4" applyFont="1" applyBorder="1" applyAlignment="1" applyProtection="1">
      <alignment horizontal="center" vertical="center" wrapText="1"/>
      <protection locked="0"/>
    </xf>
    <xf numFmtId="14" fontId="10" fillId="0" borderId="5" xfId="5" applyNumberFormat="1" applyFont="1" applyBorder="1" applyAlignment="1" applyProtection="1">
      <alignment horizontal="center" wrapText="1"/>
    </xf>
    <xf numFmtId="0" fontId="13" fillId="3" borderId="24" xfId="4" applyFont="1" applyFill="1" applyBorder="1" applyAlignment="1" applyProtection="1">
      <alignment horizontal="center" vertical="center"/>
      <protection locked="0"/>
    </xf>
    <xf numFmtId="0" fontId="13" fillId="3" borderId="25" xfId="4" applyFont="1" applyFill="1" applyBorder="1" applyAlignment="1" applyProtection="1">
      <alignment horizontal="center" vertical="center"/>
      <protection locked="0"/>
    </xf>
    <xf numFmtId="0" fontId="7" fillId="0" borderId="12" xfId="4" applyFont="1" applyBorder="1" applyAlignment="1" applyProtection="1">
      <alignment horizontal="center" vertical="center"/>
      <protection locked="0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38" xfId="4" applyFont="1" applyBorder="1" applyAlignment="1" applyProtection="1">
      <alignment horizontal="center" vertical="center"/>
    </xf>
    <xf numFmtId="0" fontId="7" fillId="0" borderId="39" xfId="4" applyFont="1" applyBorder="1" applyAlignment="1" applyProtection="1">
      <alignment horizontal="center" vertical="center"/>
    </xf>
    <xf numFmtId="0" fontId="7" fillId="0" borderId="34" xfId="4" applyFont="1" applyBorder="1" applyAlignment="1" applyProtection="1">
      <alignment horizontal="center" vertical="center"/>
    </xf>
    <xf numFmtId="0" fontId="7" fillId="0" borderId="35" xfId="4" applyFont="1" applyBorder="1" applyAlignment="1" applyProtection="1">
      <alignment horizontal="center" vertical="center"/>
    </xf>
    <xf numFmtId="0" fontId="7" fillId="0" borderId="28" xfId="5" applyFont="1" applyBorder="1" applyAlignment="1">
      <alignment vertical="center" wrapText="1"/>
    </xf>
    <xf numFmtId="0" fontId="7" fillId="0" borderId="14" xfId="4" applyFont="1" applyBorder="1" applyAlignment="1" applyProtection="1">
      <alignment horizontal="center" vertical="center" wrapText="1"/>
      <protection locked="0"/>
    </xf>
    <xf numFmtId="0" fontId="7" fillId="0" borderId="17" xfId="4" applyFont="1" applyBorder="1" applyAlignment="1" applyProtection="1">
      <alignment horizontal="center" vertical="center"/>
      <protection locked="0"/>
    </xf>
    <xf numFmtId="0" fontId="7" fillId="0" borderId="40" xfId="4" applyFont="1" applyBorder="1" applyAlignment="1" applyProtection="1">
      <alignment horizontal="center" vertical="center"/>
      <protection locked="0"/>
    </xf>
    <xf numFmtId="0" fontId="7" fillId="0" borderId="0" xfId="4" applyFont="1" applyBorder="1" applyAlignment="1">
      <alignment horizontal="center" vertical="center"/>
    </xf>
    <xf numFmtId="0" fontId="7" fillId="0" borderId="5" xfId="5" applyFont="1" applyBorder="1" applyAlignment="1">
      <alignment horizontal="center" vertical="center" wrapText="1"/>
    </xf>
    <xf numFmtId="0" fontId="7" fillId="0" borderId="5" xfId="5" applyFont="1" applyBorder="1" applyAlignment="1">
      <alignment vertical="center" wrapText="1"/>
    </xf>
    <xf numFmtId="0" fontId="7" fillId="0" borderId="28" xfId="5" applyFont="1" applyBorder="1" applyAlignment="1" applyProtection="1">
      <alignment vertical="center" wrapText="1"/>
      <protection locked="0"/>
    </xf>
    <xf numFmtId="0" fontId="7" fillId="0" borderId="7" xfId="4" applyFont="1" applyBorder="1" applyAlignment="1" applyProtection="1">
      <alignment vertical="center"/>
      <protection locked="0"/>
    </xf>
    <xf numFmtId="0" fontId="7" fillId="0" borderId="8" xfId="4" applyFont="1" applyBorder="1" applyAlignment="1" applyProtection="1">
      <alignment vertical="center"/>
      <protection locked="0"/>
    </xf>
    <xf numFmtId="0" fontId="7" fillId="0" borderId="0" xfId="4" applyFont="1" applyBorder="1" applyAlignment="1" applyProtection="1">
      <alignment horizontal="center" vertical="center"/>
      <protection locked="0"/>
    </xf>
    <xf numFmtId="0" fontId="7" fillId="0" borderId="5" xfId="5" applyFont="1" applyBorder="1" applyAlignment="1" applyProtection="1">
      <alignment horizontal="center" vertical="center" wrapText="1"/>
      <protection locked="0"/>
    </xf>
    <xf numFmtId="0" fontId="7" fillId="0" borderId="5" xfId="5" applyFont="1" applyBorder="1" applyAlignment="1" applyProtection="1">
      <alignment vertical="center" wrapText="1"/>
      <protection locked="0"/>
    </xf>
    <xf numFmtId="14" fontId="7" fillId="0" borderId="5" xfId="5" applyNumberFormat="1" applyFont="1" applyBorder="1" applyAlignment="1">
      <alignment horizontal="center" vertical="center" wrapText="1"/>
    </xf>
    <xf numFmtId="0" fontId="13" fillId="3" borderId="24" xfId="4" applyFont="1" applyFill="1" applyBorder="1" applyAlignment="1">
      <alignment horizontal="center" vertical="center"/>
    </xf>
    <xf numFmtId="0" fontId="13" fillId="3" borderId="25" xfId="4" applyFont="1" applyFill="1" applyBorder="1" applyAlignment="1">
      <alignment horizontal="center" vertical="center"/>
    </xf>
    <xf numFmtId="0" fontId="23" fillId="0" borderId="33" xfId="4" applyFont="1" applyBorder="1" applyAlignment="1">
      <alignment horizontal="center" vertical="center" wrapText="1"/>
    </xf>
    <xf numFmtId="0" fontId="23" fillId="0" borderId="17" xfId="4" applyFont="1" applyBorder="1" applyAlignment="1">
      <alignment horizontal="center" vertical="center" wrapText="1"/>
    </xf>
    <xf numFmtId="0" fontId="23" fillId="0" borderId="17" xfId="4" applyFont="1" applyBorder="1" applyAlignment="1" applyProtection="1">
      <alignment horizontal="center" vertical="center"/>
      <protection locked="0"/>
    </xf>
    <xf numFmtId="0" fontId="23" fillId="0" borderId="40" xfId="4" applyFont="1" applyBorder="1" applyAlignment="1" applyProtection="1">
      <alignment horizontal="center" vertical="center"/>
      <protection locked="0"/>
    </xf>
    <xf numFmtId="0" fontId="23" fillId="0" borderId="34" xfId="4" applyFont="1" applyBorder="1" applyAlignment="1" applyProtection="1">
      <alignment horizontal="center" vertical="center"/>
      <protection locked="0"/>
    </xf>
    <xf numFmtId="0" fontId="23" fillId="0" borderId="35" xfId="4" applyFont="1" applyBorder="1" applyAlignment="1" applyProtection="1">
      <alignment horizontal="center" vertical="center"/>
      <protection locked="0"/>
    </xf>
    <xf numFmtId="0" fontId="23" fillId="0" borderId="33" xfId="4" applyFont="1" applyBorder="1" applyAlignment="1" applyProtection="1">
      <alignment horizontal="center" vertical="center" wrapText="1"/>
    </xf>
    <xf numFmtId="0" fontId="23" fillId="0" borderId="17" xfId="4" applyFont="1" applyBorder="1" applyAlignment="1" applyProtection="1">
      <alignment horizontal="center" vertical="center" wrapText="1"/>
    </xf>
    <xf numFmtId="0" fontId="28" fillId="0" borderId="44" xfId="4" applyFont="1" applyBorder="1" applyAlignment="1" applyProtection="1">
      <alignment horizontal="center" vertical="center"/>
      <protection locked="0"/>
    </xf>
    <xf numFmtId="0" fontId="28" fillId="0" borderId="2" xfId="4" applyFont="1" applyBorder="1" applyAlignment="1" applyProtection="1">
      <alignment horizontal="center" vertical="center"/>
      <protection locked="0"/>
    </xf>
    <xf numFmtId="0" fontId="28" fillId="0" borderId="45" xfId="4" applyFont="1" applyBorder="1" applyAlignment="1" applyProtection="1">
      <alignment horizontal="center" vertical="center"/>
      <protection locked="0"/>
    </xf>
    <xf numFmtId="0" fontId="28" fillId="0" borderId="17" xfId="4" applyFont="1" applyBorder="1" applyAlignment="1" applyProtection="1">
      <alignment horizontal="center" vertical="center"/>
      <protection locked="0"/>
    </xf>
    <xf numFmtId="0" fontId="24" fillId="0" borderId="7" xfId="3" applyFont="1" applyBorder="1" applyAlignment="1" applyProtection="1">
      <alignment horizontal="center" wrapText="1"/>
    </xf>
    <xf numFmtId="0" fontId="10" fillId="0" borderId="7" xfId="4" applyFont="1" applyBorder="1" applyAlignment="1" applyProtection="1">
      <alignment horizontal="center"/>
      <protection locked="0"/>
    </xf>
    <xf numFmtId="0" fontId="10" fillId="0" borderId="8" xfId="4" applyFont="1" applyBorder="1" applyAlignment="1" applyProtection="1">
      <alignment horizontal="center"/>
      <protection locked="0"/>
    </xf>
    <xf numFmtId="165" fontId="29" fillId="3" borderId="42" xfId="4" applyNumberFormat="1" applyFont="1" applyFill="1" applyBorder="1" applyAlignment="1" applyProtection="1">
      <alignment horizontal="center" vertical="center"/>
    </xf>
    <xf numFmtId="165" fontId="29" fillId="3" borderId="47" xfId="4" applyNumberFormat="1" applyFont="1" applyFill="1" applyBorder="1" applyAlignment="1" applyProtection="1">
      <alignment horizontal="center" vertical="center"/>
    </xf>
    <xf numFmtId="165" fontId="29" fillId="3" borderId="43" xfId="4" applyNumberFormat="1" applyFont="1" applyFill="1" applyBorder="1" applyAlignment="1" applyProtection="1">
      <alignment horizontal="center" vertical="center"/>
    </xf>
    <xf numFmtId="0" fontId="28" fillId="0" borderId="34" xfId="4" applyFont="1" applyBorder="1" applyAlignment="1" applyProtection="1">
      <alignment horizontal="center" vertical="center"/>
      <protection locked="0"/>
    </xf>
    <xf numFmtId="0" fontId="28" fillId="0" borderId="8" xfId="4" applyFont="1" applyBorder="1" applyAlignment="1" applyProtection="1">
      <alignment horizontal="center" vertical="center"/>
      <protection locked="0"/>
    </xf>
    <xf numFmtId="0" fontId="28" fillId="0" borderId="48" xfId="4" applyFont="1" applyBorder="1" applyAlignment="1" applyProtection="1">
      <alignment horizontal="center" vertical="center"/>
      <protection locked="0"/>
    </xf>
    <xf numFmtId="0" fontId="28" fillId="0" borderId="12" xfId="4" applyFont="1" applyBorder="1" applyAlignment="1" applyProtection="1">
      <alignment horizontal="center" vertical="center"/>
    </xf>
    <xf numFmtId="0" fontId="28" fillId="0" borderId="20" xfId="4" applyFont="1" applyBorder="1" applyAlignment="1" applyProtection="1">
      <alignment horizontal="center" vertical="center"/>
    </xf>
    <xf numFmtId="0" fontId="28" fillId="0" borderId="16" xfId="4" applyFont="1" applyBorder="1" applyAlignment="1" applyProtection="1">
      <alignment horizontal="center" vertical="center"/>
    </xf>
    <xf numFmtId="0" fontId="28" fillId="0" borderId="13" xfId="4" applyFont="1" applyBorder="1" applyAlignment="1" applyProtection="1">
      <alignment horizontal="center" vertical="center" wrapText="1"/>
    </xf>
    <xf numFmtId="0" fontId="28" fillId="0" borderId="14" xfId="4" applyFont="1" applyBorder="1" applyAlignment="1" applyProtection="1">
      <alignment horizontal="center" vertical="center" wrapText="1"/>
    </xf>
    <xf numFmtId="0" fontId="28" fillId="0" borderId="15" xfId="4" applyFont="1" applyBorder="1" applyAlignment="1" applyProtection="1">
      <alignment horizontal="center" vertical="center" wrapText="1"/>
    </xf>
    <xf numFmtId="165" fontId="29" fillId="3" borderId="46" xfId="4" applyNumberFormat="1" applyFont="1" applyFill="1" applyBorder="1" applyAlignment="1" applyProtection="1">
      <alignment horizontal="center" vertical="center"/>
    </xf>
    <xf numFmtId="0" fontId="28" fillId="0" borderId="18" xfId="4" applyFont="1" applyBorder="1" applyAlignment="1" applyProtection="1">
      <alignment horizontal="center" vertical="center"/>
    </xf>
    <xf numFmtId="0" fontId="28" fillId="0" borderId="19" xfId="4" applyFont="1" applyBorder="1" applyAlignment="1" applyProtection="1">
      <alignment horizontal="center" vertical="center"/>
    </xf>
    <xf numFmtId="0" fontId="28" fillId="0" borderId="14" xfId="4" applyFont="1" applyBorder="1" applyAlignment="1" applyProtection="1">
      <alignment horizontal="center" vertical="center"/>
    </xf>
    <xf numFmtId="0" fontId="28" fillId="0" borderId="15" xfId="4" applyFont="1" applyBorder="1" applyAlignment="1" applyProtection="1">
      <alignment horizontal="center" vertical="center"/>
    </xf>
    <xf numFmtId="0" fontId="28" fillId="0" borderId="19" xfId="4" applyFont="1" applyBorder="1" applyAlignment="1" applyProtection="1">
      <alignment horizontal="center" vertical="center" wrapText="1"/>
    </xf>
    <xf numFmtId="166" fontId="29" fillId="3" borderId="42" xfId="4" applyNumberFormat="1" applyFont="1" applyFill="1" applyBorder="1" applyAlignment="1" applyProtection="1">
      <alignment horizontal="center" vertical="center"/>
    </xf>
    <xf numFmtId="166" fontId="29" fillId="3" borderId="47" xfId="4" applyNumberFormat="1" applyFont="1" applyFill="1" applyBorder="1" applyAlignment="1" applyProtection="1">
      <alignment horizontal="center" vertical="center"/>
    </xf>
    <xf numFmtId="166" fontId="29" fillId="3" borderId="43" xfId="4" applyNumberFormat="1" applyFont="1" applyFill="1" applyBorder="1" applyAlignment="1" applyProtection="1">
      <alignment horizontal="center" vertical="center"/>
    </xf>
    <xf numFmtId="0" fontId="28" fillId="5" borderId="17" xfId="4" applyFont="1" applyFill="1" applyBorder="1" applyAlignment="1" applyProtection="1">
      <alignment horizontal="center" vertical="center"/>
    </xf>
    <xf numFmtId="0" fontId="28" fillId="0" borderId="17" xfId="4" applyFont="1" applyBorder="1" applyAlignment="1" applyProtection="1">
      <alignment horizontal="center" vertical="center"/>
    </xf>
    <xf numFmtId="0" fontId="7" fillId="0" borderId="37" xfId="4" applyFont="1" applyBorder="1" applyAlignment="1" applyProtection="1">
      <alignment horizontal="center" vertical="center"/>
    </xf>
    <xf numFmtId="0" fontId="7" fillId="0" borderId="28" xfId="5" applyFont="1" applyBorder="1" applyAlignment="1" applyProtection="1">
      <alignment vertical="center" wrapText="1"/>
    </xf>
  </cellXfs>
  <cellStyles count="13">
    <cellStyle name="Encabezado 1" xfId="2" builtinId="16"/>
    <cellStyle name="Fecha" xfId="7"/>
    <cellStyle name="Hipervínculo" xfId="10" builtinId="8"/>
    <cellStyle name="Moneda" xfId="9" builtinId="4"/>
    <cellStyle name="Normal" xfId="0" builtinId="0"/>
    <cellStyle name="Porcentaje" xfId="11" builtinId="5"/>
    <cellStyle name="Porcentaje 2" xfId="6"/>
    <cellStyle name="Subtotal" xfId="8"/>
    <cellStyle name="Texto de etiqueta" xfId="5"/>
    <cellStyle name="Título" xfId="1" builtinId="15"/>
    <cellStyle name="Título 2" xfId="3" builtinId="17"/>
    <cellStyle name="Título 2 2" xfId="12"/>
    <cellStyle name="Título 3" xfId="4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771525</xdr:colOff>
      <xdr:row>1</xdr:row>
      <xdr:rowOff>114300</xdr:rowOff>
    </xdr:from>
    <xdr:to>
      <xdr:col>6</xdr:col>
      <xdr:colOff>1154868</xdr:colOff>
      <xdr:row>3</xdr:row>
      <xdr:rowOff>281426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5334000" y="266700"/>
          <a:ext cx="2650293" cy="9291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</xdr:row>
          <xdr:rowOff>9525</xdr:rowOff>
        </xdr:from>
        <xdr:to>
          <xdr:col>3</xdr:col>
          <xdr:colOff>1343025</xdr:colOff>
          <xdr:row>3</xdr:row>
          <xdr:rowOff>28575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DF"/>
                  </a:solidFill>
                  <a:latin typeface="Manrope"/>
                </a:rPr>
                <a:t>Actualizar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38099</xdr:colOff>
      <xdr:row>2</xdr:row>
      <xdr:rowOff>295274</xdr:rowOff>
    </xdr:from>
    <xdr:to>
      <xdr:col>9</xdr:col>
      <xdr:colOff>2755068</xdr:colOff>
      <xdr:row>5</xdr:row>
      <xdr:rowOff>104775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22288499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18</xdr:row>
          <xdr:rowOff>342900</xdr:rowOff>
        </xdr:from>
        <xdr:to>
          <xdr:col>1</xdr:col>
          <xdr:colOff>1752600</xdr:colOff>
          <xdr:row>20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646255</xdr:colOff>
      <xdr:row>2</xdr:row>
      <xdr:rowOff>21430</xdr:rowOff>
    </xdr:from>
    <xdr:to>
      <xdr:col>25</xdr:col>
      <xdr:colOff>1357276</xdr:colOff>
      <xdr:row>5</xdr:row>
      <xdr:rowOff>321469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40756030" y="554830"/>
          <a:ext cx="4120970" cy="14430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31</xdr:row>
          <xdr:rowOff>352425</xdr:rowOff>
        </xdr:from>
        <xdr:to>
          <xdr:col>1</xdr:col>
          <xdr:colOff>1762125</xdr:colOff>
          <xdr:row>33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504824</xdr:colOff>
      <xdr:row>2</xdr:row>
      <xdr:rowOff>295274</xdr:rowOff>
    </xdr:from>
    <xdr:to>
      <xdr:col>8</xdr:col>
      <xdr:colOff>3221793</xdr:colOff>
      <xdr:row>5</xdr:row>
      <xdr:rowOff>104775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287249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26</xdr:row>
          <xdr:rowOff>314325</xdr:rowOff>
        </xdr:from>
        <xdr:to>
          <xdr:col>1</xdr:col>
          <xdr:colOff>1762125</xdr:colOff>
          <xdr:row>27</xdr:row>
          <xdr:rowOff>361950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161924</xdr:colOff>
      <xdr:row>2</xdr:row>
      <xdr:rowOff>314324</xdr:rowOff>
    </xdr:from>
    <xdr:to>
      <xdr:col>10</xdr:col>
      <xdr:colOff>1745418</xdr:colOff>
      <xdr:row>5</xdr:row>
      <xdr:rowOff>123825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1401424" y="84772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31</xdr:row>
          <xdr:rowOff>342900</xdr:rowOff>
        </xdr:from>
        <xdr:to>
          <xdr:col>1</xdr:col>
          <xdr:colOff>1771650</xdr:colOff>
          <xdr:row>33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66674</xdr:colOff>
      <xdr:row>2</xdr:row>
      <xdr:rowOff>352424</xdr:rowOff>
    </xdr:from>
    <xdr:to>
      <xdr:col>8</xdr:col>
      <xdr:colOff>1650168</xdr:colOff>
      <xdr:row>5</xdr:row>
      <xdr:rowOff>161925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0172699" y="88582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51</xdr:row>
          <xdr:rowOff>352425</xdr:rowOff>
        </xdr:from>
        <xdr:to>
          <xdr:col>1</xdr:col>
          <xdr:colOff>1752600</xdr:colOff>
          <xdr:row>53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1168497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101094" y="631372"/>
          <a:ext cx="3850328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55</xdr:row>
          <xdr:rowOff>0</xdr:rowOff>
        </xdr:from>
        <xdr:to>
          <xdr:col>1</xdr:col>
          <xdr:colOff>1752600</xdr:colOff>
          <xdr:row>56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55</xdr:row>
          <xdr:rowOff>0</xdr:rowOff>
        </xdr:from>
        <xdr:to>
          <xdr:col>1</xdr:col>
          <xdr:colOff>1752600</xdr:colOff>
          <xdr:row>56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49</xdr:row>
          <xdr:rowOff>342900</xdr:rowOff>
        </xdr:from>
        <xdr:to>
          <xdr:col>1</xdr:col>
          <xdr:colOff>1752600</xdr:colOff>
          <xdr:row>51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49</xdr:row>
          <xdr:rowOff>342900</xdr:rowOff>
        </xdr:from>
        <xdr:to>
          <xdr:col>1</xdr:col>
          <xdr:colOff>1752600</xdr:colOff>
          <xdr:row>51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49</xdr:row>
          <xdr:rowOff>342900</xdr:rowOff>
        </xdr:from>
        <xdr:to>
          <xdr:col>1</xdr:col>
          <xdr:colOff>1752600</xdr:colOff>
          <xdr:row>51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49</xdr:row>
          <xdr:rowOff>342900</xdr:rowOff>
        </xdr:from>
        <xdr:to>
          <xdr:col>1</xdr:col>
          <xdr:colOff>1771650</xdr:colOff>
          <xdr:row>51</xdr:row>
          <xdr:rowOff>9525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uxiliares/Analisis%20de%20Costos%20Personal/Analisis%20de%20Costos%20Person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uxiliares/Analisis%20de%20Costos%20Electricos/Analisis%20de%20Costos%20Electric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definedNames>
      <definedName name="FirmarHojaActual"/>
    </definedNames>
    <sheetDataSet>
      <sheetData sheetId="0"/>
      <sheetData sheetId="1"/>
      <sheetData sheetId="2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E11"/>
          <cell r="F11" t="str">
            <v>Plana</v>
          </cell>
          <cell r="G11"/>
          <cell r="H11" t="str">
            <v xml:space="preserve">12 mm </v>
          </cell>
          <cell r="I11"/>
          <cell r="J11" t="str">
            <v xml:space="preserve">16 mm </v>
          </cell>
          <cell r="K11"/>
          <cell r="L11" t="str">
            <v xml:space="preserve">20 mm </v>
          </cell>
          <cell r="M11"/>
          <cell r="N11" t="str">
            <v>25 mm</v>
          </cell>
          <cell r="O11"/>
          <cell r="P11" t="str">
            <v>32 mm</v>
          </cell>
          <cell r="Q11"/>
          <cell r="R11" t="str">
            <v>40 mm</v>
          </cell>
          <cell r="S11"/>
          <cell r="T11" t="str">
            <v>63 mm</v>
          </cell>
          <cell r="U11"/>
          <cell r="V11"/>
          <cell r="W11"/>
          <cell r="X11"/>
          <cell r="Y11"/>
          <cell r="Z11" t="str">
            <v>Para Ranurar</v>
          </cell>
          <cell r="AA11"/>
          <cell r="AB11" t="str">
            <v>Para Roscar</v>
          </cell>
          <cell r="AC11"/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  <row r="10">
          <cell r="AE10" t="str">
            <v>Espejo Joaquin</v>
          </cell>
        </row>
        <row r="11">
          <cell r="AE11" t="str">
            <v>Maldonado Virginia</v>
          </cell>
        </row>
        <row r="12">
          <cell r="AE12" t="str">
            <v>Coria Jairo Yamil</v>
          </cell>
        </row>
        <row r="13">
          <cell r="AE13" t="str">
            <v>Ghella Juan Pablo</v>
          </cell>
        </row>
        <row r="14">
          <cell r="AE14" t="str">
            <v>Guardia Jonatan Dario</v>
          </cell>
        </row>
        <row r="15">
          <cell r="AE15" t="str">
            <v>Ferro Juan Manuel</v>
          </cell>
        </row>
        <row r="16">
          <cell r="AE16" t="str">
            <v xml:space="preserve"> Acosta Eric Jose</v>
          </cell>
        </row>
        <row r="17">
          <cell r="AE17" t="str">
            <v>Dominguez Jose Alberto</v>
          </cell>
        </row>
        <row r="18">
          <cell r="AE18" t="str">
            <v>D'olivo Gaston Fernando</v>
          </cell>
        </row>
        <row r="19">
          <cell r="AE19" t="str">
            <v/>
          </cell>
        </row>
        <row r="20">
          <cell r="AE20" t="str">
            <v/>
          </cell>
        </row>
        <row r="21">
          <cell r="AE21" t="str">
            <v/>
          </cell>
        </row>
        <row r="22">
          <cell r="AE22" t="str">
            <v/>
          </cell>
        </row>
        <row r="23">
          <cell r="AE23" t="str">
            <v/>
          </cell>
        </row>
        <row r="24">
          <cell r="AE24" t="str">
            <v/>
          </cell>
        </row>
        <row r="25">
          <cell r="AE25" t="str">
            <v/>
          </cell>
        </row>
        <row r="26">
          <cell r="C26" t="str">
            <v>Operarios</v>
          </cell>
          <cell r="AE26" t="str">
            <v/>
          </cell>
        </row>
        <row r="27">
          <cell r="C27" t="str">
            <v>Supervisores</v>
          </cell>
          <cell r="AE27" t="str">
            <v/>
          </cell>
        </row>
        <row r="28">
          <cell r="C28" t="str">
            <v>Mantenimiento Preventivo</v>
          </cell>
          <cell r="E28">
            <v>0</v>
          </cell>
          <cell r="F28">
            <v>0</v>
          </cell>
          <cell r="G28">
            <v>96.239329268292693</v>
          </cell>
          <cell r="H28">
            <v>96.239329268292693</v>
          </cell>
          <cell r="I28">
            <v>96.239329268292693</v>
          </cell>
          <cell r="J28">
            <v>53.137895121951225</v>
          </cell>
          <cell r="K28">
            <v>53.137895121951225</v>
          </cell>
          <cell r="L28">
            <v>53.137895121951225</v>
          </cell>
          <cell r="M28">
            <v>53.137895121951225</v>
          </cell>
          <cell r="N28">
            <v>7.4688612195121955</v>
          </cell>
          <cell r="O28">
            <v>7.4688612195121955</v>
          </cell>
          <cell r="P28">
            <v>7.4688612195121955</v>
          </cell>
          <cell r="Q28">
            <v>112.03291829268294</v>
          </cell>
          <cell r="R28">
            <v>4.8119664634146346</v>
          </cell>
          <cell r="S28">
            <v>212.94881080139371</v>
          </cell>
          <cell r="T28">
            <v>98.89622402439025</v>
          </cell>
          <cell r="U28">
            <v>90.196364455574923</v>
          </cell>
          <cell r="V28">
            <v>82.727503236062731</v>
          </cell>
          <cell r="W28">
            <v>35.096516524390246</v>
          </cell>
          <cell r="X28">
            <v>0</v>
          </cell>
          <cell r="Y28">
            <v>0</v>
          </cell>
          <cell r="Z28">
            <v>0</v>
          </cell>
          <cell r="AD28" t="str">
            <v/>
          </cell>
          <cell r="AE28" t="str">
            <v/>
          </cell>
        </row>
        <row r="29">
          <cell r="C29" t="str">
            <v>Mantenimiento Correctivo</v>
          </cell>
          <cell r="E29">
            <v>13.699489239598279</v>
          </cell>
          <cell r="F29">
            <v>13.699489239598279</v>
          </cell>
          <cell r="G29">
            <v>86.590863233500713</v>
          </cell>
          <cell r="H29">
            <v>86.590863233500713</v>
          </cell>
          <cell r="I29">
            <v>86.590863233500713</v>
          </cell>
          <cell r="J29">
            <v>89.350095634415339</v>
          </cell>
          <cell r="K29">
            <v>89.350095634415339</v>
          </cell>
          <cell r="L29">
            <v>89.350095634415339</v>
          </cell>
          <cell r="M29">
            <v>89.350095634415339</v>
          </cell>
          <cell r="N29">
            <v>13.699489239598279</v>
          </cell>
          <cell r="O29">
            <v>13.699489239598279</v>
          </cell>
          <cell r="P29">
            <v>13.699489239598279</v>
          </cell>
          <cell r="Q29">
            <v>13.699489239598279</v>
          </cell>
          <cell r="R29">
            <v>13.699489239598279</v>
          </cell>
          <cell r="S29">
            <v>84.682426173396195</v>
          </cell>
          <cell r="T29">
            <v>13.699489239598279</v>
          </cell>
          <cell r="U29">
            <v>35.98299179476669</v>
          </cell>
          <cell r="V29">
            <v>22.283502555168411</v>
          </cell>
          <cell r="W29">
            <v>22.283502555168411</v>
          </cell>
          <cell r="X29">
            <v>0</v>
          </cell>
          <cell r="Y29">
            <v>0</v>
          </cell>
          <cell r="Z29">
            <v>0</v>
          </cell>
          <cell r="AD29" t="str">
            <v/>
          </cell>
          <cell r="AE29" t="str">
            <v/>
          </cell>
        </row>
        <row r="30">
          <cell r="AE30" t="str">
            <v/>
          </cell>
        </row>
        <row r="31">
          <cell r="AE31" t="str">
            <v/>
          </cell>
        </row>
        <row r="32">
          <cell r="AE32" t="str">
            <v/>
          </cell>
        </row>
        <row r="33">
          <cell r="AE33" t="str">
            <v/>
          </cell>
        </row>
        <row r="34">
          <cell r="AE34" t="str">
            <v/>
          </cell>
        </row>
        <row r="35">
          <cell r="AE35" t="str">
            <v/>
          </cell>
        </row>
        <row r="36">
          <cell r="AE36" t="str">
            <v/>
          </cell>
        </row>
        <row r="37">
          <cell r="AE37" t="str">
            <v/>
          </cell>
        </row>
        <row r="38">
          <cell r="AE38" t="str">
            <v/>
          </cell>
        </row>
        <row r="39">
          <cell r="AE39" t="str">
            <v/>
          </cell>
        </row>
        <row r="40">
          <cell r="AE40" t="str">
            <v/>
          </cell>
        </row>
        <row r="41">
          <cell r="AE41" t="str">
            <v/>
          </cell>
        </row>
        <row r="42">
          <cell r="AE42" t="str">
            <v/>
          </cell>
        </row>
        <row r="43">
          <cell r="AE43" t="str">
            <v/>
          </cell>
        </row>
        <row r="44">
          <cell r="AE44" t="str">
            <v/>
          </cell>
        </row>
        <row r="45">
          <cell r="AE45" t="str">
            <v/>
          </cell>
        </row>
        <row r="46">
          <cell r="AE46" t="str">
            <v/>
          </cell>
        </row>
        <row r="47">
          <cell r="AE47" t="str">
            <v/>
          </cell>
        </row>
        <row r="48">
          <cell r="AE48" t="str">
            <v/>
          </cell>
        </row>
        <row r="49">
          <cell r="AE49" t="str">
            <v/>
          </cell>
        </row>
        <row r="50">
          <cell r="AE50" t="str">
            <v/>
          </cell>
        </row>
        <row r="51">
          <cell r="AE51" t="str">
            <v/>
          </cell>
        </row>
        <row r="52">
          <cell r="AE52" t="str">
            <v/>
          </cell>
        </row>
        <row r="53">
          <cell r="AE53" t="str">
            <v/>
          </cell>
        </row>
        <row r="54">
          <cell r="AE54" t="str">
            <v/>
          </cell>
        </row>
        <row r="55">
          <cell r="AE55" t="str">
            <v/>
          </cell>
        </row>
        <row r="56">
          <cell r="AE56" t="str">
            <v/>
          </cell>
        </row>
        <row r="57">
          <cell r="AE57" t="str">
            <v/>
          </cell>
        </row>
        <row r="58">
          <cell r="AE58" t="str">
            <v/>
          </cell>
        </row>
        <row r="59">
          <cell r="AE59" t="str">
            <v/>
          </cell>
        </row>
        <row r="60">
          <cell r="AE60" t="str">
            <v/>
          </cell>
        </row>
        <row r="61">
          <cell r="AE61" t="str">
            <v/>
          </cell>
        </row>
        <row r="62">
          <cell r="AE62" t="str">
            <v/>
          </cell>
        </row>
        <row r="63">
          <cell r="AE63" t="str">
            <v/>
          </cell>
        </row>
        <row r="64">
          <cell r="AE64" t="str">
            <v/>
          </cell>
        </row>
        <row r="65">
          <cell r="AE65" t="str">
            <v/>
          </cell>
        </row>
        <row r="66">
          <cell r="AE66" t="str">
            <v/>
          </cell>
        </row>
        <row r="67">
          <cell r="AE67" t="str">
            <v/>
          </cell>
        </row>
        <row r="68">
          <cell r="AE68" t="str">
            <v/>
          </cell>
        </row>
        <row r="69">
          <cell r="AE69" t="str">
            <v/>
          </cell>
        </row>
        <row r="70">
          <cell r="AE70" t="str">
            <v/>
          </cell>
        </row>
        <row r="71">
          <cell r="AE71" t="str">
            <v/>
          </cell>
        </row>
        <row r="72">
          <cell r="AE72" t="str">
            <v/>
          </cell>
        </row>
        <row r="73">
          <cell r="AE73" t="str">
            <v/>
          </cell>
        </row>
        <row r="74">
          <cell r="AE74" t="str">
            <v/>
          </cell>
        </row>
        <row r="75">
          <cell r="AE75" t="str">
            <v/>
          </cell>
        </row>
        <row r="76">
          <cell r="AE76" t="str">
            <v/>
          </cell>
        </row>
        <row r="77">
          <cell r="AE77" t="str">
            <v/>
          </cell>
        </row>
        <row r="78">
          <cell r="AE78" t="str">
            <v/>
          </cell>
        </row>
        <row r="79">
          <cell r="AE79" t="str">
            <v/>
          </cell>
        </row>
        <row r="80">
          <cell r="AE80" t="str">
            <v/>
          </cell>
        </row>
        <row r="81">
          <cell r="AE81" t="str">
            <v/>
          </cell>
        </row>
        <row r="82">
          <cell r="AE82" t="str">
            <v/>
          </cell>
        </row>
        <row r="83">
          <cell r="AE83" t="str">
            <v/>
          </cell>
        </row>
        <row r="84">
          <cell r="AE84" t="str">
            <v/>
          </cell>
        </row>
        <row r="85">
          <cell r="AE85" t="str">
            <v/>
          </cell>
        </row>
        <row r="86">
          <cell r="AE86" t="str">
            <v/>
          </cell>
        </row>
        <row r="87">
          <cell r="AE87" t="str">
            <v/>
          </cell>
        </row>
        <row r="88">
          <cell r="AE88" t="str">
            <v/>
          </cell>
        </row>
        <row r="89">
          <cell r="AE89" t="str">
            <v/>
          </cell>
        </row>
        <row r="90">
          <cell r="AE90" t="str">
            <v/>
          </cell>
        </row>
        <row r="91">
          <cell r="AE91" t="str">
            <v/>
          </cell>
        </row>
        <row r="92">
          <cell r="AE92" t="str">
            <v/>
          </cell>
        </row>
        <row r="93">
          <cell r="AE93" t="str">
            <v/>
          </cell>
        </row>
        <row r="94">
          <cell r="AE94" t="str">
            <v/>
          </cell>
        </row>
        <row r="95">
          <cell r="AE95" t="str">
            <v/>
          </cell>
        </row>
        <row r="96">
          <cell r="AE96" t="str">
            <v/>
          </cell>
        </row>
        <row r="97">
          <cell r="AE97" t="str">
            <v/>
          </cell>
        </row>
        <row r="98">
          <cell r="AE98" t="str">
            <v/>
          </cell>
        </row>
        <row r="99">
          <cell r="AE99" t="str">
            <v/>
          </cell>
        </row>
        <row r="100">
          <cell r="AE100" t="str">
            <v/>
          </cell>
        </row>
      </sheetData>
      <sheetData sheetId="5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Renolit Poliplex 2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7">
          <cell r="D27"/>
        </row>
        <row r="28">
          <cell r="D28"/>
        </row>
        <row r="29">
          <cell r="D29"/>
        </row>
        <row r="30">
          <cell r="D30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3">
          <cell r="G23">
            <v>125.01</v>
          </cell>
          <cell r="H23">
            <v>2000</v>
          </cell>
        </row>
        <row r="24">
          <cell r="G24"/>
          <cell r="H24">
            <v>4000</v>
          </cell>
        </row>
        <row r="25">
          <cell r="G25">
            <v>475.29999999999995</v>
          </cell>
          <cell r="H25">
            <v>4000</v>
          </cell>
        </row>
        <row r="26">
          <cell r="G26"/>
          <cell r="H26">
            <v>8000</v>
          </cell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/>
      <sheetData sheetId="1"/>
      <sheetData sheetId="2">
        <row r="10">
          <cell r="AW10" t="str">
            <v>Guardia Jonatan Dario</v>
          </cell>
        </row>
        <row r="11">
          <cell r="AW11" t="str">
            <v>Ferro Juan Manuel</v>
          </cell>
        </row>
        <row r="12">
          <cell r="AW12" t="str">
            <v>D'olivo Gaston Fernando</v>
          </cell>
        </row>
        <row r="13">
          <cell r="AW13" t="str">
            <v>Barrios Ortiz Ignacio</v>
          </cell>
        </row>
        <row r="14">
          <cell r="AW14" t="str">
            <v>Deheza Pambosian Fernando</v>
          </cell>
        </row>
        <row r="15">
          <cell r="AW15" t="str">
            <v>Agüero Juan Pablo</v>
          </cell>
        </row>
        <row r="16">
          <cell r="AW16" t="str">
            <v>Roda Gabriel Cesar</v>
          </cell>
        </row>
        <row r="17">
          <cell r="AW17" t="str">
            <v/>
          </cell>
        </row>
        <row r="18">
          <cell r="AW18" t="str">
            <v/>
          </cell>
        </row>
        <row r="19">
          <cell r="AW19" t="str">
            <v/>
          </cell>
        </row>
        <row r="20">
          <cell r="AW20" t="str">
            <v/>
          </cell>
        </row>
        <row r="21">
          <cell r="AW21" t="str">
            <v/>
          </cell>
        </row>
        <row r="22">
          <cell r="AW22" t="str">
            <v/>
          </cell>
        </row>
        <row r="23">
          <cell r="AW23" t="str">
            <v/>
          </cell>
        </row>
        <row r="24">
          <cell r="AW24" t="str">
            <v/>
          </cell>
        </row>
        <row r="25">
          <cell r="AW25" t="str">
            <v/>
          </cell>
        </row>
        <row r="26">
          <cell r="AW26" t="str">
            <v/>
          </cell>
        </row>
        <row r="27">
          <cell r="AW27" t="str">
            <v/>
          </cell>
        </row>
        <row r="28">
          <cell r="AW28" t="str">
            <v/>
          </cell>
        </row>
        <row r="29">
          <cell r="AW29" t="str">
            <v/>
          </cell>
        </row>
        <row r="30">
          <cell r="AW30" t="str">
            <v/>
          </cell>
        </row>
        <row r="31">
          <cell r="AW31" t="str">
            <v/>
          </cell>
        </row>
        <row r="32">
          <cell r="AW32" t="str">
            <v/>
          </cell>
        </row>
        <row r="33">
          <cell r="AW33" t="str">
            <v/>
          </cell>
        </row>
        <row r="34">
          <cell r="AW34" t="str">
            <v/>
          </cell>
        </row>
        <row r="35">
          <cell r="AW35" t="str">
            <v/>
          </cell>
        </row>
        <row r="36">
          <cell r="AW36" t="str">
            <v/>
          </cell>
        </row>
        <row r="37">
          <cell r="AW37" t="str">
            <v/>
          </cell>
        </row>
        <row r="38">
          <cell r="AW38" t="str">
            <v/>
          </cell>
        </row>
        <row r="39">
          <cell r="AW39" t="str">
            <v/>
          </cell>
        </row>
        <row r="40">
          <cell r="AW40" t="str">
            <v/>
          </cell>
        </row>
        <row r="41">
          <cell r="AW41" t="str">
            <v/>
          </cell>
        </row>
        <row r="42">
          <cell r="AW42" t="str">
            <v/>
          </cell>
        </row>
        <row r="43">
          <cell r="AW43" t="str">
            <v/>
          </cell>
        </row>
        <row r="44">
          <cell r="AW44" t="str">
            <v/>
          </cell>
        </row>
        <row r="45">
          <cell r="AW45" t="str">
            <v/>
          </cell>
        </row>
        <row r="46">
          <cell r="AW46" t="str">
            <v/>
          </cell>
        </row>
        <row r="47">
          <cell r="AW47" t="str">
            <v/>
          </cell>
        </row>
        <row r="48">
          <cell r="AW48" t="str">
            <v/>
          </cell>
        </row>
        <row r="49">
          <cell r="AW49" t="str">
            <v/>
          </cell>
        </row>
        <row r="50">
          <cell r="AW50" t="str">
            <v/>
          </cell>
        </row>
        <row r="51">
          <cell r="AW51" t="str">
            <v/>
          </cell>
        </row>
        <row r="52">
          <cell r="AW52" t="str">
            <v/>
          </cell>
        </row>
        <row r="53">
          <cell r="AW53" t="str">
            <v/>
          </cell>
        </row>
        <row r="54">
          <cell r="AW54" t="str">
            <v/>
          </cell>
        </row>
        <row r="55">
          <cell r="AW55" t="str">
            <v/>
          </cell>
        </row>
        <row r="56">
          <cell r="AW56" t="str">
            <v/>
          </cell>
        </row>
        <row r="57">
          <cell r="AW57" t="str">
            <v/>
          </cell>
        </row>
        <row r="58">
          <cell r="AW58" t="str">
            <v/>
          </cell>
        </row>
        <row r="59">
          <cell r="AW59" t="str">
            <v/>
          </cell>
        </row>
        <row r="60">
          <cell r="AW60" t="str">
            <v/>
          </cell>
        </row>
        <row r="61">
          <cell r="AW61" t="str">
            <v/>
          </cell>
        </row>
        <row r="62">
          <cell r="AW62" t="str">
            <v/>
          </cell>
        </row>
        <row r="63">
          <cell r="AW63" t="str">
            <v/>
          </cell>
        </row>
        <row r="64">
          <cell r="AW64" t="str">
            <v/>
          </cell>
        </row>
        <row r="65">
          <cell r="AW65" t="str">
            <v/>
          </cell>
        </row>
        <row r="66">
          <cell r="AW66" t="str">
            <v/>
          </cell>
        </row>
        <row r="67">
          <cell r="AW67" t="str">
            <v/>
          </cell>
        </row>
        <row r="68">
          <cell r="AW68" t="str">
            <v/>
          </cell>
        </row>
        <row r="69">
          <cell r="AW69" t="str">
            <v/>
          </cell>
        </row>
        <row r="70">
          <cell r="AW70" t="str">
            <v/>
          </cell>
        </row>
        <row r="71">
          <cell r="AW71" t="str">
            <v/>
          </cell>
        </row>
        <row r="72">
          <cell r="AW72" t="str">
            <v/>
          </cell>
        </row>
        <row r="73">
          <cell r="AW73" t="str">
            <v/>
          </cell>
        </row>
        <row r="74">
          <cell r="AW74" t="str">
            <v/>
          </cell>
        </row>
        <row r="75">
          <cell r="AW75" t="str">
            <v/>
          </cell>
        </row>
        <row r="76">
          <cell r="AW76" t="str">
            <v/>
          </cell>
        </row>
        <row r="77">
          <cell r="AW77" t="str">
            <v/>
          </cell>
        </row>
        <row r="78">
          <cell r="AW78" t="str">
            <v/>
          </cell>
        </row>
        <row r="79">
          <cell r="AW79" t="str">
            <v/>
          </cell>
        </row>
        <row r="80">
          <cell r="AW80" t="str">
            <v/>
          </cell>
        </row>
        <row r="81">
          <cell r="AW81" t="str">
            <v/>
          </cell>
        </row>
        <row r="82">
          <cell r="AW82" t="str">
            <v/>
          </cell>
        </row>
        <row r="83">
          <cell r="AW83" t="str">
            <v/>
          </cell>
        </row>
        <row r="84">
          <cell r="AW84" t="str">
            <v/>
          </cell>
        </row>
        <row r="85">
          <cell r="AW85" t="str">
            <v/>
          </cell>
        </row>
        <row r="86">
          <cell r="AW86" t="str">
            <v/>
          </cell>
        </row>
        <row r="87">
          <cell r="AW87" t="str">
            <v/>
          </cell>
        </row>
        <row r="88">
          <cell r="AW88" t="str">
            <v/>
          </cell>
        </row>
        <row r="89">
          <cell r="AW89" t="str">
            <v/>
          </cell>
        </row>
        <row r="90">
          <cell r="AW90" t="str">
            <v/>
          </cell>
        </row>
        <row r="91">
          <cell r="AW91" t="str">
            <v/>
          </cell>
        </row>
        <row r="92">
          <cell r="AW92" t="str">
            <v/>
          </cell>
        </row>
        <row r="93">
          <cell r="AW93" t="str">
            <v/>
          </cell>
        </row>
        <row r="94">
          <cell r="AW94" t="str">
            <v/>
          </cell>
        </row>
        <row r="95">
          <cell r="AW95" t="str">
            <v/>
          </cell>
        </row>
        <row r="96">
          <cell r="AW96" t="str">
            <v/>
          </cell>
        </row>
        <row r="97">
          <cell r="AW97" t="str">
            <v/>
          </cell>
        </row>
        <row r="98">
          <cell r="AW98" t="str">
            <v/>
          </cell>
        </row>
        <row r="99">
          <cell r="AW99" t="str">
            <v/>
          </cell>
        </row>
        <row r="100"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/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l"/>
      <sheetName val="Analisis de Costos Personal"/>
    </sheetNames>
    <sheetDataSet>
      <sheetData sheetId="0">
        <row r="3">
          <cell r="K3">
            <v>1435</v>
          </cell>
        </row>
        <row r="9">
          <cell r="C9" t="str">
            <v>Espejo Joaquin</v>
          </cell>
          <cell r="D9" t="str">
            <v>Producción</v>
          </cell>
          <cell r="E9">
            <v>1</v>
          </cell>
          <cell r="F9"/>
          <cell r="G9">
            <v>0</v>
          </cell>
          <cell r="H9"/>
          <cell r="I9">
            <v>0</v>
          </cell>
          <cell r="J9"/>
          <cell r="K9">
            <v>0</v>
          </cell>
          <cell r="L9">
            <v>2169897.9300000002</v>
          </cell>
        </row>
        <row r="10">
          <cell r="C10" t="str">
            <v>Maldonado Virginia</v>
          </cell>
          <cell r="D10" t="str">
            <v>Producción</v>
          </cell>
          <cell r="E10">
            <v>1</v>
          </cell>
          <cell r="F10"/>
          <cell r="G10">
            <v>0</v>
          </cell>
          <cell r="H10"/>
          <cell r="I10">
            <v>0</v>
          </cell>
          <cell r="J10"/>
          <cell r="K10">
            <v>0</v>
          </cell>
          <cell r="L10">
            <v>1775914.57</v>
          </cell>
        </row>
        <row r="11">
          <cell r="C11" t="str">
            <v>Coria Jairo Yamil</v>
          </cell>
          <cell r="D11" t="str">
            <v>Producción</v>
          </cell>
          <cell r="E11">
            <v>1</v>
          </cell>
          <cell r="F11"/>
          <cell r="G11">
            <v>0</v>
          </cell>
          <cell r="H11"/>
          <cell r="I11">
            <v>0</v>
          </cell>
          <cell r="J11"/>
          <cell r="K11">
            <v>0</v>
          </cell>
          <cell r="L11">
            <v>2178653.7000000002</v>
          </cell>
        </row>
        <row r="12">
          <cell r="C12" t="str">
            <v>Ghella Juan Pablo</v>
          </cell>
          <cell r="D12" t="str">
            <v>Producción</v>
          </cell>
          <cell r="E12">
            <v>1</v>
          </cell>
          <cell r="F12"/>
          <cell r="G12">
            <v>0</v>
          </cell>
          <cell r="H12"/>
          <cell r="I12">
            <v>0</v>
          </cell>
          <cell r="J12"/>
          <cell r="K12">
            <v>0</v>
          </cell>
          <cell r="L12">
            <v>2666627.7599999998</v>
          </cell>
        </row>
        <row r="13">
          <cell r="C13" t="str">
            <v>Guardia Jonatan Dario</v>
          </cell>
          <cell r="D13" t="str">
            <v>Producción</v>
          </cell>
          <cell r="E13">
            <v>0.5</v>
          </cell>
          <cell r="F13" t="str">
            <v>Ensamble</v>
          </cell>
          <cell r="G13">
            <v>0.25</v>
          </cell>
          <cell r="H13" t="str">
            <v>Embalaje</v>
          </cell>
          <cell r="I13">
            <v>0.25</v>
          </cell>
          <cell r="J13"/>
          <cell r="K13">
            <v>0</v>
          </cell>
          <cell r="L13">
            <v>3215679.86</v>
          </cell>
        </row>
        <row r="14">
          <cell r="C14" t="str">
            <v>Ferro Juan Manuel</v>
          </cell>
          <cell r="D14" t="str">
            <v>Producción</v>
          </cell>
          <cell r="E14">
            <v>0.5</v>
          </cell>
          <cell r="F14" t="str">
            <v>Ensamble</v>
          </cell>
          <cell r="G14">
            <v>0.25</v>
          </cell>
          <cell r="H14" t="str">
            <v>Embalaje</v>
          </cell>
          <cell r="I14">
            <v>0.25</v>
          </cell>
          <cell r="J14"/>
          <cell r="K14">
            <v>0</v>
          </cell>
          <cell r="L14">
            <v>3819417.6000000001</v>
          </cell>
        </row>
        <row r="15">
          <cell r="C15" t="str">
            <v xml:space="preserve"> Acosta Eric Jose</v>
          </cell>
          <cell r="D15" t="str">
            <v>Producción</v>
          </cell>
          <cell r="E15">
            <v>1</v>
          </cell>
          <cell r="F15"/>
          <cell r="G15">
            <v>0</v>
          </cell>
          <cell r="H15"/>
          <cell r="I15">
            <v>0</v>
          </cell>
          <cell r="J15"/>
          <cell r="K15">
            <v>0</v>
          </cell>
          <cell r="L15">
            <v>1154148.8500000001</v>
          </cell>
        </row>
        <row r="16">
          <cell r="C16" t="str">
            <v>Dominguez Jose Alberto</v>
          </cell>
          <cell r="D16" t="str">
            <v>Producción</v>
          </cell>
          <cell r="E16">
            <v>1</v>
          </cell>
          <cell r="F16"/>
          <cell r="G16">
            <v>0</v>
          </cell>
          <cell r="H16"/>
          <cell r="I16">
            <v>0</v>
          </cell>
          <cell r="J16"/>
          <cell r="K16">
            <v>0</v>
          </cell>
          <cell r="L16">
            <v>1918609.57</v>
          </cell>
        </row>
        <row r="17">
          <cell r="C17" t="str">
            <v>D'olivo Gaston Fernando</v>
          </cell>
          <cell r="D17" t="str">
            <v>Ensamble</v>
          </cell>
          <cell r="E17">
            <v>0.8</v>
          </cell>
          <cell r="F17" t="str">
            <v>Producción</v>
          </cell>
          <cell r="G17">
            <v>0.2</v>
          </cell>
          <cell r="H17"/>
          <cell r="I17">
            <v>0</v>
          </cell>
          <cell r="J17"/>
          <cell r="K17">
            <v>0</v>
          </cell>
          <cell r="L17">
            <v>2037210.29</v>
          </cell>
        </row>
        <row r="18">
          <cell r="C18" t="str">
            <v>Ortiz Raul Edgardo</v>
          </cell>
          <cell r="D18" t="str">
            <v>Embalaje</v>
          </cell>
          <cell r="E18">
            <v>0.5</v>
          </cell>
          <cell r="F18" t="str">
            <v>Deposito y Logística</v>
          </cell>
          <cell r="G18">
            <v>0.5</v>
          </cell>
          <cell r="H18"/>
          <cell r="I18">
            <v>0</v>
          </cell>
          <cell r="J18"/>
          <cell r="K18">
            <v>0</v>
          </cell>
          <cell r="L18">
            <v>2837593.55</v>
          </cell>
        </row>
        <row r="19">
          <cell r="C19" t="str">
            <v>Sayago Alberto Martin</v>
          </cell>
          <cell r="D19" t="str">
            <v>Embalaje</v>
          </cell>
          <cell r="E19">
            <v>0.8</v>
          </cell>
          <cell r="F19" t="str">
            <v>Deposito y Logística</v>
          </cell>
          <cell r="G19">
            <v>0.2</v>
          </cell>
          <cell r="H19"/>
          <cell r="I19">
            <v>0</v>
          </cell>
          <cell r="J19"/>
          <cell r="K19">
            <v>0</v>
          </cell>
          <cell r="L19">
            <v>2503204.12</v>
          </cell>
        </row>
        <row r="20">
          <cell r="C20" t="str">
            <v>Rinaldi Jorge Gabriel</v>
          </cell>
          <cell r="D20" t="str">
            <v>Embalaje</v>
          </cell>
          <cell r="E20">
            <v>0.25</v>
          </cell>
          <cell r="F20" t="str">
            <v>Deposito y Logística</v>
          </cell>
          <cell r="G20">
            <v>0.75</v>
          </cell>
          <cell r="H20"/>
          <cell r="I20">
            <v>0</v>
          </cell>
          <cell r="J20"/>
          <cell r="K20">
            <v>0</v>
          </cell>
          <cell r="L20">
            <v>2016905.67</v>
          </cell>
        </row>
        <row r="21">
          <cell r="C21" t="str">
            <v>Piacenza Facundo Javier</v>
          </cell>
          <cell r="D21" t="str">
            <v>Embalaje</v>
          </cell>
          <cell r="E21">
            <v>0.8</v>
          </cell>
          <cell r="F21" t="str">
            <v>Deposito y Logística</v>
          </cell>
          <cell r="G21">
            <v>0.2</v>
          </cell>
          <cell r="H21"/>
          <cell r="I21">
            <v>0</v>
          </cell>
          <cell r="J21"/>
          <cell r="K21">
            <v>0</v>
          </cell>
          <cell r="L21">
            <v>1154148.8500000001</v>
          </cell>
        </row>
        <row r="22">
          <cell r="C22" t="str">
            <v>Oviedo Leandro Carlos</v>
          </cell>
          <cell r="D22" t="str">
            <v>Embalaje</v>
          </cell>
          <cell r="E22">
            <v>0.8</v>
          </cell>
          <cell r="F22" t="str">
            <v>Deposito y Logística</v>
          </cell>
          <cell r="G22">
            <v>0.2</v>
          </cell>
          <cell r="H22"/>
          <cell r="I22">
            <v>0</v>
          </cell>
          <cell r="J22"/>
          <cell r="K22">
            <v>0</v>
          </cell>
          <cell r="L22">
            <v>1154148.8500000001</v>
          </cell>
        </row>
        <row r="23">
          <cell r="C23" t="str">
            <v>Appendino Tomas</v>
          </cell>
          <cell r="D23" t="str">
            <v>Embalaje</v>
          </cell>
          <cell r="E23">
            <v>0.8</v>
          </cell>
          <cell r="F23" t="str">
            <v>Deposito y Logística</v>
          </cell>
          <cell r="G23">
            <v>0.2</v>
          </cell>
          <cell r="H23"/>
          <cell r="I23">
            <v>0</v>
          </cell>
          <cell r="J23"/>
          <cell r="K23">
            <v>0</v>
          </cell>
          <cell r="L23">
            <v>1154148.8500000001</v>
          </cell>
        </row>
        <row r="24">
          <cell r="C24" t="str">
            <v>Barrios Ortiz Ignacio</v>
          </cell>
          <cell r="D24" t="str">
            <v>Ensamble</v>
          </cell>
          <cell r="E24">
            <v>0.5</v>
          </cell>
          <cell r="F24" t="str">
            <v>Embalaje</v>
          </cell>
          <cell r="G24">
            <v>0.5</v>
          </cell>
          <cell r="H24"/>
          <cell r="I24">
            <v>0</v>
          </cell>
          <cell r="J24"/>
          <cell r="K24">
            <v>0</v>
          </cell>
          <cell r="L24">
            <v>2549115.37</v>
          </cell>
        </row>
        <row r="25">
          <cell r="C25" t="str">
            <v>Deheza Pambosian Fernando</v>
          </cell>
          <cell r="D25" t="str">
            <v>Ensamble</v>
          </cell>
          <cell r="E25">
            <v>0.2</v>
          </cell>
          <cell r="F25" t="str">
            <v>Embalaje</v>
          </cell>
          <cell r="G25">
            <v>0.8</v>
          </cell>
          <cell r="H25"/>
          <cell r="I25">
            <v>0</v>
          </cell>
          <cell r="J25"/>
          <cell r="K25">
            <v>0</v>
          </cell>
          <cell r="L25">
            <v>1741293.59</v>
          </cell>
        </row>
        <row r="26">
          <cell r="C26" t="str">
            <v>Agüero Juan Pablo</v>
          </cell>
          <cell r="D26" t="str">
            <v>Ensamble</v>
          </cell>
          <cell r="E26">
            <v>0.2</v>
          </cell>
          <cell r="F26" t="str">
            <v>Embalaje</v>
          </cell>
          <cell r="G26">
            <v>0.8</v>
          </cell>
          <cell r="H26"/>
          <cell r="I26">
            <v>0</v>
          </cell>
          <cell r="J26"/>
          <cell r="K26">
            <v>0</v>
          </cell>
          <cell r="L26">
            <v>1741293.59</v>
          </cell>
        </row>
        <row r="27">
          <cell r="C27" t="str">
            <v>Roda Gabriel Cesar</v>
          </cell>
          <cell r="D27" t="str">
            <v>Ensamble</v>
          </cell>
          <cell r="E27">
            <v>0.8</v>
          </cell>
          <cell r="F27" t="str">
            <v>Embalaje</v>
          </cell>
          <cell r="G27">
            <v>0.2</v>
          </cell>
          <cell r="H27"/>
          <cell r="I27">
            <v>0</v>
          </cell>
          <cell r="J27"/>
          <cell r="K27">
            <v>0</v>
          </cell>
          <cell r="L27">
            <v>1621703.47</v>
          </cell>
        </row>
        <row r="28">
          <cell r="C28"/>
          <cell r="D28"/>
          <cell r="E28"/>
          <cell r="F28"/>
          <cell r="G28"/>
          <cell r="H28"/>
          <cell r="I28"/>
          <cell r="J28"/>
          <cell r="K28"/>
          <cell r="L28"/>
        </row>
        <row r="29">
          <cell r="C29"/>
          <cell r="D29"/>
          <cell r="E29"/>
          <cell r="F29"/>
          <cell r="G29"/>
          <cell r="H29"/>
          <cell r="I29"/>
          <cell r="J29"/>
          <cell r="K29"/>
          <cell r="L29"/>
        </row>
        <row r="30">
          <cell r="C30"/>
          <cell r="D30"/>
          <cell r="E30"/>
          <cell r="F30"/>
          <cell r="G30"/>
          <cell r="H30"/>
          <cell r="I30"/>
          <cell r="J30"/>
          <cell r="K30"/>
          <cell r="L30"/>
        </row>
        <row r="31">
          <cell r="C31"/>
          <cell r="D31"/>
          <cell r="E31"/>
          <cell r="F31"/>
          <cell r="G31"/>
          <cell r="H31"/>
          <cell r="I31"/>
          <cell r="J31"/>
          <cell r="K31"/>
          <cell r="L31"/>
        </row>
        <row r="32">
          <cell r="C32"/>
          <cell r="D32"/>
          <cell r="E32"/>
          <cell r="F32"/>
          <cell r="G32"/>
          <cell r="H32"/>
          <cell r="I32"/>
          <cell r="J32"/>
          <cell r="K32"/>
          <cell r="L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</row>
        <row r="34">
          <cell r="C34"/>
          <cell r="D34"/>
          <cell r="E34"/>
          <cell r="F34"/>
          <cell r="G34"/>
          <cell r="H34"/>
          <cell r="I34"/>
          <cell r="J34"/>
          <cell r="K34"/>
          <cell r="L34"/>
        </row>
        <row r="35">
          <cell r="C35"/>
          <cell r="D35"/>
          <cell r="E35"/>
          <cell r="F35"/>
          <cell r="G35"/>
          <cell r="H35"/>
          <cell r="I35"/>
          <cell r="J35"/>
          <cell r="K35"/>
          <cell r="L35"/>
        </row>
        <row r="36">
          <cell r="C36"/>
          <cell r="D36"/>
          <cell r="E36"/>
          <cell r="F36"/>
          <cell r="G36"/>
          <cell r="H36"/>
          <cell r="I36"/>
          <cell r="J36"/>
          <cell r="K36"/>
          <cell r="L36"/>
        </row>
        <row r="37">
          <cell r="C37"/>
          <cell r="D37"/>
          <cell r="E37"/>
          <cell r="F37"/>
          <cell r="G37"/>
          <cell r="H37"/>
          <cell r="I37"/>
          <cell r="J37"/>
          <cell r="K37"/>
          <cell r="L37"/>
        </row>
        <row r="38">
          <cell r="C38"/>
          <cell r="D38"/>
          <cell r="E38"/>
          <cell r="F38"/>
          <cell r="G38"/>
          <cell r="H38"/>
          <cell r="I38"/>
          <cell r="J38"/>
          <cell r="K38"/>
          <cell r="L38"/>
        </row>
        <row r="39">
          <cell r="C39"/>
          <cell r="D39"/>
          <cell r="E39"/>
          <cell r="F39"/>
          <cell r="G39"/>
          <cell r="H39"/>
          <cell r="I39"/>
          <cell r="J39"/>
          <cell r="K39"/>
          <cell r="L39"/>
        </row>
        <row r="40">
          <cell r="C40"/>
          <cell r="D40"/>
          <cell r="E40"/>
          <cell r="F40"/>
          <cell r="G40"/>
          <cell r="H40"/>
          <cell r="I40"/>
          <cell r="J40"/>
          <cell r="K40"/>
          <cell r="L40"/>
        </row>
        <row r="41">
          <cell r="C41" t="str">
            <v xml:space="preserve">APROBADO POR: </v>
          </cell>
          <cell r="D41" t="str">
            <v>Lorenzo Contigiani</v>
          </cell>
          <cell r="E41"/>
          <cell r="F41"/>
          <cell r="G41" t="str">
            <v xml:space="preserve">NOTAS: </v>
          </cell>
          <cell r="H41"/>
          <cell r="I41"/>
          <cell r="J41"/>
          <cell r="K41"/>
          <cell r="L41"/>
        </row>
        <row r="42">
          <cell r="C42"/>
          <cell r="D42"/>
          <cell r="E42"/>
          <cell r="F42"/>
          <cell r="G42"/>
          <cell r="H42"/>
          <cell r="I42"/>
          <cell r="J42"/>
          <cell r="K42"/>
          <cell r="L42"/>
        </row>
        <row r="43">
          <cell r="C43"/>
          <cell r="D43"/>
          <cell r="E43"/>
          <cell r="F43"/>
          <cell r="G43"/>
          <cell r="H43"/>
          <cell r="I43"/>
          <cell r="J43"/>
          <cell r="K43"/>
          <cell r="L43"/>
        </row>
        <row r="44">
          <cell r="C44"/>
          <cell r="D44"/>
          <cell r="E44"/>
          <cell r="F44"/>
          <cell r="G44"/>
          <cell r="H44"/>
          <cell r="I44"/>
          <cell r="J44"/>
          <cell r="K44"/>
          <cell r="L44"/>
        </row>
        <row r="45">
          <cell r="C45"/>
          <cell r="D45"/>
          <cell r="E45"/>
          <cell r="F45"/>
          <cell r="G45"/>
          <cell r="H45"/>
          <cell r="I45"/>
          <cell r="J45"/>
          <cell r="K45"/>
          <cell r="L45"/>
        </row>
        <row r="46">
          <cell r="C46"/>
        </row>
        <row r="47">
          <cell r="C47"/>
        </row>
        <row r="48">
          <cell r="C48"/>
          <cell r="D48"/>
          <cell r="E48"/>
        </row>
        <row r="49">
          <cell r="C49"/>
          <cell r="D49"/>
          <cell r="E49"/>
        </row>
        <row r="50">
          <cell r="C50"/>
          <cell r="D50"/>
          <cell r="E50"/>
        </row>
        <row r="51">
          <cell r="C51"/>
          <cell r="D51"/>
          <cell r="E51"/>
        </row>
        <row r="52">
          <cell r="C52"/>
          <cell r="D52"/>
          <cell r="E52"/>
        </row>
        <row r="53">
          <cell r="C53"/>
          <cell r="D53"/>
          <cell r="E53"/>
        </row>
        <row r="56">
          <cell r="D56"/>
          <cell r="E56"/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-Consumo"/>
      <sheetName val="INFO-Ponderacion"/>
      <sheetName val="INFO-Factura"/>
    </sheetNames>
    <sheetDataSet>
      <sheetData sheetId="0">
        <row r="1">
          <cell r="D1"/>
          <cell r="I1"/>
        </row>
        <row r="2">
          <cell r="D2"/>
          <cell r="I2"/>
        </row>
        <row r="3">
          <cell r="D3" t="str">
            <v>Electrico</v>
          </cell>
          <cell r="I3"/>
        </row>
        <row r="4">
          <cell r="D4"/>
          <cell r="I4"/>
        </row>
        <row r="5">
          <cell r="D5" t="str">
            <v>Agustin Alberto</v>
          </cell>
          <cell r="I5"/>
        </row>
        <row r="6">
          <cell r="D6" t="str">
            <v>Oficina Tecnica</v>
          </cell>
          <cell r="I6"/>
        </row>
        <row r="7">
          <cell r="D7"/>
          <cell r="I7"/>
        </row>
        <row r="8">
          <cell r="D8" t="str">
            <v>Equipo / Elemento</v>
          </cell>
          <cell r="I8" t="str">
            <v>Carga promedio de uso</v>
          </cell>
        </row>
        <row r="9">
          <cell r="D9" t="str">
            <v>Corte por Laser</v>
          </cell>
          <cell r="F9">
            <v>80</v>
          </cell>
          <cell r="I9">
            <v>0.6</v>
          </cell>
        </row>
        <row r="10">
          <cell r="D10" t="str">
            <v>Corte por Agua</v>
          </cell>
          <cell r="F10">
            <v>37</v>
          </cell>
          <cell r="I10">
            <v>0.6</v>
          </cell>
        </row>
        <row r="11">
          <cell r="D11" t="str">
            <v>TORNO RIFA RFCZ12</v>
          </cell>
          <cell r="F11">
            <v>15</v>
          </cell>
          <cell r="I11">
            <v>0.6</v>
          </cell>
        </row>
        <row r="12">
          <cell r="D12" t="str">
            <v>TORNO Microcut LT65</v>
          </cell>
          <cell r="F12">
            <v>22</v>
          </cell>
          <cell r="I12">
            <v>0.6</v>
          </cell>
        </row>
        <row r="13">
          <cell r="D13" t="str">
            <v>TORNO HWACHEON CUTEX 240B</v>
          </cell>
          <cell r="F13">
            <v>31</v>
          </cell>
          <cell r="I13">
            <v>0.6</v>
          </cell>
        </row>
        <row r="14">
          <cell r="D14" t="str">
            <v>CM RIFA RFVM60</v>
          </cell>
          <cell r="F14">
            <v>14</v>
          </cell>
          <cell r="I14">
            <v>0.6</v>
          </cell>
        </row>
        <row r="15">
          <cell r="D15" t="str">
            <v>CM HWACHEON SIRIUS 550</v>
          </cell>
          <cell r="F15">
            <v>23</v>
          </cell>
          <cell r="I15">
            <v>0.6</v>
          </cell>
        </row>
        <row r="16">
          <cell r="D16" t="str">
            <v>CM Mitsubishi</v>
          </cell>
          <cell r="F16">
            <v>48</v>
          </cell>
          <cell r="I16">
            <v>0.6</v>
          </cell>
        </row>
        <row r="17">
          <cell r="D17" t="str">
            <v>CM RIFA 4 Ejes</v>
          </cell>
          <cell r="F17">
            <v>33</v>
          </cell>
          <cell r="I17">
            <v>0.6</v>
          </cell>
        </row>
        <row r="18">
          <cell r="D18" t="str">
            <v>Agujereadora</v>
          </cell>
          <cell r="F18">
            <v>0.7</v>
          </cell>
          <cell r="I18">
            <v>0.6</v>
          </cell>
        </row>
        <row r="19">
          <cell r="D19" t="str">
            <v>Roscadora</v>
          </cell>
          <cell r="F19">
            <v>0.75</v>
          </cell>
          <cell r="I19">
            <v>0.6</v>
          </cell>
        </row>
        <row r="20">
          <cell r="D20" t="str">
            <v>Torno Paralelo Chico</v>
          </cell>
          <cell r="F20">
            <v>1.1000000000000001</v>
          </cell>
          <cell r="I20">
            <v>0.6</v>
          </cell>
        </row>
        <row r="21">
          <cell r="D21" t="str">
            <v>Torno Paralelo Grande</v>
          </cell>
          <cell r="F21">
            <v>1.1000000000000001</v>
          </cell>
          <cell r="I21">
            <v>0.6</v>
          </cell>
        </row>
        <row r="22">
          <cell r="D22" t="str">
            <v>Piedra de Banco</v>
          </cell>
          <cell r="F22">
            <v>0.55000000000000004</v>
          </cell>
          <cell r="I22">
            <v>0.6</v>
          </cell>
        </row>
        <row r="23">
          <cell r="D23" t="str">
            <v>Maquina Corta Cadenas</v>
          </cell>
          <cell r="F23">
            <v>0.5</v>
          </cell>
          <cell r="I23">
            <v>0.6</v>
          </cell>
        </row>
        <row r="24">
          <cell r="D24" t="str">
            <v>Serrucho</v>
          </cell>
          <cell r="F24">
            <v>1.25</v>
          </cell>
          <cell r="I24">
            <v>0.6</v>
          </cell>
        </row>
        <row r="25">
          <cell r="D25" t="str">
            <v>Sierra Sensitiva</v>
          </cell>
          <cell r="F25">
            <v>2</v>
          </cell>
          <cell r="I25">
            <v>0.6</v>
          </cell>
        </row>
        <row r="26">
          <cell r="D26" t="str">
            <v>Soldadora</v>
          </cell>
          <cell r="F26">
            <v>3.5</v>
          </cell>
          <cell r="I26">
            <v>0.6</v>
          </cell>
        </row>
        <row r="27">
          <cell r="D27" t="str">
            <v>Agujereadora (Taller)</v>
          </cell>
          <cell r="F27">
            <v>0.7</v>
          </cell>
          <cell r="I27">
            <v>0.6</v>
          </cell>
        </row>
        <row r="28">
          <cell r="D28" t="str">
            <v>Compresor</v>
          </cell>
          <cell r="F28">
            <v>56</v>
          </cell>
          <cell r="I28">
            <v>0.6</v>
          </cell>
        </row>
        <row r="29">
          <cell r="D29"/>
          <cell r="F29"/>
          <cell r="I29">
            <v>0.6</v>
          </cell>
        </row>
        <row r="30">
          <cell r="D30"/>
          <cell r="F30"/>
          <cell r="I30">
            <v>0.6</v>
          </cell>
        </row>
        <row r="31">
          <cell r="D31"/>
          <cell r="F31"/>
          <cell r="I31">
            <v>0.6</v>
          </cell>
        </row>
        <row r="32">
          <cell r="D32" t="str">
            <v>ENGRASADORA MANUAL</v>
          </cell>
          <cell r="F32">
            <v>0.8</v>
          </cell>
          <cell r="I32">
            <v>0.6</v>
          </cell>
        </row>
        <row r="33">
          <cell r="D33" t="str">
            <v>PRENSA QY-10-1</v>
          </cell>
          <cell r="F33">
            <v>2.2000000000000002</v>
          </cell>
          <cell r="I33">
            <v>0.6</v>
          </cell>
        </row>
        <row r="34">
          <cell r="D34" t="str">
            <v>PRENSA QY-10-2</v>
          </cell>
          <cell r="F34">
            <v>2.2000000000000002</v>
          </cell>
          <cell r="I34">
            <v>0.6</v>
          </cell>
        </row>
        <row r="35">
          <cell r="D35" t="str">
            <v>PRENSA QY-10-3</v>
          </cell>
          <cell r="F35">
            <v>2.2000000000000002</v>
          </cell>
          <cell r="I35">
            <v>0.6</v>
          </cell>
        </row>
        <row r="36">
          <cell r="D36" t="str">
            <v>LAVADORA 0448</v>
          </cell>
          <cell r="F36">
            <v>1</v>
          </cell>
          <cell r="I36">
            <v>0.6</v>
          </cell>
        </row>
        <row r="37">
          <cell r="D37" t="str">
            <v>TB-SCAMRIVT-40120 CONICO 518</v>
          </cell>
          <cell r="F37">
            <v>1</v>
          </cell>
          <cell r="I37">
            <v>0.6</v>
          </cell>
        </row>
        <row r="38">
          <cell r="D38" t="str">
            <v>TE-SCAMRIVT-2060 CONICO 30207</v>
          </cell>
          <cell r="F38">
            <v>1</v>
          </cell>
          <cell r="I38">
            <v>0.6</v>
          </cell>
        </row>
        <row r="39">
          <cell r="D39" t="str">
            <v>HERMANADORA MANUAL IM247</v>
          </cell>
          <cell r="F39">
            <v>1</v>
          </cell>
          <cell r="I39">
            <v>0.6</v>
          </cell>
        </row>
        <row r="40">
          <cell r="D40" t="str">
            <v>HER. AUT MS03 DP 02HTQJ2</v>
          </cell>
          <cell r="F40">
            <v>1</v>
          </cell>
          <cell r="I40">
            <v>0.6</v>
          </cell>
        </row>
        <row r="41">
          <cell r="D41" t="str">
            <v>HER. AUT JAULA MS03 BCJL02A</v>
          </cell>
          <cell r="F41">
            <v>1</v>
          </cell>
          <cell r="I41">
            <v>0.6</v>
          </cell>
        </row>
        <row r="42">
          <cell r="D42" t="str">
            <v>ENGRASADORA MS03 0510-5120051</v>
          </cell>
          <cell r="F42">
            <v>1</v>
          </cell>
          <cell r="I42">
            <v>0.6</v>
          </cell>
        </row>
        <row r="43">
          <cell r="D43" t="str">
            <v>HER. AUT MS04 DP 03TQJ3</v>
          </cell>
          <cell r="F43">
            <v>1</v>
          </cell>
          <cell r="I43">
            <v>0.6</v>
          </cell>
        </row>
        <row r="44">
          <cell r="D44" t="str">
            <v>HER. AUT JAULA MS04 BCJL02A</v>
          </cell>
          <cell r="F44">
            <v>1</v>
          </cell>
          <cell r="I44">
            <v>0.6</v>
          </cell>
        </row>
        <row r="45">
          <cell r="D45" t="str">
            <v>ENGRASADORA AUTOMATICA MS04 ZYJ3H</v>
          </cell>
          <cell r="F45">
            <v>1</v>
          </cell>
          <cell r="I45">
            <v>0.6</v>
          </cell>
        </row>
        <row r="46">
          <cell r="D46" t="str">
            <v>LASER CHICO 30</v>
          </cell>
          <cell r="F46">
            <v>1</v>
          </cell>
          <cell r="I46">
            <v>0.6</v>
          </cell>
        </row>
        <row r="47">
          <cell r="D47" t="str">
            <v>LASER GRANDE 50</v>
          </cell>
          <cell r="F47">
            <v>1</v>
          </cell>
          <cell r="I47">
            <v>0.6</v>
          </cell>
        </row>
        <row r="48">
          <cell r="D48" t="str">
            <v>PRENSA QY-16</v>
          </cell>
          <cell r="F48">
            <v>2.2000000000000002</v>
          </cell>
          <cell r="I48">
            <v>0.6</v>
          </cell>
        </row>
        <row r="49">
          <cell r="D49" t="str">
            <v>LAVADORA QXC-1-2 MS03</v>
          </cell>
          <cell r="F49">
            <v>10</v>
          </cell>
          <cell r="I49">
            <v>0.6</v>
          </cell>
        </row>
        <row r="50">
          <cell r="D50" t="str">
            <v>LAVADORA QXC-1 MS04</v>
          </cell>
          <cell r="F50">
            <v>10</v>
          </cell>
          <cell r="I50">
            <v>0.6</v>
          </cell>
        </row>
        <row r="51">
          <cell r="D51" t="str">
            <v>ANDEROMETRO IM-250</v>
          </cell>
          <cell r="F51">
            <v>1</v>
          </cell>
          <cell r="I51">
            <v>0.6</v>
          </cell>
        </row>
        <row r="52">
          <cell r="D52" t="str">
            <v>ANDEROMETRO IM251</v>
          </cell>
          <cell r="F52">
            <v>1</v>
          </cell>
          <cell r="I52">
            <v>0.6</v>
          </cell>
        </row>
        <row r="53">
          <cell r="D53" t="str">
            <v>HERMANADORA AUT MS05 LHT90</v>
          </cell>
          <cell r="F53">
            <v>1</v>
          </cell>
          <cell r="I53">
            <v>0.6</v>
          </cell>
        </row>
        <row r="54">
          <cell r="D54" t="str">
            <v>HER. AUT JAULA MS05 BCJT03</v>
          </cell>
          <cell r="F54">
            <v>1</v>
          </cell>
          <cell r="I54">
            <v>0.6</v>
          </cell>
        </row>
        <row r="55">
          <cell r="D55" t="str">
            <v>PD52 POACHER</v>
          </cell>
          <cell r="F55">
            <v>1</v>
          </cell>
          <cell r="I55">
            <v>0.6</v>
          </cell>
        </row>
        <row r="56">
          <cell r="D56" t="str">
            <v>RADIAL X095B</v>
          </cell>
          <cell r="F56">
            <v>1</v>
          </cell>
          <cell r="I56">
            <v>0.6</v>
          </cell>
        </row>
        <row r="57">
          <cell r="D57" t="str">
            <v>LAVADO MANUAL PMT25-36</v>
          </cell>
          <cell r="F57">
            <v>1</v>
          </cell>
          <cell r="I57">
            <v>0.6</v>
          </cell>
        </row>
        <row r="58">
          <cell r="D58" t="str">
            <v>HERMANADORA MANUAL IM248</v>
          </cell>
          <cell r="F58">
            <v>1</v>
          </cell>
          <cell r="I58">
            <v>0.6</v>
          </cell>
        </row>
        <row r="59">
          <cell r="D59" t="str">
            <v>RADIAL X095A</v>
          </cell>
          <cell r="F59">
            <v>1</v>
          </cell>
          <cell r="I59">
            <v>0.6</v>
          </cell>
        </row>
        <row r="60">
          <cell r="D60" t="str">
            <v>DESIMANTADOR NS-400-B1</v>
          </cell>
          <cell r="F60">
            <v>1</v>
          </cell>
          <cell r="I60">
            <v>0.6</v>
          </cell>
        </row>
        <row r="61">
          <cell r="D61" t="str">
            <v>LAVADORA GRANDE PMD-SJ</v>
          </cell>
          <cell r="F61">
            <v>15</v>
          </cell>
          <cell r="I61">
            <v>0.6</v>
          </cell>
        </row>
        <row r="62">
          <cell r="D62"/>
          <cell r="F62"/>
          <cell r="I62">
            <v>0.6</v>
          </cell>
        </row>
        <row r="63">
          <cell r="D63"/>
          <cell r="F63"/>
          <cell r="I63">
            <v>0.6</v>
          </cell>
        </row>
        <row r="64">
          <cell r="D64"/>
          <cell r="F64"/>
          <cell r="I64">
            <v>0.6</v>
          </cell>
        </row>
        <row r="65">
          <cell r="D65" t="str">
            <v>Embaladora de Pallets</v>
          </cell>
          <cell r="F65">
            <v>1.55</v>
          </cell>
          <cell r="I65">
            <v>0.6</v>
          </cell>
        </row>
        <row r="66">
          <cell r="D66" t="str">
            <v>Embaladora Auto. G. QD-450X</v>
          </cell>
          <cell r="F66">
            <v>1.55</v>
          </cell>
          <cell r="I66">
            <v>0.6</v>
          </cell>
        </row>
        <row r="67">
          <cell r="D67" t="str">
            <v>Embaladora Auto. C. QD-250X</v>
          </cell>
          <cell r="F67">
            <v>1.55</v>
          </cell>
          <cell r="I67">
            <v>0.6</v>
          </cell>
        </row>
        <row r="68">
          <cell r="D68" t="str">
            <v>Etiquetadora Zebra ZD421</v>
          </cell>
          <cell r="F68">
            <v>0.22</v>
          </cell>
          <cell r="I68">
            <v>0.6</v>
          </cell>
        </row>
        <row r="69">
          <cell r="D69" t="str">
            <v>Etiquetadora Zebra ZT230 (1)</v>
          </cell>
          <cell r="F69">
            <v>0.22</v>
          </cell>
          <cell r="I69">
            <v>0.6</v>
          </cell>
        </row>
        <row r="70">
          <cell r="D70" t="str">
            <v>Etiquetadora Zebra ZT230 (2)</v>
          </cell>
          <cell r="F70">
            <v>0.22</v>
          </cell>
          <cell r="I70">
            <v>0.6</v>
          </cell>
        </row>
        <row r="71">
          <cell r="D71"/>
          <cell r="F71"/>
          <cell r="I71">
            <v>0.6</v>
          </cell>
        </row>
        <row r="72">
          <cell r="D72"/>
          <cell r="F72"/>
          <cell r="I72">
            <v>0.6</v>
          </cell>
        </row>
        <row r="73">
          <cell r="D73" t="str">
            <v>Order Picker Crown 30SP42TT</v>
          </cell>
          <cell r="F73">
            <v>20</v>
          </cell>
          <cell r="I73">
            <v>0.6</v>
          </cell>
        </row>
        <row r="74">
          <cell r="D74" t="str">
            <v>Order Picker Crown 45RRTT</v>
          </cell>
          <cell r="F74">
            <v>20</v>
          </cell>
          <cell r="I74">
            <v>0.6</v>
          </cell>
        </row>
        <row r="75">
          <cell r="D75"/>
          <cell r="F75"/>
          <cell r="I75">
            <v>0.6</v>
          </cell>
        </row>
        <row r="76">
          <cell r="D76"/>
          <cell r="F76"/>
          <cell r="I76">
            <v>0.6</v>
          </cell>
        </row>
        <row r="77">
          <cell r="D77"/>
          <cell r="F77"/>
          <cell r="I77">
            <v>0.6</v>
          </cell>
        </row>
        <row r="78">
          <cell r="D78"/>
          <cell r="F78"/>
          <cell r="I78">
            <v>0.6</v>
          </cell>
        </row>
        <row r="79">
          <cell r="D79"/>
          <cell r="F79"/>
          <cell r="I79">
            <v>0.6</v>
          </cell>
        </row>
        <row r="80">
          <cell r="D80" t="str">
            <v>Aire acondicionado Central 1</v>
          </cell>
          <cell r="F80">
            <v>200</v>
          </cell>
          <cell r="I80">
            <v>0.6</v>
          </cell>
        </row>
        <row r="81">
          <cell r="D81" t="str">
            <v>Aire acondicionado Central 2</v>
          </cell>
          <cell r="F81">
            <v>170</v>
          </cell>
          <cell r="I81">
            <v>0.6</v>
          </cell>
        </row>
        <row r="82">
          <cell r="D82" t="str">
            <v>Servidor</v>
          </cell>
          <cell r="F82">
            <v>5</v>
          </cell>
          <cell r="I82">
            <v>0.4</v>
          </cell>
        </row>
        <row r="83">
          <cell r="D83"/>
          <cell r="F83"/>
          <cell r="I83">
            <v>0.6</v>
          </cell>
        </row>
        <row r="84">
          <cell r="D84"/>
          <cell r="F84"/>
          <cell r="I84">
            <v>0.6</v>
          </cell>
        </row>
        <row r="85">
          <cell r="D85" t="str">
            <v>Computadoras</v>
          </cell>
          <cell r="F85">
            <v>0.4</v>
          </cell>
          <cell r="I85">
            <v>0.6</v>
          </cell>
        </row>
        <row r="86">
          <cell r="D86" t="str">
            <v>Impresoras</v>
          </cell>
          <cell r="F86">
            <v>0.2</v>
          </cell>
          <cell r="I86">
            <v>0.6</v>
          </cell>
        </row>
        <row r="87">
          <cell r="D87" t="str">
            <v>Heladeras</v>
          </cell>
          <cell r="F87">
            <v>0.4</v>
          </cell>
          <cell r="I87">
            <v>0.6</v>
          </cell>
        </row>
        <row r="88">
          <cell r="D88" t="str">
            <v>OV</v>
          </cell>
          <cell r="F88">
            <v>0.2</v>
          </cell>
          <cell r="I88">
            <v>0.6</v>
          </cell>
        </row>
        <row r="89">
          <cell r="D89" t="str">
            <v>Reflector</v>
          </cell>
          <cell r="F89">
            <v>0.02</v>
          </cell>
          <cell r="I89">
            <v>0.6</v>
          </cell>
        </row>
        <row r="90">
          <cell r="D90" t="str">
            <v>Paneles</v>
          </cell>
          <cell r="F90">
            <v>4.8000000000000001E-2</v>
          </cell>
          <cell r="I90">
            <v>0.6</v>
          </cell>
        </row>
        <row r="91">
          <cell r="D91" t="str">
            <v>LED Chicas (Plantas)</v>
          </cell>
          <cell r="F91">
            <v>3.0000000000000001E-3</v>
          </cell>
          <cell r="I91">
            <v>0.6</v>
          </cell>
        </row>
        <row r="92">
          <cell r="D92" t="str">
            <v>LED</v>
          </cell>
          <cell r="F92">
            <v>0.03</v>
          </cell>
          <cell r="I92">
            <v>0.6</v>
          </cell>
        </row>
        <row r="93">
          <cell r="D93" t="str">
            <v>Halogenas</v>
          </cell>
          <cell r="F93">
            <v>1.7999999999999999E-2</v>
          </cell>
          <cell r="I93">
            <v>0.6</v>
          </cell>
        </row>
        <row r="94">
          <cell r="D94" t="str">
            <v>Luz Grande</v>
          </cell>
          <cell r="F94">
            <v>0.12</v>
          </cell>
          <cell r="I94">
            <v>0.6</v>
          </cell>
        </row>
        <row r="95">
          <cell r="D95" t="str">
            <v>Monitores</v>
          </cell>
          <cell r="F95">
            <v>0.08</v>
          </cell>
          <cell r="I95">
            <v>0.6</v>
          </cell>
        </row>
        <row r="96">
          <cell r="D96" t="str">
            <v>Aire acondicionados Chicos</v>
          </cell>
          <cell r="I96">
            <v>0.6</v>
          </cell>
        </row>
        <row r="97">
          <cell r="D97" t="str">
            <v>UPS</v>
          </cell>
          <cell r="I97">
            <v>0.35</v>
          </cell>
        </row>
        <row r="98">
          <cell r="D98" t="str">
            <v xml:space="preserve">Televisor </v>
          </cell>
          <cell r="I98">
            <v>0.6</v>
          </cell>
        </row>
        <row r="99">
          <cell r="D99"/>
          <cell r="I99"/>
        </row>
        <row r="100">
          <cell r="D100"/>
          <cell r="I100"/>
        </row>
        <row r="101">
          <cell r="D101"/>
          <cell r="I101"/>
        </row>
        <row r="102">
          <cell r="D102"/>
          <cell r="I102"/>
        </row>
        <row r="105">
          <cell r="D105"/>
        </row>
        <row r="106">
          <cell r="D106"/>
        </row>
        <row r="107">
          <cell r="D107"/>
        </row>
        <row r="108">
          <cell r="D108"/>
        </row>
        <row r="109">
          <cell r="D109"/>
        </row>
        <row r="110">
          <cell r="D110"/>
        </row>
        <row r="113">
          <cell r="D113"/>
        </row>
      </sheetData>
      <sheetData sheetId="1">
        <row r="9">
          <cell r="C9" t="str">
            <v>Produccion</v>
          </cell>
          <cell r="S9">
            <v>2.9039999999999995</v>
          </cell>
        </row>
        <row r="10">
          <cell r="C10" t="str">
            <v>Ensamble</v>
          </cell>
          <cell r="S10">
            <v>2.4095999999999997</v>
          </cell>
        </row>
        <row r="11">
          <cell r="C11" t="str">
            <v>Administración y Comercialización</v>
          </cell>
          <cell r="S11">
            <v>14.936399999999999</v>
          </cell>
        </row>
        <row r="12">
          <cell r="C12" t="str">
            <v>Depósito</v>
          </cell>
          <cell r="S12">
            <v>0.44999999999999996</v>
          </cell>
        </row>
        <row r="13">
          <cell r="C13" t="str">
            <v>Embalaje</v>
          </cell>
          <cell r="S13">
            <v>4.1880000000000006</v>
          </cell>
        </row>
      </sheetData>
      <sheetData sheetId="2">
        <row r="10">
          <cell r="B10">
            <v>45901</v>
          </cell>
          <cell r="D10">
            <v>71</v>
          </cell>
          <cell r="E10">
            <v>4629.4862000000003</v>
          </cell>
          <cell r="F10">
            <v>159</v>
          </cell>
          <cell r="G10">
            <v>10473.274600000001</v>
          </cell>
          <cell r="H10">
            <v>71</v>
          </cell>
          <cell r="I10">
            <v>12990.5146</v>
          </cell>
          <cell r="K10">
            <v>2220</v>
          </cell>
          <cell r="L10">
            <v>76.656580000000005</v>
          </cell>
          <cell r="M10">
            <v>19536</v>
          </cell>
          <cell r="N10">
            <v>75.262979999999999</v>
          </cell>
          <cell r="O10">
            <v>3378</v>
          </cell>
          <cell r="P10">
            <v>74.160960000000003</v>
          </cell>
          <cell r="AB10">
            <v>1430</v>
          </cell>
        </row>
        <row r="11">
          <cell r="B11"/>
          <cell r="D11"/>
          <cell r="E11"/>
          <cell r="F11"/>
          <cell r="G11"/>
          <cell r="H11"/>
          <cell r="I11"/>
          <cell r="K11"/>
          <cell r="L11"/>
          <cell r="M11"/>
          <cell r="N11"/>
          <cell r="O11"/>
          <cell r="P11"/>
          <cell r="AB11"/>
        </row>
        <row r="12">
          <cell r="B12"/>
          <cell r="D12"/>
          <cell r="E12"/>
          <cell r="F12"/>
          <cell r="G12"/>
          <cell r="H12"/>
          <cell r="I12"/>
          <cell r="K12"/>
          <cell r="L12"/>
          <cell r="M12"/>
          <cell r="N12"/>
          <cell r="O12"/>
          <cell r="P12"/>
          <cell r="AB12"/>
        </row>
        <row r="13">
          <cell r="B13"/>
          <cell r="D13"/>
          <cell r="E13"/>
          <cell r="F13"/>
          <cell r="G13"/>
          <cell r="H13"/>
          <cell r="K13" t="str">
            <v xml:space="preserve">NOTAS: </v>
          </cell>
          <cell r="L13"/>
          <cell r="M13"/>
          <cell r="N13"/>
          <cell r="O13"/>
          <cell r="P13"/>
          <cell r="AB13"/>
        </row>
        <row r="14">
          <cell r="B14"/>
          <cell r="D14"/>
          <cell r="E14"/>
          <cell r="F14"/>
          <cell r="G14"/>
          <cell r="H14"/>
          <cell r="I14"/>
          <cell r="K14"/>
          <cell r="L14"/>
          <cell r="M14"/>
          <cell r="N14"/>
          <cell r="O14"/>
          <cell r="P14"/>
          <cell r="AB14"/>
        </row>
        <row r="15">
          <cell r="D15"/>
          <cell r="E15"/>
          <cell r="F15"/>
          <cell r="G15"/>
          <cell r="H15"/>
          <cell r="M15"/>
          <cell r="N15"/>
          <cell r="O15"/>
          <cell r="P15"/>
        </row>
        <row r="16">
          <cell r="D16"/>
          <cell r="E16"/>
          <cell r="F16"/>
          <cell r="G16"/>
          <cell r="H16"/>
          <cell r="M16"/>
          <cell r="N16"/>
          <cell r="O16"/>
          <cell r="P16"/>
        </row>
        <row r="17">
          <cell r="D17"/>
          <cell r="E17"/>
          <cell r="F17"/>
          <cell r="G17"/>
          <cell r="H17"/>
          <cell r="K17"/>
          <cell r="L17"/>
          <cell r="M17"/>
          <cell r="N17"/>
          <cell r="O17"/>
          <cell r="P17"/>
        </row>
        <row r="18">
          <cell r="D18"/>
          <cell r="E18"/>
          <cell r="F18"/>
          <cell r="G18"/>
          <cell r="H18"/>
          <cell r="K18"/>
          <cell r="L18"/>
          <cell r="M18"/>
          <cell r="N18"/>
          <cell r="O18"/>
          <cell r="P18"/>
        </row>
        <row r="19">
          <cell r="D19"/>
          <cell r="E19"/>
          <cell r="F19"/>
          <cell r="G19"/>
          <cell r="H19"/>
          <cell r="K19"/>
          <cell r="L19"/>
          <cell r="M19"/>
          <cell r="N19"/>
          <cell r="O19"/>
          <cell r="P19"/>
        </row>
        <row r="20">
          <cell r="D20"/>
          <cell r="E20"/>
          <cell r="F20"/>
          <cell r="G20"/>
          <cell r="H20"/>
          <cell r="K20"/>
          <cell r="L20"/>
          <cell r="M20"/>
          <cell r="N20"/>
          <cell r="O20"/>
          <cell r="P20"/>
        </row>
        <row r="21">
          <cell r="D21"/>
          <cell r="E21"/>
          <cell r="F21"/>
          <cell r="G21"/>
          <cell r="H21"/>
          <cell r="K21"/>
          <cell r="L21"/>
          <cell r="M21"/>
          <cell r="N21"/>
          <cell r="O21"/>
          <cell r="P21"/>
        </row>
        <row r="22">
          <cell r="D22"/>
          <cell r="E22"/>
          <cell r="F22"/>
          <cell r="G22"/>
          <cell r="H22"/>
          <cell r="K22"/>
          <cell r="L22"/>
          <cell r="M22"/>
          <cell r="N22"/>
          <cell r="O22"/>
          <cell r="P22"/>
        </row>
        <row r="23">
          <cell r="D23"/>
          <cell r="E23"/>
          <cell r="F23"/>
          <cell r="G23"/>
          <cell r="H23"/>
          <cell r="M23"/>
          <cell r="N23"/>
          <cell r="O23"/>
          <cell r="P23"/>
        </row>
        <row r="24">
          <cell r="D24"/>
          <cell r="E24"/>
          <cell r="F24"/>
          <cell r="G24"/>
          <cell r="H24"/>
          <cell r="M24"/>
          <cell r="N24"/>
          <cell r="O24"/>
          <cell r="P24"/>
        </row>
        <row r="25">
          <cell r="D25"/>
          <cell r="E25"/>
          <cell r="F25"/>
          <cell r="G25"/>
          <cell r="H25"/>
          <cell r="K25"/>
          <cell r="L25"/>
          <cell r="M25"/>
          <cell r="N25"/>
          <cell r="O25"/>
          <cell r="P25"/>
        </row>
        <row r="26">
          <cell r="D26"/>
          <cell r="E26"/>
          <cell r="F26"/>
          <cell r="G26"/>
          <cell r="H26"/>
          <cell r="M26"/>
          <cell r="N26"/>
          <cell r="O26"/>
          <cell r="P26"/>
        </row>
        <row r="27">
          <cell r="D27"/>
          <cell r="E27"/>
          <cell r="F27"/>
          <cell r="G27"/>
          <cell r="H27"/>
          <cell r="M27"/>
          <cell r="N27"/>
          <cell r="O27"/>
          <cell r="P27"/>
        </row>
        <row r="28">
          <cell r="D28"/>
          <cell r="E28"/>
          <cell r="F28"/>
          <cell r="G28"/>
          <cell r="H28"/>
          <cell r="M28"/>
          <cell r="N28"/>
          <cell r="O28"/>
          <cell r="P28"/>
        </row>
        <row r="29">
          <cell r="D29"/>
          <cell r="E29"/>
          <cell r="F29"/>
          <cell r="G29"/>
          <cell r="H29"/>
          <cell r="M29"/>
          <cell r="N29"/>
          <cell r="O29"/>
          <cell r="P29"/>
        </row>
        <row r="30">
          <cell r="D30"/>
          <cell r="E30"/>
          <cell r="F30"/>
          <cell r="G30"/>
          <cell r="H30"/>
          <cell r="M30"/>
          <cell r="N30"/>
          <cell r="O30"/>
          <cell r="P30"/>
        </row>
        <row r="31">
          <cell r="D31"/>
          <cell r="E31"/>
          <cell r="F31"/>
          <cell r="G31"/>
          <cell r="H31"/>
          <cell r="M31"/>
          <cell r="N31"/>
          <cell r="O31"/>
          <cell r="P31"/>
        </row>
        <row r="32">
          <cell r="D32"/>
          <cell r="E32"/>
          <cell r="F32"/>
          <cell r="G32"/>
          <cell r="H32"/>
          <cell r="M32"/>
          <cell r="N32"/>
          <cell r="O32"/>
          <cell r="P32"/>
        </row>
        <row r="33">
          <cell r="D33"/>
          <cell r="E33"/>
          <cell r="F33"/>
          <cell r="G33"/>
          <cell r="H33"/>
          <cell r="M33"/>
          <cell r="N33"/>
          <cell r="O33"/>
          <cell r="P33"/>
        </row>
        <row r="34">
          <cell r="D34"/>
          <cell r="E34"/>
          <cell r="F34"/>
          <cell r="G34"/>
          <cell r="H34"/>
          <cell r="M34"/>
          <cell r="N34"/>
          <cell r="O34"/>
          <cell r="P34"/>
        </row>
        <row r="35">
          <cell r="D35"/>
          <cell r="E35"/>
          <cell r="F35"/>
          <cell r="G35"/>
          <cell r="H35"/>
          <cell r="M35"/>
          <cell r="N35"/>
          <cell r="O35"/>
          <cell r="P35"/>
        </row>
        <row r="36">
          <cell r="D36"/>
          <cell r="E36"/>
          <cell r="F36"/>
          <cell r="G36"/>
          <cell r="H36"/>
          <cell r="M36"/>
          <cell r="N36"/>
          <cell r="O36"/>
          <cell r="P36"/>
        </row>
        <row r="37">
          <cell r="D37"/>
          <cell r="E37"/>
          <cell r="F37"/>
          <cell r="G37"/>
          <cell r="H37"/>
          <cell r="M37"/>
          <cell r="N37"/>
          <cell r="O37"/>
          <cell r="P37"/>
        </row>
        <row r="38">
          <cell r="D38"/>
          <cell r="E38"/>
          <cell r="F38"/>
          <cell r="G38"/>
          <cell r="H38"/>
          <cell r="M38"/>
          <cell r="N38"/>
          <cell r="O38"/>
          <cell r="P38"/>
        </row>
        <row r="39">
          <cell r="D39"/>
          <cell r="E39"/>
          <cell r="F39"/>
          <cell r="G39"/>
          <cell r="H39"/>
          <cell r="M39"/>
          <cell r="N39"/>
          <cell r="O39"/>
          <cell r="P39"/>
        </row>
        <row r="40">
          <cell r="D40"/>
          <cell r="E40"/>
          <cell r="F40"/>
          <cell r="G40"/>
          <cell r="H40"/>
          <cell r="M40"/>
          <cell r="N40"/>
          <cell r="O40"/>
          <cell r="P40"/>
        </row>
        <row r="41">
          <cell r="D41"/>
          <cell r="E41"/>
          <cell r="F41"/>
          <cell r="G41"/>
          <cell r="H41"/>
          <cell r="M41"/>
          <cell r="N41"/>
          <cell r="O41"/>
          <cell r="P41"/>
        </row>
        <row r="42">
          <cell r="D42"/>
          <cell r="E42"/>
          <cell r="F42"/>
          <cell r="G42"/>
          <cell r="H42"/>
          <cell r="M42"/>
          <cell r="N42"/>
          <cell r="O42"/>
          <cell r="P42"/>
        </row>
        <row r="43">
          <cell r="D43"/>
          <cell r="E43"/>
          <cell r="F43"/>
          <cell r="G43"/>
          <cell r="H43"/>
          <cell r="M43"/>
          <cell r="N43"/>
          <cell r="O43"/>
          <cell r="P43"/>
        </row>
        <row r="44">
          <cell r="D44"/>
          <cell r="E44"/>
          <cell r="F44"/>
          <cell r="G44"/>
          <cell r="H44"/>
          <cell r="M44"/>
          <cell r="N44"/>
          <cell r="O44"/>
          <cell r="P44"/>
        </row>
        <row r="45">
          <cell r="D45"/>
          <cell r="E45"/>
          <cell r="F45"/>
          <cell r="G45"/>
          <cell r="H45"/>
          <cell r="M45"/>
          <cell r="N45"/>
          <cell r="O45"/>
          <cell r="P45"/>
        </row>
        <row r="46">
          <cell r="D46"/>
          <cell r="E46"/>
          <cell r="F46"/>
          <cell r="G46"/>
          <cell r="H46"/>
          <cell r="M46"/>
          <cell r="N46"/>
          <cell r="O46"/>
          <cell r="P46"/>
        </row>
        <row r="47">
          <cell r="D47"/>
          <cell r="E47"/>
          <cell r="F47"/>
          <cell r="G47"/>
          <cell r="H47"/>
          <cell r="M47"/>
          <cell r="N47"/>
          <cell r="O47"/>
          <cell r="P47"/>
        </row>
        <row r="48">
          <cell r="D48"/>
          <cell r="E48"/>
          <cell r="F48"/>
          <cell r="G48"/>
          <cell r="H48"/>
          <cell r="M48"/>
          <cell r="N48"/>
          <cell r="O48"/>
          <cell r="P48"/>
        </row>
        <row r="49">
          <cell r="D49"/>
          <cell r="E49"/>
          <cell r="F49"/>
          <cell r="G49"/>
          <cell r="H49"/>
          <cell r="M49"/>
          <cell r="N49"/>
          <cell r="O49"/>
          <cell r="P49"/>
        </row>
        <row r="50">
          <cell r="D50"/>
          <cell r="E50"/>
          <cell r="F50"/>
          <cell r="G50"/>
          <cell r="H50"/>
          <cell r="M50"/>
          <cell r="N50"/>
          <cell r="O50"/>
          <cell r="P50"/>
        </row>
        <row r="51">
          <cell r="D51"/>
          <cell r="E51"/>
          <cell r="F51"/>
          <cell r="G51"/>
          <cell r="H51"/>
          <cell r="M51"/>
          <cell r="N51"/>
          <cell r="O51"/>
          <cell r="P51"/>
        </row>
        <row r="52">
          <cell r="D52"/>
          <cell r="E52"/>
          <cell r="F52"/>
          <cell r="G52"/>
          <cell r="H52"/>
          <cell r="M52"/>
          <cell r="N52"/>
          <cell r="O52"/>
          <cell r="P52"/>
        </row>
        <row r="53">
          <cell r="D53"/>
          <cell r="E53"/>
          <cell r="F53"/>
          <cell r="G53"/>
          <cell r="H53"/>
          <cell r="M53"/>
          <cell r="N53"/>
          <cell r="O53"/>
          <cell r="P53"/>
        </row>
        <row r="54">
          <cell r="D54"/>
          <cell r="E54"/>
          <cell r="F54"/>
          <cell r="G54"/>
          <cell r="H54"/>
          <cell r="M54"/>
          <cell r="N54"/>
          <cell r="O54"/>
          <cell r="P54"/>
        </row>
        <row r="55">
          <cell r="D55"/>
          <cell r="E55"/>
          <cell r="F55"/>
          <cell r="G55"/>
          <cell r="H55"/>
          <cell r="M55"/>
          <cell r="N55"/>
          <cell r="O55"/>
          <cell r="P55"/>
        </row>
        <row r="56">
          <cell r="D56"/>
          <cell r="E56"/>
          <cell r="F56"/>
          <cell r="G56"/>
          <cell r="H56"/>
          <cell r="M56"/>
          <cell r="N56"/>
          <cell r="O56"/>
          <cell r="P56"/>
        </row>
        <row r="57">
          <cell r="D57"/>
          <cell r="E57"/>
          <cell r="F57"/>
          <cell r="G57"/>
          <cell r="H57"/>
          <cell r="M57"/>
          <cell r="N57"/>
          <cell r="O57"/>
          <cell r="P57"/>
        </row>
        <row r="58">
          <cell r="D58"/>
          <cell r="E58"/>
          <cell r="F58"/>
          <cell r="G58"/>
          <cell r="H58"/>
          <cell r="M58"/>
          <cell r="N58"/>
          <cell r="O58"/>
          <cell r="P58"/>
        </row>
        <row r="59">
          <cell r="D59"/>
          <cell r="E59"/>
          <cell r="F59"/>
          <cell r="G59"/>
          <cell r="H59"/>
          <cell r="M59"/>
          <cell r="N59"/>
          <cell r="O59"/>
          <cell r="P59"/>
        </row>
        <row r="60">
          <cell r="D60"/>
          <cell r="E60"/>
          <cell r="F60"/>
          <cell r="G60"/>
          <cell r="H60"/>
          <cell r="M60"/>
          <cell r="N60"/>
          <cell r="O60"/>
          <cell r="P60"/>
        </row>
        <row r="61">
          <cell r="D61"/>
          <cell r="E61"/>
          <cell r="F61"/>
          <cell r="G61"/>
          <cell r="H61"/>
          <cell r="M61"/>
          <cell r="N61"/>
          <cell r="O61"/>
          <cell r="P61"/>
        </row>
        <row r="62">
          <cell r="D62"/>
          <cell r="E62"/>
          <cell r="F62"/>
          <cell r="G62"/>
          <cell r="H62"/>
          <cell r="M62"/>
          <cell r="N62"/>
          <cell r="O62"/>
          <cell r="P62"/>
        </row>
        <row r="63">
          <cell r="D63"/>
          <cell r="E63"/>
          <cell r="F63"/>
          <cell r="G63"/>
          <cell r="H63"/>
          <cell r="M63"/>
          <cell r="N63"/>
          <cell r="O63"/>
          <cell r="P63"/>
        </row>
        <row r="64">
          <cell r="D64"/>
          <cell r="E64"/>
          <cell r="F64"/>
          <cell r="G64"/>
          <cell r="H64"/>
          <cell r="M64"/>
          <cell r="N64"/>
          <cell r="O64"/>
          <cell r="P64"/>
        </row>
        <row r="65">
          <cell r="D65"/>
          <cell r="E65"/>
          <cell r="F65"/>
          <cell r="G65"/>
          <cell r="H65"/>
          <cell r="M65"/>
          <cell r="N65"/>
          <cell r="O65"/>
          <cell r="P65"/>
        </row>
        <row r="66">
          <cell r="D66"/>
          <cell r="E66"/>
          <cell r="F66"/>
          <cell r="G66"/>
          <cell r="H66"/>
          <cell r="M66"/>
          <cell r="N66"/>
          <cell r="O66"/>
          <cell r="P66"/>
        </row>
        <row r="67">
          <cell r="D67"/>
          <cell r="E67"/>
          <cell r="F67"/>
          <cell r="G67"/>
          <cell r="H67"/>
          <cell r="M67"/>
          <cell r="N67"/>
          <cell r="O67"/>
          <cell r="P67"/>
        </row>
        <row r="68">
          <cell r="D68"/>
          <cell r="E68"/>
          <cell r="F68"/>
          <cell r="G68"/>
          <cell r="H68"/>
          <cell r="M68"/>
          <cell r="N68"/>
          <cell r="O68"/>
          <cell r="P68"/>
        </row>
        <row r="69">
          <cell r="D69"/>
          <cell r="E69"/>
          <cell r="F69"/>
          <cell r="G69"/>
          <cell r="H69"/>
          <cell r="M69"/>
          <cell r="N69"/>
          <cell r="O69"/>
          <cell r="P69"/>
        </row>
        <row r="70">
          <cell r="D70"/>
          <cell r="E70"/>
          <cell r="F70"/>
          <cell r="G70"/>
          <cell r="H70"/>
          <cell r="M70"/>
          <cell r="N70"/>
          <cell r="O70"/>
          <cell r="P70"/>
        </row>
        <row r="71">
          <cell r="D71"/>
          <cell r="E71"/>
          <cell r="F71"/>
          <cell r="G71"/>
          <cell r="H71"/>
          <cell r="M71"/>
          <cell r="N71"/>
          <cell r="O71"/>
          <cell r="P71"/>
        </row>
        <row r="72">
          <cell r="D72"/>
          <cell r="E72"/>
          <cell r="F72"/>
          <cell r="G72"/>
          <cell r="H72"/>
          <cell r="M72"/>
          <cell r="N72"/>
          <cell r="O72"/>
          <cell r="P72"/>
        </row>
        <row r="73">
          <cell r="D73"/>
          <cell r="E73"/>
          <cell r="F73"/>
          <cell r="G73"/>
          <cell r="H73"/>
          <cell r="M73"/>
          <cell r="N73"/>
          <cell r="O73"/>
          <cell r="P73"/>
        </row>
        <row r="74">
          <cell r="D74"/>
          <cell r="E74"/>
          <cell r="F74"/>
          <cell r="G74"/>
          <cell r="H74"/>
          <cell r="M74"/>
          <cell r="N74"/>
          <cell r="O74"/>
          <cell r="P74"/>
        </row>
        <row r="75">
          <cell r="D75"/>
          <cell r="E75"/>
          <cell r="F75"/>
          <cell r="G75"/>
          <cell r="H75"/>
          <cell r="M75"/>
          <cell r="N75"/>
          <cell r="O75"/>
          <cell r="P75"/>
        </row>
        <row r="76">
          <cell r="D76"/>
          <cell r="E76"/>
          <cell r="F76"/>
          <cell r="G76"/>
          <cell r="H76"/>
          <cell r="M76"/>
          <cell r="N76"/>
          <cell r="O76"/>
          <cell r="P76"/>
        </row>
        <row r="77">
          <cell r="D77"/>
          <cell r="E77"/>
          <cell r="F77"/>
          <cell r="G77"/>
          <cell r="H77"/>
          <cell r="M77"/>
          <cell r="N77"/>
          <cell r="O77"/>
          <cell r="P77"/>
        </row>
        <row r="78">
          <cell r="D78"/>
          <cell r="E78"/>
          <cell r="F78"/>
          <cell r="G78"/>
          <cell r="H78"/>
          <cell r="M78"/>
          <cell r="N78"/>
          <cell r="O78"/>
          <cell r="P78"/>
        </row>
        <row r="79">
          <cell r="D79"/>
          <cell r="E79"/>
          <cell r="F79"/>
          <cell r="G79"/>
          <cell r="H79"/>
          <cell r="M79"/>
          <cell r="N79"/>
          <cell r="O79"/>
          <cell r="P79"/>
        </row>
        <row r="80">
          <cell r="D80"/>
          <cell r="E80"/>
          <cell r="F80"/>
          <cell r="G80"/>
          <cell r="H80"/>
          <cell r="M80"/>
          <cell r="N80"/>
          <cell r="O80"/>
          <cell r="P80"/>
        </row>
        <row r="81">
          <cell r="D81"/>
          <cell r="E81"/>
          <cell r="F81"/>
          <cell r="G81"/>
          <cell r="H81"/>
          <cell r="M81"/>
          <cell r="N81"/>
          <cell r="O81"/>
          <cell r="P81"/>
        </row>
        <row r="82">
          <cell r="D82"/>
          <cell r="E82"/>
          <cell r="F82"/>
          <cell r="G82"/>
          <cell r="H82"/>
          <cell r="M82"/>
          <cell r="N82"/>
          <cell r="O82"/>
          <cell r="P82"/>
        </row>
        <row r="83">
          <cell r="D83"/>
          <cell r="E83"/>
          <cell r="F83"/>
          <cell r="G83"/>
          <cell r="H83"/>
          <cell r="M83"/>
          <cell r="N83"/>
          <cell r="O83"/>
          <cell r="P83"/>
        </row>
        <row r="84">
          <cell r="D84"/>
          <cell r="E84"/>
          <cell r="F84"/>
          <cell r="G84"/>
          <cell r="H84"/>
          <cell r="M84"/>
          <cell r="N84"/>
          <cell r="O84"/>
          <cell r="P84"/>
        </row>
        <row r="85">
          <cell r="D85"/>
          <cell r="E85"/>
          <cell r="F85"/>
          <cell r="G85"/>
          <cell r="H85"/>
          <cell r="M85"/>
          <cell r="N85"/>
          <cell r="O85"/>
          <cell r="P85"/>
        </row>
        <row r="86">
          <cell r="D86"/>
          <cell r="E86"/>
          <cell r="F86"/>
          <cell r="G86"/>
          <cell r="H86"/>
          <cell r="M86"/>
          <cell r="N86"/>
          <cell r="O86"/>
          <cell r="P86"/>
        </row>
        <row r="87">
          <cell r="D87"/>
          <cell r="E87"/>
          <cell r="F87"/>
          <cell r="G87"/>
          <cell r="H87"/>
          <cell r="M87"/>
          <cell r="N87"/>
          <cell r="O87"/>
          <cell r="P87"/>
        </row>
        <row r="88">
          <cell r="D88"/>
          <cell r="E88"/>
          <cell r="F88"/>
          <cell r="G88"/>
          <cell r="H88"/>
          <cell r="M88"/>
          <cell r="N88"/>
          <cell r="O88"/>
          <cell r="P88"/>
        </row>
        <row r="89">
          <cell r="D89"/>
          <cell r="E89"/>
          <cell r="F89"/>
          <cell r="G89"/>
          <cell r="H89"/>
          <cell r="M89"/>
          <cell r="N89"/>
          <cell r="O89"/>
          <cell r="P89"/>
        </row>
        <row r="90">
          <cell r="D90"/>
          <cell r="E90"/>
          <cell r="F90"/>
          <cell r="G90"/>
          <cell r="H90"/>
          <cell r="M90"/>
          <cell r="N90"/>
          <cell r="O90"/>
          <cell r="P90"/>
        </row>
        <row r="91">
          <cell r="D91"/>
          <cell r="E91"/>
          <cell r="F91"/>
          <cell r="G91"/>
          <cell r="H91"/>
          <cell r="M91"/>
          <cell r="N91"/>
          <cell r="O91"/>
          <cell r="P91"/>
        </row>
        <row r="92">
          <cell r="D92"/>
          <cell r="E92"/>
          <cell r="F92"/>
          <cell r="G92"/>
          <cell r="H92"/>
          <cell r="M92"/>
          <cell r="N92"/>
          <cell r="O92"/>
          <cell r="P92"/>
        </row>
        <row r="93">
          <cell r="D93"/>
          <cell r="E93"/>
          <cell r="F93"/>
          <cell r="G93"/>
          <cell r="H93"/>
          <cell r="M93"/>
          <cell r="N93"/>
          <cell r="O93"/>
          <cell r="P93"/>
        </row>
        <row r="94">
          <cell r="D94"/>
          <cell r="E94"/>
          <cell r="F94"/>
          <cell r="G94"/>
          <cell r="H94"/>
          <cell r="M94"/>
          <cell r="N94"/>
          <cell r="O94"/>
          <cell r="P94"/>
        </row>
        <row r="95">
          <cell r="D95"/>
          <cell r="E95"/>
          <cell r="F95"/>
          <cell r="G95"/>
          <cell r="H95"/>
          <cell r="M95"/>
          <cell r="N95"/>
          <cell r="O95"/>
          <cell r="P95"/>
        </row>
        <row r="96">
          <cell r="D96"/>
          <cell r="E96"/>
          <cell r="F96"/>
          <cell r="G96"/>
          <cell r="H96"/>
          <cell r="M96"/>
          <cell r="N96"/>
          <cell r="O96"/>
          <cell r="P96"/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0">
    <tabColor rgb="FF00B050"/>
    <pageSetUpPr autoPageBreaks="0" fitToPage="1"/>
  </sheetPr>
  <dimension ref="B1:H69"/>
  <sheetViews>
    <sheetView showGridLines="0" zoomScaleNormal="100" workbookViewId="0">
      <selection activeCell="E10" sqref="E10:G10"/>
    </sheetView>
  </sheetViews>
  <sheetFormatPr baseColWidth="10" defaultColWidth="9.140625" defaultRowHeight="30" customHeight="1"/>
  <cols>
    <col min="1" max="1" width="2.7109375" style="129" customWidth="1"/>
    <col min="2" max="2" width="10.140625" style="129" customWidth="1"/>
    <col min="3" max="3" width="33.28515625" style="129" bestFit="1" customWidth="1"/>
    <col min="4" max="4" width="22.28515625" style="129" customWidth="1"/>
    <col min="5" max="6" width="17" style="129" customWidth="1"/>
    <col min="7" max="7" width="27.85546875" style="129" bestFit="1" customWidth="1"/>
    <col min="8" max="8" width="2.7109375" style="129" customWidth="1"/>
    <col min="9" max="9" width="3" style="129" customWidth="1"/>
    <col min="10" max="10" width="21.5703125" style="129" customWidth="1"/>
    <col min="11" max="11" width="32.7109375" style="129" customWidth="1"/>
    <col min="12" max="12" width="36.5703125" style="129" customWidth="1"/>
    <col min="13" max="13" width="22.5703125" style="129" customWidth="1"/>
    <col min="14" max="14" width="12.85546875" style="129" customWidth="1"/>
    <col min="15" max="15" width="17.42578125" style="129" customWidth="1"/>
    <col min="16" max="16" width="13.140625" style="129" customWidth="1"/>
    <col min="17" max="17" width="29.85546875" style="129" customWidth="1"/>
    <col min="18" max="16384" width="9.140625" style="129"/>
  </cols>
  <sheetData>
    <row r="1" spans="2:8" ht="12" customHeight="1" thickBot="1"/>
    <row r="2" spans="2:8" ht="30" customHeight="1">
      <c r="B2" s="284" t="s">
        <v>128</v>
      </c>
      <c r="C2" s="285"/>
      <c r="D2" s="290"/>
      <c r="E2" s="132"/>
      <c r="F2" s="132"/>
      <c r="G2" s="133"/>
    </row>
    <row r="3" spans="2:8" ht="30" customHeight="1">
      <c r="B3" s="286"/>
      <c r="C3" s="287"/>
      <c r="D3" s="291"/>
      <c r="F3" s="136"/>
      <c r="G3" s="137"/>
      <c r="H3" s="138"/>
    </row>
    <row r="4" spans="2:8" ht="30" customHeight="1" thickBot="1">
      <c r="B4" s="288"/>
      <c r="C4" s="289"/>
      <c r="D4" s="292"/>
      <c r="E4" s="141"/>
      <c r="F4" s="141"/>
      <c r="G4" s="142"/>
    </row>
    <row r="5" spans="2:8" ht="30" customHeight="1" thickBot="1">
      <c r="B5" s="105" t="s">
        <v>129</v>
      </c>
      <c r="C5" s="105" t="s">
        <v>130</v>
      </c>
      <c r="D5" s="105" t="s">
        <v>95</v>
      </c>
      <c r="E5" s="293" t="s">
        <v>68</v>
      </c>
      <c r="F5" s="293"/>
      <c r="G5" s="293"/>
    </row>
    <row r="6" spans="2:8" ht="30" customHeight="1">
      <c r="B6" s="257">
        <v>1</v>
      </c>
      <c r="C6" s="258" t="s">
        <v>131</v>
      </c>
      <c r="D6" s="80" t="s">
        <v>132</v>
      </c>
      <c r="E6" s="294"/>
      <c r="F6" s="295"/>
      <c r="G6" s="296"/>
    </row>
    <row r="7" spans="2:8" ht="30" customHeight="1">
      <c r="B7" s="259">
        <v>2</v>
      </c>
      <c r="C7" s="260" t="s">
        <v>133</v>
      </c>
      <c r="D7" s="80" t="s">
        <v>132</v>
      </c>
      <c r="E7" s="281"/>
      <c r="F7" s="282"/>
      <c r="G7" s="283"/>
    </row>
    <row r="8" spans="2:8" ht="30" customHeight="1">
      <c r="B8" s="259">
        <v>3</v>
      </c>
      <c r="C8" s="260" t="s">
        <v>134</v>
      </c>
      <c r="D8" s="80" t="s">
        <v>132</v>
      </c>
      <c r="E8" s="281"/>
      <c r="F8" s="282"/>
      <c r="G8" s="283"/>
    </row>
    <row r="9" spans="2:8" ht="30" customHeight="1">
      <c r="B9" s="259">
        <v>4</v>
      </c>
      <c r="C9" s="260" t="s">
        <v>135</v>
      </c>
      <c r="D9" s="80" t="s">
        <v>132</v>
      </c>
      <c r="E9" s="281"/>
      <c r="F9" s="282"/>
      <c r="G9" s="283"/>
    </row>
    <row r="10" spans="2:8" ht="30" customHeight="1">
      <c r="B10" s="259">
        <v>5</v>
      </c>
      <c r="C10" s="260" t="s">
        <v>136</v>
      </c>
      <c r="D10" s="80" t="s">
        <v>132</v>
      </c>
      <c r="E10" s="281"/>
      <c r="F10" s="282"/>
      <c r="G10" s="283"/>
    </row>
    <row r="11" spans="2:8" ht="30" customHeight="1">
      <c r="B11" s="259">
        <v>6</v>
      </c>
      <c r="C11" s="260" t="s">
        <v>102</v>
      </c>
      <c r="D11" s="261">
        <f ca="1">RECOLECCIÓN!L57</f>
        <v>1.2304574074669219</v>
      </c>
      <c r="E11" s="281"/>
      <c r="F11" s="282"/>
      <c r="G11" s="283"/>
    </row>
    <row r="12" spans="2:8" ht="30" customHeight="1">
      <c r="B12" s="259">
        <v>7</v>
      </c>
      <c r="C12" s="260" t="s">
        <v>106</v>
      </c>
      <c r="D12" s="261">
        <f ca="1">TRANSPORTE!L52</f>
        <v>2.1653851948626155E-2</v>
      </c>
      <c r="E12" s="281"/>
      <c r="F12" s="282"/>
      <c r="G12" s="283"/>
    </row>
    <row r="13" spans="2:8" ht="30" customHeight="1">
      <c r="B13" s="259">
        <v>8</v>
      </c>
      <c r="C13" s="260" t="s">
        <v>105</v>
      </c>
      <c r="D13" s="261">
        <f ca="1">'CARGA-DESCARGA'!L52</f>
        <v>2.1653851948626155E-2</v>
      </c>
      <c r="E13" s="281"/>
      <c r="F13" s="282"/>
      <c r="G13" s="283"/>
    </row>
    <row r="14" spans="2:8" ht="30" customHeight="1">
      <c r="B14" s="259">
        <v>9</v>
      </c>
      <c r="C14" s="260" t="s">
        <v>104</v>
      </c>
      <c r="D14" s="261">
        <f ca="1">'CARGA DE PALLETS'!L52</f>
        <v>1.2304574074669219</v>
      </c>
      <c r="E14" s="281"/>
      <c r="F14" s="282"/>
      <c r="G14" s="283"/>
    </row>
    <row r="15" spans="2:8" ht="30" customHeight="1">
      <c r="B15" s="259"/>
      <c r="C15" s="260"/>
      <c r="D15" s="261"/>
      <c r="E15" s="281"/>
      <c r="F15" s="282"/>
      <c r="G15" s="283"/>
    </row>
    <row r="16" spans="2:8" ht="30" customHeight="1">
      <c r="B16" s="259"/>
      <c r="C16" s="260"/>
      <c r="D16" s="261"/>
      <c r="E16" s="281"/>
      <c r="F16" s="282"/>
      <c r="G16" s="283"/>
    </row>
    <row r="17" spans="2:7" ht="30" customHeight="1">
      <c r="B17" s="259"/>
      <c r="C17" s="260"/>
      <c r="D17" s="261"/>
      <c r="E17" s="281"/>
      <c r="F17" s="282"/>
      <c r="G17" s="283"/>
    </row>
    <row r="18" spans="2:7" ht="30" customHeight="1">
      <c r="B18" s="259"/>
      <c r="C18" s="260"/>
      <c r="D18" s="261"/>
      <c r="E18" s="281"/>
      <c r="F18" s="282"/>
      <c r="G18" s="283"/>
    </row>
    <row r="19" spans="2:7" ht="30" customHeight="1">
      <c r="B19" s="259"/>
      <c r="C19" s="260"/>
      <c r="D19" s="261"/>
      <c r="E19" s="281"/>
      <c r="F19" s="282"/>
      <c r="G19" s="283"/>
    </row>
    <row r="20" spans="2:7" ht="30" customHeight="1">
      <c r="B20" s="259"/>
      <c r="C20" s="260"/>
      <c r="D20" s="261"/>
      <c r="E20" s="281"/>
      <c r="F20" s="282"/>
      <c r="G20" s="283"/>
    </row>
    <row r="21" spans="2:7" ht="30" customHeight="1">
      <c r="B21" s="259"/>
      <c r="C21" s="260"/>
      <c r="D21" s="261"/>
      <c r="E21" s="281"/>
      <c r="F21" s="282"/>
      <c r="G21" s="283"/>
    </row>
    <row r="22" spans="2:7" ht="30" customHeight="1">
      <c r="B22" s="259"/>
      <c r="C22" s="260"/>
      <c r="D22" s="261"/>
      <c r="E22" s="281"/>
      <c r="F22" s="282"/>
      <c r="G22" s="283"/>
    </row>
    <row r="23" spans="2:7" ht="30" customHeight="1">
      <c r="B23" s="259"/>
      <c r="C23" s="260"/>
      <c r="D23" s="261"/>
      <c r="E23" s="281"/>
      <c r="F23" s="282"/>
      <c r="G23" s="283"/>
    </row>
    <row r="24" spans="2:7" ht="30" customHeight="1">
      <c r="B24" s="259"/>
      <c r="C24" s="260"/>
      <c r="D24" s="261"/>
      <c r="E24" s="281"/>
      <c r="F24" s="282"/>
      <c r="G24" s="283"/>
    </row>
    <row r="25" spans="2:7" ht="30" customHeight="1">
      <c r="B25" s="259"/>
      <c r="C25" s="260"/>
      <c r="D25" s="261"/>
      <c r="E25" s="281"/>
      <c r="F25" s="282"/>
      <c r="G25" s="283"/>
    </row>
    <row r="26" spans="2:7" ht="30" customHeight="1">
      <c r="B26" s="259"/>
      <c r="C26" s="260"/>
      <c r="D26" s="261"/>
      <c r="E26" s="281"/>
      <c r="F26" s="282"/>
      <c r="G26" s="283"/>
    </row>
    <row r="27" spans="2:7" ht="30" customHeight="1">
      <c r="B27" s="259"/>
      <c r="C27" s="260"/>
      <c r="D27" s="261"/>
      <c r="E27" s="281"/>
      <c r="F27" s="282"/>
      <c r="G27" s="283"/>
    </row>
    <row r="28" spans="2:7" ht="30" customHeight="1">
      <c r="B28" s="259"/>
      <c r="C28" s="260"/>
      <c r="D28" s="261"/>
      <c r="E28" s="281"/>
      <c r="F28" s="282"/>
      <c r="G28" s="283"/>
    </row>
    <row r="29" spans="2:7" ht="30" customHeight="1">
      <c r="B29" s="259"/>
      <c r="C29" s="260"/>
      <c r="D29" s="261"/>
      <c r="E29" s="281"/>
      <c r="F29" s="282"/>
      <c r="G29" s="283"/>
    </row>
    <row r="30" spans="2:7" ht="30" customHeight="1">
      <c r="B30" s="259"/>
      <c r="C30" s="260"/>
      <c r="D30" s="261"/>
      <c r="E30" s="281"/>
      <c r="F30" s="282"/>
      <c r="G30" s="283"/>
    </row>
    <row r="31" spans="2:7" ht="30" customHeight="1">
      <c r="B31" s="259"/>
      <c r="C31" s="260"/>
      <c r="D31" s="261"/>
      <c r="E31" s="281"/>
      <c r="F31" s="282"/>
      <c r="G31" s="283"/>
    </row>
    <row r="32" spans="2:7" ht="30" customHeight="1" thickBot="1">
      <c r="B32" s="262"/>
      <c r="C32" s="263"/>
      <c r="D32" s="264"/>
      <c r="E32" s="160"/>
      <c r="F32" s="160"/>
      <c r="G32" s="161"/>
    </row>
    <row r="33" spans="2:7" ht="30" customHeight="1">
      <c r="B33" s="265"/>
      <c r="C33" s="266"/>
      <c r="D33" s="267"/>
      <c r="E33" s="163"/>
      <c r="F33" s="163"/>
      <c r="G33" s="164"/>
    </row>
    <row r="34" spans="2:7" ht="30" customHeight="1">
      <c r="B34" s="265"/>
      <c r="C34" s="266"/>
      <c r="D34" s="268"/>
    </row>
    <row r="35" spans="2:7" ht="30" customHeight="1">
      <c r="B35" s="265"/>
      <c r="C35" s="266"/>
      <c r="D35" s="268"/>
    </row>
    <row r="36" spans="2:7" ht="30" customHeight="1">
      <c r="B36" s="265"/>
      <c r="C36" s="266"/>
      <c r="D36" s="268"/>
    </row>
    <row r="37" spans="2:7" ht="30" customHeight="1">
      <c r="B37" s="265"/>
      <c r="C37" s="266"/>
      <c r="D37" s="268"/>
    </row>
    <row r="38" spans="2:7" ht="30" customHeight="1">
      <c r="B38" s="265"/>
      <c r="C38" s="266"/>
      <c r="D38" s="268"/>
    </row>
    <row r="39" spans="2:7" ht="30" customHeight="1">
      <c r="B39" s="265"/>
      <c r="C39" s="266"/>
      <c r="D39" s="268"/>
    </row>
    <row r="40" spans="2:7" ht="30" customHeight="1">
      <c r="B40" s="269"/>
      <c r="C40" s="269"/>
      <c r="D40" s="270"/>
    </row>
    <row r="41" spans="2:7" ht="30" customHeight="1">
      <c r="B41" s="269"/>
      <c r="C41" s="269"/>
      <c r="D41" s="270"/>
    </row>
    <row r="42" spans="2:7" ht="30" customHeight="1">
      <c r="B42" s="270"/>
      <c r="C42" s="270"/>
      <c r="D42" s="270"/>
    </row>
    <row r="43" spans="2:7" ht="30" customHeight="1">
      <c r="B43" s="270"/>
      <c r="C43" s="270"/>
      <c r="D43" s="270"/>
    </row>
    <row r="44" spans="2:7" ht="30" customHeight="1">
      <c r="B44" s="270"/>
      <c r="C44" s="271"/>
      <c r="D44" s="270"/>
    </row>
    <row r="45" spans="2:7" ht="30" customHeight="1">
      <c r="B45" s="270"/>
      <c r="C45" s="270"/>
      <c r="D45" s="270"/>
    </row>
    <row r="46" spans="2:7" ht="30" customHeight="1">
      <c r="B46" s="270"/>
      <c r="C46" s="270"/>
      <c r="D46" s="270"/>
    </row>
    <row r="47" spans="2:7" ht="30" customHeight="1">
      <c r="B47" s="270"/>
      <c r="C47" s="270"/>
      <c r="D47" s="270"/>
    </row>
    <row r="48" spans="2:7" ht="30" customHeight="1">
      <c r="B48" s="270"/>
      <c r="C48" s="270"/>
      <c r="D48" s="270"/>
    </row>
    <row r="49" spans="2:4" ht="30" customHeight="1">
      <c r="B49" s="270"/>
      <c r="C49" s="270"/>
      <c r="D49" s="270"/>
    </row>
    <row r="50" spans="2:4" ht="30" customHeight="1">
      <c r="B50" s="270"/>
      <c r="C50" s="270"/>
      <c r="D50" s="270"/>
    </row>
    <row r="51" spans="2:4" ht="30" customHeight="1">
      <c r="B51" s="270"/>
      <c r="C51" s="270"/>
      <c r="D51" s="270"/>
    </row>
    <row r="52" spans="2:4" ht="30" customHeight="1">
      <c r="B52" s="270"/>
      <c r="C52" s="270"/>
      <c r="D52" s="270"/>
    </row>
    <row r="53" spans="2:4" ht="30" customHeight="1">
      <c r="B53" s="270"/>
      <c r="C53" s="270"/>
      <c r="D53" s="270"/>
    </row>
    <row r="54" spans="2:4" ht="30" customHeight="1">
      <c r="B54" s="270"/>
      <c r="C54" s="270"/>
      <c r="D54" s="270"/>
    </row>
    <row r="55" spans="2:4" ht="30" customHeight="1">
      <c r="B55" s="270"/>
      <c r="C55" s="270"/>
      <c r="D55" s="270"/>
    </row>
    <row r="56" spans="2:4" ht="30" customHeight="1">
      <c r="B56" s="270"/>
      <c r="C56" s="270"/>
      <c r="D56" s="270"/>
    </row>
    <row r="57" spans="2:4" ht="30" customHeight="1">
      <c r="B57" s="270"/>
      <c r="C57" s="270"/>
      <c r="D57" s="270"/>
    </row>
    <row r="58" spans="2:4" ht="30" customHeight="1">
      <c r="B58" s="270"/>
      <c r="C58" s="270"/>
      <c r="D58" s="270"/>
    </row>
    <row r="59" spans="2:4" ht="30" customHeight="1">
      <c r="B59" s="270"/>
      <c r="C59" s="270"/>
      <c r="D59" s="270"/>
    </row>
    <row r="60" spans="2:4" ht="30" customHeight="1">
      <c r="B60" s="270"/>
      <c r="C60" s="270"/>
      <c r="D60" s="270"/>
    </row>
    <row r="61" spans="2:4" ht="30" customHeight="1">
      <c r="B61" s="270"/>
      <c r="C61" s="270"/>
      <c r="D61" s="270"/>
    </row>
    <row r="62" spans="2:4" ht="30" customHeight="1">
      <c r="B62" s="270"/>
      <c r="C62" s="270"/>
      <c r="D62" s="270"/>
    </row>
    <row r="63" spans="2:4" ht="30" customHeight="1">
      <c r="B63" s="270"/>
      <c r="C63" s="270"/>
      <c r="D63" s="270"/>
    </row>
    <row r="64" spans="2:4" ht="30" customHeight="1">
      <c r="B64" s="270"/>
      <c r="C64" s="270"/>
      <c r="D64" s="270"/>
    </row>
    <row r="65" spans="2:4" ht="30" customHeight="1">
      <c r="B65" s="270"/>
      <c r="C65" s="270"/>
      <c r="D65" s="270"/>
    </row>
    <row r="66" spans="2:4" ht="30" customHeight="1">
      <c r="B66" s="270"/>
      <c r="C66" s="270"/>
      <c r="D66" s="270"/>
    </row>
    <row r="67" spans="2:4" ht="30" customHeight="1">
      <c r="B67" s="270"/>
      <c r="C67" s="270"/>
      <c r="D67" s="270"/>
    </row>
    <row r="68" spans="2:4" ht="30" customHeight="1">
      <c r="B68" s="270"/>
      <c r="C68" s="270"/>
      <c r="D68" s="270"/>
    </row>
    <row r="69" spans="2:4" ht="15"/>
  </sheetData>
  <sheetProtection selectLockedCells="1"/>
  <mergeCells count="29">
    <mergeCell ref="E14:G14"/>
    <mergeCell ref="B2:C4"/>
    <mergeCell ref="D2:D4"/>
    <mergeCell ref="E5:G5"/>
    <mergeCell ref="E6:G6"/>
    <mergeCell ref="E7:G7"/>
    <mergeCell ref="E8:G8"/>
    <mergeCell ref="E9:G9"/>
    <mergeCell ref="E10:G10"/>
    <mergeCell ref="E11:G11"/>
    <mergeCell ref="E12:G12"/>
    <mergeCell ref="E13:G13"/>
    <mergeCell ref="E26:G26"/>
    <mergeCell ref="E15:G15"/>
    <mergeCell ref="E16:G16"/>
    <mergeCell ref="E17:G17"/>
    <mergeCell ref="E18:G18"/>
    <mergeCell ref="E19:G19"/>
    <mergeCell ref="E20:G20"/>
    <mergeCell ref="E21:G21"/>
    <mergeCell ref="E22:G22"/>
    <mergeCell ref="E23:G23"/>
    <mergeCell ref="E24:G24"/>
    <mergeCell ref="E25:G25"/>
    <mergeCell ref="E27:G27"/>
    <mergeCell ref="E28:G28"/>
    <mergeCell ref="E29:G29"/>
    <mergeCell ref="E30:G30"/>
    <mergeCell ref="E31:G31"/>
  </mergeCells>
  <hyperlinks>
    <hyperlink ref="C6" location="'INFO-OEE'!A1" display="INFO-OEE"/>
    <hyperlink ref="C7" location="'INFO-Personal'!A1" display="INFO-Personal"/>
    <hyperlink ref="C8" location="'INFO-Direc'!A1" display="INFO-Direc"/>
    <hyperlink ref="C9" location="'INFO-Mant'!A1" display="INFO-Mant"/>
    <hyperlink ref="C10" location="'INFO-Pos'!A1" display="INFO-Pos"/>
    <hyperlink ref="C11" location="'RECOLECCIÓN'!A1" display="RECOLECCIÓN"/>
    <hyperlink ref="C12" location="'TRANSPORTE'!A1" display="TRANSPORTE"/>
    <hyperlink ref="C13" location="'CARGA-DESCARGA'!A1" display="CARGA-DESCARGA"/>
    <hyperlink ref="C14" location="'CARGA DE PALLETS'!A1" display="CARGA DE PALLETS"/>
  </hyperlinks>
  <printOptions horizontalCentered="1" verticalCentered="1"/>
  <pageMargins left="0.4" right="0.4" top="0.4" bottom="0.4" header="0.3" footer="0.3"/>
  <pageSetup paperSize="9" scale="5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ctualizarIndice">
                <anchor moveWithCells="1" sizeWithCells="1">
                  <from>
                    <xdr:col>3</xdr:col>
                    <xdr:colOff>171450</xdr:colOff>
                    <xdr:row>2</xdr:row>
                    <xdr:rowOff>9525</xdr:rowOff>
                  </from>
                  <to>
                    <xdr:col>3</xdr:col>
                    <xdr:colOff>1343025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002060"/>
    <pageSetUpPr autoPageBreaks="0" fitToPage="1"/>
  </sheetPr>
  <dimension ref="A1:K49"/>
  <sheetViews>
    <sheetView showGridLines="0" zoomScale="80" zoomScaleNormal="80" workbookViewId="0">
      <selection activeCell="E8" sqref="E8:J8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28" customWidth="1"/>
    <col min="4" max="4" width="33.28515625" bestFit="1" customWidth="1"/>
    <col min="5" max="5" width="18.42578125" bestFit="1" customWidth="1"/>
    <col min="6" max="6" width="18" bestFit="1" customWidth="1"/>
    <col min="7" max="7" width="18.42578125" bestFit="1" customWidth="1"/>
    <col min="8" max="9" width="21" customWidth="1"/>
    <col min="10" max="10" width="45.7109375" customWidth="1"/>
    <col min="11" max="11" width="2.7109375" customWidth="1"/>
    <col min="12" max="12" width="3" customWidth="1"/>
    <col min="13" max="13" width="21.5703125" customWidth="1"/>
    <col min="14" max="14" width="32.7109375" customWidth="1"/>
    <col min="15" max="15" width="36.5703125" customWidth="1"/>
    <col min="16" max="16" width="22.5703125" customWidth="1"/>
    <col min="17" max="17" width="12.85546875" customWidth="1"/>
    <col min="18" max="18" width="17.42578125" customWidth="1"/>
    <col min="19" max="19" width="13.140625" customWidth="1"/>
    <col min="20" max="20" width="29.85546875" customWidth="1"/>
  </cols>
  <sheetData>
    <row r="1" spans="1:11" ht="12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30" customHeight="1">
      <c r="A2" s="1"/>
      <c r="B2" s="2" t="s">
        <v>0</v>
      </c>
      <c r="C2" s="3"/>
      <c r="D2" s="4"/>
      <c r="E2" s="5"/>
      <c r="F2" s="5"/>
      <c r="G2" s="5"/>
      <c r="H2" s="5"/>
      <c r="I2" s="5"/>
      <c r="J2" s="6"/>
      <c r="K2" s="1"/>
    </row>
    <row r="3" spans="1:11" ht="30" customHeight="1">
      <c r="A3" s="1"/>
      <c r="B3" s="7" t="s">
        <v>1</v>
      </c>
      <c r="C3" s="8" t="s">
        <v>2</v>
      </c>
      <c r="D3" s="9" t="s">
        <v>3</v>
      </c>
      <c r="E3" s="297">
        <f ca="1">TODAY()</f>
        <v>46017</v>
      </c>
      <c r="F3" s="297"/>
      <c r="G3" s="9"/>
      <c r="H3" s="11"/>
      <c r="I3" s="11"/>
      <c r="J3" s="12"/>
      <c r="K3" s="13"/>
    </row>
    <row r="4" spans="1:11" ht="30" customHeight="1">
      <c r="A4" s="1"/>
      <c r="B4" s="14" t="s">
        <v>4</v>
      </c>
      <c r="C4" s="15"/>
      <c r="D4" s="16"/>
      <c r="E4" s="16"/>
      <c r="F4" s="16"/>
      <c r="G4" s="1"/>
      <c r="H4" s="16"/>
      <c r="I4" s="16"/>
      <c r="J4" s="17"/>
      <c r="K4" s="1"/>
    </row>
    <row r="5" spans="1:11" ht="30" customHeight="1">
      <c r="A5" s="1"/>
      <c r="B5" s="18" t="s">
        <v>5</v>
      </c>
      <c r="C5" s="19" t="s">
        <v>6</v>
      </c>
      <c r="D5" s="20" t="s">
        <v>7</v>
      </c>
      <c r="E5" s="298" t="s">
        <v>8</v>
      </c>
      <c r="F5" s="298"/>
      <c r="G5" s="1"/>
      <c r="H5" s="16"/>
      <c r="I5" s="16"/>
      <c r="J5" s="21"/>
      <c r="K5" s="1"/>
    </row>
    <row r="6" spans="1:11" ht="30" customHeight="1">
      <c r="A6" s="1"/>
      <c r="B6" s="18" t="s">
        <v>9</v>
      </c>
      <c r="C6" s="19" t="s">
        <v>10</v>
      </c>
      <c r="D6" s="20" t="s">
        <v>11</v>
      </c>
      <c r="E6" s="299" t="s">
        <v>12</v>
      </c>
      <c r="F6" s="299"/>
      <c r="G6" s="1"/>
      <c r="H6" s="16"/>
      <c r="I6" s="16"/>
      <c r="J6" s="21"/>
      <c r="K6" s="1"/>
    </row>
    <row r="7" spans="1:11" ht="30" customHeight="1" thickBot="1">
      <c r="A7" s="1"/>
      <c r="B7" s="22"/>
      <c r="C7" s="23"/>
      <c r="D7" s="23"/>
      <c r="E7" s="24"/>
      <c r="F7" s="24"/>
      <c r="G7" s="25"/>
      <c r="H7" s="26"/>
      <c r="I7" s="26"/>
      <c r="J7" s="21"/>
      <c r="K7" s="1"/>
    </row>
    <row r="8" spans="1:11" ht="30" customHeight="1" thickBot="1">
      <c r="A8" s="1"/>
      <c r="B8" s="300" t="s">
        <v>13</v>
      </c>
      <c r="C8" s="301" t="s">
        <v>14</v>
      </c>
      <c r="D8" s="300" t="s">
        <v>15</v>
      </c>
      <c r="E8" s="300" t="s">
        <v>16</v>
      </c>
      <c r="F8" s="300"/>
      <c r="G8" s="300"/>
      <c r="H8" s="300"/>
      <c r="I8" s="300"/>
      <c r="J8" s="300"/>
      <c r="K8" s="1"/>
    </row>
    <row r="9" spans="1:11" ht="30" customHeight="1" thickBot="1">
      <c r="A9" s="1"/>
      <c r="B9" s="300"/>
      <c r="C9" s="302"/>
      <c r="D9" s="300"/>
      <c r="E9" s="105" t="str">
        <f>RECOLECCIÓN!C3</f>
        <v>RECOLECCIÓN</v>
      </c>
      <c r="F9" s="105" t="str">
        <f>TRANSPORTE!C3</f>
        <v>TRANSPORTE</v>
      </c>
      <c r="G9" s="105" t="str">
        <f>'CARGA-DESCARGA'!C3</f>
        <v>CARGA-DESCARGA</v>
      </c>
      <c r="H9" s="105" t="str">
        <f>'CARGA DE PALLETS'!C3</f>
        <v>CARGA DE PALLETS</v>
      </c>
      <c r="I9" s="105"/>
      <c r="J9" s="104"/>
      <c r="K9" s="1"/>
    </row>
    <row r="10" spans="1:11" ht="30" customHeight="1">
      <c r="A10" s="1"/>
      <c r="B10" s="308" t="s">
        <v>17</v>
      </c>
      <c r="C10" s="310" t="s">
        <v>18</v>
      </c>
      <c r="D10" s="27" t="s">
        <v>19</v>
      </c>
      <c r="E10" s="28">
        <v>10</v>
      </c>
      <c r="F10" s="190">
        <v>10</v>
      </c>
      <c r="G10" s="190">
        <v>10</v>
      </c>
      <c r="H10" s="190">
        <v>10</v>
      </c>
      <c r="I10" s="28"/>
      <c r="J10" s="28"/>
      <c r="K10" s="1"/>
    </row>
    <row r="11" spans="1:11" ht="30" customHeight="1">
      <c r="A11" s="1"/>
      <c r="B11" s="309"/>
      <c r="C11" s="311"/>
      <c r="D11" s="29" t="s">
        <v>20</v>
      </c>
      <c r="E11" s="30">
        <v>10</v>
      </c>
      <c r="F11" s="189">
        <v>10</v>
      </c>
      <c r="G11" s="189">
        <v>10</v>
      </c>
      <c r="H11" s="189">
        <v>10</v>
      </c>
      <c r="I11" s="30"/>
      <c r="J11" s="30"/>
      <c r="K11" s="1"/>
    </row>
    <row r="12" spans="1:11" ht="30" customHeight="1">
      <c r="A12" s="1"/>
      <c r="B12" s="312" t="s">
        <v>21</v>
      </c>
      <c r="C12" s="314" t="s">
        <v>22</v>
      </c>
      <c r="D12" s="29" t="s">
        <v>23</v>
      </c>
      <c r="E12" s="30">
        <v>10</v>
      </c>
      <c r="F12" s="189">
        <v>10</v>
      </c>
      <c r="G12" s="189">
        <v>10</v>
      </c>
      <c r="H12" s="189">
        <v>10</v>
      </c>
      <c r="I12" s="30"/>
      <c r="J12" s="30"/>
      <c r="K12" s="1"/>
    </row>
    <row r="13" spans="1:11" ht="30" customHeight="1">
      <c r="A13" s="1"/>
      <c r="B13" s="313"/>
      <c r="C13" s="315"/>
      <c r="D13" s="29" t="s">
        <v>24</v>
      </c>
      <c r="E13" s="30">
        <v>1</v>
      </c>
      <c r="F13" s="189">
        <v>1</v>
      </c>
      <c r="G13" s="189">
        <v>1</v>
      </c>
      <c r="H13" s="189">
        <v>1</v>
      </c>
      <c r="I13" s="30"/>
      <c r="J13" s="30"/>
      <c r="K13" s="1"/>
    </row>
    <row r="14" spans="1:11" ht="30" customHeight="1">
      <c r="A14" s="1"/>
      <c r="B14" s="309"/>
      <c r="C14" s="311"/>
      <c r="D14" s="31" t="s">
        <v>19</v>
      </c>
      <c r="E14" s="30">
        <v>10</v>
      </c>
      <c r="F14" s="189">
        <v>10</v>
      </c>
      <c r="G14" s="189">
        <v>10</v>
      </c>
      <c r="H14" s="189">
        <v>10</v>
      </c>
      <c r="I14" s="30"/>
      <c r="J14" s="30"/>
      <c r="K14" s="1"/>
    </row>
    <row r="15" spans="1:11" ht="30" customHeight="1">
      <c r="A15" s="1"/>
      <c r="B15" s="312" t="s">
        <v>25</v>
      </c>
      <c r="C15" s="314" t="s">
        <v>26</v>
      </c>
      <c r="D15" s="31" t="s">
        <v>27</v>
      </c>
      <c r="E15" s="30">
        <v>8</v>
      </c>
      <c r="F15" s="189">
        <v>8</v>
      </c>
      <c r="G15" s="189">
        <v>8</v>
      </c>
      <c r="H15" s="189">
        <v>8</v>
      </c>
      <c r="I15" s="30"/>
      <c r="J15" s="30"/>
      <c r="K15" s="1"/>
    </row>
    <row r="16" spans="1:11" ht="37.5" customHeight="1" thickBot="1">
      <c r="A16" s="1"/>
      <c r="B16" s="316"/>
      <c r="C16" s="317"/>
      <c r="D16" s="31" t="s">
        <v>28</v>
      </c>
      <c r="E16" s="30">
        <v>10</v>
      </c>
      <c r="F16" s="189">
        <v>10</v>
      </c>
      <c r="G16" s="189">
        <v>10</v>
      </c>
      <c r="H16" s="189">
        <v>10</v>
      </c>
      <c r="I16" s="30"/>
      <c r="J16" s="30"/>
      <c r="K16" s="1"/>
    </row>
    <row r="17" spans="1:11" ht="30" customHeight="1" thickBot="1">
      <c r="A17" s="1"/>
      <c r="B17" s="303" t="s">
        <v>29</v>
      </c>
      <c r="C17" s="304"/>
      <c r="D17" s="305"/>
      <c r="E17" s="47">
        <f>IFERROR((E10/E11)*(E12*E13/E14)*(E15/E16),"")</f>
        <v>0.8</v>
      </c>
      <c r="F17" s="47">
        <f t="shared" ref="F17:J17" si="0">IFERROR((F10/F11)*(F12*F13/F14)*(F15/F16),"")</f>
        <v>0.8</v>
      </c>
      <c r="G17" s="47">
        <f t="shared" si="0"/>
        <v>0.8</v>
      </c>
      <c r="H17" s="47">
        <f t="shared" si="0"/>
        <v>0.8</v>
      </c>
      <c r="I17" s="47" t="str">
        <f t="shared" si="0"/>
        <v/>
      </c>
      <c r="J17" s="47" t="str">
        <f t="shared" si="0"/>
        <v/>
      </c>
      <c r="K17" s="1"/>
    </row>
    <row r="18" spans="1:11" ht="30" customHeight="1" thickBot="1">
      <c r="A18" s="1"/>
      <c r="B18" s="303" t="s">
        <v>30</v>
      </c>
      <c r="C18" s="304"/>
      <c r="D18" s="305"/>
      <c r="E18" s="48">
        <f>IFERROR(176*E17,176)</f>
        <v>140.80000000000001</v>
      </c>
      <c r="F18" s="48">
        <f t="shared" ref="F18:J18" si="1">IFERROR(176*F17,176)</f>
        <v>140.80000000000001</v>
      </c>
      <c r="G18" s="48">
        <f t="shared" si="1"/>
        <v>140.80000000000001</v>
      </c>
      <c r="H18" s="48">
        <f t="shared" si="1"/>
        <v>140.80000000000001</v>
      </c>
      <c r="I18" s="48">
        <f t="shared" si="1"/>
        <v>176</v>
      </c>
      <c r="J18" s="48">
        <f t="shared" si="1"/>
        <v>176</v>
      </c>
      <c r="K18" s="1"/>
    </row>
    <row r="19" spans="1:11" ht="30" customHeight="1">
      <c r="A19" s="1"/>
      <c r="B19" s="22"/>
      <c r="C19" s="23"/>
      <c r="D19" s="23"/>
      <c r="E19" s="306"/>
      <c r="F19" s="306"/>
      <c r="G19" s="25"/>
      <c r="H19" s="26"/>
      <c r="I19" s="26"/>
      <c r="J19" s="21"/>
      <c r="K19" s="1"/>
    </row>
    <row r="20" spans="1:11" ht="30" customHeight="1">
      <c r="A20" s="1"/>
      <c r="B20" s="32" t="s">
        <v>31</v>
      </c>
      <c r="C20" s="307"/>
      <c r="D20" s="307"/>
      <c r="E20" s="1"/>
      <c r="F20" s="33" t="s">
        <v>32</v>
      </c>
      <c r="G20" s="181"/>
      <c r="H20" s="16"/>
      <c r="I20" s="16"/>
      <c r="J20" s="34"/>
      <c r="K20" s="1"/>
    </row>
    <row r="21" spans="1:11" ht="30" customHeight="1" thickBot="1">
      <c r="A21" s="1"/>
      <c r="B21" s="35"/>
      <c r="C21" s="36"/>
      <c r="D21" s="37"/>
      <c r="E21" s="37"/>
      <c r="F21" s="37"/>
      <c r="G21" s="182"/>
      <c r="H21" s="38"/>
      <c r="I21" s="38"/>
      <c r="J21" s="39"/>
      <c r="K21" s="1"/>
    </row>
    <row r="22" spans="1:11" ht="30" customHeight="1">
      <c r="A22" s="1"/>
      <c r="B22" s="40"/>
      <c r="C22" s="40"/>
      <c r="D22" s="40"/>
      <c r="E22" s="41"/>
      <c r="F22" s="41"/>
      <c r="G22" s="41"/>
      <c r="H22" s="41"/>
      <c r="I22" s="41"/>
      <c r="J22" s="42"/>
      <c r="K22" s="1"/>
    </row>
    <row r="23" spans="1:11" ht="30" customHeight="1">
      <c r="B23" s="43"/>
      <c r="C23" s="44"/>
    </row>
    <row r="24" spans="1:11" ht="30" customHeight="1">
      <c r="B24" s="43"/>
      <c r="C24" s="44"/>
    </row>
    <row r="25" spans="1:11" ht="30" customHeight="1">
      <c r="B25" s="43"/>
      <c r="C25" s="43"/>
      <c r="D25" s="43"/>
    </row>
    <row r="26" spans="1:11" ht="30" customHeight="1">
      <c r="B26" s="43"/>
      <c r="C26" s="43"/>
      <c r="D26" s="43"/>
    </row>
    <row r="27" spans="1:11" ht="30" customHeight="1">
      <c r="B27" s="43"/>
      <c r="C27" s="43"/>
      <c r="D27" s="43"/>
    </row>
    <row r="28" spans="1:11" ht="30" customHeight="1">
      <c r="B28" s="43"/>
      <c r="C28" s="43"/>
      <c r="D28" s="43"/>
    </row>
    <row r="29" spans="1:11" ht="30" customHeight="1">
      <c r="B29" s="43"/>
      <c r="C29" s="43"/>
      <c r="D29" s="43"/>
    </row>
    <row r="30" spans="1:11" ht="30" customHeight="1">
      <c r="B30" s="43"/>
      <c r="C30" s="43"/>
      <c r="D30" s="43"/>
    </row>
    <row r="33" spans="4:4" ht="30" customHeight="1">
      <c r="D33" s="45"/>
    </row>
    <row r="49" ht="15"/>
  </sheetData>
  <sheetProtection selectLockedCells="1"/>
  <mergeCells count="17">
    <mergeCell ref="B17:D17"/>
    <mergeCell ref="B18:D18"/>
    <mergeCell ref="E19:F19"/>
    <mergeCell ref="C20:D20"/>
    <mergeCell ref="B10:B11"/>
    <mergeCell ref="C10:C11"/>
    <mergeCell ref="B12:B14"/>
    <mergeCell ref="C12:C14"/>
    <mergeCell ref="B15:B16"/>
    <mergeCell ref="C15:C16"/>
    <mergeCell ref="E3:F3"/>
    <mergeCell ref="E5:F5"/>
    <mergeCell ref="E6:F6"/>
    <mergeCell ref="B8:B9"/>
    <mergeCell ref="C8:C9"/>
    <mergeCell ref="D8:D9"/>
    <mergeCell ref="E8:J8"/>
  </mergeCells>
  <dataValidations count="2">
    <dataValidation allowBlank="1" showInputMessage="1" showErrorMessage="1" prompt="Escriba comentarios en las celdas de la derecha." sqref="D33"/>
    <dataValidation allowBlank="1" showInputMessage="1" showErrorMessage="1" prompt="Escriba el departamento del empleado en la celda de la derecha." sqref="B29:D30"/>
  </dataValidations>
  <printOptions horizontalCentered="1" verticalCentered="1"/>
  <pageMargins left="0.4" right="0.4" top="0.4" bottom="0.4" header="0.3" footer="0.3"/>
  <pageSetup paperSize="9" scale="59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18</xdr:row>
                    <xdr:rowOff>342900</xdr:rowOff>
                  </from>
                  <to>
                    <xdr:col>1</xdr:col>
                    <xdr:colOff>1752600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2060"/>
    <pageSetUpPr autoPageBreaks="0" fitToPage="1"/>
  </sheetPr>
  <dimension ref="B1:AE100"/>
  <sheetViews>
    <sheetView showGridLines="0" zoomScale="80" zoomScaleNormal="80" zoomScaleSheetLayoutView="50" workbookViewId="0">
      <selection activeCell="E13" sqref="E13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41.7109375" bestFit="1" customWidth="1"/>
    <col min="4" max="4" width="57.42578125" hidden="1" customWidth="1"/>
    <col min="5" max="5" width="40.140625" bestFit="1" customWidth="1"/>
    <col min="6" max="6" width="20.5703125" customWidth="1"/>
    <col min="7" max="8" width="28" customWidth="1"/>
    <col min="9" max="9" width="43.85546875" customWidth="1"/>
    <col min="10" max="10" width="28" customWidth="1"/>
    <col min="11" max="12" width="33" customWidth="1"/>
    <col min="13" max="16" width="24.85546875" customWidth="1"/>
    <col min="17" max="17" width="30.85546875" customWidth="1"/>
    <col min="18" max="22" width="24.85546875" customWidth="1"/>
    <col min="23" max="23" width="27.28515625" customWidth="1"/>
    <col min="24" max="24" width="26.28515625" customWidth="1"/>
    <col min="25" max="25" width="24.85546875" customWidth="1"/>
    <col min="26" max="26" width="25.7109375" customWidth="1"/>
    <col min="27" max="27" width="2.7109375" customWidth="1"/>
    <col min="28" max="28" width="3" customWidth="1"/>
    <col min="29" max="29" width="21.5703125" customWidth="1"/>
    <col min="30" max="30" width="25" style="49" hidden="1" customWidth="1"/>
    <col min="31" max="31" width="17.7109375" style="49" hidden="1" customWidth="1"/>
    <col min="32" max="32" width="22.5703125" customWidth="1"/>
    <col min="33" max="33" width="12.85546875" customWidth="1"/>
    <col min="34" max="34" width="17.42578125" customWidth="1"/>
    <col min="35" max="35" width="13.140625" customWidth="1"/>
    <col min="36" max="36" width="29.85546875" customWidth="1"/>
  </cols>
  <sheetData>
    <row r="1" spans="2:31" ht="12" customHeight="1" thickBot="1"/>
    <row r="2" spans="2:31" ht="30" customHeight="1">
      <c r="B2" s="50" t="s">
        <v>0</v>
      </c>
      <c r="C2" s="51"/>
      <c r="D2" s="51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3"/>
    </row>
    <row r="3" spans="2:31" ht="30" customHeight="1">
      <c r="B3" s="54" t="s">
        <v>33</v>
      </c>
      <c r="C3" s="8" t="s">
        <v>34</v>
      </c>
      <c r="D3" s="55"/>
      <c r="E3" s="56" t="s">
        <v>3</v>
      </c>
      <c r="F3" s="297">
        <f ca="1">TODAY()</f>
        <v>46017</v>
      </c>
      <c r="G3" s="29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8"/>
      <c r="AA3" s="59"/>
    </row>
    <row r="4" spans="2:31" ht="30" customHeight="1">
      <c r="B4" s="60" t="s">
        <v>4</v>
      </c>
      <c r="C4" s="61"/>
      <c r="D4" s="61"/>
      <c r="E4" s="62"/>
      <c r="F4" s="62"/>
      <c r="G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3"/>
    </row>
    <row r="5" spans="2:31" ht="30" customHeight="1">
      <c r="B5" s="64" t="s">
        <v>5</v>
      </c>
      <c r="C5" s="19" t="s">
        <v>6</v>
      </c>
      <c r="D5" s="65"/>
      <c r="E5" s="66" t="s">
        <v>7</v>
      </c>
      <c r="F5" s="298" t="s">
        <v>8</v>
      </c>
      <c r="G5" s="298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7"/>
    </row>
    <row r="6" spans="2:31" ht="30" customHeight="1">
      <c r="B6" s="64" t="s">
        <v>9</v>
      </c>
      <c r="C6" s="19" t="s">
        <v>10</v>
      </c>
      <c r="D6" s="65"/>
      <c r="E6" s="66" t="s">
        <v>35</v>
      </c>
      <c r="F6" s="299" t="s">
        <v>12</v>
      </c>
      <c r="G6" s="29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7"/>
    </row>
    <row r="7" spans="2:31" ht="30" customHeight="1" thickBot="1">
      <c r="B7" s="68"/>
      <c r="C7" s="69"/>
      <c r="D7" s="69"/>
      <c r="E7" s="70"/>
      <c r="F7" s="70"/>
      <c r="G7" s="71"/>
      <c r="H7" s="71"/>
      <c r="I7" s="71"/>
      <c r="J7" s="71"/>
      <c r="K7" s="71"/>
      <c r="L7" s="71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67"/>
      <c r="AD7" s="183"/>
    </row>
    <row r="8" spans="2:31" ht="30" customHeight="1" thickBot="1">
      <c r="B8" s="300" t="s">
        <v>34</v>
      </c>
      <c r="C8" s="301" t="s">
        <v>36</v>
      </c>
      <c r="D8" s="318" t="s">
        <v>37</v>
      </c>
      <c r="E8" s="300" t="s">
        <v>16</v>
      </c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</row>
    <row r="9" spans="2:31" ht="30" customHeight="1" thickBot="1">
      <c r="B9" s="300"/>
      <c r="C9" s="302"/>
      <c r="D9" s="318"/>
      <c r="E9" s="188" t="str">
        <f>RECOLECCIÓN!C3</f>
        <v>RECOLECCIÓN</v>
      </c>
      <c r="F9" s="194" t="str">
        <f>TRANSPORTE!C3</f>
        <v>TRANSPORTE</v>
      </c>
      <c r="G9" s="188" t="str">
        <f>'CARGA-DESCARGA'!C3</f>
        <v>CARGA-DESCARGA</v>
      </c>
      <c r="H9" s="188" t="str">
        <f>'CARGA DE PALLETS'!C3</f>
        <v>CARGA DE PALLETS</v>
      </c>
      <c r="I9" s="188"/>
      <c r="J9" s="188"/>
      <c r="K9" s="188"/>
      <c r="L9" s="188"/>
      <c r="M9" s="188"/>
      <c r="N9" s="188"/>
      <c r="O9" s="188"/>
      <c r="P9" s="194"/>
      <c r="Q9" s="194"/>
      <c r="R9" s="188"/>
      <c r="S9" s="194"/>
      <c r="T9" s="188"/>
      <c r="U9" s="194"/>
      <c r="V9" s="194"/>
      <c r="W9" s="194"/>
      <c r="X9" s="194"/>
      <c r="Y9" s="188"/>
      <c r="Z9" s="188"/>
      <c r="AD9" s="116" t="s">
        <v>38</v>
      </c>
      <c r="AE9" s="116" t="s">
        <v>39</v>
      </c>
    </row>
    <row r="10" spans="2:31" ht="30" customHeight="1">
      <c r="B10" s="73" t="s">
        <v>55</v>
      </c>
      <c r="C10" s="80" t="s">
        <v>42</v>
      </c>
      <c r="D10" s="74">
        <f>IFERROR(
 INDEX([3]Personal!$L$9:$L$58,
        MATCH(B10,[3]Personal!$C$9:$C$58,0))
 *
 (
   (INDEX([3]Personal!$D$9:$D$58,
           MATCH(B10,[3]Personal!$C$9:$C$58,0))="Deposito y Logística")
     *
     IF(ISNUMBER(FIND("Operarios",$C10)),1,INDEX([3]Personal!$E$9:$E$58,
                                 MATCH(B10,[3]Personal!$C$9:$C$58,0)))
   +
   (INDEX([3]Personal!$F$9:$F$58,
           MATCH(B10,[3]Personal!$C$9:$C$58,0))="Deposito y Logística")
     *
     IF(ISNUMBER(FIND("Operarios",$C10)),1,INDEX([3]Personal!$G$9:$G$58,
                                 MATCH(B10,[3]Personal!$C$9:$C$58,0)))
   +
   (INDEX([3]Personal!$H$9:$H$58,
           MATCH(B10,[3]Personal!$C$9:$C$58,0))="Deposito y Logística")
     *
     IF(ISNUMBER(FIND("Operarios",$C10)),1,INDEX([3]Personal!$I$9:$I$58,
                                 MATCH(B10,[3]Personal!$C$9:$C$58,0)))
   +
   (INDEX([3]Personal!$J$9:$J$58,
           MATCH(B10,[3]Personal!$C$9:$C$58,0))="Deposito y Logística")
     *
     IF(ISNUMBER(FIND("Operarios",$C10)),1,INDEX([3]Personal!$K$9:$K$58,
                                 MATCH(B10,[3]Personal!$C$9:$C$58,0)))
 )
/
[3]Personal!$K$3, "")</f>
        <v>988.7085540069686</v>
      </c>
      <c r="E10" s="28"/>
      <c r="F10" s="28"/>
      <c r="G10" s="28"/>
      <c r="H10" s="75"/>
      <c r="I10" s="75"/>
      <c r="J10" s="75"/>
      <c r="K10" s="75"/>
      <c r="L10" s="76"/>
      <c r="M10" s="77"/>
      <c r="N10" s="28"/>
      <c r="O10" s="28"/>
      <c r="P10" s="28"/>
      <c r="Q10" s="28"/>
      <c r="R10" s="28"/>
      <c r="S10" s="30"/>
      <c r="T10" s="28"/>
      <c r="U10" s="28"/>
      <c r="V10" s="30"/>
      <c r="W10" s="28"/>
      <c r="X10" s="28"/>
      <c r="Y10" s="28"/>
      <c r="Z10" s="78"/>
      <c r="AD10" s="49" t="s">
        <v>103</v>
      </c>
      <c r="AE10" s="49" t="str">
        <f t="array" ref="AE10">IFERROR(INDEX($AD$10:$AD$100, SMALL(IF($AD$10:$AD$100&lt;&gt;"", ROW($AD$10:$AD$100)-ROW($AD$10)+1), ROW(1:1))), "")</f>
        <v>Ortiz Raul Edgardo</v>
      </c>
    </row>
    <row r="11" spans="2:31" ht="30" customHeight="1">
      <c r="B11" s="79" t="s">
        <v>56</v>
      </c>
      <c r="C11" s="80" t="s">
        <v>42</v>
      </c>
      <c r="D11" s="74">
        <f>IFERROR(
 INDEX([3]Personal!$L$9:$L$58,
        MATCH(B11,[3]Personal!$C$9:$C$58,0))
 *
 (
   (INDEX([3]Personal!$D$9:$D$58,
           MATCH(B11,[3]Personal!$C$9:$C$58,0))="Deposito y Logística")
     *
     IF(ISNUMBER(FIND("Operarios",$C11)),1,INDEX([3]Personal!$E$9:$E$58,
                                 MATCH(B11,[3]Personal!$C$9:$C$58,0)))
   +
   (INDEX([3]Personal!$F$9:$F$58,
           MATCH(B11,[3]Personal!$C$9:$C$58,0))="Deposito y Logística")
     *
     IF(ISNUMBER(FIND("Operarios",$C11)),1,INDEX([3]Personal!$G$9:$G$58,
                                 MATCH(B11,[3]Personal!$C$9:$C$58,0)))
   +
   (INDEX([3]Personal!$H$9:$H$58,
           MATCH(B11,[3]Personal!$C$9:$C$58,0))="Deposito y Logística")
     *
     IF(ISNUMBER(FIND("Operarios",$C11)),1,INDEX([3]Personal!$I$9:$I$58,
                                 MATCH(B11,[3]Personal!$C$9:$C$58,0)))
   +
   (INDEX([3]Personal!$J$9:$J$58,
           MATCH(B11,[3]Personal!$C$9:$C$58,0))="Deposito y Logística")
     *
     IF(ISNUMBER(FIND("Operarios",$C11)),1,INDEX([3]Personal!$K$9:$K$58,
                                 MATCH(B11,[3]Personal!$C$9:$C$58,0)))
 )
/
[3]Personal!$K$3, "")</f>
        <v>348.87862299651567</v>
      </c>
      <c r="E11" s="30"/>
      <c r="F11" s="30"/>
      <c r="G11" s="28"/>
      <c r="H11" s="75"/>
      <c r="I11" s="75"/>
      <c r="J11" s="81"/>
      <c r="K11" s="81"/>
      <c r="L11" s="30"/>
      <c r="M11" s="82"/>
      <c r="N11" s="81"/>
      <c r="O11" s="81"/>
      <c r="P11" s="28"/>
      <c r="Q11" s="28"/>
      <c r="R11" s="28"/>
      <c r="S11" s="30"/>
      <c r="T11" s="28"/>
      <c r="U11" s="28"/>
      <c r="V11" s="30"/>
      <c r="W11" s="30"/>
      <c r="X11" s="30"/>
      <c r="Y11" s="30"/>
      <c r="Z11" s="83"/>
      <c r="AD11" s="49" t="s">
        <v>103</v>
      </c>
      <c r="AE11" s="49" t="str">
        <f t="array" ref="AE11">IFERROR(INDEX($AD$10:$AD$100, SMALL(IF($AD$10:$AD$100&lt;&gt;"", ROW($AD$10:$AD$100)-ROW($AD$10)+1), ROW(2:2))), "")</f>
        <v>Sayago Alberto Martin</v>
      </c>
    </row>
    <row r="12" spans="2:31" ht="30" customHeight="1">
      <c r="B12" s="79" t="s">
        <v>57</v>
      </c>
      <c r="C12" s="80"/>
      <c r="D12" s="74">
        <f>IFERROR(
 INDEX([3]Personal!$L$9:$L$58,
        MATCH(B12,[3]Personal!$C$9:$C$58,0))
 *
 (
   (INDEX([3]Personal!$D$9:$D$58,
           MATCH(B12,[3]Personal!$C$9:$C$58,0))="Deposito y Logística")
     *
     IF(ISNUMBER(FIND("Operarios",$C12)),1,INDEX([3]Personal!$E$9:$E$58,
                                 MATCH(B12,[3]Personal!$C$9:$C$58,0)))
   +
   (INDEX([3]Personal!$F$9:$F$58,
           MATCH(B12,[3]Personal!$C$9:$C$58,0))="Deposito y Logística")
     *
     IF(ISNUMBER(FIND("Operarios",$C12)),1,INDEX([3]Personal!$G$9:$G$58,
                                 MATCH(B12,[3]Personal!$C$9:$C$58,0)))
   +
   (INDEX([3]Personal!$H$9:$H$58,
           MATCH(B12,[3]Personal!$C$9:$C$58,0))="Deposito y Logística")
     *
     IF(ISNUMBER(FIND("Operarios",$C12)),1,INDEX([3]Personal!$I$9:$I$58,
                                 MATCH(B12,[3]Personal!$C$9:$C$58,0)))
   +
   (INDEX([3]Personal!$J$9:$J$58,
           MATCH(B12,[3]Personal!$C$9:$C$58,0))="Deposito y Logística")
     *
     IF(ISNUMBER(FIND("Operarios",$C12)),1,INDEX([3]Personal!$K$9:$K$58,
                                 MATCH(B12,[3]Personal!$C$9:$C$58,0)))
 )
/
[3]Personal!$K$3, "")</f>
        <v>1054.1318832752613</v>
      </c>
      <c r="E12" s="30"/>
      <c r="F12" s="30"/>
      <c r="G12" s="30"/>
      <c r="H12" s="81"/>
      <c r="I12" s="81"/>
      <c r="J12" s="81"/>
      <c r="K12" s="81"/>
      <c r="L12" s="81"/>
      <c r="M12" s="81"/>
      <c r="N12" s="81"/>
      <c r="O12" s="81"/>
      <c r="P12" s="81"/>
      <c r="Q12" s="28"/>
      <c r="R12" s="81"/>
      <c r="S12" s="30"/>
      <c r="T12" s="81"/>
      <c r="U12" s="28"/>
      <c r="V12" s="30"/>
      <c r="W12" s="30"/>
      <c r="X12" s="30"/>
      <c r="Y12" s="30"/>
      <c r="Z12" s="83"/>
      <c r="AD12" s="49" t="s">
        <v>103</v>
      </c>
      <c r="AE12" s="49" t="str">
        <f t="array" ref="AE12">IFERROR(INDEX($AD$10:$AD$100, SMALL(IF($AD$10:$AD$100&lt;&gt;"", ROW($AD$10:$AD$100)-ROW($AD$10)+1), ROW(3:3))), "")</f>
        <v>Rinaldi Jorge Gabriel</v>
      </c>
    </row>
    <row r="13" spans="2:31" ht="30" customHeight="1">
      <c r="B13" s="79" t="s">
        <v>58</v>
      </c>
      <c r="C13" s="80" t="s">
        <v>40</v>
      </c>
      <c r="D13" s="74">
        <f>IFERROR(
 INDEX([3]Personal!$L$9:$L$58,
        MATCH(B13,[3]Personal!$C$9:$C$58,0))
 *
 (
   (INDEX([3]Personal!$D$9:$D$58,
           MATCH(B13,[3]Personal!$C$9:$C$58,0))="Deposito y Logística")
     *
     IF(ISNUMBER(FIND("Operarios",$C13)),1,INDEX([3]Personal!$E$9:$E$58,
                                 MATCH(B13,[3]Personal!$C$9:$C$58,0)))
   +
   (INDEX([3]Personal!$F$9:$F$58,
           MATCH(B13,[3]Personal!$C$9:$C$58,0))="Deposito y Logística")
     *
     IF(ISNUMBER(FIND("Operarios",$C13)),1,INDEX([3]Personal!$G$9:$G$58,
                                 MATCH(B13,[3]Personal!$C$9:$C$58,0)))
   +
   (INDEX([3]Personal!$H$9:$H$58,
           MATCH(B13,[3]Personal!$C$9:$C$58,0))="Deposito y Logística")
     *
     IF(ISNUMBER(FIND("Operarios",$C13)),1,INDEX([3]Personal!$I$9:$I$58,
                                 MATCH(B13,[3]Personal!$C$9:$C$58,0)))
   +
   (INDEX([3]Personal!$J$9:$J$58,
           MATCH(B13,[3]Personal!$C$9:$C$58,0))="Deposito y Logística")
     *
     IF(ISNUMBER(FIND("Operarios",$C13)),1,INDEX([3]Personal!$K$9:$K$58,
                                 MATCH(B13,[3]Personal!$C$9:$C$58,0)))
 )
/
[3]Personal!$K$3, "")</f>
        <v>804.2849128919861</v>
      </c>
      <c r="E13" s="30"/>
      <c r="F13" s="30"/>
      <c r="G13" s="81"/>
      <c r="H13" s="81"/>
      <c r="I13" s="81"/>
      <c r="J13" s="81"/>
      <c r="K13" s="81"/>
      <c r="L13" s="81"/>
      <c r="M13" s="81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83"/>
      <c r="AD13" s="49" t="s">
        <v>103</v>
      </c>
      <c r="AE13" s="49" t="str">
        <f t="array" ref="AE13">IFERROR(INDEX($AD$10:$AD$100, SMALL(IF($AD$10:$AD$100&lt;&gt;"", ROW($AD$10:$AD$100)-ROW($AD$10)+1), ROW(4:4))), "")</f>
        <v>Piacenza Facundo Javier</v>
      </c>
    </row>
    <row r="14" spans="2:31" ht="30" customHeight="1">
      <c r="B14" s="79" t="s">
        <v>59</v>
      </c>
      <c r="C14" s="80" t="s">
        <v>40</v>
      </c>
      <c r="D14" s="74">
        <f>IFERROR(
 INDEX([3]Personal!$L$9:$L$58,
        MATCH(B14,[3]Personal!$C$9:$C$58,0))
 *
 (
   (INDEX([3]Personal!$D$9:$D$58,
           MATCH(B14,[3]Personal!$C$9:$C$58,0))="Deposito y Logística")
     *
     IF(ISNUMBER(FIND("Operarios",$C14)),1,INDEX([3]Personal!$E$9:$E$58,
                                 MATCH(B14,[3]Personal!$C$9:$C$58,0)))
   +
   (INDEX([3]Personal!$F$9:$F$58,
           MATCH(B14,[3]Personal!$C$9:$C$58,0))="Deposito y Logística")
     *
     IF(ISNUMBER(FIND("Operarios",$C14)),1,INDEX([3]Personal!$G$9:$G$58,
                                 MATCH(B14,[3]Personal!$C$9:$C$58,0)))
   +
   (INDEX([3]Personal!$H$9:$H$58,
           MATCH(B14,[3]Personal!$C$9:$C$58,0))="Deposito y Logística")
     *
     IF(ISNUMBER(FIND("Operarios",$C14)),1,INDEX([3]Personal!$I$9:$I$58,
                                 MATCH(B14,[3]Personal!$C$9:$C$58,0)))
   +
   (INDEX([3]Personal!$J$9:$J$58,
           MATCH(B14,[3]Personal!$C$9:$C$58,0))="Deposito y Logística")
     *
     IF(ISNUMBER(FIND("Operarios",$C14)),1,INDEX([3]Personal!$K$9:$K$58,
                                 MATCH(B14,[3]Personal!$C$9:$C$58,0)))
 )
/
[3]Personal!$K$3, "")</f>
        <v>804.2849128919861</v>
      </c>
      <c r="E14" s="30"/>
      <c r="F14" s="30"/>
      <c r="G14" s="84"/>
      <c r="H14" s="84"/>
      <c r="I14" s="84"/>
      <c r="J14" s="81"/>
      <c r="K14" s="81"/>
      <c r="L14" s="81"/>
      <c r="M14" s="81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83"/>
      <c r="AD14" s="49" t="s">
        <v>103</v>
      </c>
      <c r="AE14" s="49" t="str">
        <f t="array" ref="AE14">IFERROR(INDEX($AD$10:$AD$100, SMALL(IF($AD$10:$AD$100&lt;&gt;"", ROW($AD$10:$AD$100)-ROW($AD$10)+1), ROW(5:5))), "")</f>
        <v>Oviedo Leandro Carlos</v>
      </c>
    </row>
    <row r="15" spans="2:31" ht="30" customHeight="1">
      <c r="B15" s="79" t="s">
        <v>60</v>
      </c>
      <c r="C15" s="80" t="s">
        <v>40</v>
      </c>
      <c r="D15" s="74">
        <f>IFERROR(
 INDEX([3]Personal!$L$9:$L$58,
        MATCH(B15,[3]Personal!$C$9:$C$58,0))
 *
 (
   (INDEX([3]Personal!$D$9:$D$58,
           MATCH(B15,[3]Personal!$C$9:$C$58,0))="Deposito y Logística")
     *
     IF(ISNUMBER(FIND("Operarios",$C15)),1,INDEX([3]Personal!$E$9:$E$58,
                                 MATCH(B15,[3]Personal!$C$9:$C$58,0)))
   +
   (INDEX([3]Personal!$F$9:$F$58,
           MATCH(B15,[3]Personal!$C$9:$C$58,0))="Deposito y Logística")
     *
     IF(ISNUMBER(FIND("Operarios",$C15)),1,INDEX([3]Personal!$G$9:$G$58,
                                 MATCH(B15,[3]Personal!$C$9:$C$58,0)))
   +
   (INDEX([3]Personal!$H$9:$H$58,
           MATCH(B15,[3]Personal!$C$9:$C$58,0))="Deposito y Logística")
     *
     IF(ISNUMBER(FIND("Operarios",$C15)),1,INDEX([3]Personal!$I$9:$I$58,
                                 MATCH(B15,[3]Personal!$C$9:$C$58,0)))
   +
   (INDEX([3]Personal!$J$9:$J$58,
           MATCH(B15,[3]Personal!$C$9:$C$58,0))="Deposito y Logística")
     *
     IF(ISNUMBER(FIND("Operarios",$C15)),1,INDEX([3]Personal!$K$9:$K$58,
                                 MATCH(B15,[3]Personal!$C$9:$C$58,0)))
 )
/
[3]Personal!$K$3, "")</f>
        <v>804.2849128919861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81"/>
      <c r="AA15" s="85"/>
      <c r="AD15" s="49" t="s">
        <v>103</v>
      </c>
      <c r="AE15" s="49" t="str">
        <f t="array" ref="AE15">IFERROR(INDEX($AD$10:$AD$100, SMALL(IF($AD$10:$AD$100&lt;&gt;"", ROW($AD$10:$AD$100)-ROW($AD$10)+1), ROW(6:6))), "")</f>
        <v>Appendino Tomas</v>
      </c>
    </row>
    <row r="16" spans="2:31" ht="30" customHeight="1">
      <c r="B16" s="79"/>
      <c r="C16" s="80"/>
      <c r="D16" s="74" t="str">
        <f>IFERROR(
 INDEX([3]Personal!$L$9:$L$58,
        MATCH(B16,[3]Personal!$C$9:$C$58,0))
 *
 (
   (INDEX([3]Personal!$D$9:$D$58,
           MATCH(B16,[3]Personal!$C$9:$C$58,0))="Deposito y Logística")
     *
     IF(ISNUMBER(FIND("Operarios",$C16)),1,INDEX([3]Personal!$E$9:$E$58,
                                 MATCH(B16,[3]Personal!$C$9:$C$58,0)))
   +
   (INDEX([3]Personal!$F$9:$F$58,
           MATCH(B16,[3]Personal!$C$9:$C$58,0))="Deposito y Logística")
     *
     IF(ISNUMBER(FIND("Operarios",$C16)),1,INDEX([3]Personal!$G$9:$G$58,
                                 MATCH(B16,[3]Personal!$C$9:$C$58,0)))
   +
   (INDEX([3]Personal!$H$9:$H$58,
           MATCH(B16,[3]Personal!$C$9:$C$58,0))="Deposito y Logística")
     *
     IF(ISNUMBER(FIND("Operarios",$C16)),1,INDEX([3]Personal!$I$9:$I$58,
                                 MATCH(B16,[3]Personal!$C$9:$C$58,0)))
   +
   (INDEX([3]Personal!$J$9:$J$58,
           MATCH(B16,[3]Personal!$C$9:$C$58,0))="Deposito y Logística")
     *
     IF(ISNUMBER(FIND("Operarios",$C16)),1,INDEX([3]Personal!$K$9:$K$58,
                                 MATCH(B16,[3]Personal!$C$9:$C$58,0)))
 )
/
[3]Personal!$K$3, "")</f>
        <v/>
      </c>
      <c r="E16" s="30"/>
      <c r="F16" s="30"/>
      <c r="G16" s="30"/>
      <c r="H16" s="30"/>
      <c r="I16" s="30"/>
      <c r="J16" s="30"/>
      <c r="K16" s="30"/>
      <c r="L16" s="30"/>
      <c r="M16" s="82"/>
      <c r="N16" s="81"/>
      <c r="O16" s="30"/>
      <c r="P16" s="30"/>
      <c r="Q16" s="30"/>
      <c r="R16" s="81"/>
      <c r="S16" s="30"/>
      <c r="T16" s="81"/>
      <c r="U16" s="30"/>
      <c r="V16" s="30"/>
      <c r="W16" s="30"/>
      <c r="X16" s="30"/>
      <c r="Y16" s="30"/>
      <c r="Z16" s="83"/>
      <c r="AD16" s="49" t="s">
        <v>103</v>
      </c>
      <c r="AE16" s="49" t="str">
        <f t="array" ref="AE16">IFERROR(INDEX($AD$10:$AD$100, SMALL(IF($AD$10:$AD$100&lt;&gt;"", ROW($AD$10:$AD$100)-ROW($AD$10)+1), ROW(7:7))), "")</f>
        <v/>
      </c>
    </row>
    <row r="17" spans="2:31" ht="44.25" customHeight="1">
      <c r="B17" s="79"/>
      <c r="C17" s="80"/>
      <c r="D17" s="74" t="str">
        <f>IFERROR(
 INDEX([3]Personal!$L$9:$L$58,
        MATCH(B17,[3]Personal!$C$9:$C$58,0))
 *
 (
   (INDEX([3]Personal!$D$9:$D$58,
           MATCH(B17,[3]Personal!$C$9:$C$58,0))="Deposito y Logística")
     *
     IF(ISNUMBER(FIND("Operarios",$C17)),1,INDEX([3]Personal!$E$9:$E$58,
                                 MATCH(B17,[3]Personal!$C$9:$C$58,0)))
   +
   (INDEX([3]Personal!$F$9:$F$58,
           MATCH(B17,[3]Personal!$C$9:$C$58,0))="Deposito y Logística")
     *
     IF(ISNUMBER(FIND("Operarios",$C17)),1,INDEX([3]Personal!$G$9:$G$58,
                                 MATCH(B17,[3]Personal!$C$9:$C$58,0)))
   +
   (INDEX([3]Personal!$H$9:$H$58,
           MATCH(B17,[3]Personal!$C$9:$C$58,0))="Deposito y Logística")
     *
     IF(ISNUMBER(FIND("Operarios",$C17)),1,INDEX([3]Personal!$I$9:$I$58,
                                 MATCH(B17,[3]Personal!$C$9:$C$58,0)))
   +
   (INDEX([3]Personal!$J$9:$J$58,
           MATCH(B17,[3]Personal!$C$9:$C$58,0))="Deposito y Logística")
     *
     IF(ISNUMBER(FIND("Operarios",$C17)),1,INDEX([3]Personal!$K$9:$K$58,
                                 MATCH(B17,[3]Personal!$C$9:$C$58,0)))
 )
/
[3]Personal!$K$3, "")</f>
        <v/>
      </c>
      <c r="E17" s="30"/>
      <c r="F17" s="30"/>
      <c r="G17" s="30"/>
      <c r="H17" s="30"/>
      <c r="I17" s="30"/>
      <c r="J17" s="30"/>
      <c r="K17" s="30"/>
      <c r="L17" s="30"/>
      <c r="M17" s="82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83"/>
      <c r="AD17" s="49" t="s">
        <v>103</v>
      </c>
      <c r="AE17" s="49" t="str">
        <f t="array" ref="AE17">IFERROR(INDEX($AD$10:$AD$100, SMALL(IF($AD$10:$AD$100&lt;&gt;"", ROW($AD$10:$AD$100)-ROW($AD$10)+1), ROW(8:8))), "")</f>
        <v/>
      </c>
    </row>
    <row r="18" spans="2:31" ht="45" customHeight="1">
      <c r="B18" s="79"/>
      <c r="C18" s="80"/>
      <c r="D18" s="74" t="str">
        <f>IFERROR(
 INDEX([3]Personal!$L$9:$L$58,
        MATCH(B18,[3]Personal!$C$9:$C$58,0))
 *
 (
   (INDEX([3]Personal!$D$9:$D$58,
           MATCH(B18,[3]Personal!$C$9:$C$58,0))="Deposito y Logística")
     *
     IF(ISNUMBER(FIND("Operarios",$C18)),1,INDEX([3]Personal!$E$9:$E$58,
                                 MATCH(B18,[3]Personal!$C$9:$C$58,0)))
   +
   (INDEX([3]Personal!$F$9:$F$58,
           MATCH(B18,[3]Personal!$C$9:$C$58,0))="Deposito y Logística")
     *
     IF(ISNUMBER(FIND("Operarios",$C18)),1,INDEX([3]Personal!$G$9:$G$58,
                                 MATCH(B18,[3]Personal!$C$9:$C$58,0)))
   +
   (INDEX([3]Personal!$H$9:$H$58,
           MATCH(B18,[3]Personal!$C$9:$C$58,0))="Deposito y Logística")
     *
     IF(ISNUMBER(FIND("Operarios",$C18)),1,INDEX([3]Personal!$I$9:$I$58,
                                 MATCH(B18,[3]Personal!$C$9:$C$58,0)))
   +
   (INDEX([3]Personal!$J$9:$J$58,
           MATCH(B18,[3]Personal!$C$9:$C$58,0))="Deposito y Logística")
     *
     IF(ISNUMBER(FIND("Operarios",$C18)),1,INDEX([3]Personal!$K$9:$K$58,
                                 MATCH(B18,[3]Personal!$C$9:$C$58,0)))
 )
/
[3]Personal!$K$3, "")</f>
        <v/>
      </c>
      <c r="E18" s="30"/>
      <c r="F18" s="30"/>
      <c r="G18" s="86"/>
      <c r="H18" s="30"/>
      <c r="I18" s="30"/>
      <c r="J18" s="30"/>
      <c r="K18" s="30"/>
      <c r="L18" s="30"/>
      <c r="M18" s="82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83"/>
      <c r="AD18" s="49" t="s">
        <v>103</v>
      </c>
      <c r="AE18" s="49" t="str">
        <f t="array" ref="AE18">IFERROR(INDEX($AD$10:$AD$100, SMALL(IF($AD$10:$AD$100&lt;&gt;"", ROW($AD$10:$AD$100)-ROW($AD$10)+1), ROW(9:9))), "")</f>
        <v/>
      </c>
    </row>
    <row r="19" spans="2:31" ht="30" customHeight="1">
      <c r="B19" s="79"/>
      <c r="C19" s="80"/>
      <c r="D19" s="74" t="str">
        <f>IFERROR(
 INDEX([3]Personal!$L$9:$L$58,
        MATCH(B19,[3]Personal!$C$9:$C$58,0))
 *
 (
   (INDEX([3]Personal!$D$9:$D$58,
           MATCH(B19,[3]Personal!$C$9:$C$58,0))="Deposito y Logística")
     *
     IF(ISNUMBER(FIND("Operarios",$C19)),1,INDEX([3]Personal!$E$9:$E$58,
                                 MATCH(B19,[3]Personal!$C$9:$C$58,0)))
   +
   (INDEX([3]Personal!$F$9:$F$58,
           MATCH(B19,[3]Personal!$C$9:$C$58,0))="Deposito y Logística")
     *
     IF(ISNUMBER(FIND("Operarios",$C19)),1,INDEX([3]Personal!$G$9:$G$58,
                                 MATCH(B19,[3]Personal!$C$9:$C$58,0)))
   +
   (INDEX([3]Personal!$H$9:$H$58,
           MATCH(B19,[3]Personal!$C$9:$C$58,0))="Deposito y Logística")
     *
     IF(ISNUMBER(FIND("Operarios",$C19)),1,INDEX([3]Personal!$I$9:$I$58,
                                 MATCH(B19,[3]Personal!$C$9:$C$58,0)))
   +
   (INDEX([3]Personal!$J$9:$J$58,
           MATCH(B19,[3]Personal!$C$9:$C$58,0))="Deposito y Logística")
     *
     IF(ISNUMBER(FIND("Operarios",$C19)),1,INDEX([3]Personal!$K$9:$K$58,
                                 MATCH(B19,[3]Personal!$C$9:$C$58,0)))
 )
/
[3]Personal!$K$3, "")</f>
        <v/>
      </c>
      <c r="E19" s="30"/>
      <c r="F19" s="30"/>
      <c r="G19" s="30"/>
      <c r="H19" s="30"/>
      <c r="I19" s="30"/>
      <c r="J19" s="30"/>
      <c r="K19" s="30"/>
      <c r="L19" s="30"/>
      <c r="M19" s="82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83"/>
      <c r="AD19" s="49" t="s">
        <v>55</v>
      </c>
      <c r="AE19" s="49" t="str">
        <f t="array" ref="AE19">IFERROR(INDEX($AD$10:$AD$100, SMALL(IF($AD$10:$AD$100&lt;&gt;"", ROW($AD$10:$AD$100)-ROW($AD$10)+1), ROW(10:10))), "")</f>
        <v/>
      </c>
    </row>
    <row r="20" spans="2:31" ht="30" customHeight="1">
      <c r="B20" s="79"/>
      <c r="C20" s="80"/>
      <c r="D20" s="74" t="str">
        <f>IFERROR(
 INDEX([3]Personal!$L$9:$L$58,
        MATCH(B20,[3]Personal!$C$9:$C$58,0))
 *
 (
   (INDEX([3]Personal!$D$9:$D$58,
           MATCH(B20,[3]Personal!$C$9:$C$58,0))="Deposito y Logística")
     *
     IF(ISNUMBER(FIND("Operarios",$C20)),1,INDEX([3]Personal!$E$9:$E$58,
                                 MATCH(B20,[3]Personal!$C$9:$C$58,0)))
   +
   (INDEX([3]Personal!$F$9:$F$58,
           MATCH(B20,[3]Personal!$C$9:$C$58,0))="Deposito y Logística")
     *
     IF(ISNUMBER(FIND("Operarios",$C20)),1,INDEX([3]Personal!$G$9:$G$58,
                                 MATCH(B20,[3]Personal!$C$9:$C$58,0)))
   +
   (INDEX([3]Personal!$H$9:$H$58,
           MATCH(B20,[3]Personal!$C$9:$C$58,0))="Deposito y Logística")
     *
     IF(ISNUMBER(FIND("Operarios",$C20)),1,INDEX([3]Personal!$I$9:$I$58,
                                 MATCH(B20,[3]Personal!$C$9:$C$58,0)))
   +
   (INDEX([3]Personal!$J$9:$J$58,
           MATCH(B20,[3]Personal!$C$9:$C$58,0))="Deposito y Logística")
     *
     IF(ISNUMBER(FIND("Operarios",$C20)),1,INDEX([3]Personal!$K$9:$K$58,
                                 MATCH(B20,[3]Personal!$C$9:$C$58,0)))
 )
/
[3]Personal!$K$3, "")</f>
        <v/>
      </c>
      <c r="E20" s="30"/>
      <c r="F20" s="30"/>
      <c r="G20" s="30"/>
      <c r="H20" s="30"/>
      <c r="I20" s="30"/>
      <c r="J20" s="30"/>
      <c r="K20" s="30"/>
      <c r="L20" s="30"/>
      <c r="M20" s="82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83"/>
      <c r="AD20" s="49" t="s">
        <v>56</v>
      </c>
      <c r="AE20" s="49" t="str">
        <f t="array" ref="AE20">IFERROR(INDEX($AD$10:$AD$100, SMALL(IF($AD$10:$AD$100&lt;&gt;"", ROW($AD$10:$AD$100)-ROW($AD$10)+1), ROW(11:11))), "")</f>
        <v/>
      </c>
    </row>
    <row r="21" spans="2:31" ht="30" customHeight="1">
      <c r="B21" s="79"/>
      <c r="C21" s="80"/>
      <c r="D21" s="74" t="str">
        <f>IFERROR(
 INDEX([3]Personal!$L$9:$L$58,
        MATCH(B21,[3]Personal!$C$9:$C$58,0))
 *
 (
   (INDEX([3]Personal!$D$9:$D$58,
           MATCH(B21,[3]Personal!$C$9:$C$58,0))="Deposito y Logística")
     *
     IF(ISNUMBER(FIND("Operarios",$C21)),1,INDEX([3]Personal!$E$9:$E$58,
                                 MATCH(B21,[3]Personal!$C$9:$C$58,0)))
   +
   (INDEX([3]Personal!$F$9:$F$58,
           MATCH(B21,[3]Personal!$C$9:$C$58,0))="Deposito y Logística")
     *
     IF(ISNUMBER(FIND("Operarios",$C21)),1,INDEX([3]Personal!$G$9:$G$58,
                                 MATCH(B21,[3]Personal!$C$9:$C$58,0)))
   +
   (INDEX([3]Personal!$H$9:$H$58,
           MATCH(B21,[3]Personal!$C$9:$C$58,0))="Deposito y Logística")
     *
     IF(ISNUMBER(FIND("Operarios",$C21)),1,INDEX([3]Personal!$I$9:$I$58,
                                 MATCH(B21,[3]Personal!$C$9:$C$58,0)))
   +
   (INDEX([3]Personal!$J$9:$J$58,
           MATCH(B21,[3]Personal!$C$9:$C$58,0))="Deposito y Logística")
     *
     IF(ISNUMBER(FIND("Operarios",$C21)),1,INDEX([3]Personal!$K$9:$K$58,
                                 MATCH(B21,[3]Personal!$C$9:$C$58,0)))
 )
/
[3]Personal!$K$3, "")</f>
        <v/>
      </c>
      <c r="E21" s="30"/>
      <c r="F21" s="30"/>
      <c r="G21" s="30"/>
      <c r="H21" s="30"/>
      <c r="I21" s="30"/>
      <c r="J21" s="30"/>
      <c r="K21" s="30"/>
      <c r="L21" s="30"/>
      <c r="M21" s="82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83"/>
      <c r="AD21" s="49" t="s">
        <v>57</v>
      </c>
      <c r="AE21" s="49" t="str">
        <f t="array" ref="AE21">IFERROR(INDEX($AD$10:$AD$100, SMALL(IF($AD$10:$AD$100&lt;&gt;"", ROW($AD$10:$AD$100)-ROW($AD$10)+1), ROW(12:12))), "")</f>
        <v/>
      </c>
    </row>
    <row r="22" spans="2:31" ht="30" customHeight="1">
      <c r="B22" s="79"/>
      <c r="C22" s="80"/>
      <c r="D22" s="74" t="str">
        <f>IFERROR(
 INDEX([3]Personal!$L$9:$L$58,
        MATCH(B22,[3]Personal!$C$9:$C$58,0))
 *
 (
   (INDEX([3]Personal!$D$9:$D$58,
           MATCH(B22,[3]Personal!$C$9:$C$58,0))="Deposito y Logística")
     *
     IF(ISNUMBER(FIND("Operarios",$C22)),1,INDEX([3]Personal!$E$9:$E$58,
                                 MATCH(B22,[3]Personal!$C$9:$C$58,0)))
   +
   (INDEX([3]Personal!$F$9:$F$58,
           MATCH(B22,[3]Personal!$C$9:$C$58,0))="Deposito y Logística")
     *
     IF(ISNUMBER(FIND("Operarios",$C22)),1,INDEX([3]Personal!$G$9:$G$58,
                                 MATCH(B22,[3]Personal!$C$9:$C$58,0)))
   +
   (INDEX([3]Personal!$H$9:$H$58,
           MATCH(B22,[3]Personal!$C$9:$C$58,0))="Deposito y Logística")
     *
     IF(ISNUMBER(FIND("Operarios",$C22)),1,INDEX([3]Personal!$I$9:$I$58,
                                 MATCH(B22,[3]Personal!$C$9:$C$58,0)))
   +
   (INDEX([3]Personal!$J$9:$J$58,
           MATCH(B22,[3]Personal!$C$9:$C$58,0))="Deposito y Logística")
     *
     IF(ISNUMBER(FIND("Operarios",$C22)),1,INDEX([3]Personal!$K$9:$K$58,
                                 MATCH(B22,[3]Personal!$C$9:$C$58,0)))
 )
/
[3]Personal!$K$3, "")</f>
        <v/>
      </c>
      <c r="E22" s="30"/>
      <c r="F22" s="30"/>
      <c r="G22" s="30"/>
      <c r="H22" s="30"/>
      <c r="I22" s="30"/>
      <c r="J22" s="30"/>
      <c r="K22" s="30"/>
      <c r="L22" s="30"/>
      <c r="M22" s="82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83"/>
      <c r="AD22" s="49" t="s">
        <v>58</v>
      </c>
      <c r="AE22" s="49" t="str">
        <f t="array" ref="AE22">IFERROR(INDEX($AD$10:$AD$100, SMALL(IF($AD$10:$AD$100&lt;&gt;"", ROW($AD$10:$AD$100)-ROW($AD$10)+1), ROW(13:13))), "")</f>
        <v/>
      </c>
    </row>
    <row r="23" spans="2:31" ht="30" customHeight="1">
      <c r="B23" s="79"/>
      <c r="C23" s="80"/>
      <c r="D23" s="74" t="str">
        <f>IFERROR(
 INDEX([3]Personal!$L$9:$L$58,
        MATCH(B23,[3]Personal!$C$9:$C$58,0))
 *
 (
   (INDEX([3]Personal!$D$9:$D$58,
           MATCH(B23,[3]Personal!$C$9:$C$58,0))="Deposito y Logística")
     *
     IF(ISNUMBER(FIND("Operarios",$C23)),1,INDEX([3]Personal!$E$9:$E$58,
                                 MATCH(B23,[3]Personal!$C$9:$C$58,0)))
   +
   (INDEX([3]Personal!$F$9:$F$58,
           MATCH(B23,[3]Personal!$C$9:$C$58,0))="Deposito y Logística")
     *
     IF(ISNUMBER(FIND("Operarios",$C23)),1,INDEX([3]Personal!$G$9:$G$58,
                                 MATCH(B23,[3]Personal!$C$9:$C$58,0)))
   +
   (INDEX([3]Personal!$H$9:$H$58,
           MATCH(B23,[3]Personal!$C$9:$C$58,0))="Deposito y Logística")
     *
     IF(ISNUMBER(FIND("Operarios",$C23)),1,INDEX([3]Personal!$I$9:$I$58,
                                 MATCH(B23,[3]Personal!$C$9:$C$58,0)))
   +
   (INDEX([3]Personal!$J$9:$J$58,
           MATCH(B23,[3]Personal!$C$9:$C$58,0))="Deposito y Logística")
     *
     IF(ISNUMBER(FIND("Operarios",$C23)),1,INDEX([3]Personal!$K$9:$K$58,
                                 MATCH(B23,[3]Personal!$C$9:$C$58,0)))
 )
/
[3]Personal!$K$3, "")</f>
        <v/>
      </c>
      <c r="E23" s="30"/>
      <c r="F23" s="30"/>
      <c r="G23" s="30"/>
      <c r="H23" s="30"/>
      <c r="I23" s="30"/>
      <c r="J23" s="30"/>
      <c r="K23" s="30"/>
      <c r="L23" s="30"/>
      <c r="M23" s="82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83"/>
      <c r="AD23" s="49" t="s">
        <v>59</v>
      </c>
      <c r="AE23" s="49" t="str">
        <f t="array" ref="AE23">IFERROR(INDEX($AD$10:$AD$100, SMALL(IF($AD$10:$AD$100&lt;&gt;"", ROW($AD$10:$AD$100)-ROW($AD$10)+1), ROW(14:14))), "")</f>
        <v/>
      </c>
    </row>
    <row r="24" spans="2:31" ht="43.5" customHeight="1">
      <c r="B24" s="79"/>
      <c r="C24" s="80"/>
      <c r="D24" s="74" t="str">
        <f>IFERROR(
 INDEX([3]Personal!$L$9:$L$58,
        MATCH(B24,[3]Personal!$C$9:$C$58,0))
 *
 (
   (INDEX([3]Personal!$D$9:$D$58,
           MATCH(B24,[3]Personal!$C$9:$C$58,0))="Deposito y Logística")
     *
     IF(ISNUMBER(FIND("Operarios",$C24)),1,INDEX([3]Personal!$E$9:$E$58,
                                 MATCH(B24,[3]Personal!$C$9:$C$58,0)))
   +
   (INDEX([3]Personal!$F$9:$F$58,
           MATCH(B24,[3]Personal!$C$9:$C$58,0))="Deposito y Logística")
     *
     IF(ISNUMBER(FIND("Operarios",$C24)),1,INDEX([3]Personal!$G$9:$G$58,
                                 MATCH(B24,[3]Personal!$C$9:$C$58,0)))
   +
   (INDEX([3]Personal!$H$9:$H$58,
           MATCH(B24,[3]Personal!$C$9:$C$58,0))="Deposito y Logística")
     *
     IF(ISNUMBER(FIND("Operarios",$C24)),1,INDEX([3]Personal!$I$9:$I$58,
                                 MATCH(B24,[3]Personal!$C$9:$C$58,0)))
   +
   (INDEX([3]Personal!$J$9:$J$58,
           MATCH(B24,[3]Personal!$C$9:$C$58,0))="Deposito y Logística")
     *
     IF(ISNUMBER(FIND("Operarios",$C24)),1,INDEX([3]Personal!$K$9:$K$58,
                                 MATCH(B24,[3]Personal!$C$9:$C$58,0)))
 )
/
[3]Personal!$K$3, "")</f>
        <v/>
      </c>
      <c r="E24" s="30"/>
      <c r="F24" s="30"/>
      <c r="G24" s="30"/>
      <c r="H24" s="30"/>
      <c r="I24" s="30"/>
      <c r="J24" s="30"/>
      <c r="K24" s="30"/>
      <c r="L24" s="30"/>
      <c r="M24" s="82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83"/>
      <c r="AD24" s="49" t="s">
        <v>60</v>
      </c>
      <c r="AE24" s="49" t="str">
        <f t="array" ref="AE24">IFERROR(INDEX($AD$10:$AD$100, SMALL(IF($AD$10:$AD$100&lt;&gt;"", ROW($AD$10:$AD$100)-ROW($AD$10)+1), ROW(15:15))), "")</f>
        <v/>
      </c>
    </row>
    <row r="25" spans="2:31" ht="30" customHeight="1" thickBot="1">
      <c r="B25" s="79"/>
      <c r="C25" s="80"/>
      <c r="D25" s="74" t="str">
        <f>IFERROR(
 INDEX([3]Personal!$L$9:$L$58,
        MATCH(B25,[3]Personal!$C$9:$C$58,0))
 *
 (
   (INDEX([3]Personal!$D$9:$D$58,
           MATCH(B25,[3]Personal!$C$9:$C$58,0))="Deposito y Logística")
     *
     IF(ISNUMBER(FIND("Operarios",$C25)),1,INDEX([3]Personal!$E$9:$E$58,
                                 MATCH(B25,[3]Personal!$C$9:$C$58,0)))
   +
   (INDEX([3]Personal!$F$9:$F$58,
           MATCH(B25,[3]Personal!$C$9:$C$58,0))="Deposito y Logística")
     *
     IF(ISNUMBER(FIND("Operarios",$C25)),1,INDEX([3]Personal!$G$9:$G$58,
                                 MATCH(B25,[3]Personal!$C$9:$C$58,0)))
   +
   (INDEX([3]Personal!$H$9:$H$58,
           MATCH(B25,[3]Personal!$C$9:$C$58,0))="Deposito y Logística")
     *
     IF(ISNUMBER(FIND("Operarios",$C25)),1,INDEX([3]Personal!$I$9:$I$58,
                                 MATCH(B25,[3]Personal!$C$9:$C$58,0)))
   +
   (INDEX([3]Personal!$J$9:$J$58,
           MATCH(B25,[3]Personal!$C$9:$C$58,0))="Deposito y Logística")
     *
     IF(ISNUMBER(FIND("Operarios",$C25)),1,INDEX([3]Personal!$K$9:$K$58,
                                 MATCH(B25,[3]Personal!$C$9:$C$58,0)))
 )
/
[3]Personal!$K$3, "")</f>
        <v/>
      </c>
      <c r="E25" s="30"/>
      <c r="F25" s="30"/>
      <c r="G25" s="30"/>
      <c r="H25" s="30"/>
      <c r="I25" s="30"/>
      <c r="J25" s="30"/>
      <c r="K25" s="30"/>
      <c r="L25" s="30"/>
      <c r="M25" s="82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3"/>
      <c r="AD25" s="49" t="s">
        <v>103</v>
      </c>
      <c r="AE25" s="49" t="str">
        <f t="array" ref="AE25">IFERROR(INDEX($AD$10:$AD$100, SMALL(IF($AD$10:$AD$100&lt;&gt;"", ROW($AD$10:$AD$100)-ROW($AD$10)+1), ROW(16:16))), "")</f>
        <v/>
      </c>
    </row>
    <row r="26" spans="2:31" ht="30" customHeight="1" thickBot="1">
      <c r="B26" s="301" t="s">
        <v>41</v>
      </c>
      <c r="C26" s="46" t="s">
        <v>40</v>
      </c>
      <c r="D26" s="320"/>
      <c r="E26" s="107">
        <f>SumaCondicionalOperario($C$10:$C$25,$D$10:$D$25,E$10:E$25,$E$10:$Z$25,$C26,$S$32,$S$33,$S$34)</f>
        <v>0</v>
      </c>
      <c r="F26" s="107">
        <f t="shared" ref="F26:Z26" si="0">SumaCondicionalOperario($C$10:$C$25,$D$10:$D$25,F$10:F$25,$E$10:$Z$25,$C26,$S$32,$S$33,$S$34)</f>
        <v>0</v>
      </c>
      <c r="G26" s="107">
        <f t="shared" si="0"/>
        <v>0</v>
      </c>
      <c r="H26" s="107">
        <f t="shared" si="0"/>
        <v>0</v>
      </c>
      <c r="I26" s="107">
        <f t="shared" si="0"/>
        <v>0</v>
      </c>
      <c r="J26" s="107">
        <f t="shared" si="0"/>
        <v>0</v>
      </c>
      <c r="K26" s="107">
        <f t="shared" si="0"/>
        <v>0</v>
      </c>
      <c r="L26" s="107">
        <f t="shared" si="0"/>
        <v>0</v>
      </c>
      <c r="M26" s="107">
        <f t="shared" si="0"/>
        <v>0</v>
      </c>
      <c r="N26" s="107">
        <f t="shared" si="0"/>
        <v>0</v>
      </c>
      <c r="O26" s="107">
        <f t="shared" si="0"/>
        <v>0</v>
      </c>
      <c r="P26" s="107">
        <f t="shared" si="0"/>
        <v>0</v>
      </c>
      <c r="Q26" s="107">
        <f t="shared" si="0"/>
        <v>0</v>
      </c>
      <c r="R26" s="107">
        <f t="shared" si="0"/>
        <v>0</v>
      </c>
      <c r="S26" s="107">
        <f t="shared" si="0"/>
        <v>0</v>
      </c>
      <c r="T26" s="107">
        <f t="shared" si="0"/>
        <v>0</v>
      </c>
      <c r="U26" s="107">
        <f t="shared" si="0"/>
        <v>0</v>
      </c>
      <c r="V26" s="107">
        <f t="shared" si="0"/>
        <v>0</v>
      </c>
      <c r="W26" s="107">
        <f t="shared" si="0"/>
        <v>0</v>
      </c>
      <c r="X26" s="107">
        <f t="shared" si="0"/>
        <v>0</v>
      </c>
      <c r="Y26" s="107">
        <f t="shared" si="0"/>
        <v>0</v>
      </c>
      <c r="Z26" s="107">
        <f t="shared" si="0"/>
        <v>0</v>
      </c>
      <c r="AD26" s="49" t="s">
        <v>103</v>
      </c>
      <c r="AE26" s="49" t="str">
        <f t="array" ref="AE26">IFERROR(INDEX($AD$10:$AD$100, SMALL(IF($AD$10:$AD$100&lt;&gt;"", ROW($AD$10:$AD$100)-ROW($AD$10)+1), ROW(17:17))), "")</f>
        <v/>
      </c>
    </row>
    <row r="27" spans="2:31" ht="30" customHeight="1" thickBot="1">
      <c r="B27" s="319"/>
      <c r="C27" s="46" t="s">
        <v>42</v>
      </c>
      <c r="D27" s="321"/>
      <c r="E27" s="107">
        <f t="shared" ref="E27" si="1">SumaCondicionalAvanzada($C$10:$C$25,$D$10:$D$25,E$10:E$25,$E$10:$Z$25,$C27,$W$32,$W$33,$W$34,$Y$32,$Y$33,$Y$34)</f>
        <v>0</v>
      </c>
      <c r="F27" s="107">
        <f t="shared" ref="F27:N27" si="2">SumaCondicionalAvanzada($C$10:$C$25,$D$10:$D$25,F$10:F$25,$E$10:$Z$25,$C27,$W$32,$W$33,$W$34,$Y$32,$Y$33,$Y$34)</f>
        <v>0</v>
      </c>
      <c r="G27" s="107">
        <f t="shared" si="2"/>
        <v>0</v>
      </c>
      <c r="H27" s="107">
        <f t="shared" si="2"/>
        <v>0</v>
      </c>
      <c r="I27" s="107">
        <f t="shared" si="2"/>
        <v>0</v>
      </c>
      <c r="J27" s="107">
        <f t="shared" si="2"/>
        <v>0</v>
      </c>
      <c r="K27" s="107">
        <f t="shared" si="2"/>
        <v>0</v>
      </c>
      <c r="L27" s="107">
        <f t="shared" si="2"/>
        <v>0</v>
      </c>
      <c r="M27" s="107">
        <f t="shared" si="2"/>
        <v>0</v>
      </c>
      <c r="N27" s="107">
        <f t="shared" si="2"/>
        <v>0</v>
      </c>
      <c r="O27" s="107">
        <f t="shared" ref="O27:Z27" si="3">SumaCondicionalAvanzada($C$10:$C$25,$D$10:$D$25,O$10:O$25,$E$10:$Z$25,$C27,$W$32,$W$33,$W$34,$Y$32,$Y$33,$Y$34)</f>
        <v>0</v>
      </c>
      <c r="P27" s="107">
        <f t="shared" si="3"/>
        <v>0</v>
      </c>
      <c r="Q27" s="107">
        <f t="shared" si="3"/>
        <v>0</v>
      </c>
      <c r="R27" s="107">
        <f t="shared" si="3"/>
        <v>0</v>
      </c>
      <c r="S27" s="107">
        <f t="shared" si="3"/>
        <v>0</v>
      </c>
      <c r="T27" s="107">
        <f t="shared" si="3"/>
        <v>0</v>
      </c>
      <c r="U27" s="107">
        <f t="shared" si="3"/>
        <v>0</v>
      </c>
      <c r="V27" s="107">
        <f t="shared" si="3"/>
        <v>0</v>
      </c>
      <c r="W27" s="107">
        <f t="shared" si="3"/>
        <v>0</v>
      </c>
      <c r="X27" s="107">
        <f t="shared" si="3"/>
        <v>0</v>
      </c>
      <c r="Y27" s="107">
        <f t="shared" si="3"/>
        <v>0</v>
      </c>
      <c r="Z27" s="107">
        <f t="shared" si="3"/>
        <v>0</v>
      </c>
      <c r="AD27" s="49" t="s">
        <v>103</v>
      </c>
      <c r="AE27" s="49" t="str">
        <f t="array" ref="AE27">IFERROR(INDEX($AD$10:$AD$100, SMALL(IF($AD$10:$AD$100&lt;&gt;"", ROW($AD$10:$AD$100)-ROW($AD$10)+1), ROW(18:18))), "")</f>
        <v/>
      </c>
    </row>
    <row r="28" spans="2:31" ht="30" customHeight="1" thickBot="1">
      <c r="B28" s="319"/>
      <c r="C28" s="46" t="s">
        <v>43</v>
      </c>
      <c r="D28" s="321"/>
      <c r="E28" s="107">
        <f t="shared" ref="E28" si="4">SumaCondicionalAvanzada($C$10:$C$25,$D$10:$D$25,E$10:E$25,$E$10:$Z$25,$C28,$W$32,$W$33,$W$34,$Y$32,$Y$33,$Y$34)</f>
        <v>0</v>
      </c>
      <c r="F28" s="107">
        <f t="shared" ref="F28:N28" si="5">SumaCondicionalAvanzada($C$10:$C$25,$D$10:$D$25,F$10:F$25,$E$10:$Z$25,$C28,$W$32,$W$33,$W$34,$Y$32,$Y$33,$Y$34)</f>
        <v>0</v>
      </c>
      <c r="G28" s="107">
        <f t="shared" si="5"/>
        <v>0</v>
      </c>
      <c r="H28" s="107">
        <f t="shared" si="5"/>
        <v>0</v>
      </c>
      <c r="I28" s="107">
        <f t="shared" si="5"/>
        <v>0</v>
      </c>
      <c r="J28" s="107">
        <f t="shared" si="5"/>
        <v>0</v>
      </c>
      <c r="K28" s="107">
        <f t="shared" si="5"/>
        <v>0</v>
      </c>
      <c r="L28" s="107">
        <f t="shared" si="5"/>
        <v>0</v>
      </c>
      <c r="M28" s="107">
        <f t="shared" si="5"/>
        <v>0</v>
      </c>
      <c r="N28" s="107">
        <f t="shared" si="5"/>
        <v>0</v>
      </c>
      <c r="O28" s="107">
        <f t="shared" ref="O28:Z28" si="6">SumaCondicionalAvanzada($C$10:$C$25,$D$10:$D$25,O$10:O$25,$E$10:$Z$25,$C28,$W$32,$W$33,$W$34,$Y$32,$Y$33,$Y$34)</f>
        <v>0</v>
      </c>
      <c r="P28" s="107">
        <f t="shared" si="6"/>
        <v>0</v>
      </c>
      <c r="Q28" s="107">
        <f t="shared" si="6"/>
        <v>0</v>
      </c>
      <c r="R28" s="107">
        <f t="shared" si="6"/>
        <v>0</v>
      </c>
      <c r="S28" s="107">
        <f t="shared" si="6"/>
        <v>0</v>
      </c>
      <c r="T28" s="107">
        <f t="shared" si="6"/>
        <v>0</v>
      </c>
      <c r="U28" s="107">
        <f t="shared" si="6"/>
        <v>0</v>
      </c>
      <c r="V28" s="107">
        <f t="shared" si="6"/>
        <v>0</v>
      </c>
      <c r="W28" s="107">
        <f t="shared" si="6"/>
        <v>0</v>
      </c>
      <c r="X28" s="107">
        <f t="shared" si="6"/>
        <v>0</v>
      </c>
      <c r="Y28" s="107">
        <f t="shared" si="6"/>
        <v>0</v>
      </c>
      <c r="Z28" s="107">
        <f t="shared" si="6"/>
        <v>0</v>
      </c>
      <c r="AD28" s="49" t="s">
        <v>103</v>
      </c>
      <c r="AE28" s="49" t="str">
        <f t="array" ref="AE28">IFERROR(INDEX($AD$10:$AD$100, SMALL(IF($AD$10:$AD$100&lt;&gt;"", ROW($AD$10:$AD$100)-ROW($AD$10)+1), ROW(19:19))), "")</f>
        <v/>
      </c>
    </row>
    <row r="29" spans="2:31" ht="30" customHeight="1" thickBot="1">
      <c r="B29" s="319"/>
      <c r="C29" s="46" t="s">
        <v>44</v>
      </c>
      <c r="D29" s="321"/>
      <c r="E29" s="107">
        <f t="shared" ref="E29" si="7">SumaCondicionalAvanzada($C$10:$C$25,$D$10:$D$25,E$10:E$25,$E$10:$Z$25,$C29,$W$32,$W$33,$W$34,$Y$32,$Y$33,$Y$34)</f>
        <v>0</v>
      </c>
      <c r="F29" s="107">
        <f t="shared" ref="F29:N29" si="8">SumaCondicionalAvanzada($C$10:$C$25,$D$10:$D$25,F$10:F$25,$E$10:$Z$25,$C29,$W$32,$W$33,$W$34,$Y$32,$Y$33,$Y$34)</f>
        <v>0</v>
      </c>
      <c r="G29" s="107">
        <f t="shared" si="8"/>
        <v>0</v>
      </c>
      <c r="H29" s="107">
        <f t="shared" si="8"/>
        <v>0</v>
      </c>
      <c r="I29" s="107">
        <f t="shared" si="8"/>
        <v>0</v>
      </c>
      <c r="J29" s="107">
        <f t="shared" si="8"/>
        <v>0</v>
      </c>
      <c r="K29" s="107">
        <f t="shared" si="8"/>
        <v>0</v>
      </c>
      <c r="L29" s="107">
        <f t="shared" si="8"/>
        <v>0</v>
      </c>
      <c r="M29" s="107">
        <f t="shared" si="8"/>
        <v>0</v>
      </c>
      <c r="N29" s="107">
        <f t="shared" si="8"/>
        <v>0</v>
      </c>
      <c r="O29" s="107">
        <f t="shared" ref="O29:Z29" si="9">SumaCondicionalAvanzada($C$10:$C$25,$D$10:$D$25,O$10:O$25,$E$10:$Z$25,$C29,$W$32,$W$33,$W$34,$Y$32,$Y$33,$Y$34)</f>
        <v>0</v>
      </c>
      <c r="P29" s="107">
        <f t="shared" si="9"/>
        <v>0</v>
      </c>
      <c r="Q29" s="107">
        <f t="shared" si="9"/>
        <v>0</v>
      </c>
      <c r="R29" s="107">
        <f t="shared" si="9"/>
        <v>0</v>
      </c>
      <c r="S29" s="107">
        <f t="shared" si="9"/>
        <v>0</v>
      </c>
      <c r="T29" s="107">
        <f t="shared" si="9"/>
        <v>0</v>
      </c>
      <c r="U29" s="107">
        <f t="shared" si="9"/>
        <v>0</v>
      </c>
      <c r="V29" s="107">
        <f t="shared" si="9"/>
        <v>0</v>
      </c>
      <c r="W29" s="107">
        <f t="shared" si="9"/>
        <v>0</v>
      </c>
      <c r="X29" s="107">
        <f t="shared" si="9"/>
        <v>0</v>
      </c>
      <c r="Y29" s="107">
        <f t="shared" si="9"/>
        <v>0</v>
      </c>
      <c r="Z29" s="107">
        <f t="shared" si="9"/>
        <v>0</v>
      </c>
      <c r="AD29" s="49" t="s">
        <v>103</v>
      </c>
      <c r="AE29" s="49" t="str">
        <f t="array" ref="AE29">IFERROR(INDEX($AD$10:$AD$100, SMALL(IF($AD$10:$AD$100&lt;&gt;"", ROW($AD$10:$AD$100)-ROW($AD$10)+1), ROW(20:20))), "")</f>
        <v/>
      </c>
    </row>
    <row r="30" spans="2:31" ht="30" customHeight="1" thickBot="1">
      <c r="B30" s="302"/>
      <c r="C30" s="110" t="s">
        <v>45</v>
      </c>
      <c r="D30" s="321"/>
      <c r="E30" s="106">
        <f>SUM(E26:E29)</f>
        <v>0</v>
      </c>
      <c r="F30" s="106">
        <f t="shared" ref="F30:Z30" si="10">SUM(F26:F29)</f>
        <v>0</v>
      </c>
      <c r="G30" s="106">
        <f t="shared" si="10"/>
        <v>0</v>
      </c>
      <c r="H30" s="106">
        <f t="shared" si="10"/>
        <v>0</v>
      </c>
      <c r="I30" s="106">
        <f t="shared" si="10"/>
        <v>0</v>
      </c>
      <c r="J30" s="106">
        <f t="shared" si="10"/>
        <v>0</v>
      </c>
      <c r="K30" s="106">
        <f t="shared" si="10"/>
        <v>0</v>
      </c>
      <c r="L30" s="106">
        <f t="shared" si="10"/>
        <v>0</v>
      </c>
      <c r="M30" s="106">
        <f t="shared" si="10"/>
        <v>0</v>
      </c>
      <c r="N30" s="106">
        <f t="shared" si="10"/>
        <v>0</v>
      </c>
      <c r="O30" s="106">
        <f t="shared" si="10"/>
        <v>0</v>
      </c>
      <c r="P30" s="106">
        <f t="shared" si="10"/>
        <v>0</v>
      </c>
      <c r="Q30" s="106">
        <f t="shared" si="10"/>
        <v>0</v>
      </c>
      <c r="R30" s="106">
        <f t="shared" si="10"/>
        <v>0</v>
      </c>
      <c r="S30" s="106">
        <f>SUM(S26:S29)</f>
        <v>0</v>
      </c>
      <c r="T30" s="106">
        <f t="shared" si="10"/>
        <v>0</v>
      </c>
      <c r="U30" s="106">
        <f t="shared" si="10"/>
        <v>0</v>
      </c>
      <c r="V30" s="106">
        <f t="shared" si="10"/>
        <v>0</v>
      </c>
      <c r="W30" s="106">
        <f t="shared" si="10"/>
        <v>0</v>
      </c>
      <c r="X30" s="106">
        <f t="shared" si="10"/>
        <v>0</v>
      </c>
      <c r="Y30" s="106">
        <f t="shared" si="10"/>
        <v>0</v>
      </c>
      <c r="Z30" s="106">
        <f t="shared" si="10"/>
        <v>0</v>
      </c>
      <c r="AD30" s="49" t="s">
        <v>103</v>
      </c>
      <c r="AE30" s="49" t="str">
        <f t="array" ref="AE30">IFERROR(INDEX($AD$10:$AD$100, SMALL(IF($AD$10:$AD$100&lt;&gt;"", ROW($AD$10:$AD$100)-ROW($AD$10)+1), ROW(21:21))), "")</f>
        <v/>
      </c>
    </row>
    <row r="31" spans="2:31" ht="44.25" customHeight="1" thickBot="1">
      <c r="B31" s="108" t="s">
        <v>46</v>
      </c>
      <c r="C31" s="109" t="str">
        <f>IF(SUM(D10:D25)=SUM(E30:Z30),
CONCATENATE("Funcionamiento Correcto. $",SUM(D10:D25)," = $",SUM(E30:Z30)),
CONCATENATE("Revisar error existente. $",SUM(D10:D25)," ≠ $",SUM(E30:Z30)))</f>
        <v>Revisar error existente. $4804,5737989547 ≠ $0</v>
      </c>
      <c r="D31" s="322"/>
      <c r="E31" s="323"/>
      <c r="F31" s="306"/>
      <c r="G31" s="25"/>
      <c r="H31" s="25"/>
      <c r="I31" s="25"/>
      <c r="J31" s="25"/>
      <c r="K31" s="25"/>
      <c r="L31" s="25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9"/>
      <c r="AD31" s="49" t="s">
        <v>103</v>
      </c>
      <c r="AE31" s="49" t="str">
        <f t="array" ref="AE31">IFERROR(INDEX($AD$10:$AD$100, SMALL(IF($AD$10:$AD$100&lt;&gt;"", ROW($AD$10:$AD$100)-ROW($AD$10)+1), ROW(22:22))), "")</f>
        <v/>
      </c>
    </row>
    <row r="32" spans="2:31" ht="30" customHeight="1">
      <c r="B32" s="68"/>
      <c r="C32" s="69"/>
      <c r="D32" s="69"/>
      <c r="G32" s="71"/>
      <c r="H32" s="71"/>
      <c r="I32" s="71"/>
      <c r="J32" s="71"/>
      <c r="K32" s="71"/>
      <c r="L32" s="71"/>
      <c r="M32" s="72"/>
      <c r="N32" s="72"/>
      <c r="O32" s="72"/>
      <c r="P32" s="72"/>
      <c r="Q32" s="274" t="s">
        <v>140</v>
      </c>
      <c r="R32" s="111" t="s">
        <v>48</v>
      </c>
      <c r="S32" s="275">
        <v>0.8</v>
      </c>
      <c r="U32" s="115" t="s">
        <v>47</v>
      </c>
      <c r="V32" s="111" t="s">
        <v>48</v>
      </c>
      <c r="W32" s="113">
        <v>0.75</v>
      </c>
      <c r="X32" s="111" t="s">
        <v>49</v>
      </c>
      <c r="Y32" s="114">
        <v>0.8</v>
      </c>
      <c r="Z32" s="67"/>
      <c r="AD32" s="49" t="s">
        <v>103</v>
      </c>
      <c r="AE32" s="49" t="str">
        <f t="array" ref="AE32">IFERROR(INDEX($AD$10:$AD$100, SMALL(IF($AD$10:$AD$100&lt;&gt;"", ROW($AD$10:$AD$100)-ROW($AD$10)+1), ROW(23:23))), "")</f>
        <v/>
      </c>
    </row>
    <row r="33" spans="2:31" ht="30" customHeight="1">
      <c r="B33" s="91" t="s">
        <v>50</v>
      </c>
      <c r="C33" s="324"/>
      <c r="D33" s="324"/>
      <c r="E33" s="324"/>
      <c r="F33" s="92" t="s">
        <v>32</v>
      </c>
      <c r="G33" s="325"/>
      <c r="H33" s="325"/>
      <c r="I33" s="72"/>
      <c r="J33" s="72"/>
      <c r="K33" s="72"/>
      <c r="L33" s="72"/>
      <c r="M33" s="62"/>
      <c r="N33" s="62"/>
      <c r="O33" s="62"/>
      <c r="P33" s="62"/>
      <c r="Q33" s="276" t="s">
        <v>141</v>
      </c>
      <c r="R33" s="112" t="s">
        <v>51</v>
      </c>
      <c r="S33" s="275">
        <v>0.15</v>
      </c>
      <c r="U33" s="62"/>
      <c r="V33" s="112" t="s">
        <v>51</v>
      </c>
      <c r="W33" s="113">
        <v>0.2</v>
      </c>
      <c r="X33" s="112" t="s">
        <v>52</v>
      </c>
      <c r="Y33" s="114">
        <v>0.15</v>
      </c>
      <c r="Z33" s="93"/>
      <c r="AD33" s="49" t="s">
        <v>103</v>
      </c>
      <c r="AE33" s="49" t="str">
        <f t="array" ref="AE33">IFERROR(INDEX($AD$10:$AD$100, SMALL(IF($AD$10:$AD$100&lt;&gt;"", ROW($AD$10:$AD$100)-ROW($AD$10)+1), ROW(24:24))), "")</f>
        <v/>
      </c>
    </row>
    <row r="34" spans="2:31" ht="30" customHeight="1">
      <c r="B34" s="94"/>
      <c r="C34" s="72"/>
      <c r="D34" s="72"/>
      <c r="F34" s="90"/>
      <c r="G34" s="95"/>
      <c r="H34" s="95"/>
      <c r="I34" s="72"/>
      <c r="J34" s="72"/>
      <c r="K34" s="72"/>
      <c r="L34" s="72"/>
      <c r="M34" s="62"/>
      <c r="N34" s="62"/>
      <c r="O34" s="62"/>
      <c r="P34" s="62"/>
      <c r="Q34" s="276" t="s">
        <v>142</v>
      </c>
      <c r="R34" s="112" t="s">
        <v>53</v>
      </c>
      <c r="S34" s="275">
        <v>0.05</v>
      </c>
      <c r="U34" s="62"/>
      <c r="V34" s="112" t="s">
        <v>53</v>
      </c>
      <c r="W34" s="113">
        <v>0.05</v>
      </c>
      <c r="X34" s="112" t="s">
        <v>54</v>
      </c>
      <c r="Y34" s="114">
        <v>0.05</v>
      </c>
      <c r="Z34" s="93"/>
      <c r="AD34" s="49" t="s">
        <v>103</v>
      </c>
      <c r="AE34" s="49" t="str">
        <f t="array" ref="AE34">IFERROR(INDEX($AD$10:$AD$100, SMALL(IF($AD$10:$AD$100&lt;&gt;"", ROW($AD$10:$AD$100)-ROW($AD$10)+1), ROW(25:25))), "")</f>
        <v/>
      </c>
    </row>
    <row r="35" spans="2:31" ht="30" customHeight="1" thickBot="1">
      <c r="B35" s="96"/>
      <c r="C35" s="97"/>
      <c r="D35" s="97"/>
      <c r="E35" s="98"/>
      <c r="F35" s="98"/>
      <c r="G35" s="98"/>
      <c r="H35" s="98"/>
      <c r="I35" s="98"/>
      <c r="J35" s="98"/>
      <c r="K35" s="98"/>
      <c r="L35" s="98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100"/>
      <c r="AD35" s="49" t="s">
        <v>103</v>
      </c>
      <c r="AE35" s="49" t="str">
        <f t="array" ref="AE35">IFERROR(INDEX($AD$10:$AD$100, SMALL(IF($AD$10:$AD$100&lt;&gt;"", ROW($AD$10:$AD$100)-ROW($AD$10)+1), ROW(26:26))), "")</f>
        <v/>
      </c>
    </row>
    <row r="36" spans="2:31" ht="30" customHeight="1">
      <c r="B36" s="43"/>
      <c r="C36" s="43"/>
      <c r="D36" s="43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2"/>
      <c r="AE36" s="49" t="str">
        <f t="array" ref="AE36">IFERROR(INDEX($AD$10:$AD$100, SMALL(IF($AD$10:$AD$100&lt;&gt;"", ROW($AD$10:$AD$100)-ROW($AD$10)+1), ROW(27:27))), "")</f>
        <v/>
      </c>
    </row>
    <row r="37" spans="2:31" ht="30" customHeight="1">
      <c r="B37" s="43"/>
      <c r="C37" s="43"/>
      <c r="D37" s="43"/>
      <c r="AE37" s="49" t="str">
        <f t="array" ref="AE37">IFERROR(INDEX($AD$10:$AD$100, SMALL(IF($AD$10:$AD$100&lt;&gt;"", ROW($AD$10:$AD$100)-ROW($AD$10)+1), ROW(28:28))), "")</f>
        <v/>
      </c>
    </row>
    <row r="38" spans="2:31" ht="30" customHeight="1">
      <c r="B38" s="43"/>
      <c r="C38" s="43"/>
      <c r="D38" s="43"/>
      <c r="Y38" s="103"/>
      <c r="AE38" s="49" t="str">
        <f t="array" ref="AE38">IFERROR(INDEX($AD$10:$AD$100, SMALL(IF($AD$10:$AD$100&lt;&gt;"", ROW($AD$10:$AD$100)-ROW($AD$10)+1), ROW(29:29))), "")</f>
        <v/>
      </c>
    </row>
    <row r="39" spans="2:31" ht="30" customHeight="1">
      <c r="B39" s="43"/>
      <c r="C39" s="43"/>
      <c r="D39" s="43"/>
      <c r="AE39" s="49" t="str">
        <f t="array" ref="AE39">IFERROR(INDEX($AD$10:$AD$100, SMALL(IF($AD$10:$AD$100&lt;&gt;"", ROW($AD$10:$AD$100)-ROW($AD$10)+1), ROW(30:30))), "")</f>
        <v/>
      </c>
    </row>
    <row r="40" spans="2:31" ht="30" customHeight="1">
      <c r="B40" s="43"/>
      <c r="C40" s="43"/>
      <c r="D40" s="43"/>
      <c r="AE40" s="49" t="str">
        <f t="array" ref="AE40">IFERROR(INDEX($AD$10:$AD$100, SMALL(IF($AD$10:$AD$100&lt;&gt;"", ROW($AD$10:$AD$100)-ROW($AD$10)+1), ROW(31:31))), "")</f>
        <v/>
      </c>
    </row>
    <row r="41" spans="2:31" ht="30" customHeight="1">
      <c r="B41" s="43"/>
      <c r="C41" s="43"/>
      <c r="D41" s="43"/>
      <c r="AE41" s="49" t="str">
        <f t="array" ref="AE41">IFERROR(INDEX($AD$10:$AD$100, SMALL(IF($AD$10:$AD$100&lt;&gt;"", ROW($AD$10:$AD$100)-ROW($AD$10)+1), ROW(32:32))), "")</f>
        <v/>
      </c>
    </row>
    <row r="42" spans="2:31" ht="30" customHeight="1">
      <c r="B42" s="43"/>
      <c r="C42" s="43"/>
      <c r="D42" s="43"/>
      <c r="AE42" s="49" t="str">
        <f t="array" ref="AE42">IFERROR(INDEX($AD$10:$AD$100, SMALL(IF($AD$10:$AD$100&lt;&gt;"", ROW($AD$10:$AD$100)-ROW($AD$10)+1), ROW(33:33))), "")</f>
        <v/>
      </c>
    </row>
    <row r="43" spans="2:31" ht="30" customHeight="1">
      <c r="B43" s="43"/>
      <c r="C43" s="43"/>
      <c r="D43" s="43"/>
      <c r="AE43" s="49" t="str">
        <f t="array" ref="AE43">IFERROR(INDEX($AD$10:$AD$100, SMALL(IF($AD$10:$AD$100&lt;&gt;"", ROW($AD$10:$AD$100)-ROW($AD$10)+1), ROW(34:34))), "")</f>
        <v/>
      </c>
    </row>
    <row r="44" spans="2:31" ht="30" customHeight="1">
      <c r="B44" s="43"/>
      <c r="C44" s="43"/>
      <c r="D44" s="43"/>
      <c r="AE44" s="49" t="str">
        <f t="array" ref="AE44">IFERROR(INDEX($AD$10:$AD$100, SMALL(IF($AD$10:$AD$100&lt;&gt;"", ROW($AD$10:$AD$100)-ROW($AD$10)+1), ROW(35:35))), "")</f>
        <v/>
      </c>
    </row>
    <row r="45" spans="2:31" ht="30" customHeight="1">
      <c r="AE45" s="49" t="str">
        <f t="array" ref="AE45">IFERROR(INDEX($AD$10:$AD$100, SMALL(IF($AD$10:$AD$100&lt;&gt;"", ROW($AD$10:$AD$100)-ROW($AD$10)+1), ROW(36:36))), "")</f>
        <v/>
      </c>
    </row>
    <row r="46" spans="2:31" ht="30" customHeight="1">
      <c r="AE46" s="49" t="str">
        <f t="array" ref="AE46">IFERROR(INDEX($AD$10:$AD$100, SMALL(IF($AD$10:$AD$100&lt;&gt;"", ROW($AD$10:$AD$100)-ROW($AD$10)+1), ROW(37:37))), "")</f>
        <v/>
      </c>
    </row>
    <row r="47" spans="2:31" ht="30" customHeight="1">
      <c r="AE47" s="49" t="str">
        <f t="array" ref="AE47">IFERROR(INDEX($AD$10:$AD$100, SMALL(IF($AD$10:$AD$100&lt;&gt;"", ROW($AD$10:$AD$100)-ROW($AD$10)+1), ROW(38:38))), "")</f>
        <v/>
      </c>
    </row>
    <row r="48" spans="2:31" ht="30" customHeight="1">
      <c r="AE48" s="49" t="str">
        <f t="array" ref="AE48">IFERROR(INDEX($AD$10:$AD$100, SMALL(IF($AD$10:$AD$100&lt;&gt;"", ROW($AD$10:$AD$100)-ROW($AD$10)+1), ROW(39:39))), "")</f>
        <v/>
      </c>
    </row>
    <row r="49" spans="31:31" ht="30" customHeight="1">
      <c r="AE49" s="49" t="str">
        <f t="array" ref="AE49">IFERROR(INDEX($AD$10:$AD$100, SMALL(IF($AD$10:$AD$100&lt;&gt;"", ROW($AD$10:$AD$100)-ROW($AD$10)+1), ROW(40:40))), "")</f>
        <v/>
      </c>
    </row>
    <row r="50" spans="31:31" ht="30" customHeight="1">
      <c r="AE50" s="49" t="str">
        <f t="array" ref="AE50">IFERROR(INDEX($AD$10:$AD$100, SMALL(IF($AD$10:$AD$100&lt;&gt;"", ROW($AD$10:$AD$100)-ROW($AD$10)+1), ROW(41:41))), "")</f>
        <v/>
      </c>
    </row>
    <row r="51" spans="31:31" ht="30" customHeight="1">
      <c r="AE51" s="49" t="str">
        <f t="array" ref="AE51">IFERROR(INDEX($AD$10:$AD$100, SMALL(IF($AD$10:$AD$100&lt;&gt;"", ROW($AD$10:$AD$100)-ROW($AD$10)+1), ROW(42:42))), "")</f>
        <v/>
      </c>
    </row>
    <row r="52" spans="31:31" ht="30" customHeight="1">
      <c r="AE52" s="49" t="str">
        <f t="array" ref="AE52">IFERROR(INDEX($AD$10:$AD$100, SMALL(IF($AD$10:$AD$100&lt;&gt;"", ROW($AD$10:$AD$100)-ROW($AD$10)+1), ROW(43:43))), "")</f>
        <v/>
      </c>
    </row>
    <row r="53" spans="31:31" ht="30" customHeight="1">
      <c r="AE53" s="49" t="str">
        <f t="array" ref="AE53">IFERROR(INDEX($AD$10:$AD$100, SMALL(IF($AD$10:$AD$100&lt;&gt;"", ROW($AD$10:$AD$100)-ROW($AD$10)+1), ROW(44:44))), "")</f>
        <v/>
      </c>
    </row>
    <row r="54" spans="31:31" ht="30" customHeight="1">
      <c r="AE54" s="49" t="str">
        <f t="array" ref="AE54">IFERROR(INDEX($AD$10:$AD$100, SMALL(IF($AD$10:$AD$100&lt;&gt;"", ROW($AD$10:$AD$100)-ROW($AD$10)+1), ROW(45:45))), "")</f>
        <v/>
      </c>
    </row>
    <row r="55" spans="31:31" ht="30" customHeight="1">
      <c r="AE55" s="49" t="str">
        <f t="array" ref="AE55">IFERROR(INDEX($AD$10:$AD$100, SMALL(IF($AD$10:$AD$100&lt;&gt;"", ROW($AD$10:$AD$100)-ROW($AD$10)+1), ROW(46:46))), "")</f>
        <v/>
      </c>
    </row>
    <row r="56" spans="31:31" ht="30" customHeight="1">
      <c r="AE56" s="49" t="str">
        <f t="array" ref="AE56">IFERROR(INDEX($AD$10:$AD$100, SMALL(IF($AD$10:$AD$100&lt;&gt;"", ROW($AD$10:$AD$100)-ROW($AD$10)+1), ROW(47:47))), "")</f>
        <v/>
      </c>
    </row>
    <row r="57" spans="31:31" ht="30" customHeight="1">
      <c r="AE57" s="49" t="str">
        <f t="array" ref="AE57">IFERROR(INDEX($AD$10:$AD$100, SMALL(IF($AD$10:$AD$100&lt;&gt;"", ROW($AD$10:$AD$100)-ROW($AD$10)+1), ROW(48:48))), "")</f>
        <v/>
      </c>
    </row>
    <row r="58" spans="31:31" ht="30" customHeight="1">
      <c r="AE58" s="49" t="str">
        <f t="array" ref="AE58">IFERROR(INDEX($AD$10:$AD$100, SMALL(IF($AD$10:$AD$100&lt;&gt;"", ROW($AD$10:$AD$100)-ROW($AD$10)+1), ROW(49:49))), "")</f>
        <v/>
      </c>
    </row>
    <row r="59" spans="31:31" ht="30" customHeight="1">
      <c r="AE59" s="49" t="str">
        <f t="array" ref="AE59">IFERROR(INDEX($AD$10:$AD$100, SMALL(IF($AD$10:$AD$100&lt;&gt;"", ROW($AD$10:$AD$100)-ROW($AD$10)+1), ROW(50:50))), "")</f>
        <v/>
      </c>
    </row>
    <row r="60" spans="31:31" ht="30" customHeight="1">
      <c r="AE60" s="49" t="str">
        <f t="array" ref="AE60">IFERROR(INDEX($AD$10:$AD$100, SMALL(IF($AD$10:$AD$100&lt;&gt;"", ROW($AD$10:$AD$100)-ROW($AD$10)+1), ROW(51:51))), "")</f>
        <v/>
      </c>
    </row>
    <row r="61" spans="31:31" ht="30" customHeight="1">
      <c r="AE61" s="49" t="str">
        <f t="array" ref="AE61">IFERROR(INDEX($AD$10:$AD$100, SMALL(IF($AD$10:$AD$100&lt;&gt;"", ROW($AD$10:$AD$100)-ROW($AD$10)+1), ROW(52:52))), "")</f>
        <v/>
      </c>
    </row>
    <row r="62" spans="31:31" ht="30" customHeight="1">
      <c r="AE62" s="49" t="str">
        <f t="array" ref="AE62">IFERROR(INDEX($AD$10:$AD$100, SMALL(IF($AD$10:$AD$100&lt;&gt;"", ROW($AD$10:$AD$100)-ROW($AD$10)+1), ROW(53:53))), "")</f>
        <v/>
      </c>
    </row>
    <row r="63" spans="31:31" ht="15">
      <c r="AE63" s="49" t="str">
        <f t="array" ref="AE63">IFERROR(INDEX($AD$10:$AD$100, SMALL(IF($AD$10:$AD$100&lt;&gt;"", ROW($AD$10:$AD$100)-ROW($AD$10)+1), ROW(54:54))), "")</f>
        <v/>
      </c>
    </row>
    <row r="64" spans="31:31" ht="30" customHeight="1">
      <c r="AE64" s="49" t="str">
        <f t="array" ref="AE64">IFERROR(INDEX($AD$10:$AD$100, SMALL(IF($AD$10:$AD$100&lt;&gt;"", ROW($AD$10:$AD$100)-ROW($AD$10)+1), ROW(55:55))), "")</f>
        <v/>
      </c>
    </row>
    <row r="65" spans="31:31" ht="30" customHeight="1">
      <c r="AE65" s="49" t="str">
        <f t="array" ref="AE65">IFERROR(INDEX($AD$10:$AD$100, SMALL(IF($AD$10:$AD$100&lt;&gt;"", ROW($AD$10:$AD$100)-ROW($AD$10)+1), ROW(56:56))), "")</f>
        <v/>
      </c>
    </row>
    <row r="66" spans="31:31" ht="30" customHeight="1">
      <c r="AE66" s="49" t="str">
        <f t="array" ref="AE66">IFERROR(INDEX($AD$10:$AD$100, SMALL(IF($AD$10:$AD$100&lt;&gt;"", ROW($AD$10:$AD$100)-ROW($AD$10)+1), ROW(57:57))), "")</f>
        <v/>
      </c>
    </row>
    <row r="67" spans="31:31" ht="30" customHeight="1">
      <c r="AE67" s="49" t="str">
        <f t="array" ref="AE67">IFERROR(INDEX($AD$10:$AD$100, SMALL(IF($AD$10:$AD$100&lt;&gt;"", ROW($AD$10:$AD$100)-ROW($AD$10)+1), ROW(58:58))), "")</f>
        <v/>
      </c>
    </row>
    <row r="68" spans="31:31" ht="30" customHeight="1">
      <c r="AE68" s="49" t="str">
        <f t="array" ref="AE68">IFERROR(INDEX($AD$10:$AD$100, SMALL(IF($AD$10:$AD$100&lt;&gt;"", ROW($AD$10:$AD$100)-ROW($AD$10)+1), ROW(59:59))), "")</f>
        <v/>
      </c>
    </row>
    <row r="69" spans="31:31" ht="30" customHeight="1">
      <c r="AE69" s="49" t="str">
        <f t="array" ref="AE69">IFERROR(INDEX($AD$10:$AD$100, SMALL(IF($AD$10:$AD$100&lt;&gt;"", ROW($AD$10:$AD$100)-ROW($AD$10)+1), ROW(60:60))), "")</f>
        <v/>
      </c>
    </row>
    <row r="70" spans="31:31" ht="30" customHeight="1">
      <c r="AE70" s="49" t="str">
        <f t="array" ref="AE70">IFERROR(INDEX($AD$10:$AD$100, SMALL(IF($AD$10:$AD$100&lt;&gt;"", ROW($AD$10:$AD$100)-ROW($AD$10)+1), ROW(61:61))), "")</f>
        <v/>
      </c>
    </row>
    <row r="71" spans="31:31" ht="30" customHeight="1">
      <c r="AE71" s="49" t="str">
        <f t="array" ref="AE71">IFERROR(INDEX($AD$10:$AD$100, SMALL(IF($AD$10:$AD$100&lt;&gt;"", ROW($AD$10:$AD$100)-ROW($AD$10)+1), ROW(62:62))), "")</f>
        <v/>
      </c>
    </row>
    <row r="72" spans="31:31" ht="30" customHeight="1">
      <c r="AE72" s="49" t="str">
        <f t="array" ref="AE72">IFERROR(INDEX($AD$10:$AD$100, SMALL(IF($AD$10:$AD$100&lt;&gt;"", ROW($AD$10:$AD$100)-ROW($AD$10)+1), ROW(63:63))), "")</f>
        <v/>
      </c>
    </row>
    <row r="73" spans="31:31" ht="30" customHeight="1">
      <c r="AE73" s="49" t="str">
        <f t="array" ref="AE73">IFERROR(INDEX($AD$10:$AD$100, SMALL(IF($AD$10:$AD$100&lt;&gt;"", ROW($AD$10:$AD$100)-ROW($AD$10)+1), ROW(64:64))), "")</f>
        <v/>
      </c>
    </row>
    <row r="74" spans="31:31" ht="30" customHeight="1">
      <c r="AE74" s="49" t="str">
        <f t="array" ref="AE74">IFERROR(INDEX($AD$10:$AD$100, SMALL(IF($AD$10:$AD$100&lt;&gt;"", ROW($AD$10:$AD$100)-ROW($AD$10)+1), ROW(65:65))), "")</f>
        <v/>
      </c>
    </row>
    <row r="75" spans="31:31" ht="30" customHeight="1">
      <c r="AE75" s="49" t="str">
        <f t="array" ref="AE75">IFERROR(INDEX($AD$10:$AD$100, SMALL(IF($AD$10:$AD$100&lt;&gt;"", ROW($AD$10:$AD$100)-ROW($AD$10)+1), ROW(66:66))), "")</f>
        <v/>
      </c>
    </row>
    <row r="76" spans="31:31" ht="30" customHeight="1">
      <c r="AE76" s="49" t="str">
        <f t="array" ref="AE76">IFERROR(INDEX($AD$10:$AD$100, SMALL(IF($AD$10:$AD$100&lt;&gt;"", ROW($AD$10:$AD$100)-ROW($AD$10)+1), ROW(67:67))), "")</f>
        <v/>
      </c>
    </row>
    <row r="77" spans="31:31" ht="30" customHeight="1">
      <c r="AE77" s="49" t="str">
        <f t="array" ref="AE77">IFERROR(INDEX($AD$10:$AD$100, SMALL(IF($AD$10:$AD$100&lt;&gt;"", ROW($AD$10:$AD$100)-ROW($AD$10)+1), ROW(68:68))), "")</f>
        <v/>
      </c>
    </row>
    <row r="78" spans="31:31" ht="30" customHeight="1">
      <c r="AE78" s="49" t="str">
        <f t="array" ref="AE78">IFERROR(INDEX($AD$10:$AD$100, SMALL(IF($AD$10:$AD$100&lt;&gt;"", ROW($AD$10:$AD$100)-ROW($AD$10)+1), ROW(69:69))), "")</f>
        <v/>
      </c>
    </row>
    <row r="79" spans="31:31" ht="30" customHeight="1">
      <c r="AE79" s="49" t="str">
        <f t="array" ref="AE79">IFERROR(INDEX($AD$10:$AD$100, SMALL(IF($AD$10:$AD$100&lt;&gt;"", ROW($AD$10:$AD$100)-ROW($AD$10)+1), ROW(70:70))), "")</f>
        <v/>
      </c>
    </row>
    <row r="80" spans="31:31" ht="30" customHeight="1">
      <c r="AE80" s="49" t="str">
        <f t="array" ref="AE80">IFERROR(INDEX($AD$10:$AD$100, SMALL(IF($AD$10:$AD$100&lt;&gt;"", ROW($AD$10:$AD$100)-ROW($AD$10)+1), ROW(71:71))), "")</f>
        <v/>
      </c>
    </row>
    <row r="81" spans="31:31" ht="30" customHeight="1">
      <c r="AE81" s="49" t="str">
        <f t="array" ref="AE81">IFERROR(INDEX($AD$10:$AD$100, SMALL(IF($AD$10:$AD$100&lt;&gt;"", ROW($AD$10:$AD$100)-ROW($AD$10)+1), ROW(72:72))), "")</f>
        <v/>
      </c>
    </row>
    <row r="82" spans="31:31" ht="30" customHeight="1">
      <c r="AE82" s="49" t="str">
        <f t="array" ref="AE82">IFERROR(INDEX($AD$10:$AD$100, SMALL(IF($AD$10:$AD$100&lt;&gt;"", ROW($AD$10:$AD$100)-ROW($AD$10)+1), ROW(73:73))), "")</f>
        <v/>
      </c>
    </row>
    <row r="83" spans="31:31" ht="30" customHeight="1">
      <c r="AE83" s="49" t="str">
        <f t="array" ref="AE83">IFERROR(INDEX($AD$10:$AD$100, SMALL(IF($AD$10:$AD$100&lt;&gt;"", ROW($AD$10:$AD$100)-ROW($AD$10)+1), ROW(74:74))), "")</f>
        <v/>
      </c>
    </row>
    <row r="84" spans="31:31" ht="30" customHeight="1">
      <c r="AE84" s="49" t="str">
        <f t="array" ref="AE84">IFERROR(INDEX($AD$10:$AD$100, SMALL(IF($AD$10:$AD$100&lt;&gt;"", ROW($AD$10:$AD$100)-ROW($AD$10)+1), ROW(75:75))), "")</f>
        <v/>
      </c>
    </row>
    <row r="85" spans="31:31" ht="30" customHeight="1">
      <c r="AE85" s="49" t="str">
        <f t="array" ref="AE85">IFERROR(INDEX($AD$10:$AD$100, SMALL(IF($AD$10:$AD$100&lt;&gt;"", ROW($AD$10:$AD$100)-ROW($AD$10)+1), ROW(76:76))), "")</f>
        <v/>
      </c>
    </row>
    <row r="86" spans="31:31" ht="30" customHeight="1">
      <c r="AE86" s="49" t="str">
        <f t="array" ref="AE86">IFERROR(INDEX($AD$10:$AD$100, SMALL(IF($AD$10:$AD$100&lt;&gt;"", ROW($AD$10:$AD$100)-ROW($AD$10)+1), ROW(77:77))), "")</f>
        <v/>
      </c>
    </row>
    <row r="87" spans="31:31" ht="30" customHeight="1">
      <c r="AE87" s="49" t="str">
        <f t="array" ref="AE87">IFERROR(INDEX($AD$10:$AD$100, SMALL(IF($AD$10:$AD$100&lt;&gt;"", ROW($AD$10:$AD$100)-ROW($AD$10)+1), ROW(78:78))), "")</f>
        <v/>
      </c>
    </row>
    <row r="88" spans="31:31" ht="30" customHeight="1">
      <c r="AE88" s="49" t="str">
        <f t="array" ref="AE88">IFERROR(INDEX($AD$10:$AD$100, SMALL(IF($AD$10:$AD$100&lt;&gt;"", ROW($AD$10:$AD$100)-ROW($AD$10)+1), ROW(79:79))), "")</f>
        <v/>
      </c>
    </row>
    <row r="89" spans="31:31" ht="30" customHeight="1">
      <c r="AE89" s="49" t="str">
        <f t="array" ref="AE89">IFERROR(INDEX($AD$10:$AD$100, SMALL(IF($AD$10:$AD$100&lt;&gt;"", ROW($AD$10:$AD$100)-ROW($AD$10)+1), ROW(80:80))), "")</f>
        <v/>
      </c>
    </row>
    <row r="90" spans="31:31" ht="30" customHeight="1">
      <c r="AE90" s="49" t="str">
        <f t="array" ref="AE90">IFERROR(INDEX($AD$10:$AD$100, SMALL(IF($AD$10:$AD$100&lt;&gt;"", ROW($AD$10:$AD$100)-ROW($AD$10)+1), ROW(81:81))), "")</f>
        <v/>
      </c>
    </row>
    <row r="91" spans="31:31" ht="30" customHeight="1">
      <c r="AE91" s="49" t="str">
        <f t="array" ref="AE91">IFERROR(INDEX($AD$10:$AD$100, SMALL(IF($AD$10:$AD$100&lt;&gt;"", ROW($AD$10:$AD$100)-ROW($AD$10)+1), ROW(82:82))), "")</f>
        <v/>
      </c>
    </row>
    <row r="92" spans="31:31" ht="30" customHeight="1">
      <c r="AE92" s="49" t="str">
        <f t="array" ref="AE92">IFERROR(INDEX($AD$10:$AD$100, SMALL(IF($AD$10:$AD$100&lt;&gt;"", ROW($AD$10:$AD$100)-ROW($AD$10)+1), ROW(83:83))), "")</f>
        <v/>
      </c>
    </row>
    <row r="93" spans="31:31" ht="30" customHeight="1">
      <c r="AE93" s="49" t="str">
        <f t="array" ref="AE93">IFERROR(INDEX($AD$10:$AD$100, SMALL(IF($AD$10:$AD$100&lt;&gt;"", ROW($AD$10:$AD$100)-ROW($AD$10)+1), ROW(84:84))), "")</f>
        <v/>
      </c>
    </row>
    <row r="94" spans="31:31" ht="30" customHeight="1">
      <c r="AE94" s="49" t="str">
        <f t="array" ref="AE94">IFERROR(INDEX($AD$10:$AD$100, SMALL(IF($AD$10:$AD$100&lt;&gt;"", ROW($AD$10:$AD$100)-ROW($AD$10)+1), ROW(85:85))), "")</f>
        <v/>
      </c>
    </row>
    <row r="95" spans="31:31" ht="30" customHeight="1">
      <c r="AE95" s="49" t="str">
        <f t="array" ref="AE95">IFERROR(INDEX($AD$10:$AD$100, SMALL(IF($AD$10:$AD$100&lt;&gt;"", ROW($AD$10:$AD$100)-ROW($AD$10)+1), ROW(86:86))), "")</f>
        <v/>
      </c>
    </row>
    <row r="96" spans="31:31" ht="30" customHeight="1">
      <c r="AE96" s="49" t="str">
        <f t="array" ref="AE96">IFERROR(INDEX($AD$10:$AD$100, SMALL(IF($AD$10:$AD$100&lt;&gt;"", ROW($AD$10:$AD$100)-ROW($AD$10)+1), ROW(87:87))), "")</f>
        <v/>
      </c>
    </row>
    <row r="97" spans="31:31" ht="30" customHeight="1">
      <c r="AE97" s="49" t="str">
        <f t="array" ref="AE97">IFERROR(INDEX($AD$10:$AD$100, SMALL(IF($AD$10:$AD$100&lt;&gt;"", ROW($AD$10:$AD$100)-ROW($AD$10)+1), ROW(88:88))), "")</f>
        <v/>
      </c>
    </row>
    <row r="98" spans="31:31" ht="30" customHeight="1">
      <c r="AE98" s="49" t="str">
        <f t="array" ref="AE98">IFERROR(INDEX($AD$10:$AD$100, SMALL(IF($AD$10:$AD$100&lt;&gt;"", ROW($AD$10:$AD$100)-ROW($AD$10)+1), ROW(89:89))), "")</f>
        <v/>
      </c>
    </row>
    <row r="99" spans="31:31" ht="30" customHeight="1">
      <c r="AE99" s="49" t="str">
        <f t="array" ref="AE99">IFERROR(INDEX($AD$10:$AD$100, SMALL(IF($AD$10:$AD$100&lt;&gt;"", ROW($AD$10:$AD$100)-ROW($AD$10)+1), ROW(90:90))), "")</f>
        <v/>
      </c>
    </row>
    <row r="100" spans="31:31" ht="30" customHeight="1">
      <c r="AE100" s="49" t="str">
        <f t="array" ref="AE100">IFERROR(INDEX($AD$10:$AD$100, SMALL(IF($AD$10:$AD$100&lt;&gt;"", ROW($AD$10:$AD$100)-ROW($AD$10)+1), ROW(91:91))), "")</f>
        <v/>
      </c>
    </row>
  </sheetData>
  <sheetProtection selectLockedCells="1"/>
  <mergeCells count="12">
    <mergeCell ref="B26:B30"/>
    <mergeCell ref="D26:D31"/>
    <mergeCell ref="E31:F31"/>
    <mergeCell ref="C33:E33"/>
    <mergeCell ref="G33:H33"/>
    <mergeCell ref="F3:G3"/>
    <mergeCell ref="F5:G5"/>
    <mergeCell ref="F6:G6"/>
    <mergeCell ref="B8:B9"/>
    <mergeCell ref="C8:C9"/>
    <mergeCell ref="D8:D9"/>
    <mergeCell ref="E8:Z8"/>
  </mergeCells>
  <dataValidations count="4">
    <dataValidation type="list" allowBlank="1" showInputMessage="1" showErrorMessage="1" sqref="B19:B25">
      <formula1>Lista_Produccion</formula1>
    </dataValidation>
    <dataValidation allowBlank="1" showInputMessage="1" showErrorMessage="1" prompt="Escriba el departamento del empleado en la celda de la derecha." sqref="B44:D44"/>
    <dataValidation type="list" allowBlank="1" showInputMessage="1" showErrorMessage="1" sqref="B10:B18">
      <formula1>Lista_Deposito</formula1>
    </dataValidation>
    <dataValidation type="list" allowBlank="1" showInputMessage="1" showErrorMessage="1" sqref="C10:C25">
      <formula1>$C$26:$C$29</formula1>
    </dataValidation>
  </dataValidations>
  <printOptions horizontalCentered="1" verticalCentered="1"/>
  <pageMargins left="0.25" right="0.25" top="0.75" bottom="0.75" header="0.3" footer="0.3"/>
  <pageSetup paperSize="9" scale="21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31</xdr:row>
                    <xdr:rowOff>352425</xdr:rowOff>
                  </from>
                  <to>
                    <xdr:col>1</xdr:col>
                    <xdr:colOff>1762125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002060"/>
    <pageSetUpPr autoPageBreaks="0" fitToPage="1"/>
  </sheetPr>
  <dimension ref="B1:J41"/>
  <sheetViews>
    <sheetView showGridLines="0" topLeftCell="A10" zoomScale="112" zoomScaleNormal="112" workbookViewId="0">
      <selection activeCell="G13" sqref="G13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40.140625" bestFit="1" customWidth="1"/>
    <col min="5" max="5" width="20.5703125" customWidth="1"/>
    <col min="6" max="6" width="16.5703125" bestFit="1" customWidth="1"/>
    <col min="7" max="7" width="19.7109375" customWidth="1"/>
    <col min="8" max="8" width="17" customWidth="1"/>
    <col min="9" max="9" width="52.85546875" customWidth="1"/>
    <col min="10" max="10" width="2.7109375" customWidth="1"/>
    <col min="11" max="11" width="3" customWidth="1"/>
    <col min="12" max="12" width="21.5703125" customWidth="1"/>
    <col min="13" max="13" width="32.7109375" customWidth="1"/>
    <col min="14" max="14" width="36.5703125" customWidth="1"/>
    <col min="15" max="15" width="22.5703125" customWidth="1"/>
    <col min="16" max="16" width="12.85546875" customWidth="1"/>
    <col min="17" max="17" width="17.42578125" customWidth="1"/>
    <col min="18" max="18" width="13.140625" customWidth="1"/>
    <col min="19" max="19" width="29.85546875" customWidth="1"/>
  </cols>
  <sheetData>
    <row r="1" spans="2:10" ht="12" customHeight="1" thickBot="1"/>
    <row r="2" spans="2:10" ht="30" customHeight="1">
      <c r="B2" s="50" t="s">
        <v>0</v>
      </c>
      <c r="C2" s="117"/>
      <c r="D2" s="52"/>
      <c r="E2" s="52"/>
      <c r="F2" s="52"/>
      <c r="G2" s="52"/>
      <c r="H2" s="52"/>
      <c r="I2" s="53"/>
    </row>
    <row r="3" spans="2:10" ht="30" customHeight="1">
      <c r="B3" s="54" t="s">
        <v>33</v>
      </c>
      <c r="C3" s="118" t="s">
        <v>61</v>
      </c>
      <c r="D3" s="9" t="s">
        <v>3</v>
      </c>
      <c r="E3" s="336">
        <f ca="1">TODAY()</f>
        <v>46017</v>
      </c>
      <c r="F3" s="336"/>
      <c r="G3" s="9" t="s">
        <v>62</v>
      </c>
      <c r="H3" s="119">
        <f>DolarBlueVenta()</f>
        <v>1505</v>
      </c>
      <c r="I3" s="58"/>
      <c r="J3" s="59"/>
    </row>
    <row r="4" spans="2:10" ht="30" customHeight="1">
      <c r="B4" s="60" t="s">
        <v>4</v>
      </c>
      <c r="C4" s="61"/>
      <c r="D4" s="62"/>
      <c r="E4" s="62"/>
      <c r="F4" s="62"/>
      <c r="H4" s="62"/>
      <c r="I4" s="63"/>
    </row>
    <row r="5" spans="2:10" ht="30" customHeight="1">
      <c r="B5" s="64" t="s">
        <v>5</v>
      </c>
      <c r="C5" s="120"/>
      <c r="D5" s="66" t="s">
        <v>7</v>
      </c>
      <c r="E5" s="120"/>
      <c r="F5" s="120"/>
      <c r="H5" s="62"/>
      <c r="I5" s="67"/>
    </row>
    <row r="6" spans="2:10" ht="30" customHeight="1">
      <c r="B6" s="64" t="s">
        <v>9</v>
      </c>
      <c r="C6" s="120"/>
      <c r="D6" s="66" t="s">
        <v>35</v>
      </c>
      <c r="E6" s="121"/>
      <c r="F6" s="121"/>
      <c r="H6" s="62"/>
      <c r="I6" s="67"/>
    </row>
    <row r="7" spans="2:10" ht="30" customHeight="1" thickBot="1">
      <c r="B7" s="68"/>
      <c r="C7" s="69"/>
      <c r="D7" s="70"/>
      <c r="E7" s="70"/>
      <c r="F7" s="71"/>
      <c r="G7" s="71"/>
      <c r="H7" s="72"/>
      <c r="I7" s="67"/>
    </row>
    <row r="8" spans="2:10" ht="30" customHeight="1" thickBot="1">
      <c r="B8" s="122" t="s">
        <v>36</v>
      </c>
      <c r="C8" s="123" t="s">
        <v>63</v>
      </c>
      <c r="D8" s="123" t="s">
        <v>64</v>
      </c>
      <c r="E8" s="123" t="s">
        <v>65</v>
      </c>
      <c r="F8" s="123" t="s">
        <v>66</v>
      </c>
      <c r="G8" s="123" t="s">
        <v>67</v>
      </c>
      <c r="H8" s="337" t="s">
        <v>68</v>
      </c>
      <c r="I8" s="338"/>
    </row>
    <row r="9" spans="2:10" ht="30" customHeight="1">
      <c r="B9" s="339" t="s">
        <v>69</v>
      </c>
      <c r="C9" s="340" t="s">
        <v>70</v>
      </c>
      <c r="D9" s="189" t="s">
        <v>138</v>
      </c>
      <c r="E9" s="189"/>
      <c r="F9" s="184" t="s">
        <v>96</v>
      </c>
      <c r="G9" s="195">
        <f>(
  INDEX('[4]INFO-Factura'!$L$10:$L$96,MATCH(MAX('[4]INFO-Factura'!$B$10:$B$96),'[4]INFO-Factura'!$B$10:$B$96,0))
  * INDEX('[4]INFO-Factura'!$K$10:$K$96,MATCH(MAX('[4]INFO-Factura'!$B$10:$B$96),'[4]INFO-Factura'!$B$10:$B$96,0))
  + INDEX('[4]INFO-Factura'!$N$10:$N$96,MATCH(MAX('[4]INFO-Factura'!$B$10:$B$96),'[4]INFO-Factura'!$B$10:$B$96,0))
    * INDEX('[4]INFO-Factura'!$M$10:$M$96,MATCH(MAX('[4]INFO-Factura'!$B$10:$B$96),'[4]INFO-Factura'!$B$10:$B$96,0))
  + INDEX('[4]INFO-Factura'!$P$10:$P$96,MATCH(MAX('[4]INFO-Factura'!$B$10:$B$96),'[4]INFO-Factura'!$B$10:$B$96,0))
    * INDEX('[4]INFO-Factura'!$O$10:$O$96,MATCH(MAX('[4]INFO-Factura'!$B$10:$B$96),'[4]INFO-Factura'!$B$10:$B$96,0))
)
/
(
  INDEX('[4]INFO-Factura'!$K$10:$K$96,MATCH(MAX('[4]INFO-Factura'!$B$10:$B$96),'[4]INFO-Factura'!$B$10:$B$96,0))
  + INDEX('[4]INFO-Factura'!$M$10:$M$96,MATCH(MAX('[4]INFO-Factura'!$B$10:$B$96),'[4]INFO-Factura'!$B$10:$B$96,0))
  + INDEX('[4]INFO-Factura'!$O$10:$O$96,MATCH(MAX('[4]INFO-Factura'!$B$10:$B$96),'[4]INFO-Factura'!$B$10:$B$96,0))
)
/
INDEX('[4]INFO-Factura'!$AB$10:$AB$96,MATCH(MAX('[4]INFO-Factura'!$B$10:$B$96),'[4]INFO-Factura'!$B$10:$B$96,0))</f>
        <v>5.2613958629577628E-2</v>
      </c>
      <c r="H9" s="341" t="str">
        <f>"Factura del " &amp; TEXT(MAX('[4]INFO-Factura'!$B$10:$B$96),"dd/mm/yyyy")</f>
        <v>Factura del 01/09/2025</v>
      </c>
      <c r="I9" s="342"/>
    </row>
    <row r="10" spans="2:10" ht="30" customHeight="1">
      <c r="B10" s="332"/>
      <c r="C10" s="335"/>
      <c r="D10" s="189" t="s">
        <v>137</v>
      </c>
      <c r="E10" s="189"/>
      <c r="F10" s="184" t="s">
        <v>139</v>
      </c>
      <c r="G10" s="195">
        <f>(
  INDEX('[4]INFO-Factura'!$E$10:$E$96,MATCH(MAX('[4]INFO-Factura'!$B$10:$B$96),'[4]INFO-Factura'!$B$10:$B$96,0))
  * INDEX('[4]INFO-Factura'!$D$10:$D$96,MATCH(MAX('[4]INFO-Factura'!$B$10:$B$96),'[4]INFO-Factura'!$B$10:$B$96,0))
  + INDEX('[4]INFO-Factura'!$G$10:$G$96,MATCH(MAX('[4]INFO-Factura'!$B$10:$B$96),'[4]INFO-Factura'!$B$10:$B$96,0))
    * INDEX('[4]INFO-Factura'!$F$10:$F$96,MATCH(MAX('[4]INFO-Factura'!$B$10:$B$96),'[4]INFO-Factura'!$B$10:$B$96,0))
  + INDEX('[4]INFO-Factura'!$I$10:$I$96,MATCH(MAX('[4]INFO-Factura'!$B$10:$B$96),'[4]INFO-Factura'!$B$10:$B$96,0))
    * INDEX('[4]INFO-Factura'!$H$10:$H$96,MATCH(MAX('[4]INFO-Factura'!$B$10:$B$96),'[4]INFO-Factura'!$B$10:$B$96,0))
)
/
(
  INDEX('[4]INFO-Factura'!$D$10:$D$96,MATCH(MAX('[4]INFO-Factura'!$B$10:$B$96),'[4]INFO-Factura'!$B$10:$B$96,0))
  + INDEX('[4]INFO-Factura'!$F$10:$F$96,MATCH(MAX('[4]INFO-Factura'!$B$10:$B$96),'[4]INFO-Factura'!$B$10:$B$96,0))
  + INDEX('[4]INFO-Factura'!$H$10:$H$96,MATCH(MAX('[4]INFO-Factura'!$B$10:$B$96),'[4]INFO-Factura'!$B$10:$B$96,0))
)
/
INDEX('[4]INFO-Factura'!$AB$10:$AB$96,MATCH(MAX('[4]INFO-Factura'!$B$10:$B$96),'[4]INFO-Factura'!$B$10:$B$96,0))</f>
        <v>6.7752496763701409</v>
      </c>
      <c r="H10" s="343" t="str">
        <f>"Factura del " &amp; TEXT(MAX('[4]INFO-Factura'!$B$10:$B$96),"dd/mm/yyyy")</f>
        <v>Factura del 01/09/2025</v>
      </c>
      <c r="I10" s="344"/>
    </row>
    <row r="11" spans="2:10" ht="30" customHeight="1">
      <c r="B11" s="326" t="s">
        <v>73</v>
      </c>
      <c r="C11" s="334" t="s">
        <v>70</v>
      </c>
      <c r="D11" s="189" t="s">
        <v>110</v>
      </c>
      <c r="E11" s="189"/>
      <c r="F11" s="124" t="str">
        <f>IF(D11="","","kW")</f>
        <v>kW</v>
      </c>
      <c r="G11" s="195">
        <f>'[4]INFO-Consumo'!$F$28</f>
        <v>56</v>
      </c>
      <c r="H11" s="196"/>
      <c r="I11" s="197"/>
    </row>
    <row r="12" spans="2:10" ht="30" customHeight="1">
      <c r="B12" s="332"/>
      <c r="C12" s="335"/>
      <c r="D12" s="189"/>
      <c r="E12" s="189"/>
      <c r="F12" s="124" t="str">
        <f>IF(D12="","","kW")</f>
        <v/>
      </c>
      <c r="G12" s="195"/>
      <c r="H12" s="196"/>
      <c r="I12" s="197"/>
    </row>
    <row r="13" spans="2:10" ht="30" customHeight="1">
      <c r="B13" s="326" t="s">
        <v>71</v>
      </c>
      <c r="C13" s="328" t="s">
        <v>70</v>
      </c>
      <c r="D13" s="189" t="s">
        <v>72</v>
      </c>
      <c r="E13" s="189"/>
      <c r="F13" s="124" t="str">
        <f t="shared" ref="F11:F16" si="0">IF(D13="","","$/L")</f>
        <v>$/L</v>
      </c>
      <c r="G13" s="198"/>
      <c r="H13" s="330"/>
      <c r="I13" s="331"/>
    </row>
    <row r="14" spans="2:10" ht="30" customHeight="1">
      <c r="B14" s="327"/>
      <c r="C14" s="329"/>
      <c r="D14" s="189"/>
      <c r="E14" s="189"/>
      <c r="F14" s="124" t="str">
        <f t="shared" si="0"/>
        <v/>
      </c>
      <c r="G14" s="198"/>
      <c r="H14" s="281"/>
      <c r="I14" s="283"/>
    </row>
    <row r="15" spans="2:10" ht="30" customHeight="1">
      <c r="B15" s="327"/>
      <c r="C15" s="329"/>
      <c r="D15" s="189"/>
      <c r="E15" s="189"/>
      <c r="F15" s="124" t="str">
        <f t="shared" si="0"/>
        <v/>
      </c>
      <c r="G15" s="198"/>
      <c r="H15" s="191"/>
      <c r="I15" s="192"/>
    </row>
    <row r="16" spans="2:10" ht="30" customHeight="1">
      <c r="B16" s="327"/>
      <c r="C16" s="329"/>
      <c r="D16" s="189"/>
      <c r="E16" s="189"/>
      <c r="F16" s="124" t="str">
        <f t="shared" si="0"/>
        <v/>
      </c>
      <c r="G16" s="199"/>
      <c r="H16" s="191"/>
      <c r="I16" s="192"/>
    </row>
    <row r="17" spans="2:9" ht="30" customHeight="1">
      <c r="B17" s="326" t="s">
        <v>111</v>
      </c>
      <c r="C17" s="328" t="s">
        <v>70</v>
      </c>
      <c r="D17" s="189" t="s">
        <v>114</v>
      </c>
      <c r="E17" s="189"/>
      <c r="F17" s="124" t="str">
        <f>IF(D17="","","$/kg")</f>
        <v>$/kg</v>
      </c>
      <c r="G17" s="199"/>
      <c r="H17" s="281"/>
      <c r="I17" s="283"/>
    </row>
    <row r="18" spans="2:9" ht="30" customHeight="1">
      <c r="B18" s="327"/>
      <c r="C18" s="329"/>
      <c r="D18" s="189"/>
      <c r="E18" s="189"/>
      <c r="F18" s="124" t="str">
        <f t="shared" ref="F18:F19" si="1">IF(D18="","","$/kg")</f>
        <v/>
      </c>
      <c r="G18" s="199"/>
      <c r="H18" s="191"/>
      <c r="I18" s="192"/>
    </row>
    <row r="19" spans="2:9" ht="30" customHeight="1">
      <c r="B19" s="332"/>
      <c r="C19" s="333"/>
      <c r="D19" s="189"/>
      <c r="E19" s="189"/>
      <c r="F19" s="124" t="str">
        <f t="shared" si="1"/>
        <v/>
      </c>
      <c r="G19" s="199"/>
      <c r="H19" s="281"/>
      <c r="I19" s="283"/>
    </row>
    <row r="20" spans="2:9" ht="30" customHeight="1">
      <c r="B20" s="326" t="s">
        <v>143</v>
      </c>
      <c r="C20" s="328" t="s">
        <v>70</v>
      </c>
      <c r="D20" s="279" t="s">
        <v>144</v>
      </c>
      <c r="E20" s="279"/>
      <c r="F20" s="124" t="str">
        <f t="shared" ref="F20:F24" si="2">IF(D20="","","$/L")</f>
        <v>$/L</v>
      </c>
      <c r="G20" s="199"/>
      <c r="H20" s="281"/>
      <c r="I20" s="283"/>
    </row>
    <row r="21" spans="2:9" ht="30" customHeight="1">
      <c r="B21" s="327"/>
      <c r="C21" s="329"/>
      <c r="D21" s="279"/>
      <c r="E21" s="279"/>
      <c r="F21" s="124" t="str">
        <f t="shared" si="2"/>
        <v/>
      </c>
      <c r="G21" s="199"/>
      <c r="H21" s="277"/>
      <c r="I21" s="278"/>
    </row>
    <row r="22" spans="2:9" ht="30" customHeight="1">
      <c r="B22" s="332"/>
      <c r="C22" s="333"/>
      <c r="D22" s="279"/>
      <c r="E22" s="279"/>
      <c r="F22" s="124" t="str">
        <f t="shared" si="2"/>
        <v/>
      </c>
      <c r="G22" s="199"/>
      <c r="H22" s="281"/>
      <c r="I22" s="283"/>
    </row>
    <row r="23" spans="2:9" ht="30" customHeight="1">
      <c r="B23" s="326" t="s">
        <v>74</v>
      </c>
      <c r="C23" s="334" t="s">
        <v>70</v>
      </c>
      <c r="D23" s="189" t="s">
        <v>75</v>
      </c>
      <c r="E23" s="189"/>
      <c r="F23" s="124" t="str">
        <f t="shared" si="2"/>
        <v>$/L</v>
      </c>
      <c r="G23" s="199"/>
      <c r="H23" s="281"/>
      <c r="I23" s="283"/>
    </row>
    <row r="24" spans="2:9" ht="30" customHeight="1">
      <c r="B24" s="327"/>
      <c r="C24" s="346"/>
      <c r="D24" s="189"/>
      <c r="E24" s="189"/>
      <c r="F24" s="124" t="str">
        <f t="shared" si="2"/>
        <v/>
      </c>
      <c r="G24" s="199"/>
      <c r="H24" s="191"/>
      <c r="I24" s="192"/>
    </row>
    <row r="25" spans="2:9" ht="30" customHeight="1">
      <c r="B25" s="332"/>
      <c r="C25" s="335"/>
      <c r="D25" s="189"/>
      <c r="E25" s="189"/>
      <c r="F25" s="124" t="str">
        <f>IF(D25="","","$/L")</f>
        <v/>
      </c>
      <c r="G25" s="200"/>
      <c r="H25" s="347"/>
      <c r="I25" s="348"/>
    </row>
    <row r="26" spans="2:9" ht="30" customHeight="1">
      <c r="B26" s="126"/>
      <c r="C26" s="127"/>
      <c r="D26" s="127"/>
      <c r="E26" s="127"/>
      <c r="F26" s="69"/>
      <c r="G26" s="71"/>
      <c r="H26" s="127"/>
      <c r="I26" s="128"/>
    </row>
    <row r="27" spans="2:9" ht="30" customHeight="1">
      <c r="B27" s="68"/>
      <c r="C27" s="69"/>
      <c r="D27" s="349"/>
      <c r="E27" s="349"/>
      <c r="F27" s="71"/>
      <c r="G27" s="71"/>
      <c r="H27" s="72"/>
      <c r="I27" s="67"/>
    </row>
    <row r="28" spans="2:9" ht="30" customHeight="1">
      <c r="B28" s="91" t="s">
        <v>31</v>
      </c>
      <c r="C28" s="350"/>
      <c r="D28" s="350"/>
      <c r="E28" s="92" t="s">
        <v>32</v>
      </c>
      <c r="F28" s="351"/>
      <c r="G28" s="351"/>
      <c r="H28" s="62"/>
      <c r="I28" s="93"/>
    </row>
    <row r="29" spans="2:9" ht="30" customHeight="1" thickBot="1">
      <c r="B29" s="96"/>
      <c r="C29" s="98"/>
      <c r="D29" s="98"/>
      <c r="E29" s="98"/>
      <c r="F29" s="345"/>
      <c r="G29" s="345"/>
      <c r="H29" s="99"/>
      <c r="I29" s="100"/>
    </row>
    <row r="30" spans="2:9" ht="30" customHeight="1">
      <c r="B30" s="43"/>
      <c r="C30" s="43"/>
      <c r="D30" s="101"/>
      <c r="E30" s="101"/>
      <c r="F30" s="101"/>
      <c r="G30" s="101"/>
      <c r="H30" s="101"/>
      <c r="I30" s="102"/>
    </row>
    <row r="31" spans="2:9" ht="30" customHeight="1">
      <c r="B31" s="43"/>
    </row>
    <row r="32" spans="2:9" ht="30" customHeight="1">
      <c r="B32" s="43"/>
    </row>
    <row r="33" spans="2:3" ht="30" customHeight="1">
      <c r="B33" s="43"/>
      <c r="C33" s="43"/>
    </row>
    <row r="34" spans="2:3" ht="30" customHeight="1">
      <c r="B34" s="43"/>
      <c r="C34" s="43"/>
    </row>
    <row r="35" spans="2:3" ht="30" customHeight="1">
      <c r="B35" s="43"/>
      <c r="C35" s="43"/>
    </row>
    <row r="36" spans="2:3" ht="30" customHeight="1">
      <c r="B36" s="43"/>
      <c r="C36" s="43"/>
    </row>
    <row r="37" spans="2:3" ht="30" customHeight="1">
      <c r="B37" s="43"/>
      <c r="C37" s="43"/>
    </row>
    <row r="38" spans="2:3" ht="30" customHeight="1">
      <c r="B38" s="43"/>
      <c r="C38" s="43"/>
    </row>
    <row r="39" spans="2:3" ht="15"/>
    <row r="41" spans="2:3" ht="30" customHeight="1">
      <c r="C41" s="45"/>
    </row>
  </sheetData>
  <sheetProtection selectLockedCells="1"/>
  <mergeCells count="28">
    <mergeCell ref="B20:B22"/>
    <mergeCell ref="C20:C22"/>
    <mergeCell ref="H20:I20"/>
    <mergeCell ref="H22:I22"/>
    <mergeCell ref="F29:G29"/>
    <mergeCell ref="B23:B25"/>
    <mergeCell ref="C23:C25"/>
    <mergeCell ref="H23:I23"/>
    <mergeCell ref="H25:I25"/>
    <mergeCell ref="D27:E27"/>
    <mergeCell ref="C28:D28"/>
    <mergeCell ref="F28:G28"/>
    <mergeCell ref="B11:B12"/>
    <mergeCell ref="C11:C12"/>
    <mergeCell ref="E3:F3"/>
    <mergeCell ref="H8:I8"/>
    <mergeCell ref="B9:B10"/>
    <mergeCell ref="C9:C10"/>
    <mergeCell ref="H9:I9"/>
    <mergeCell ref="H10:I10"/>
    <mergeCell ref="B13:B16"/>
    <mergeCell ref="C13:C16"/>
    <mergeCell ref="H13:I13"/>
    <mergeCell ref="H14:I14"/>
    <mergeCell ref="B17:B19"/>
    <mergeCell ref="C17:C19"/>
    <mergeCell ref="H17:I17"/>
    <mergeCell ref="H19:I19"/>
  </mergeCells>
  <dataValidations count="2">
    <dataValidation allowBlank="1" showInputMessage="1" showErrorMessage="1" prompt="Escriba el departamento del empleado en la celda de la derecha." sqref="B36:C38"/>
    <dataValidation allowBlank="1" showInputMessage="1" showErrorMessage="1" prompt="Escriba comentarios en las celdas de la derecha." sqref="C41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26</xdr:row>
                    <xdr:rowOff>314325</xdr:rowOff>
                  </from>
                  <to>
                    <xdr:col>1</xdr:col>
                    <xdr:colOff>1762125</xdr:colOff>
                    <xdr:row>27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rgb="FF002060"/>
    <pageSetUpPr autoPageBreaks="0" fitToPage="1"/>
  </sheetPr>
  <dimension ref="B1:L71"/>
  <sheetViews>
    <sheetView showGridLines="0" tabSelected="1" topLeftCell="C4" zoomScaleNormal="100" workbookViewId="0">
      <selection activeCell="E11" sqref="E11"/>
    </sheetView>
  </sheetViews>
  <sheetFormatPr baseColWidth="10" defaultColWidth="9.140625" defaultRowHeight="30" customHeight="1"/>
  <cols>
    <col min="1" max="1" width="2.7109375" style="129" customWidth="1"/>
    <col min="2" max="2" width="26.7109375" style="129" customWidth="1"/>
    <col min="3" max="3" width="33.28515625" style="129" bestFit="1" customWidth="1"/>
    <col min="4" max="4" width="32" style="129" customWidth="1"/>
    <col min="5" max="5" width="20.5703125" style="129" customWidth="1"/>
    <col min="6" max="6" width="16.5703125" style="129" bestFit="1" customWidth="1"/>
    <col min="7" max="7" width="19.7109375" style="129" bestFit="1" customWidth="1"/>
    <col min="8" max="8" width="19.7109375" style="129" customWidth="1"/>
    <col min="9" max="10" width="17" style="129" customWidth="1"/>
    <col min="11" max="11" width="27.85546875" style="129" bestFit="1" customWidth="1"/>
    <col min="12" max="12" width="2.7109375" style="129" customWidth="1"/>
    <col min="13" max="13" width="3" style="129" customWidth="1"/>
    <col min="14" max="14" width="21.5703125" style="129" customWidth="1"/>
    <col min="15" max="15" width="32.7109375" style="129" customWidth="1"/>
    <col min="16" max="16" width="36.5703125" style="129" customWidth="1"/>
    <col min="17" max="17" width="22.5703125" style="129" customWidth="1"/>
    <col min="18" max="18" width="12.85546875" style="129" customWidth="1"/>
    <col min="19" max="19" width="17.42578125" style="129" customWidth="1"/>
    <col min="20" max="20" width="13.140625" style="129" customWidth="1"/>
    <col min="21" max="21" width="29.85546875" style="129" customWidth="1"/>
    <col min="22" max="16384" width="9.140625" style="129"/>
  </cols>
  <sheetData>
    <row r="1" spans="2:12" ht="12" customHeight="1" thickBot="1"/>
    <row r="2" spans="2:12" ht="30" customHeight="1">
      <c r="B2" s="130" t="s">
        <v>0</v>
      </c>
      <c r="C2" s="131"/>
      <c r="D2" s="132"/>
      <c r="E2" s="132"/>
      <c r="F2" s="132"/>
      <c r="G2" s="132"/>
      <c r="H2" s="132"/>
      <c r="I2" s="132"/>
      <c r="J2" s="132"/>
      <c r="K2" s="133"/>
    </row>
    <row r="3" spans="2:12" ht="30" customHeight="1">
      <c r="B3" s="134" t="s">
        <v>33</v>
      </c>
      <c r="C3" s="135" t="s">
        <v>76</v>
      </c>
      <c r="D3" s="9" t="s">
        <v>3</v>
      </c>
      <c r="E3" s="336">
        <f ca="1">TODAY()</f>
        <v>46017</v>
      </c>
      <c r="F3" s="336"/>
      <c r="G3" s="9" t="s">
        <v>62</v>
      </c>
      <c r="H3" s="119">
        <f>'INFO-Direc'!H3</f>
        <v>1505</v>
      </c>
      <c r="J3" s="136"/>
      <c r="K3" s="137"/>
      <c r="L3" s="138"/>
    </row>
    <row r="4" spans="2:12" ht="30" customHeight="1">
      <c r="B4" s="139" t="s">
        <v>4</v>
      </c>
      <c r="C4" s="140"/>
      <c r="D4" s="141"/>
      <c r="E4" s="141"/>
      <c r="F4" s="141"/>
      <c r="I4" s="141"/>
      <c r="J4" s="141"/>
      <c r="K4" s="142"/>
    </row>
    <row r="5" spans="2:12" ht="30" customHeight="1">
      <c r="B5" s="143" t="s">
        <v>5</v>
      </c>
      <c r="C5" s="144"/>
      <c r="D5" s="145" t="s">
        <v>7</v>
      </c>
      <c r="E5" s="353"/>
      <c r="F5" s="353"/>
      <c r="I5" s="141"/>
      <c r="J5" s="141"/>
      <c r="K5" s="146"/>
    </row>
    <row r="6" spans="2:12" ht="30" customHeight="1">
      <c r="B6" s="143" t="s">
        <v>9</v>
      </c>
      <c r="C6" s="144"/>
      <c r="D6" s="145" t="s">
        <v>35</v>
      </c>
      <c r="E6" s="354"/>
      <c r="F6" s="354"/>
      <c r="I6" s="141"/>
      <c r="J6" s="141"/>
      <c r="K6" s="146"/>
    </row>
    <row r="7" spans="2:12" ht="30" customHeight="1" thickBot="1">
      <c r="B7" s="147"/>
      <c r="C7" s="148"/>
      <c r="D7" s="149"/>
      <c r="E7" s="149"/>
      <c r="F7" s="150"/>
      <c r="G7" s="150"/>
      <c r="H7" s="150"/>
      <c r="I7" s="151"/>
      <c r="J7" s="151"/>
      <c r="K7" s="146"/>
    </row>
    <row r="8" spans="2:12" ht="30" customHeight="1" thickBot="1">
      <c r="B8" s="122" t="s">
        <v>36</v>
      </c>
      <c r="C8" s="123" t="s">
        <v>63</v>
      </c>
      <c r="D8" s="123" t="s">
        <v>64</v>
      </c>
      <c r="E8" s="123" t="s">
        <v>65</v>
      </c>
      <c r="F8" s="123" t="s">
        <v>66</v>
      </c>
      <c r="G8" s="246" t="s">
        <v>112</v>
      </c>
      <c r="H8" s="246" t="s">
        <v>113</v>
      </c>
      <c r="I8" s="337" t="s">
        <v>68</v>
      </c>
      <c r="J8" s="337"/>
      <c r="K8" s="338"/>
    </row>
    <row r="9" spans="2:12" ht="30" customHeight="1">
      <c r="B9" s="327" t="s">
        <v>76</v>
      </c>
      <c r="C9" s="346" t="s">
        <v>77</v>
      </c>
      <c r="D9" s="80" t="s">
        <v>78</v>
      </c>
      <c r="E9" s="30"/>
      <c r="F9" s="125" t="s">
        <v>79</v>
      </c>
      <c r="G9" s="200"/>
      <c r="H9" s="247"/>
      <c r="I9" s="294"/>
      <c r="J9" s="295"/>
      <c r="K9" s="296"/>
    </row>
    <row r="10" spans="2:12" ht="30" customHeight="1">
      <c r="B10" s="327"/>
      <c r="C10" s="346"/>
      <c r="D10" s="80" t="s">
        <v>80</v>
      </c>
      <c r="E10" s="30"/>
      <c r="F10" s="125" t="s">
        <v>79</v>
      </c>
      <c r="G10" s="200"/>
      <c r="H10" s="248"/>
      <c r="I10" s="281"/>
      <c r="J10" s="282"/>
      <c r="K10" s="283"/>
    </row>
    <row r="11" spans="2:12" ht="30" customHeight="1">
      <c r="B11" s="327"/>
      <c r="C11" s="346"/>
      <c r="D11" s="80"/>
      <c r="E11" s="30"/>
      <c r="F11" s="125" t="s">
        <v>79</v>
      </c>
      <c r="G11" s="200"/>
      <c r="H11" s="248"/>
      <c r="I11" s="281"/>
      <c r="J11" s="282"/>
      <c r="K11" s="283"/>
    </row>
    <row r="12" spans="2:12" ht="30" customHeight="1">
      <c r="B12" s="327"/>
      <c r="C12" s="346"/>
      <c r="D12" s="80"/>
      <c r="E12" s="30"/>
      <c r="F12" s="125" t="s">
        <v>79</v>
      </c>
      <c r="G12" s="200"/>
      <c r="H12" s="248"/>
      <c r="I12" s="281"/>
      <c r="J12" s="282"/>
      <c r="K12" s="283"/>
    </row>
    <row r="13" spans="2:12" ht="30" customHeight="1">
      <c r="B13" s="327"/>
      <c r="C13" s="346"/>
      <c r="D13" s="80"/>
      <c r="E13" s="30"/>
      <c r="F13" s="125" t="s">
        <v>79</v>
      </c>
      <c r="G13" s="200"/>
      <c r="H13" s="248"/>
      <c r="I13" s="281"/>
      <c r="J13" s="282"/>
      <c r="K13" s="283"/>
    </row>
    <row r="14" spans="2:12" ht="30" customHeight="1">
      <c r="B14" s="327"/>
      <c r="C14" s="346"/>
      <c r="D14" s="80"/>
      <c r="E14" s="30"/>
      <c r="F14" s="125" t="s">
        <v>79</v>
      </c>
      <c r="G14" s="200"/>
      <c r="H14" s="248"/>
      <c r="I14" s="281"/>
      <c r="J14" s="282"/>
      <c r="K14" s="283"/>
    </row>
    <row r="15" spans="2:12" ht="30" customHeight="1">
      <c r="B15" s="327"/>
      <c r="C15" s="346"/>
      <c r="D15" s="80"/>
      <c r="E15" s="30"/>
      <c r="F15" s="125" t="s">
        <v>79</v>
      </c>
      <c r="G15" s="200"/>
      <c r="H15" s="248"/>
      <c r="I15" s="281"/>
      <c r="J15" s="282"/>
      <c r="K15" s="283"/>
    </row>
    <row r="16" spans="2:12" ht="30" customHeight="1">
      <c r="B16" s="327"/>
      <c r="C16" s="346"/>
      <c r="D16" s="80"/>
      <c r="E16" s="30"/>
      <c r="F16" s="125" t="s">
        <v>79</v>
      </c>
      <c r="G16" s="200"/>
      <c r="H16" s="248"/>
      <c r="I16" s="281"/>
      <c r="J16" s="282"/>
      <c r="K16" s="283"/>
    </row>
    <row r="17" spans="2:11" ht="30" customHeight="1">
      <c r="B17" s="327"/>
      <c r="C17" s="346"/>
      <c r="D17" s="80"/>
      <c r="E17" s="30"/>
      <c r="F17" s="125" t="s">
        <v>79</v>
      </c>
      <c r="G17" s="200"/>
      <c r="H17" s="248"/>
      <c r="I17" s="281"/>
      <c r="J17" s="282"/>
      <c r="K17" s="283"/>
    </row>
    <row r="18" spans="2:11" ht="30" customHeight="1">
      <c r="B18" s="327"/>
      <c r="C18" s="346"/>
      <c r="D18" s="80"/>
      <c r="E18" s="30"/>
      <c r="F18" s="125" t="s">
        <v>79</v>
      </c>
      <c r="G18" s="200"/>
      <c r="H18" s="248"/>
      <c r="I18" s="281"/>
      <c r="J18" s="282"/>
      <c r="K18" s="283"/>
    </row>
    <row r="19" spans="2:11" ht="30" customHeight="1">
      <c r="B19" s="327"/>
      <c r="C19" s="346"/>
      <c r="D19" s="80"/>
      <c r="E19" s="30"/>
      <c r="F19" s="125" t="s">
        <v>79</v>
      </c>
      <c r="G19" s="200"/>
      <c r="H19" s="248"/>
      <c r="I19" s="281"/>
      <c r="J19" s="282"/>
      <c r="K19" s="283"/>
    </row>
    <row r="20" spans="2:11" ht="30" customHeight="1">
      <c r="B20" s="327"/>
      <c r="C20" s="346"/>
      <c r="D20" s="80"/>
      <c r="E20" s="30"/>
      <c r="F20" s="125" t="s">
        <v>79</v>
      </c>
      <c r="G20" s="200"/>
      <c r="H20" s="248"/>
      <c r="I20" s="281"/>
      <c r="J20" s="282"/>
      <c r="K20" s="283"/>
    </row>
    <row r="21" spans="2:11" ht="30" customHeight="1">
      <c r="B21" s="327"/>
      <c r="C21" s="346"/>
      <c r="D21" s="80"/>
      <c r="E21" s="30"/>
      <c r="F21" s="125" t="s">
        <v>79</v>
      </c>
      <c r="G21" s="200"/>
      <c r="H21" s="248"/>
      <c r="I21" s="281"/>
      <c r="J21" s="282"/>
      <c r="K21" s="283"/>
    </row>
    <row r="22" spans="2:11" ht="30" customHeight="1">
      <c r="B22" s="327"/>
      <c r="C22" s="346"/>
      <c r="D22" s="80"/>
      <c r="E22" s="30"/>
      <c r="F22" s="125" t="s">
        <v>79</v>
      </c>
      <c r="G22" s="200"/>
      <c r="H22" s="248"/>
      <c r="I22" s="281"/>
      <c r="J22" s="282"/>
      <c r="K22" s="283"/>
    </row>
    <row r="23" spans="2:11" ht="30" customHeight="1">
      <c r="B23" s="327"/>
      <c r="C23" s="346"/>
      <c r="D23" s="80"/>
      <c r="E23" s="30"/>
      <c r="F23" s="125" t="s">
        <v>79</v>
      </c>
      <c r="G23" s="200"/>
      <c r="H23" s="248"/>
      <c r="I23" s="281"/>
      <c r="J23" s="282"/>
      <c r="K23" s="283"/>
    </row>
    <row r="24" spans="2:11" ht="30" customHeight="1">
      <c r="B24" s="327"/>
      <c r="C24" s="346"/>
      <c r="D24" s="80"/>
      <c r="E24" s="30"/>
      <c r="F24" s="125" t="s">
        <v>79</v>
      </c>
      <c r="G24" s="200"/>
      <c r="H24" s="248"/>
      <c r="I24" s="281"/>
      <c r="J24" s="282"/>
      <c r="K24" s="283"/>
    </row>
    <row r="25" spans="2:11" ht="30" customHeight="1">
      <c r="B25" s="327"/>
      <c r="C25" s="346"/>
      <c r="D25" s="80"/>
      <c r="E25" s="30"/>
      <c r="F25" s="125" t="s">
        <v>79</v>
      </c>
      <c r="G25" s="200"/>
      <c r="H25" s="248"/>
      <c r="I25" s="281"/>
      <c r="J25" s="282"/>
      <c r="K25" s="283"/>
    </row>
    <row r="26" spans="2:11" ht="30" customHeight="1">
      <c r="B26" s="327"/>
      <c r="C26" s="346"/>
      <c r="D26" s="80"/>
      <c r="E26" s="30"/>
      <c r="F26" s="125" t="s">
        <v>79</v>
      </c>
      <c r="G26" s="200"/>
      <c r="H26" s="248"/>
      <c r="I26" s="281"/>
      <c r="J26" s="282"/>
      <c r="K26" s="283"/>
    </row>
    <row r="27" spans="2:11" ht="30" customHeight="1">
      <c r="B27" s="327"/>
      <c r="C27" s="346"/>
      <c r="D27" s="80" t="s">
        <v>115</v>
      </c>
      <c r="E27" s="189">
        <v>1613610590</v>
      </c>
      <c r="F27" s="125" t="s">
        <v>79</v>
      </c>
      <c r="G27" s="200">
        <f>'[1]INFO-Mant'!$G$23</f>
        <v>125.01</v>
      </c>
      <c r="H27" s="248">
        <f>'[1]INFO-Mant'!$H$23</f>
        <v>2000</v>
      </c>
      <c r="I27" s="281"/>
      <c r="J27" s="282"/>
      <c r="K27" s="283"/>
    </row>
    <row r="28" spans="2:11" ht="30" customHeight="1">
      <c r="B28" s="327"/>
      <c r="C28" s="346"/>
      <c r="D28" s="80" t="s">
        <v>116</v>
      </c>
      <c r="E28" s="189">
        <v>1613950100</v>
      </c>
      <c r="F28" s="125" t="s">
        <v>79</v>
      </c>
      <c r="G28" s="200">
        <f>'[1]INFO-Mant'!$G$24</f>
        <v>0</v>
      </c>
      <c r="H28" s="248">
        <f>'[1]INFO-Mant'!$H$24</f>
        <v>4000</v>
      </c>
      <c r="I28" s="281"/>
      <c r="J28" s="282"/>
      <c r="K28" s="283"/>
    </row>
    <row r="29" spans="2:11" ht="30" customHeight="1">
      <c r="B29" s="327"/>
      <c r="C29" s="346"/>
      <c r="D29" s="80" t="s">
        <v>117</v>
      </c>
      <c r="E29" s="189" t="s">
        <v>118</v>
      </c>
      <c r="F29" s="125" t="s">
        <v>79</v>
      </c>
      <c r="G29" s="200">
        <f>'[1]INFO-Mant'!$G$25</f>
        <v>475.29999999999995</v>
      </c>
      <c r="H29" s="248">
        <f>'[1]INFO-Mant'!$H$25</f>
        <v>4000</v>
      </c>
      <c r="I29" s="281"/>
      <c r="J29" s="282"/>
      <c r="K29" s="283"/>
    </row>
    <row r="30" spans="2:11" ht="30" customHeight="1">
      <c r="B30" s="332"/>
      <c r="C30" s="335"/>
      <c r="D30" s="80" t="s">
        <v>119</v>
      </c>
      <c r="E30" s="189">
        <v>290108580</v>
      </c>
      <c r="F30" s="125" t="s">
        <v>79</v>
      </c>
      <c r="G30" s="200">
        <f>'[1]INFO-Mant'!$G$26</f>
        <v>0</v>
      </c>
      <c r="H30" s="248">
        <f>'[1]INFO-Mant'!$H$26</f>
        <v>8000</v>
      </c>
      <c r="I30" s="281"/>
      <c r="J30" s="282"/>
      <c r="K30" s="283"/>
    </row>
    <row r="31" spans="2:11" ht="30" customHeight="1">
      <c r="B31" s="152"/>
      <c r="C31" s="153"/>
      <c r="D31" s="153"/>
      <c r="E31" s="153"/>
      <c r="F31" s="148"/>
      <c r="G31" s="150"/>
      <c r="H31" s="150"/>
      <c r="I31" s="153"/>
      <c r="J31" s="153"/>
      <c r="K31" s="154"/>
    </row>
    <row r="32" spans="2:11" ht="30" customHeight="1">
      <c r="B32" s="147"/>
      <c r="C32" s="148"/>
      <c r="D32" s="355"/>
      <c r="E32" s="355"/>
      <c r="F32" s="150"/>
      <c r="G32" s="150"/>
      <c r="H32" s="150"/>
      <c r="I32" s="151"/>
      <c r="J32" s="151"/>
      <c r="K32" s="146"/>
    </row>
    <row r="33" spans="2:11" ht="30" customHeight="1">
      <c r="B33" s="155" t="s">
        <v>31</v>
      </c>
      <c r="C33" s="356"/>
      <c r="D33" s="356"/>
      <c r="E33" s="156" t="s">
        <v>32</v>
      </c>
      <c r="F33" s="357"/>
      <c r="G33" s="357"/>
      <c r="H33" s="151"/>
      <c r="I33" s="141"/>
      <c r="J33" s="141"/>
      <c r="K33" s="157"/>
    </row>
    <row r="34" spans="2:11" ht="30" customHeight="1" thickBot="1">
      <c r="B34" s="158"/>
      <c r="C34" s="159"/>
      <c r="D34" s="159"/>
      <c r="E34" s="159"/>
      <c r="F34" s="352"/>
      <c r="G34" s="352"/>
      <c r="H34" s="159"/>
      <c r="I34" s="160"/>
      <c r="J34" s="160"/>
      <c r="K34" s="161"/>
    </row>
    <row r="35" spans="2:11" ht="30" customHeight="1">
      <c r="B35" s="162"/>
      <c r="C35" s="162"/>
      <c r="D35" s="163"/>
      <c r="E35" s="163"/>
      <c r="F35" s="163"/>
      <c r="G35" s="163"/>
      <c r="H35" s="163"/>
      <c r="I35" s="163"/>
      <c r="J35" s="163"/>
      <c r="K35" s="164"/>
    </row>
    <row r="36" spans="2:11" ht="30" customHeight="1">
      <c r="B36" s="162"/>
    </row>
    <row r="37" spans="2:11" ht="30" customHeight="1">
      <c r="B37" s="162"/>
    </row>
    <row r="38" spans="2:11" ht="30" customHeight="1">
      <c r="B38" s="162"/>
      <c r="C38" s="162"/>
    </row>
    <row r="39" spans="2:11" ht="30" customHeight="1">
      <c r="B39" s="162"/>
      <c r="C39" s="162"/>
    </row>
    <row r="40" spans="2:11" ht="30" customHeight="1">
      <c r="B40" s="162"/>
      <c r="C40" s="162"/>
    </row>
    <row r="41" spans="2:11" ht="30" customHeight="1">
      <c r="B41" s="162"/>
      <c r="C41" s="162"/>
    </row>
    <row r="42" spans="2:11" ht="30" customHeight="1">
      <c r="B42" s="162"/>
      <c r="C42" s="162"/>
    </row>
    <row r="43" spans="2:11" ht="30" customHeight="1">
      <c r="B43" s="162"/>
      <c r="C43" s="162"/>
    </row>
    <row r="46" spans="2:11" ht="30" customHeight="1">
      <c r="C46" s="165"/>
    </row>
    <row r="71" ht="15"/>
  </sheetData>
  <sheetProtection selectLockedCells="1"/>
  <mergeCells count="32">
    <mergeCell ref="F34:G34"/>
    <mergeCell ref="E5:F5"/>
    <mergeCell ref="E6:F6"/>
    <mergeCell ref="I27:K27"/>
    <mergeCell ref="I28:K28"/>
    <mergeCell ref="I29:K29"/>
    <mergeCell ref="I30:K30"/>
    <mergeCell ref="D32:E32"/>
    <mergeCell ref="C33:D33"/>
    <mergeCell ref="F33:G33"/>
    <mergeCell ref="I21:K21"/>
    <mergeCell ref="I22:K22"/>
    <mergeCell ref="I23:K23"/>
    <mergeCell ref="I24:K24"/>
    <mergeCell ref="I25:K25"/>
    <mergeCell ref="I26:K26"/>
    <mergeCell ref="I20:K20"/>
    <mergeCell ref="E3:F3"/>
    <mergeCell ref="I8:K8"/>
    <mergeCell ref="B9:B30"/>
    <mergeCell ref="C9:C30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19:K19"/>
  </mergeCells>
  <printOptions horizontalCentered="1" verticalCentered="1"/>
  <pageMargins left="0.4" right="0.4" top="0.4" bottom="0.4" header="0.3" footer="0.3"/>
  <pageSetup paperSize="9" scale="5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533400</xdr:colOff>
                    <xdr:row>31</xdr:row>
                    <xdr:rowOff>342900</xdr:rowOff>
                  </from>
                  <to>
                    <xdr:col>1</xdr:col>
                    <xdr:colOff>1771650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2060"/>
    <pageSetUpPr autoPageBreaks="0" fitToPage="1"/>
  </sheetPr>
  <dimension ref="B1:P66"/>
  <sheetViews>
    <sheetView showGridLines="0" zoomScale="90" zoomScaleNormal="90" workbookViewId="0">
      <pane ySplit="8" topLeftCell="A9" activePane="bottomLeft" state="frozen"/>
      <selection activeCell="F19" sqref="F19"/>
      <selection pane="bottomLeft" activeCell="E12" sqref="E12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32" customWidth="1"/>
    <col min="5" max="5" width="20.5703125" customWidth="1"/>
    <col min="6" max="6" width="16.5703125" bestFit="1" customWidth="1"/>
    <col min="7" max="7" width="19.7109375" bestFit="1" customWidth="1"/>
    <col min="8" max="8" width="17" customWidth="1"/>
    <col min="9" max="9" width="27.85546875" bestFit="1" customWidth="1"/>
    <col min="10" max="10" width="2.7109375" customWidth="1"/>
    <col min="11" max="12" width="3" customWidth="1"/>
    <col min="13" max="13" width="21.5703125" customWidth="1"/>
    <col min="14" max="14" width="27.28515625" hidden="1" customWidth="1"/>
    <col min="15" max="15" width="36.5703125" hidden="1" customWidth="1"/>
    <col min="16" max="16" width="32.140625" hidden="1" customWidth="1"/>
    <col min="17" max="17" width="12.85546875" customWidth="1"/>
    <col min="18" max="18" width="17.42578125" customWidth="1"/>
    <col min="19" max="19" width="13.140625" customWidth="1"/>
    <col min="20" max="20" width="29.85546875" customWidth="1"/>
  </cols>
  <sheetData>
    <row r="1" spans="2:16" ht="12" customHeight="1" thickBot="1"/>
    <row r="2" spans="2:16" ht="30" customHeight="1">
      <c r="B2" s="50" t="s">
        <v>0</v>
      </c>
      <c r="C2" s="117"/>
      <c r="D2" s="52"/>
      <c r="E2" s="52"/>
      <c r="F2" s="52"/>
      <c r="G2" s="52"/>
      <c r="H2" s="52"/>
      <c r="I2" s="53"/>
    </row>
    <row r="3" spans="2:16" ht="30" customHeight="1">
      <c r="B3" s="54" t="s">
        <v>33</v>
      </c>
      <c r="C3" s="118" t="s">
        <v>81</v>
      </c>
      <c r="D3" s="56" t="s">
        <v>3</v>
      </c>
      <c r="E3" s="358">
        <f ca="1">TODAY()</f>
        <v>46017</v>
      </c>
      <c r="F3" s="358"/>
      <c r="H3" s="57"/>
      <c r="I3" s="58"/>
      <c r="J3" s="59"/>
    </row>
    <row r="4" spans="2:16" ht="30" customHeight="1">
      <c r="B4" s="60" t="s">
        <v>4</v>
      </c>
      <c r="C4" s="61"/>
      <c r="D4" s="62"/>
      <c r="E4" s="62"/>
      <c r="F4" s="62"/>
      <c r="H4" s="62"/>
      <c r="I4" s="63"/>
    </row>
    <row r="5" spans="2:16" ht="30" customHeight="1">
      <c r="B5" s="64" t="s">
        <v>5</v>
      </c>
      <c r="C5" s="144"/>
      <c r="D5" s="66" t="s">
        <v>7</v>
      </c>
      <c r="E5" s="353"/>
      <c r="F5" s="353"/>
      <c r="H5" s="62"/>
      <c r="I5" s="67"/>
    </row>
    <row r="6" spans="2:16" ht="30" customHeight="1">
      <c r="B6" s="64" t="s">
        <v>9</v>
      </c>
      <c r="C6" s="144"/>
      <c r="D6" s="66" t="s">
        <v>35</v>
      </c>
      <c r="E6" s="354"/>
      <c r="F6" s="354"/>
      <c r="H6" s="62"/>
      <c r="I6" s="67"/>
    </row>
    <row r="7" spans="2:16" ht="21" customHeight="1" thickBot="1">
      <c r="B7" s="68"/>
      <c r="C7" s="69"/>
      <c r="D7" s="70"/>
      <c r="E7" s="70"/>
      <c r="F7" s="71"/>
      <c r="G7" s="71"/>
      <c r="H7" s="72"/>
      <c r="I7" s="67"/>
    </row>
    <row r="8" spans="2:16" ht="30" customHeight="1" thickBot="1">
      <c r="B8" s="166" t="s">
        <v>36</v>
      </c>
      <c r="C8" s="167" t="s">
        <v>63</v>
      </c>
      <c r="D8" s="167" t="s">
        <v>64</v>
      </c>
      <c r="E8" s="167" t="s">
        <v>65</v>
      </c>
      <c r="F8" s="167" t="s">
        <v>66</v>
      </c>
      <c r="G8" s="167" t="s">
        <v>67</v>
      </c>
      <c r="H8" s="359" t="s">
        <v>68</v>
      </c>
      <c r="I8" s="360"/>
    </row>
    <row r="9" spans="2:16" ht="30" customHeight="1">
      <c r="B9" s="361" t="s">
        <v>107</v>
      </c>
      <c r="C9" s="362" t="s">
        <v>82</v>
      </c>
      <c r="D9" s="168" t="s">
        <v>83</v>
      </c>
      <c r="E9" s="193" t="s">
        <v>120</v>
      </c>
      <c r="F9" s="169" t="s">
        <v>84</v>
      </c>
      <c r="G9" s="236">
        <v>10000</v>
      </c>
      <c r="H9" s="363" t="s">
        <v>121</v>
      </c>
      <c r="I9" s="364"/>
      <c r="N9" t="str">
        <f t="array" ref="N9">IFERROR(
   INDEX($B$9:$B$50,
      SMALL(
         IF($B$9:$B$50&gt;"",ROW($B$9:$B$50)-MIN(ROW($B$9:$B$50))+1),
         ROWS($Z$1:Z1)
      )
   ),
"")</f>
        <v>Order Picker Crown 30SP42TT</v>
      </c>
      <c r="O9" t="str">
        <f t="array" ref="O9">IFERROR(
   INDEX('[4]INFO-Ponderacion'!$C$9:$C$13,
      SMALL(
         IF('[4]INFO-Ponderacion'!$C$9:$C$13&lt;&gt;"",ROW('[4]INFO-Ponderacion'!$C$9:$C$13)-MIN(ROW('[4]INFO-Ponderacion'!$C$9:$C$13))+1),
         ROWS($Z$1:Z1)
      )
   ),
"")</f>
        <v>Produccion</v>
      </c>
      <c r="P9" t="str">
        <f t="array" ref="P9">IFERROR(
   INDEX('[4]INFO-Ponderacion'!$C$9:$C$13,
      SMALL(
         IF('[4]INFO-Ponderacion'!$C$9:$C$13&lt;&gt;"",ROW('[4]INFO-Ponderacion'!$C$9:$C$13)-MIN(ROW('[4]INFO-Ponderacion'!$C$9:$C$13))+1),
         ROWS($Z$1:Z1)
      )
   ),
"")</f>
        <v>Produccion</v>
      </c>
    </row>
    <row r="10" spans="2:16" ht="30" customHeight="1">
      <c r="B10" s="361"/>
      <c r="C10" s="362"/>
      <c r="D10" s="168" t="s">
        <v>108</v>
      </c>
      <c r="E10" s="193"/>
      <c r="F10" s="169" t="s">
        <v>109</v>
      </c>
      <c r="G10" s="237">
        <v>42005</v>
      </c>
      <c r="H10" s="365"/>
      <c r="I10" s="366"/>
      <c r="N10" t="str">
        <f t="array" ref="N10">IFERROR(
   INDEX($B$9:$B$50,
      SMALL(
         IF($B$9:$B$50&gt;"",ROW($B$9:$B$50)-MIN(ROW($B$9:$B$50))+1),
         ROWS($Z$1:Z2)
      )
   ),
"")</f>
        <v>Order Picker Crown 45RRTT</v>
      </c>
      <c r="O10" t="str">
        <f t="array" ref="O10">IFERROR(
   INDEX('[4]INFO-Ponderacion'!$C$9:$C$13,
      SMALL(
         IF('[4]INFO-Ponderacion'!$C$9:$C$13&lt;&gt;"",ROW('[4]INFO-Ponderacion'!$C$9:$C$13)-MIN(ROW('[4]INFO-Ponderacion'!$C$9:$C$13))+1),
         ROWS($Z$1:Z2)
      )
   ),
"")</f>
        <v>Ensamble</v>
      </c>
      <c r="P10" t="str">
        <f t="array" ref="P10">IFERROR(
   INDEX('[4]INFO-Ponderacion'!$C$9:$C$13,
      SMALL(
         IF('[4]INFO-Ponderacion'!$C$9:$C$13&lt;&gt;"",ROW('[4]INFO-Ponderacion'!$C$9:$C$13)-MIN(ROW('[4]INFO-Ponderacion'!$C$9:$C$13))+1),
         ROWS($Z$1:Z2)
      )
   ),
"")</f>
        <v>Ensamble</v>
      </c>
    </row>
    <row r="11" spans="2:16" ht="30" customHeight="1">
      <c r="B11" s="361"/>
      <c r="C11" s="362"/>
      <c r="D11" s="168" t="s">
        <v>85</v>
      </c>
      <c r="E11" s="193"/>
      <c r="F11" s="170" t="s">
        <v>86</v>
      </c>
      <c r="G11" s="238">
        <v>7</v>
      </c>
      <c r="H11" s="363"/>
      <c r="I11" s="364"/>
      <c r="N11" t="str">
        <f t="array" ref="N11">IFERROR(
   INDEX($B$9:$B$50,
      SMALL(
         IF($B$9:$B$50&gt;"",ROW($B$9:$B$50)-MIN(ROW($B$9:$B$50))+1),
         ROWS($Z$1:Z3)
      )
   ),
"")</f>
        <v>Monta Carga 1</v>
      </c>
      <c r="O11" t="str">
        <f t="array" ref="O11">IFERROR(
   INDEX('[4]INFO-Ponderacion'!$C$9:$C$13,
      SMALL(
         IF('[4]INFO-Ponderacion'!$C$9:$C$13&lt;&gt;"",ROW('[4]INFO-Ponderacion'!$C$9:$C$13)-MIN(ROW('[4]INFO-Ponderacion'!$C$9:$C$13))+1),
         ROWS($Z$1:Z3)
      )
   ),
"")</f>
        <v>Administración y Comercialización</v>
      </c>
      <c r="P11" t="str">
        <f t="array" ref="P11">IFERROR(
   INDEX('[4]INFO-Ponderacion'!$C$9:$C$13,
      SMALL(
         IF('[4]INFO-Ponderacion'!$C$9:$C$13&lt;&gt;"",ROW('[4]INFO-Ponderacion'!$C$9:$C$13)-MIN(ROW('[4]INFO-Ponderacion'!$C$9:$C$13))+1),
         ROWS($Z$1:Z3)
      )
   ),
"")</f>
        <v>Administración y Comercialización</v>
      </c>
    </row>
    <row r="12" spans="2:16" ht="30" customHeight="1">
      <c r="B12" s="361"/>
      <c r="C12" s="362"/>
      <c r="D12" s="168" t="s">
        <v>87</v>
      </c>
      <c r="E12" s="193"/>
      <c r="F12" s="169" t="s">
        <v>84</v>
      </c>
      <c r="G12" s="240">
        <v>0</v>
      </c>
      <c r="H12" s="363"/>
      <c r="I12" s="364"/>
      <c r="N12" t="str">
        <f t="array" ref="N12">IFERROR(
   INDEX($B$9:$B$50,
      SMALL(
         IF($B$9:$B$50&gt;"",ROW($B$9:$B$50)-MIN(ROW($B$9:$B$50))+1),
         ROWS($Z$1:Z4)
      )
   ),
"")</f>
        <v>Monta Carga 2</v>
      </c>
      <c r="O12" t="str">
        <f t="array" ref="O12">IFERROR(
   INDEX('[4]INFO-Ponderacion'!$C$9:$C$13,
      SMALL(
         IF('[4]INFO-Ponderacion'!$C$9:$C$13&lt;&gt;"",ROW('[4]INFO-Ponderacion'!$C$9:$C$13)-MIN(ROW('[4]INFO-Ponderacion'!$C$9:$C$13))+1),
         ROWS($Z$1:Z4)
      )
   ),
"")</f>
        <v>Depósito</v>
      </c>
      <c r="P12" t="str">
        <f t="array" ref="P12">IFERROR(
   INDEX('[4]INFO-Ponderacion'!$C$9:$C$13,
      SMALL(
         IF('[4]INFO-Ponderacion'!$C$9:$C$13&lt;&gt;"",ROW('[4]INFO-Ponderacion'!$C$9:$C$13)-MIN(ROW('[4]INFO-Ponderacion'!$C$9:$C$13))+1),
         ROWS($Z$1:Z4)
      )
   ),
"")</f>
        <v>Depósito</v>
      </c>
    </row>
    <row r="13" spans="2:16" ht="30" customHeight="1">
      <c r="B13" s="361"/>
      <c r="C13" s="362"/>
      <c r="D13" s="168" t="s">
        <v>88</v>
      </c>
      <c r="E13" s="193"/>
      <c r="F13" s="169" t="s">
        <v>89</v>
      </c>
      <c r="G13" s="179">
        <f>168*12</f>
        <v>2016</v>
      </c>
      <c r="H13" s="363"/>
      <c r="I13" s="364"/>
      <c r="N13" t="str">
        <f t="array" ref="N13">IFERROR(
   INDEX($B$9:$B$50,
      SMALL(
         IF($B$9:$B$50&gt;"",ROW($B$9:$B$50)-MIN(ROW($B$9:$B$50))+1),
         ROWS($Z$1:Z5)
      )
   ),
"")</f>
        <v>Monta Carga 3</v>
      </c>
      <c r="O13" t="str">
        <f t="array" ref="O13">IFERROR(
   INDEX('[4]INFO-Ponderacion'!$C$9:$C$13,
      SMALL(
         IF('[4]INFO-Ponderacion'!$C$9:$C$13&lt;&gt;"",ROW('[4]INFO-Ponderacion'!$C$9:$C$13)-MIN(ROW('[4]INFO-Ponderacion'!$C$9:$C$13))+1),
         ROWS($Z$1:Z5)
      )
   ),
"")</f>
        <v>Embalaje</v>
      </c>
      <c r="P13" t="str">
        <f t="array" ref="P13">IFERROR(
   INDEX('[4]INFO-Ponderacion'!$C$9:$C$13,
      SMALL(
         IF('[4]INFO-Ponderacion'!$C$9:$C$13&lt;&gt;"",ROW('[4]INFO-Ponderacion'!$C$9:$C$13)-MIN(ROW('[4]INFO-Ponderacion'!$C$9:$C$13))+1),
         ROWS($Z$1:Z5)
      )
   ),
"")</f>
        <v>Embalaje</v>
      </c>
    </row>
    <row r="14" spans="2:16" ht="30" customHeight="1">
      <c r="B14" s="361"/>
      <c r="C14" s="362"/>
      <c r="D14" s="168" t="s">
        <v>90</v>
      </c>
      <c r="E14" s="193"/>
      <c r="F14" s="169" t="s">
        <v>91</v>
      </c>
      <c r="G14" s="239"/>
      <c r="H14" s="363"/>
      <c r="I14" s="364"/>
      <c r="N14" t="str">
        <f t="array" ref="N14">IFERROR(
   INDEX($B$9:$B$50,
      SMALL(
         IF($B$9:$B$50&gt;"",ROW($B$9:$B$50)-MIN(ROW($B$9:$B$50))+1),
         ROWS($Z$1:Z6)
      )
   ),
"")</f>
        <v/>
      </c>
      <c r="O14" t="str">
        <f t="array" ref="O14">IFERROR(
   INDEX('[4]INFO-Ponderacion'!$C$9:$C$13,
      SMALL(
         IF('[4]INFO-Ponderacion'!$C$9:$C$13&lt;&gt;"",ROW('[4]INFO-Ponderacion'!$C$9:$C$13)-MIN(ROW('[4]INFO-Ponderacion'!$C$9:$C$13))+1),
         ROWS($Z$1:Z6)
      )
   ),
"")</f>
        <v/>
      </c>
      <c r="P14" t="str">
        <f t="array" ref="P14">IFERROR(
   INDEX('[4]INFO-Ponderacion'!$C$9:$C$13,
      SMALL(
         IF('[4]INFO-Ponderacion'!$C$9:$C$13&lt;&gt;"",ROW('[4]INFO-Ponderacion'!$C$9:$C$13)-MIN(ROW('[4]INFO-Ponderacion'!$C$9:$C$13))+1),
         ROWS($Z$1:Z6)
      )
   ),
"")</f>
        <v/>
      </c>
    </row>
    <row r="15" spans="2:16" ht="27" customHeight="1">
      <c r="B15" s="367" t="s">
        <v>122</v>
      </c>
      <c r="C15" s="368" t="s">
        <v>82</v>
      </c>
      <c r="D15" s="168" t="s">
        <v>83</v>
      </c>
      <c r="E15" s="193" t="s">
        <v>123</v>
      </c>
      <c r="F15" s="178" t="s">
        <v>84</v>
      </c>
      <c r="G15" s="233"/>
      <c r="H15" s="363" t="s">
        <v>124</v>
      </c>
      <c r="I15" s="364"/>
      <c r="N15" t="str">
        <f t="array" ref="N15">IFERROR(
   INDEX($B$9:$B$50,
      SMALL(
         IF($B$9:$B$50&gt;"",ROW($B$9:$B$50)-MIN(ROW($B$9:$B$50))+1),
         ROWS($Z$1:Z7)
      )
   ),
"")</f>
        <v/>
      </c>
      <c r="O15" t="str">
        <f t="array" ref="O15">IFERROR(
   INDEX('[4]INFO-Ponderacion'!$C$9:$C$13,
      SMALL(
         IF('[4]INFO-Ponderacion'!$C$9:$C$13&lt;&gt;"",ROW('[4]INFO-Ponderacion'!$C$9:$C$13)-MIN(ROW('[4]INFO-Ponderacion'!$C$9:$C$13))+1),
         ROWS($Z$1:Z7)
      )
   ),
"")</f>
        <v/>
      </c>
      <c r="P15" t="str">
        <f t="array" ref="P15">IFERROR(
   INDEX('[4]INFO-Ponderacion'!$C$9:$C$13,
      SMALL(
         IF('[4]INFO-Ponderacion'!$C$9:$C$13&lt;&gt;"",ROW('[4]INFO-Ponderacion'!$C$9:$C$13)-MIN(ROW('[4]INFO-Ponderacion'!$C$9:$C$13))+1),
         ROWS($Z$1:Z7)
      )
   ),
"")</f>
        <v/>
      </c>
    </row>
    <row r="16" spans="2:16" ht="27" customHeight="1">
      <c r="B16" s="367"/>
      <c r="C16" s="368"/>
      <c r="D16" s="168" t="s">
        <v>108</v>
      </c>
      <c r="E16" s="193"/>
      <c r="F16" s="169" t="s">
        <v>109</v>
      </c>
      <c r="G16" s="234"/>
      <c r="H16" s="365"/>
      <c r="I16" s="366"/>
      <c r="N16" t="str">
        <f t="array" ref="N16">IFERROR(
   INDEX($B$9:$B$50,
      SMALL(
         IF($B$9:$B$50&gt;"",ROW($B$9:$B$50)-MIN(ROW($B$9:$B$50))+1),
         ROWS($Z$1:Z8)
      )
   ),
"")</f>
        <v/>
      </c>
      <c r="O16" t="str">
        <f t="array" ref="O16">IFERROR(
   INDEX('[4]INFO-Ponderacion'!$C$9:$C$13,
      SMALL(
         IF('[4]INFO-Ponderacion'!$C$9:$C$13&lt;&gt;"",ROW('[4]INFO-Ponderacion'!$C$9:$C$13)-MIN(ROW('[4]INFO-Ponderacion'!$C$9:$C$13))+1),
         ROWS($Z$1:Z8)
      )
   ),
"")</f>
        <v/>
      </c>
      <c r="P16" t="str">
        <f t="array" ref="P16">IFERROR(
   INDEX('[4]INFO-Ponderacion'!$C$9:$C$13,
      SMALL(
         IF('[4]INFO-Ponderacion'!$C$9:$C$13&lt;&gt;"",ROW('[4]INFO-Ponderacion'!$C$9:$C$13)-MIN(ROW('[4]INFO-Ponderacion'!$C$9:$C$13))+1),
         ROWS($Z$1:Z8)
      )
   ),
"")</f>
        <v/>
      </c>
    </row>
    <row r="17" spans="2:16" ht="30" customHeight="1">
      <c r="B17" s="367"/>
      <c r="C17" s="368"/>
      <c r="D17" s="168" t="s">
        <v>85</v>
      </c>
      <c r="E17" s="193"/>
      <c r="F17" s="179" t="s">
        <v>86</v>
      </c>
      <c r="G17" s="235"/>
      <c r="H17" s="363"/>
      <c r="I17" s="364"/>
      <c r="N17" t="str">
        <f t="array" ref="N17">IFERROR(
   INDEX($B$9:$B$50,
      SMALL(
         IF($B$9:$B$50&gt;"",ROW($B$9:$B$50)-MIN(ROW($B$9:$B$50))+1),
         ROWS($Z$1:Z8)
      )
   ),
"")</f>
        <v/>
      </c>
      <c r="O17" t="str">
        <f t="array" ref="O17">IFERROR(
   INDEX('[4]INFO-Ponderacion'!$C$9:$C$13,
      SMALL(
         IF('[4]INFO-Ponderacion'!$C$9:$C$13&lt;&gt;"",ROW('[4]INFO-Ponderacion'!$C$9:$C$13)-MIN(ROW('[4]INFO-Ponderacion'!$C$9:$C$13))+1),
         ROWS($Z$1:Z9)
      )
   ),
"")</f>
        <v/>
      </c>
      <c r="P17" t="str">
        <f t="array" ref="P17">IFERROR(
   INDEX('[4]INFO-Ponderacion'!$C$9:$C$13,
      SMALL(
         IF('[4]INFO-Ponderacion'!$C$9:$C$13&lt;&gt;"",ROW('[4]INFO-Ponderacion'!$C$9:$C$13)-MIN(ROW('[4]INFO-Ponderacion'!$C$9:$C$13))+1),
         ROWS($Z$1:Z9)
      )
   ),
"")</f>
        <v/>
      </c>
    </row>
    <row r="18" spans="2:16" ht="30" customHeight="1">
      <c r="B18" s="367"/>
      <c r="C18" s="368"/>
      <c r="D18" s="168" t="s">
        <v>87</v>
      </c>
      <c r="E18" s="193"/>
      <c r="F18" s="178" t="s">
        <v>84</v>
      </c>
      <c r="G18" s="232">
        <v>0</v>
      </c>
      <c r="H18" s="363"/>
      <c r="I18" s="364"/>
      <c r="N18" t="str">
        <f t="array" ref="N18">IFERROR(
   INDEX($B$9:$B$50,
      SMALL(
         IF($B$9:$B$50&gt;"",ROW($B$9:$B$50)-MIN(ROW($B$9:$B$50))+1),
         ROWS($Z$1:Z8)
      )
   ),
"")</f>
        <v/>
      </c>
      <c r="O18" t="str">
        <f t="array" ref="O18">IFERROR(
   INDEX('[4]INFO-Ponderacion'!$C$9:$C$13,
      SMALL(
         IF('[4]INFO-Ponderacion'!$C$9:$C$13&lt;&gt;"",ROW('[4]INFO-Ponderacion'!$C$9:$C$13)-MIN(ROW('[4]INFO-Ponderacion'!$C$9:$C$13))+1),
         ROWS($Z$1:Z10)
      )
   ),
"")</f>
        <v/>
      </c>
      <c r="P18" t="str">
        <f t="array" ref="P18">IFERROR(
   INDEX('[4]INFO-Ponderacion'!$C$9:$C$13,
      SMALL(
         IF('[4]INFO-Ponderacion'!$C$9:$C$13&lt;&gt;"",ROW('[4]INFO-Ponderacion'!$C$9:$C$13)-MIN(ROW('[4]INFO-Ponderacion'!$C$9:$C$13))+1),
         ROWS($Z$1:Z10)
      )
   ),
"")</f>
        <v/>
      </c>
    </row>
    <row r="19" spans="2:16" ht="30" customHeight="1">
      <c r="B19" s="367"/>
      <c r="C19" s="368"/>
      <c r="D19" s="168" t="s">
        <v>88</v>
      </c>
      <c r="E19" s="193"/>
      <c r="F19" s="178" t="s">
        <v>89</v>
      </c>
      <c r="G19" s="168">
        <f>168*12</f>
        <v>2016</v>
      </c>
      <c r="H19" s="363"/>
      <c r="I19" s="364"/>
      <c r="N19" t="str">
        <f t="array" ref="N19">IFERROR(
   INDEX($B$9:$B$50,
      SMALL(
         IF($B$9:$B$50&gt;"",ROW($B$9:$B$50)-MIN(ROW($B$9:$B$50))+1),
         ROWS($Z$1:Z8)
      )
   ),
"")</f>
        <v/>
      </c>
      <c r="O19" t="str">
        <f t="array" ref="O19">IFERROR(
   INDEX('[4]INFO-Ponderacion'!$C$9:$C$13,
      SMALL(
         IF('[4]INFO-Ponderacion'!$C$9:$C$13&lt;&gt;"",ROW('[4]INFO-Ponderacion'!$C$9:$C$13)-MIN(ROW('[4]INFO-Ponderacion'!$C$9:$C$13))+1),
         ROWS($Z$1:Z11)
      )
   ),
"")</f>
        <v/>
      </c>
      <c r="P19" t="str">
        <f t="array" ref="P19">IFERROR(
   INDEX('[4]INFO-Ponderacion'!$C$9:$C$13,
      SMALL(
         IF('[4]INFO-Ponderacion'!$C$9:$C$13&lt;&gt;"",ROW('[4]INFO-Ponderacion'!$C$9:$C$13)-MIN(ROW('[4]INFO-Ponderacion'!$C$9:$C$13))+1),
         ROWS($Z$1:Z11)
      )
   ),
"")</f>
        <v/>
      </c>
    </row>
    <row r="20" spans="2:16" ht="30" customHeight="1">
      <c r="B20" s="367"/>
      <c r="C20" s="368"/>
      <c r="D20" s="168" t="s">
        <v>90</v>
      </c>
      <c r="E20" s="193"/>
      <c r="F20" s="178" t="s">
        <v>91</v>
      </c>
      <c r="G20" s="233"/>
      <c r="H20" s="363"/>
      <c r="I20" s="364"/>
      <c r="N20" t="str">
        <f t="array" ref="N20">IFERROR(
   INDEX($B$9:$B$50,
      SMALL(
         IF($B$9:$B$50&gt;"",ROW($B$9:$B$50)-MIN(ROW($B$9:$B$50))+1),
         ROWS($Z$1:Z8)
      )
   ),
"")</f>
        <v/>
      </c>
      <c r="O20" t="str">
        <f t="array" ref="O20">IFERROR(
   INDEX('[4]INFO-Ponderacion'!$C$9:$C$13,
      SMALL(
         IF('[4]INFO-Ponderacion'!$C$9:$C$13&lt;&gt;"",ROW('[4]INFO-Ponderacion'!$C$9:$C$13)-MIN(ROW('[4]INFO-Ponderacion'!$C$9:$C$13))+1),
         ROWS($Z$1:Z12)
      )
   ),
"")</f>
        <v/>
      </c>
      <c r="P20" t="str">
        <f t="array" ref="P20">IFERROR(
   INDEX('[4]INFO-Ponderacion'!$C$9:$C$13,
      SMALL(
         IF('[4]INFO-Ponderacion'!$C$9:$C$13&lt;&gt;"",ROW('[4]INFO-Ponderacion'!$C$9:$C$13)-MIN(ROW('[4]INFO-Ponderacion'!$C$9:$C$13))+1),
         ROWS($Z$1:Z12)
      )
   ),
"")</f>
        <v/>
      </c>
    </row>
    <row r="21" spans="2:16" ht="30" customHeight="1">
      <c r="B21" s="367" t="s">
        <v>125</v>
      </c>
      <c r="C21" s="368" t="s">
        <v>82</v>
      </c>
      <c r="D21" s="168" t="s">
        <v>83</v>
      </c>
      <c r="E21" s="193"/>
      <c r="F21" s="178" t="s">
        <v>84</v>
      </c>
      <c r="G21" s="233"/>
      <c r="H21" s="363"/>
      <c r="I21" s="364"/>
      <c r="N21" t="str">
        <f t="array" ref="N21">IFERROR(
   INDEX($B$9:$B$50,
      SMALL(
         IF($B$9:$B$50&gt;"",ROW($B$9:$B$50)-MIN(ROW($B$9:$B$50))+1),
         ROWS($Z$1:Z8)
      )
   ),
"")</f>
        <v/>
      </c>
      <c r="O21" t="str">
        <f t="array" ref="O21">IFERROR(
   INDEX('[4]INFO-Ponderacion'!$C$9:$C$13,
      SMALL(
         IF('[4]INFO-Ponderacion'!$C$9:$C$13&lt;&gt;"",ROW('[4]INFO-Ponderacion'!$C$9:$C$13)-MIN(ROW('[4]INFO-Ponderacion'!$C$9:$C$13))+1),
         ROWS($Z$1:Z13)
      )
   ),
"")</f>
        <v/>
      </c>
      <c r="P21" t="str">
        <f t="array" ref="P21">IFERROR(
   INDEX('[4]INFO-Ponderacion'!$C$9:$C$13,
      SMALL(
         IF('[4]INFO-Ponderacion'!$C$9:$C$13&lt;&gt;"",ROW('[4]INFO-Ponderacion'!$C$9:$C$13)-MIN(ROW('[4]INFO-Ponderacion'!$C$9:$C$13))+1),
         ROWS($Z$1:Z13)
      )
   ),
"")</f>
        <v/>
      </c>
    </row>
    <row r="22" spans="2:16" ht="30" customHeight="1">
      <c r="B22" s="367"/>
      <c r="C22" s="368"/>
      <c r="D22" s="168" t="s">
        <v>108</v>
      </c>
      <c r="E22" s="193"/>
      <c r="F22" s="169" t="s">
        <v>109</v>
      </c>
      <c r="G22" s="234"/>
      <c r="H22" s="365"/>
      <c r="I22" s="366"/>
      <c r="N22" t="str">
        <f t="array" ref="N22">IFERROR(
   INDEX($B$9:$B$50,
      SMALL(
         IF($B$9:$B$50&gt;"",ROW($B$9:$B$50)-MIN(ROW($B$9:$B$50))+1),
         ROWS($Z$1:Z8)
      )
   ),
"")</f>
        <v/>
      </c>
      <c r="O22" t="str">
        <f t="array" ref="O22">IFERROR(
   INDEX('[4]INFO-Ponderacion'!$C$9:$C$13,
      SMALL(
         IF('[4]INFO-Ponderacion'!$C$9:$C$13&lt;&gt;"",ROW('[4]INFO-Ponderacion'!$C$9:$C$13)-MIN(ROW('[4]INFO-Ponderacion'!$C$9:$C$13))+1),
         ROWS($Z$1:Z14)
      )
   ),
"")</f>
        <v/>
      </c>
      <c r="P22" t="str">
        <f t="array" ref="P22">IFERROR(
   INDEX('[4]INFO-Ponderacion'!$C$9:$C$13,
      SMALL(
         IF('[4]INFO-Ponderacion'!$C$9:$C$13&lt;&gt;"",ROW('[4]INFO-Ponderacion'!$C$9:$C$13)-MIN(ROW('[4]INFO-Ponderacion'!$C$9:$C$13))+1),
         ROWS($Z$1:Z14)
      )
   ),
"")</f>
        <v/>
      </c>
    </row>
    <row r="23" spans="2:16" ht="30" customHeight="1">
      <c r="B23" s="367"/>
      <c r="C23" s="368"/>
      <c r="D23" s="168" t="s">
        <v>85</v>
      </c>
      <c r="E23" s="193"/>
      <c r="F23" s="179" t="s">
        <v>86</v>
      </c>
      <c r="G23" s="235"/>
      <c r="H23" s="363"/>
      <c r="I23" s="364"/>
      <c r="N23" t="str">
        <f t="array" ref="N23">IFERROR(
   INDEX($B$9:$B$50,
      SMALL(
         IF($B$9:$B$50&gt;"",ROW($B$9:$B$50)-MIN(ROW($B$9:$B$50))+1),
         ROWS($Z$1:Z8)
      )
   ),
"")</f>
        <v/>
      </c>
      <c r="O23" t="str">
        <f t="array" ref="O23">IFERROR(
   INDEX('[4]INFO-Ponderacion'!$C$9:$C$13,
      SMALL(
         IF('[4]INFO-Ponderacion'!$C$9:$C$13&lt;&gt;"",ROW('[4]INFO-Ponderacion'!$C$9:$C$13)-MIN(ROW('[4]INFO-Ponderacion'!$C$9:$C$13))+1),
         ROWS($Z$1:Z15)
      )
   ),
"")</f>
        <v/>
      </c>
      <c r="P23" t="str">
        <f t="array" ref="P23">IFERROR(
   INDEX('[4]INFO-Ponderacion'!$C$9:$C$13,
      SMALL(
         IF('[4]INFO-Ponderacion'!$C$9:$C$13&lt;&gt;"",ROW('[4]INFO-Ponderacion'!$C$9:$C$13)-MIN(ROW('[4]INFO-Ponderacion'!$C$9:$C$13))+1),
         ROWS($Z$1:Z15)
      )
   ),
"")</f>
        <v/>
      </c>
    </row>
    <row r="24" spans="2:16" ht="30" customHeight="1">
      <c r="B24" s="367"/>
      <c r="C24" s="368"/>
      <c r="D24" s="168" t="s">
        <v>87</v>
      </c>
      <c r="E24" s="193"/>
      <c r="F24" s="178" t="s">
        <v>84</v>
      </c>
      <c r="G24" s="232">
        <v>0</v>
      </c>
      <c r="H24" s="363"/>
      <c r="I24" s="364"/>
      <c r="N24" t="str">
        <f t="array" ref="N24">IFERROR(
   INDEX($B$9:$B$50,
      SMALL(
         IF($B$9:$B$50&gt;"",ROW($B$9:$B$50)-MIN(ROW($B$9:$B$50))+1),
         ROWS($Z$1:Z8)
      )
   ),
"")</f>
        <v/>
      </c>
      <c r="O24" t="str">
        <f t="array" ref="O24">IFERROR(
   INDEX('[4]INFO-Ponderacion'!$C$9:$C$13,
      SMALL(
         IF('[4]INFO-Ponderacion'!$C$9:$C$13&lt;&gt;"",ROW('[4]INFO-Ponderacion'!$C$9:$C$13)-MIN(ROW('[4]INFO-Ponderacion'!$C$9:$C$13))+1),
         ROWS($Z$1:Z16)
      )
   ),
"")</f>
        <v/>
      </c>
      <c r="P24" t="str">
        <f t="array" ref="P24">IFERROR(
   INDEX('[4]INFO-Ponderacion'!$C$9:$C$13,
      SMALL(
         IF('[4]INFO-Ponderacion'!$C$9:$C$13&lt;&gt;"",ROW('[4]INFO-Ponderacion'!$C$9:$C$13)-MIN(ROW('[4]INFO-Ponderacion'!$C$9:$C$13))+1),
         ROWS($Z$1:Z16)
      )
   ),
"")</f>
        <v/>
      </c>
    </row>
    <row r="25" spans="2:16" ht="30" customHeight="1">
      <c r="B25" s="367"/>
      <c r="C25" s="368"/>
      <c r="D25" s="168" t="s">
        <v>88</v>
      </c>
      <c r="E25" s="193"/>
      <c r="F25" s="178" t="s">
        <v>89</v>
      </c>
      <c r="G25" s="168">
        <f>168*12</f>
        <v>2016</v>
      </c>
      <c r="H25" s="363"/>
      <c r="I25" s="364"/>
      <c r="N25" t="str">
        <f t="array" ref="N25">IFERROR(
   INDEX($B$9:$B$50,
      SMALL(
         IF($B$9:$B$50&gt;"",ROW($B$9:$B$50)-MIN(ROW($B$9:$B$50))+1),
         ROWS($Z$1:Z8)
      )
   ),
"")</f>
        <v/>
      </c>
      <c r="O25" t="str">
        <f t="array" ref="O25">IFERROR(
   INDEX('[4]INFO-Ponderacion'!$C$9:$C$13,
      SMALL(
         IF('[4]INFO-Ponderacion'!$C$9:$C$13&lt;&gt;"",ROW('[4]INFO-Ponderacion'!$C$9:$C$13)-MIN(ROW('[4]INFO-Ponderacion'!$C$9:$C$13))+1),
         ROWS($Z$1:Z17)
      )
   ),
"")</f>
        <v/>
      </c>
      <c r="P25" t="str">
        <f t="array" ref="P25">IFERROR(
   INDEX('[4]INFO-Ponderacion'!$C$9:$C$13,
      SMALL(
         IF('[4]INFO-Ponderacion'!$C$9:$C$13&lt;&gt;"",ROW('[4]INFO-Ponderacion'!$C$9:$C$13)-MIN(ROW('[4]INFO-Ponderacion'!$C$9:$C$13))+1),
         ROWS($Z$1:Z17)
      )
   ),
"")</f>
        <v/>
      </c>
    </row>
    <row r="26" spans="2:16" ht="30" customHeight="1">
      <c r="B26" s="367"/>
      <c r="C26" s="368"/>
      <c r="D26" s="168" t="s">
        <v>90</v>
      </c>
      <c r="E26" s="193"/>
      <c r="F26" s="178" t="s">
        <v>91</v>
      </c>
      <c r="G26" s="233"/>
      <c r="H26" s="363"/>
      <c r="I26" s="364"/>
      <c r="N26" t="str">
        <f t="array" ref="N26">IFERROR(
   INDEX($B$9:$B$50,
      SMALL(
         IF($B$9:$B$50&gt;"",ROW($B$9:$B$50)-MIN(ROW($B$9:$B$50))+1),
         ROWS($Z$1:Z8)
      )
   ),
"")</f>
        <v/>
      </c>
      <c r="O26" t="str">
        <f t="array" ref="O26">IFERROR(
   INDEX('[4]INFO-Ponderacion'!$C$9:$C$13,
      SMALL(
         IF('[4]INFO-Ponderacion'!$C$9:$C$13&lt;&gt;"",ROW('[4]INFO-Ponderacion'!$C$9:$C$13)-MIN(ROW('[4]INFO-Ponderacion'!$C$9:$C$13))+1),
         ROWS($Z$1:Z18)
      )
   ),
"")</f>
        <v/>
      </c>
      <c r="P26" t="str">
        <f t="array" ref="P26">IFERROR(
   INDEX('[4]INFO-Ponderacion'!$C$9:$C$13,
      SMALL(
         IF('[4]INFO-Ponderacion'!$C$9:$C$13&lt;&gt;"",ROW('[4]INFO-Ponderacion'!$C$9:$C$13)-MIN(ROW('[4]INFO-Ponderacion'!$C$9:$C$13))+1),
         ROWS($Z$1:Z18)
      )
   ),
"")</f>
        <v/>
      </c>
    </row>
    <row r="27" spans="2:16" ht="30" customHeight="1">
      <c r="B27" s="367" t="s">
        <v>126</v>
      </c>
      <c r="C27" s="368" t="s">
        <v>82</v>
      </c>
      <c r="D27" s="168" t="s">
        <v>83</v>
      </c>
      <c r="E27" s="193"/>
      <c r="F27" s="178" t="s">
        <v>84</v>
      </c>
      <c r="G27" s="233"/>
      <c r="H27" s="363"/>
      <c r="I27" s="364"/>
      <c r="N27" t="str">
        <f t="array" ref="N27">IFERROR(
   INDEX($B$9:$B$50,
      SMALL(
         IF($B$9:$B$50&gt;"",ROW($B$9:$B$50)-MIN(ROW($B$9:$B$50))+1),
         ROWS($Z$1:Z8)
      )
   ),
"")</f>
        <v/>
      </c>
      <c r="O27" t="str">
        <f t="array" ref="O27">IFERROR(
   INDEX('[4]INFO-Ponderacion'!$C$9:$C$13,
      SMALL(
         IF('[4]INFO-Ponderacion'!$C$9:$C$13&lt;&gt;"",ROW('[4]INFO-Ponderacion'!$C$9:$C$13)-MIN(ROW('[4]INFO-Ponderacion'!$C$9:$C$13))+1),
         ROWS($Z$1:Z19)
      )
   ),
"")</f>
        <v/>
      </c>
      <c r="P27" t="str">
        <f t="array" ref="P27">IFERROR(
   INDEX('[4]INFO-Ponderacion'!$C$9:$C$13,
      SMALL(
         IF('[4]INFO-Ponderacion'!$C$9:$C$13&lt;&gt;"",ROW('[4]INFO-Ponderacion'!$C$9:$C$13)-MIN(ROW('[4]INFO-Ponderacion'!$C$9:$C$13))+1),
         ROWS($Z$1:Z19)
      )
   ),
"")</f>
        <v/>
      </c>
    </row>
    <row r="28" spans="2:16" ht="30" customHeight="1">
      <c r="B28" s="367"/>
      <c r="C28" s="368"/>
      <c r="D28" s="168" t="s">
        <v>108</v>
      </c>
      <c r="E28" s="193"/>
      <c r="F28" s="169" t="s">
        <v>109</v>
      </c>
      <c r="G28" s="234"/>
      <c r="H28" s="365"/>
      <c r="I28" s="366"/>
      <c r="N28" t="str">
        <f t="array" ref="N28">IFERROR(
   INDEX($B$9:$B$50,
      SMALL(
         IF($B$9:$B$50&gt;"",ROW($B$9:$B$50)-MIN(ROW($B$9:$B$50))+1),
         ROWS($Z$1:Z8)
      )
   ),
"")</f>
        <v/>
      </c>
      <c r="O28" t="str">
        <f t="array" ref="O28">IFERROR(
   INDEX('[4]INFO-Ponderacion'!$C$9:$C$13,
      SMALL(
         IF('[4]INFO-Ponderacion'!$C$9:$C$13&lt;&gt;"",ROW('[4]INFO-Ponderacion'!$C$9:$C$13)-MIN(ROW('[4]INFO-Ponderacion'!$C$9:$C$13))+1),
         ROWS($Z$1:Z20)
      )
   ),
"")</f>
        <v/>
      </c>
      <c r="P28" t="str">
        <f t="array" ref="P28">IFERROR(
   INDEX('[4]INFO-Ponderacion'!$C$9:$C$13,
      SMALL(
         IF('[4]INFO-Ponderacion'!$C$9:$C$13&lt;&gt;"",ROW('[4]INFO-Ponderacion'!$C$9:$C$13)-MIN(ROW('[4]INFO-Ponderacion'!$C$9:$C$13))+1),
         ROWS($Z$1:Z20)
      )
   ),
"")</f>
        <v/>
      </c>
    </row>
    <row r="29" spans="2:16" ht="30" customHeight="1">
      <c r="B29" s="367"/>
      <c r="C29" s="368"/>
      <c r="D29" s="168" t="s">
        <v>85</v>
      </c>
      <c r="E29" s="193"/>
      <c r="F29" s="179" t="s">
        <v>86</v>
      </c>
      <c r="G29" s="235"/>
      <c r="H29" s="363"/>
      <c r="I29" s="364"/>
      <c r="N29" t="str">
        <f t="array" ref="N29">IFERROR(
   INDEX($B$9:$B$50,
      SMALL(
         IF($B$9:$B$50&gt;"",ROW($B$9:$B$50)-MIN(ROW($B$9:$B$50))+1),
         ROWS($Z$1:Z8)
      )
   ),
"")</f>
        <v/>
      </c>
      <c r="O29" t="str">
        <f t="array" ref="O29">IFERROR(
   INDEX('[4]INFO-Ponderacion'!$C$9:$C$13,
      SMALL(
         IF('[4]INFO-Ponderacion'!$C$9:$C$13&lt;&gt;"",ROW('[4]INFO-Ponderacion'!$C$9:$C$13)-MIN(ROW('[4]INFO-Ponderacion'!$C$9:$C$13))+1),
         ROWS($Z$1:Z21)
      )
   ),
"")</f>
        <v/>
      </c>
      <c r="P29" t="str">
        <f t="array" ref="P29">IFERROR(
   INDEX('[4]INFO-Ponderacion'!$C$9:$C$13,
      SMALL(
         IF('[4]INFO-Ponderacion'!$C$9:$C$13&lt;&gt;"",ROW('[4]INFO-Ponderacion'!$C$9:$C$13)-MIN(ROW('[4]INFO-Ponderacion'!$C$9:$C$13))+1),
         ROWS($Z$1:Z21)
      )
   ),
"")</f>
        <v/>
      </c>
    </row>
    <row r="30" spans="2:16" ht="30" customHeight="1">
      <c r="B30" s="367"/>
      <c r="C30" s="368"/>
      <c r="D30" s="168" t="s">
        <v>87</v>
      </c>
      <c r="E30" s="193"/>
      <c r="F30" s="178" t="s">
        <v>84</v>
      </c>
      <c r="G30" s="232">
        <v>0</v>
      </c>
      <c r="H30" s="363"/>
      <c r="I30" s="364"/>
      <c r="N30" t="str">
        <f t="array" ref="N30">IFERROR(
   INDEX($B$9:$B$50,
      SMALL(
         IF($B$9:$B$50&gt;"",ROW($B$9:$B$50)-MIN(ROW($B$9:$B$50))+1),
         ROWS($Z$1:Z9)
      )
   ),
"")</f>
        <v/>
      </c>
      <c r="O30" t="str">
        <f t="array" ref="O30">IFERROR(
   INDEX('[4]INFO-Ponderacion'!$C$9:$C$13,
      SMALL(
         IF('[4]INFO-Ponderacion'!$C$9:$C$13&lt;&gt;"",ROW('[4]INFO-Ponderacion'!$C$9:$C$13)-MIN(ROW('[4]INFO-Ponderacion'!$C$9:$C$13))+1),
         ROWS($Z$1:Z22)
      )
   ),
"")</f>
        <v/>
      </c>
      <c r="P30" t="str">
        <f t="array" ref="P30">IFERROR(
   INDEX('[4]INFO-Ponderacion'!$C$9:$C$13,
      SMALL(
         IF('[4]INFO-Ponderacion'!$C$9:$C$13&lt;&gt;"",ROW('[4]INFO-Ponderacion'!$C$9:$C$13)-MIN(ROW('[4]INFO-Ponderacion'!$C$9:$C$13))+1),
         ROWS($Z$1:Z22)
      )
   ),
"")</f>
        <v/>
      </c>
    </row>
    <row r="31" spans="2:16" ht="30" customHeight="1">
      <c r="B31" s="367"/>
      <c r="C31" s="368"/>
      <c r="D31" s="168" t="s">
        <v>88</v>
      </c>
      <c r="E31" s="193"/>
      <c r="F31" s="178" t="s">
        <v>89</v>
      </c>
      <c r="G31" s="168">
        <f>168*12</f>
        <v>2016</v>
      </c>
      <c r="H31" s="363"/>
      <c r="I31" s="364"/>
      <c r="N31" t="str">
        <f t="array" ref="N31">IFERROR(
   INDEX($B$9:$B$50,
      SMALL(
         IF($B$9:$B$50&gt;"",ROW($B$9:$B$50)-MIN(ROW($B$9:$B$50))+1),
         ROWS($Z$1:Z10)
      )
   ),
"")</f>
        <v/>
      </c>
      <c r="O31" t="str">
        <f t="array" ref="O31">IFERROR(
   INDEX('[4]INFO-Ponderacion'!$C$9:$C$13,
      SMALL(
         IF('[4]INFO-Ponderacion'!$C$9:$C$13&lt;&gt;"",ROW('[4]INFO-Ponderacion'!$C$9:$C$13)-MIN(ROW('[4]INFO-Ponderacion'!$C$9:$C$13))+1),
         ROWS($Z$1:Z23)
      )
   ),
"")</f>
        <v/>
      </c>
      <c r="P31" t="str">
        <f t="array" ref="P31">IFERROR(
   INDEX('[4]INFO-Ponderacion'!$C$9:$C$13,
      SMALL(
         IF('[4]INFO-Ponderacion'!$C$9:$C$13&lt;&gt;"",ROW('[4]INFO-Ponderacion'!$C$9:$C$13)-MIN(ROW('[4]INFO-Ponderacion'!$C$9:$C$13))+1),
         ROWS($Z$1:Z23)
      )
   ),
"")</f>
        <v/>
      </c>
    </row>
    <row r="32" spans="2:16" ht="30" customHeight="1">
      <c r="B32" s="367"/>
      <c r="C32" s="368"/>
      <c r="D32" s="168" t="s">
        <v>90</v>
      </c>
      <c r="E32" s="193"/>
      <c r="F32" s="178" t="s">
        <v>91</v>
      </c>
      <c r="G32" s="233"/>
      <c r="H32" s="363"/>
      <c r="I32" s="364"/>
      <c r="N32" t="str">
        <f t="array" ref="N32">IFERROR(
   INDEX($B$9:$B$50,
      SMALL(
         IF($B$9:$B$50&gt;"",ROW($B$9:$B$50)-MIN(ROW($B$9:$B$50))+1),
         ROWS($Z$1:Z11)
      )
   ),
"")</f>
        <v/>
      </c>
      <c r="O32" t="str">
        <f t="array" ref="O32">IFERROR(
   INDEX('[4]INFO-Ponderacion'!$C$9:$C$13,
      SMALL(
         IF('[4]INFO-Ponderacion'!$C$9:$C$13&lt;&gt;"",ROW('[4]INFO-Ponderacion'!$C$9:$C$13)-MIN(ROW('[4]INFO-Ponderacion'!$C$9:$C$13))+1),
         ROWS($Z$1:Z24)
      )
   ),
"")</f>
        <v/>
      </c>
      <c r="P32" t="str">
        <f t="array" ref="P32">IFERROR(
   INDEX('[4]INFO-Ponderacion'!$C$9:$C$13,
      SMALL(
         IF('[4]INFO-Ponderacion'!$C$9:$C$13&lt;&gt;"",ROW('[4]INFO-Ponderacion'!$C$9:$C$13)-MIN(ROW('[4]INFO-Ponderacion'!$C$9:$C$13))+1),
         ROWS($Z$1:Z24)
      )
   ),
"")</f>
        <v/>
      </c>
    </row>
    <row r="33" spans="2:16" ht="30" customHeight="1">
      <c r="B33" s="367" t="s">
        <v>127</v>
      </c>
      <c r="C33" s="368" t="s">
        <v>82</v>
      </c>
      <c r="D33" s="168" t="s">
        <v>83</v>
      </c>
      <c r="E33" s="193"/>
      <c r="F33" s="178" t="s">
        <v>84</v>
      </c>
      <c r="G33" s="233"/>
      <c r="H33" s="363"/>
      <c r="I33" s="364"/>
      <c r="N33" t="str">
        <f t="array" ref="N33">IFERROR(
   INDEX($B$9:$B$50,
      SMALL(
         IF($B$9:$B$50&gt;"",ROW($B$9:$B$50)-MIN(ROW($B$9:$B$50))+1),
         ROWS($Z$1:Z12)
      )
   ),
"")</f>
        <v/>
      </c>
      <c r="O33" t="str">
        <f t="array" ref="O33">IFERROR(
   INDEX('[4]INFO-Ponderacion'!$C$9:$C$13,
      SMALL(
         IF('[4]INFO-Ponderacion'!$C$9:$C$13&lt;&gt;"",ROW('[4]INFO-Ponderacion'!$C$9:$C$13)-MIN(ROW('[4]INFO-Ponderacion'!$C$9:$C$13))+1),
         ROWS($Z$1:Z25)
      )
   ),
"")</f>
        <v/>
      </c>
      <c r="P33" t="str">
        <f t="array" ref="P33">IFERROR(
   INDEX('[4]INFO-Ponderacion'!$C$9:$C$13,
      SMALL(
         IF('[4]INFO-Ponderacion'!$C$9:$C$13&lt;&gt;"",ROW('[4]INFO-Ponderacion'!$C$9:$C$13)-MIN(ROW('[4]INFO-Ponderacion'!$C$9:$C$13))+1),
         ROWS($Z$1:Z25)
      )
   ),
"")</f>
        <v/>
      </c>
    </row>
    <row r="34" spans="2:16" ht="30" customHeight="1">
      <c r="B34" s="367"/>
      <c r="C34" s="368"/>
      <c r="D34" s="168" t="s">
        <v>108</v>
      </c>
      <c r="E34" s="193"/>
      <c r="F34" s="169" t="s">
        <v>109</v>
      </c>
      <c r="G34" s="234"/>
      <c r="H34" s="365"/>
      <c r="I34" s="366"/>
      <c r="N34" t="str">
        <f t="array" ref="N34">IFERROR(
   INDEX($B$9:$B$50,
      SMALL(
         IF($B$9:$B$50&gt;"",ROW($B$9:$B$50)-MIN(ROW($B$9:$B$50))+1),
         ROWS($Z$1:Z13)
      )
   ),
"")</f>
        <v/>
      </c>
      <c r="O34" t="str">
        <f t="array" ref="O34">IFERROR(
   INDEX('[4]INFO-Ponderacion'!$C$9:$C$13,
      SMALL(
         IF('[4]INFO-Ponderacion'!$C$9:$C$13&lt;&gt;"",ROW('[4]INFO-Ponderacion'!$C$9:$C$13)-MIN(ROW('[4]INFO-Ponderacion'!$C$9:$C$13))+1),
         ROWS($Z$1:Z26)
      )
   ),
"")</f>
        <v/>
      </c>
      <c r="P34" t="str">
        <f t="array" ref="P34">IFERROR(
   INDEX('[4]INFO-Ponderacion'!$C$9:$C$13,
      SMALL(
         IF('[4]INFO-Ponderacion'!$C$9:$C$13&lt;&gt;"",ROW('[4]INFO-Ponderacion'!$C$9:$C$13)-MIN(ROW('[4]INFO-Ponderacion'!$C$9:$C$13))+1),
         ROWS($Z$1:Z26)
      )
   ),
"")</f>
        <v/>
      </c>
    </row>
    <row r="35" spans="2:16" ht="30" customHeight="1">
      <c r="B35" s="367"/>
      <c r="C35" s="368"/>
      <c r="D35" s="168" t="s">
        <v>85</v>
      </c>
      <c r="E35" s="193"/>
      <c r="F35" s="179" t="s">
        <v>86</v>
      </c>
      <c r="G35" s="235"/>
      <c r="H35" s="363"/>
      <c r="I35" s="364"/>
      <c r="N35" t="str">
        <f t="array" ref="N35">IFERROR(
   INDEX($B$9:$B$50,
      SMALL(
         IF($B$9:$B$50&gt;"",ROW($B$9:$B$50)-MIN(ROW($B$9:$B$50))+1),
         ROWS($Z$1:Z14)
      )
   ),
"")</f>
        <v/>
      </c>
      <c r="O35" t="str">
        <f t="array" ref="O35">IFERROR(
   INDEX('[4]INFO-Ponderacion'!$C$9:$C$13,
      SMALL(
         IF('[4]INFO-Ponderacion'!$C$9:$C$13&lt;&gt;"",ROW('[4]INFO-Ponderacion'!$C$9:$C$13)-MIN(ROW('[4]INFO-Ponderacion'!$C$9:$C$13))+1),
         ROWS($Z$1:Z27)
      )
   ),
"")</f>
        <v/>
      </c>
      <c r="P35" t="str">
        <f t="array" ref="P35">IFERROR(
   INDEX('[4]INFO-Ponderacion'!$C$9:$C$13,
      SMALL(
         IF('[4]INFO-Ponderacion'!$C$9:$C$13&lt;&gt;"",ROW('[4]INFO-Ponderacion'!$C$9:$C$13)-MIN(ROW('[4]INFO-Ponderacion'!$C$9:$C$13))+1),
         ROWS($Z$1:Z27)
      )
   ),
"")</f>
        <v/>
      </c>
    </row>
    <row r="36" spans="2:16" ht="30" customHeight="1">
      <c r="B36" s="367"/>
      <c r="C36" s="368"/>
      <c r="D36" s="168" t="s">
        <v>87</v>
      </c>
      <c r="E36" s="193"/>
      <c r="F36" s="178" t="s">
        <v>84</v>
      </c>
      <c r="G36" s="232">
        <v>0</v>
      </c>
      <c r="H36" s="363"/>
      <c r="I36" s="364"/>
      <c r="N36" t="str">
        <f t="array" ref="N36">IFERROR(
   INDEX($B$9:$B$50,
      SMALL(
         IF($B$9:$B$50&gt;"",ROW($B$9:$B$50)-MIN(ROW($B$9:$B$50))+1),
         ROWS($Z$1:Z15)
      )
   ),
"")</f>
        <v/>
      </c>
      <c r="O36" t="str">
        <f t="array" ref="O36">IFERROR(
   INDEX('[4]INFO-Ponderacion'!$C$9:$C$13,
      SMALL(
         IF('[4]INFO-Ponderacion'!$C$9:$C$13&lt;&gt;"",ROW('[4]INFO-Ponderacion'!$C$9:$C$13)-MIN(ROW('[4]INFO-Ponderacion'!$C$9:$C$13))+1),
         ROWS($Z$1:Z28)
      )
   ),
"")</f>
        <v/>
      </c>
      <c r="P36" t="str">
        <f t="array" ref="P36">IFERROR(
   INDEX('[4]INFO-Ponderacion'!$C$9:$C$13,
      SMALL(
         IF('[4]INFO-Ponderacion'!$C$9:$C$13&lt;&gt;"",ROW('[4]INFO-Ponderacion'!$C$9:$C$13)-MIN(ROW('[4]INFO-Ponderacion'!$C$9:$C$13))+1),
         ROWS($Z$1:Z28)
      )
   ),
"")</f>
        <v/>
      </c>
    </row>
    <row r="37" spans="2:16" ht="30" customHeight="1">
      <c r="B37" s="367"/>
      <c r="C37" s="368"/>
      <c r="D37" s="168" t="s">
        <v>88</v>
      </c>
      <c r="E37" s="193"/>
      <c r="F37" s="178" t="s">
        <v>89</v>
      </c>
      <c r="G37" s="168">
        <f>168*12</f>
        <v>2016</v>
      </c>
      <c r="H37" s="363"/>
      <c r="I37" s="364"/>
      <c r="N37" t="str">
        <f t="array" ref="N37">IFERROR(
   INDEX($B$9:$B$50,
      SMALL(
         IF($B$9:$B$50&gt;"",ROW($B$9:$B$50)-MIN(ROW($B$9:$B$50))+1),
         ROWS($Z$1:Z16)
      )
   ),
"")</f>
        <v/>
      </c>
      <c r="O37" t="str">
        <f t="array" ref="O37">IFERROR(
   INDEX('[4]INFO-Ponderacion'!$C$9:$C$13,
      SMALL(
         IF('[4]INFO-Ponderacion'!$C$9:$C$13&lt;&gt;"",ROW('[4]INFO-Ponderacion'!$C$9:$C$13)-MIN(ROW('[4]INFO-Ponderacion'!$C$9:$C$13))+1),
         ROWS($Z$1:Z29)
      )
   ),
"")</f>
        <v/>
      </c>
      <c r="P37" t="str">
        <f t="array" ref="P37">IFERROR(
   INDEX('[4]INFO-Ponderacion'!$C$9:$C$13,
      SMALL(
         IF('[4]INFO-Ponderacion'!$C$9:$C$13&lt;&gt;"",ROW('[4]INFO-Ponderacion'!$C$9:$C$13)-MIN(ROW('[4]INFO-Ponderacion'!$C$9:$C$13))+1),
         ROWS($Z$1:Z29)
      )
   ),
"")</f>
        <v/>
      </c>
    </row>
    <row r="38" spans="2:16" ht="30" customHeight="1">
      <c r="B38" s="367"/>
      <c r="C38" s="368"/>
      <c r="D38" s="168" t="s">
        <v>90</v>
      </c>
      <c r="E38" s="193"/>
      <c r="F38" s="178" t="s">
        <v>91</v>
      </c>
      <c r="G38" s="233"/>
      <c r="H38" s="363"/>
      <c r="I38" s="364"/>
      <c r="N38" t="str">
        <f t="array" ref="N38">IFERROR(
   INDEX($B$9:$B$50,
      SMALL(
         IF($B$9:$B$50&gt;"",ROW($B$9:$B$50)-MIN(ROW($B$9:$B$50))+1),
         ROWS($Z$1:Z17)
      )
   ),
"")</f>
        <v/>
      </c>
      <c r="O38" t="str">
        <f t="array" ref="O38">IFERROR(
   INDEX('[4]INFO-Ponderacion'!$C$9:$C$13,
      SMALL(
         IF('[4]INFO-Ponderacion'!$C$9:$C$13&lt;&gt;"",ROW('[4]INFO-Ponderacion'!$C$9:$C$13)-MIN(ROW('[4]INFO-Ponderacion'!$C$9:$C$13))+1),
         ROWS($Z$1:Z30)
      )
   ),
"")</f>
        <v/>
      </c>
      <c r="P38" t="str">
        <f t="array" ref="P38">IFERROR(
   INDEX('[4]INFO-Ponderacion'!$C$9:$C$13,
      SMALL(
         IF('[4]INFO-Ponderacion'!$C$9:$C$13&lt;&gt;"",ROW('[4]INFO-Ponderacion'!$C$9:$C$13)-MIN(ROW('[4]INFO-Ponderacion'!$C$9:$C$13))+1),
         ROWS($Z$1:Z30)
      )
   ),
"")</f>
        <v/>
      </c>
    </row>
    <row r="39" spans="2:16" ht="30" customHeight="1">
      <c r="B39" s="367"/>
      <c r="C39" s="368" t="s">
        <v>82</v>
      </c>
      <c r="D39" s="168" t="s">
        <v>83</v>
      </c>
      <c r="E39" s="193"/>
      <c r="F39" s="178" t="s">
        <v>84</v>
      </c>
      <c r="G39" s="233"/>
      <c r="H39" s="363"/>
      <c r="I39" s="364"/>
      <c r="N39" t="str">
        <f t="array" ref="N39">IFERROR(
   INDEX($B$9:$B$50,
      SMALL(
         IF($B$9:$B$50&gt;"",ROW($B$9:$B$50)-MIN(ROW($B$9:$B$50))+1),
         ROWS($Z$1:Z18)
      )
   ),
"")</f>
        <v/>
      </c>
      <c r="O39" t="str">
        <f t="array" ref="O39">IFERROR(
   INDEX('[4]INFO-Ponderacion'!$C$9:$C$13,
      SMALL(
         IF('[4]INFO-Ponderacion'!$C$9:$C$13&lt;&gt;"",ROW('[4]INFO-Ponderacion'!$C$9:$C$13)-MIN(ROW('[4]INFO-Ponderacion'!$C$9:$C$13))+1),
         ROWS($Z$1:Z31)
      )
   ),
"")</f>
        <v/>
      </c>
      <c r="P39" t="str">
        <f t="array" ref="P39">IFERROR(
   INDEX('[4]INFO-Ponderacion'!$C$9:$C$13,
      SMALL(
         IF('[4]INFO-Ponderacion'!$C$9:$C$13&lt;&gt;"",ROW('[4]INFO-Ponderacion'!$C$9:$C$13)-MIN(ROW('[4]INFO-Ponderacion'!$C$9:$C$13))+1),
         ROWS($Z$1:Z31)
      )
   ),
"")</f>
        <v/>
      </c>
    </row>
    <row r="40" spans="2:16" ht="30" customHeight="1">
      <c r="B40" s="367"/>
      <c r="C40" s="368"/>
      <c r="D40" s="168" t="s">
        <v>108</v>
      </c>
      <c r="E40" s="193"/>
      <c r="F40" s="169" t="s">
        <v>109</v>
      </c>
      <c r="G40" s="234"/>
      <c r="H40" s="365"/>
      <c r="I40" s="366"/>
      <c r="N40" t="str">
        <f t="array" ref="N40">IFERROR(
   INDEX($B$9:$B$50,
      SMALL(
         IF($B$9:$B$50&gt;"",ROW($B$9:$B$50)-MIN(ROW($B$9:$B$50))+1),
         ROWS($Z$1:Z19)
      )
   ),
"")</f>
        <v/>
      </c>
      <c r="O40" t="str">
        <f t="array" ref="O40">IFERROR(
   INDEX('[4]INFO-Ponderacion'!$C$9:$C$13,
      SMALL(
         IF('[4]INFO-Ponderacion'!$C$9:$C$13&lt;&gt;"",ROW('[4]INFO-Ponderacion'!$C$9:$C$13)-MIN(ROW('[4]INFO-Ponderacion'!$C$9:$C$13))+1),
         ROWS($Z$1:Z32)
      )
   ),
"")</f>
        <v/>
      </c>
      <c r="P40" t="str">
        <f t="array" ref="P40">IFERROR(
   INDEX('[4]INFO-Ponderacion'!$C$9:$C$13,
      SMALL(
         IF('[4]INFO-Ponderacion'!$C$9:$C$13&lt;&gt;"",ROW('[4]INFO-Ponderacion'!$C$9:$C$13)-MIN(ROW('[4]INFO-Ponderacion'!$C$9:$C$13))+1),
         ROWS($Z$1:Z32)
      )
   ),
"")</f>
        <v/>
      </c>
    </row>
    <row r="41" spans="2:16" ht="30" customHeight="1">
      <c r="B41" s="367"/>
      <c r="C41" s="368"/>
      <c r="D41" s="168" t="s">
        <v>85</v>
      </c>
      <c r="E41" s="193"/>
      <c r="F41" s="179" t="s">
        <v>86</v>
      </c>
      <c r="G41" s="235"/>
      <c r="H41" s="363"/>
      <c r="I41" s="364"/>
      <c r="N41" t="str">
        <f t="array" ref="N41">IFERROR(
   INDEX($B$9:$B$50,
      SMALL(
         IF($B$9:$B$50&gt;"",ROW($B$9:$B$50)-MIN(ROW($B$9:$B$50))+1),
         ROWS($Z$1:Z20)
      )
   ),
"")</f>
        <v/>
      </c>
      <c r="O41" t="str">
        <f t="array" ref="O41">IFERROR(
   INDEX('[4]INFO-Ponderacion'!$C$9:$C$13,
      SMALL(
         IF('[4]INFO-Ponderacion'!$C$9:$C$13&lt;&gt;"",ROW('[4]INFO-Ponderacion'!$C$9:$C$13)-MIN(ROW('[4]INFO-Ponderacion'!$C$9:$C$13))+1),
         ROWS($Z$1:Z33)
      )
   ),
"")</f>
        <v/>
      </c>
      <c r="P41" t="str">
        <f t="array" ref="P41">IFERROR(
   INDEX('[4]INFO-Ponderacion'!$C$9:$C$13,
      SMALL(
         IF('[4]INFO-Ponderacion'!$C$9:$C$13&lt;&gt;"",ROW('[4]INFO-Ponderacion'!$C$9:$C$13)-MIN(ROW('[4]INFO-Ponderacion'!$C$9:$C$13))+1),
         ROWS($Z$1:Z33)
      )
   ),
"")</f>
        <v/>
      </c>
    </row>
    <row r="42" spans="2:16" ht="30" customHeight="1">
      <c r="B42" s="367"/>
      <c r="C42" s="368"/>
      <c r="D42" s="168" t="s">
        <v>87</v>
      </c>
      <c r="E42" s="193"/>
      <c r="F42" s="178" t="s">
        <v>84</v>
      </c>
      <c r="G42" s="232">
        <v>0</v>
      </c>
      <c r="H42" s="363"/>
      <c r="I42" s="364"/>
      <c r="N42" t="str">
        <f t="array" ref="N42">IFERROR(
   INDEX($B$9:$B$50,
      SMALL(
         IF($B$9:$B$50&gt;"",ROW($B$9:$B$50)-MIN(ROW($B$9:$B$50))+1),
         ROWS($Z$1:Z21)
      )
   ),
"")</f>
        <v/>
      </c>
      <c r="O42" t="str">
        <f t="array" ref="O42">IFERROR(
   INDEX('[4]INFO-Ponderacion'!$C$9:$C$13,
      SMALL(
         IF('[4]INFO-Ponderacion'!$C$9:$C$13&lt;&gt;"",ROW('[4]INFO-Ponderacion'!$C$9:$C$13)-MIN(ROW('[4]INFO-Ponderacion'!$C$9:$C$13))+1),
         ROWS($Z$1:Z34)
      )
   ),
"")</f>
        <v/>
      </c>
      <c r="P42" t="str">
        <f t="array" ref="P42">IFERROR(
   INDEX('[4]INFO-Ponderacion'!$C$9:$C$13,
      SMALL(
         IF('[4]INFO-Ponderacion'!$C$9:$C$13&lt;&gt;"",ROW('[4]INFO-Ponderacion'!$C$9:$C$13)-MIN(ROW('[4]INFO-Ponderacion'!$C$9:$C$13))+1),
         ROWS($Z$1:Z34)
      )
   ),
"")</f>
        <v/>
      </c>
    </row>
    <row r="43" spans="2:16" ht="30" customHeight="1">
      <c r="B43" s="367"/>
      <c r="C43" s="368"/>
      <c r="D43" s="168" t="s">
        <v>88</v>
      </c>
      <c r="E43" s="193"/>
      <c r="F43" s="178" t="s">
        <v>89</v>
      </c>
      <c r="G43" s="168">
        <f>168*12</f>
        <v>2016</v>
      </c>
      <c r="H43" s="363"/>
      <c r="I43" s="364"/>
      <c r="N43" t="str">
        <f t="array" ref="N43">IFERROR(
   INDEX($B$9:$B$50,
      SMALL(
         IF($B$9:$B$50&gt;"",ROW($B$9:$B$50)-MIN(ROW($B$9:$B$50))+1),
         ROWS($Z$1:Z22)
      )
   ),
"")</f>
        <v/>
      </c>
      <c r="O43" t="str">
        <f t="array" ref="O43">IFERROR(
   INDEX('[4]INFO-Ponderacion'!$C$9:$C$13,
      SMALL(
         IF('[4]INFO-Ponderacion'!$C$9:$C$13&lt;&gt;"",ROW('[4]INFO-Ponderacion'!$C$9:$C$13)-MIN(ROW('[4]INFO-Ponderacion'!$C$9:$C$13))+1),
         ROWS($Z$1:Z35)
      )
   ),
"")</f>
        <v/>
      </c>
      <c r="P43" t="str">
        <f t="array" ref="P43">IFERROR(
   INDEX('[4]INFO-Ponderacion'!$C$9:$C$13,
      SMALL(
         IF('[4]INFO-Ponderacion'!$C$9:$C$13&lt;&gt;"",ROW('[4]INFO-Ponderacion'!$C$9:$C$13)-MIN(ROW('[4]INFO-Ponderacion'!$C$9:$C$13))+1),
         ROWS($Z$1:Z35)
      )
   ),
"")</f>
        <v/>
      </c>
    </row>
    <row r="44" spans="2:16" ht="30" customHeight="1">
      <c r="B44" s="367"/>
      <c r="C44" s="368"/>
      <c r="D44" s="168" t="s">
        <v>90</v>
      </c>
      <c r="E44" s="193"/>
      <c r="F44" s="178" t="s">
        <v>91</v>
      </c>
      <c r="G44" s="233"/>
      <c r="H44" s="363"/>
      <c r="I44" s="364"/>
      <c r="N44" t="str">
        <f t="array" ref="N44">IFERROR(
   INDEX($B$9:$B$50,
      SMALL(
         IF($B$9:$B$50&gt;"",ROW($B$9:$B$50)-MIN(ROW($B$9:$B$50))+1),
         ROWS($Z$1:Z23)
      )
   ),
"")</f>
        <v/>
      </c>
      <c r="O44" t="str">
        <f t="array" ref="O44">IFERROR(
   INDEX('[4]INFO-Ponderacion'!$C$9:$C$13,
      SMALL(
         IF('[4]INFO-Ponderacion'!$C$9:$C$13&lt;&gt;"",ROW('[4]INFO-Ponderacion'!$C$9:$C$13)-MIN(ROW('[4]INFO-Ponderacion'!$C$9:$C$13))+1),
         ROWS($Z$1:Z36)
      )
   ),
"")</f>
        <v/>
      </c>
      <c r="P44" t="str">
        <f t="array" ref="P44">IFERROR(
   INDEX('[4]INFO-Ponderacion'!$C$9:$C$13,
      SMALL(
         IF('[4]INFO-Ponderacion'!$C$9:$C$13&lt;&gt;"",ROW('[4]INFO-Ponderacion'!$C$9:$C$13)-MIN(ROW('[4]INFO-Ponderacion'!$C$9:$C$13))+1),
         ROWS($Z$1:Z36)
      )
   ),
"")</f>
        <v/>
      </c>
    </row>
    <row r="45" spans="2:16" ht="30" customHeight="1">
      <c r="B45" s="367"/>
      <c r="C45" s="368" t="s">
        <v>82</v>
      </c>
      <c r="D45" s="168" t="s">
        <v>83</v>
      </c>
      <c r="E45" s="193"/>
      <c r="F45" s="178" t="s">
        <v>84</v>
      </c>
      <c r="G45" s="233"/>
      <c r="H45" s="363"/>
      <c r="I45" s="364"/>
      <c r="N45" t="str">
        <f t="array" ref="N45">IFERROR(
   INDEX($B$9:$B$50,
      SMALL(
         IF($B$9:$B$50&gt;"",ROW($B$9:$B$50)-MIN(ROW($B$9:$B$50))+1),
         ROWS($Z$1:Z24)
      )
   ),
"")</f>
        <v/>
      </c>
      <c r="O45" t="str">
        <f t="array" ref="O45">IFERROR(
   INDEX('[4]INFO-Ponderacion'!$C$9:$C$13,
      SMALL(
         IF('[4]INFO-Ponderacion'!$C$9:$C$13&lt;&gt;"",ROW('[4]INFO-Ponderacion'!$C$9:$C$13)-MIN(ROW('[4]INFO-Ponderacion'!$C$9:$C$13))+1),
         ROWS($Z$1:Z37)
      )
   ),
"")</f>
        <v/>
      </c>
      <c r="P45" t="str">
        <f t="array" ref="P45">IFERROR(
   INDEX('[4]INFO-Ponderacion'!$C$9:$C$13,
      SMALL(
         IF('[4]INFO-Ponderacion'!$C$9:$C$13&lt;&gt;"",ROW('[4]INFO-Ponderacion'!$C$9:$C$13)-MIN(ROW('[4]INFO-Ponderacion'!$C$9:$C$13))+1),
         ROWS($Z$1:Z37)
      )
   ),
"")</f>
        <v/>
      </c>
    </row>
    <row r="46" spans="2:16" ht="30" customHeight="1">
      <c r="B46" s="367"/>
      <c r="C46" s="368"/>
      <c r="D46" s="168" t="s">
        <v>108</v>
      </c>
      <c r="E46" s="193"/>
      <c r="F46" s="169" t="s">
        <v>109</v>
      </c>
      <c r="G46" s="234"/>
      <c r="H46" s="365"/>
      <c r="I46" s="366"/>
      <c r="N46" t="str">
        <f t="array" ref="N46">IFERROR(
   INDEX($B$9:$B$50,
      SMALL(
         IF($B$9:$B$50&gt;"",ROW($B$9:$B$50)-MIN(ROW($B$9:$B$50))+1),
         ROWS($Z$1:Z25)
      )
   ),
"")</f>
        <v/>
      </c>
      <c r="O46" t="str">
        <f t="array" ref="O46">IFERROR(
   INDEX('[4]INFO-Ponderacion'!$C$9:$C$13,
      SMALL(
         IF('[4]INFO-Ponderacion'!$C$9:$C$13&lt;&gt;"",ROW('[4]INFO-Ponderacion'!$C$9:$C$13)-MIN(ROW('[4]INFO-Ponderacion'!$C$9:$C$13))+1),
         ROWS($Z$1:Z38)
      )
   ),
"")</f>
        <v/>
      </c>
      <c r="P46" t="str">
        <f t="array" ref="P46">IFERROR(
   INDEX('[4]INFO-Ponderacion'!$C$9:$C$13,
      SMALL(
         IF('[4]INFO-Ponderacion'!$C$9:$C$13&lt;&gt;"",ROW('[4]INFO-Ponderacion'!$C$9:$C$13)-MIN(ROW('[4]INFO-Ponderacion'!$C$9:$C$13))+1),
         ROWS($Z$1:Z38)
      )
   ),
"")</f>
        <v/>
      </c>
    </row>
    <row r="47" spans="2:16" ht="30" customHeight="1">
      <c r="B47" s="367"/>
      <c r="C47" s="368"/>
      <c r="D47" s="168" t="s">
        <v>85</v>
      </c>
      <c r="E47" s="193"/>
      <c r="F47" s="179" t="s">
        <v>86</v>
      </c>
      <c r="G47" s="235"/>
      <c r="H47" s="363"/>
      <c r="I47" s="364"/>
      <c r="N47" t="str">
        <f t="array" ref="N47">IFERROR(
   INDEX($B$9:$B$50,
      SMALL(
         IF($B$9:$B$50&gt;"",ROW($B$9:$B$50)-MIN(ROW($B$9:$B$50))+1),
         ROWS($Z$1:Z26)
      )
   ),
"")</f>
        <v/>
      </c>
      <c r="O47" t="str">
        <f t="array" ref="O47">IFERROR(
   INDEX('[4]INFO-Ponderacion'!$C$9:$C$13,
      SMALL(
         IF('[4]INFO-Ponderacion'!$C$9:$C$13&lt;&gt;"",ROW('[4]INFO-Ponderacion'!$C$9:$C$13)-MIN(ROW('[4]INFO-Ponderacion'!$C$9:$C$13))+1),
         ROWS($Z$1:Z39)
      )
   ),
"")</f>
        <v/>
      </c>
      <c r="P47" t="str">
        <f t="array" ref="P47">IFERROR(
   INDEX('[4]INFO-Ponderacion'!$C$9:$C$13,
      SMALL(
         IF('[4]INFO-Ponderacion'!$C$9:$C$13&lt;&gt;"",ROW('[4]INFO-Ponderacion'!$C$9:$C$13)-MIN(ROW('[4]INFO-Ponderacion'!$C$9:$C$13))+1),
         ROWS($Z$1:Z39)
      )
   ),
"")</f>
        <v/>
      </c>
    </row>
    <row r="48" spans="2:16" ht="30" customHeight="1">
      <c r="B48" s="367"/>
      <c r="C48" s="368"/>
      <c r="D48" s="168" t="s">
        <v>87</v>
      </c>
      <c r="E48" s="193"/>
      <c r="F48" s="178" t="s">
        <v>84</v>
      </c>
      <c r="G48" s="232">
        <v>0</v>
      </c>
      <c r="H48" s="363"/>
      <c r="I48" s="364"/>
      <c r="N48" t="str">
        <f t="array" ref="N48">IFERROR(
   INDEX($B$9:$B$50,
      SMALL(
         IF($B$9:$B$50&gt;"",ROW($B$9:$B$50)-MIN(ROW($B$9:$B$50))+1),
         ROWS($Z$1:Z27)
      )
   ),
"")</f>
        <v/>
      </c>
      <c r="O48" t="str">
        <f t="array" ref="O48">IFERROR(
   INDEX('[4]INFO-Ponderacion'!$C$9:$C$13,
      SMALL(
         IF('[4]INFO-Ponderacion'!$C$9:$C$13&lt;&gt;"",ROW('[4]INFO-Ponderacion'!$C$9:$C$13)-MIN(ROW('[4]INFO-Ponderacion'!$C$9:$C$13))+1),
         ROWS($Z$1:Z40)
      )
   ),
"")</f>
        <v/>
      </c>
      <c r="P48" t="str">
        <f t="array" ref="P48">IFERROR(
   INDEX('[4]INFO-Ponderacion'!$C$9:$C$13,
      SMALL(
         IF('[4]INFO-Ponderacion'!$C$9:$C$13&lt;&gt;"",ROW('[4]INFO-Ponderacion'!$C$9:$C$13)-MIN(ROW('[4]INFO-Ponderacion'!$C$9:$C$13))+1),
         ROWS($Z$1:Z40)
      )
   ),
"")</f>
        <v/>
      </c>
    </row>
    <row r="49" spans="2:16" ht="30" customHeight="1">
      <c r="B49" s="367"/>
      <c r="C49" s="368"/>
      <c r="D49" s="168" t="s">
        <v>88</v>
      </c>
      <c r="E49" s="193"/>
      <c r="F49" s="178" t="s">
        <v>89</v>
      </c>
      <c r="G49" s="168">
        <f>168*12</f>
        <v>2016</v>
      </c>
      <c r="H49" s="363"/>
      <c r="I49" s="364"/>
      <c r="N49" t="str">
        <f t="array" ref="N49">IFERROR(
   INDEX($B$9:$B$50,
      SMALL(
         IF($B$9:$B$50&gt;"",ROW($B$9:$B$50)-MIN(ROW($B$9:$B$50))+1),
         ROWS($Z$1:Z28)
      )
   ),
"")</f>
        <v/>
      </c>
      <c r="O49" t="str">
        <f t="array" ref="O49">IFERROR(
   INDEX('[4]INFO-Ponderacion'!$C$9:$C$13,
      SMALL(
         IF('[4]INFO-Ponderacion'!$C$9:$C$13&lt;&gt;"",ROW('[4]INFO-Ponderacion'!$C$9:$C$13)-MIN(ROW('[4]INFO-Ponderacion'!$C$9:$C$13))+1),
         ROWS($Z$1:Z41)
      )
   ),
"")</f>
        <v/>
      </c>
      <c r="P49" t="str">
        <f t="array" ref="P49">IFERROR(
   INDEX('[4]INFO-Ponderacion'!$C$9:$C$13,
      SMALL(
         IF('[4]INFO-Ponderacion'!$C$9:$C$13&lt;&gt;"",ROW('[4]INFO-Ponderacion'!$C$9:$C$13)-MIN(ROW('[4]INFO-Ponderacion'!$C$9:$C$13))+1),
         ROWS($Z$1:Z41)
      )
   ),
"")</f>
        <v/>
      </c>
    </row>
    <row r="50" spans="2:16" ht="30" customHeight="1">
      <c r="B50" s="367"/>
      <c r="C50" s="368"/>
      <c r="D50" s="168" t="s">
        <v>90</v>
      </c>
      <c r="E50" s="193"/>
      <c r="F50" s="178" t="s">
        <v>91</v>
      </c>
      <c r="G50" s="233"/>
      <c r="H50" s="363"/>
      <c r="I50" s="364"/>
      <c r="N50" t="str">
        <f t="array" ref="N50">IFERROR(
   INDEX($B$9:$B$50,
      SMALL(
         IF($B$9:$B$50&gt;"",ROW($B$9:$B$50)-MIN(ROW($B$9:$B$50))+1),
         ROWS($Z$1:Z29)
      )
   ),
"")</f>
        <v/>
      </c>
      <c r="O50" t="str">
        <f t="array" ref="O50">IFERROR(
   INDEX('[4]INFO-Ponderacion'!$C$9:$C$13,
      SMALL(
         IF('[4]INFO-Ponderacion'!$C$9:$C$13&lt;&gt;"",ROW('[4]INFO-Ponderacion'!$C$9:$C$13)-MIN(ROW('[4]INFO-Ponderacion'!$C$9:$C$13))+1),
         ROWS($Z$1:Z42)
      )
   ),
"")</f>
        <v/>
      </c>
      <c r="P50" t="str">
        <f t="array" ref="P50">IFERROR(
   INDEX('[4]INFO-Ponderacion'!$C$9:$C$13,
      SMALL(
         IF('[4]INFO-Ponderacion'!$C$9:$C$13&lt;&gt;"",ROW('[4]INFO-Ponderacion'!$C$9:$C$13)-MIN(ROW('[4]INFO-Ponderacion'!$C$9:$C$13))+1),
         ROWS($Z$1:Z42)
      )
   ),
"")</f>
        <v/>
      </c>
    </row>
    <row r="51" spans="2:16" ht="30" customHeight="1">
      <c r="B51" s="126"/>
      <c r="C51" s="127"/>
      <c r="D51" s="127"/>
      <c r="E51" s="127"/>
      <c r="F51" s="69"/>
      <c r="G51" s="71"/>
      <c r="H51" s="127"/>
      <c r="I51" s="128"/>
      <c r="N51" t="str">
        <f t="array" ref="N51">IFERROR(
   INDEX($B$9:$B$50,
      SMALL(
         IF($B$9:$B$50&gt;"",ROW($B$9:$B$50)-MIN(ROW($B$9:$B$50))+1),
         ROWS($Z$1:Z30)
      )
   ),
"")</f>
        <v/>
      </c>
      <c r="P51" t="str">
        <f t="array" ref="P51">IFERROR(
   INDEX('[4]INFO-Ponderacion'!$C$9:$C$13,
      SMALL(
         IF('[4]INFO-Ponderacion'!$C$9:$C$13&lt;&gt;"",ROW('[4]INFO-Ponderacion'!$C$9:$C$13)-MIN(ROW('[4]INFO-Ponderacion'!$C$9:$C$13))+1),
         ROWS($Z$1:Z43)
      )
   ),
"")</f>
        <v/>
      </c>
    </row>
    <row r="52" spans="2:16" ht="30" customHeight="1">
      <c r="B52" s="68"/>
      <c r="C52" s="69"/>
      <c r="D52" s="349"/>
      <c r="E52" s="349"/>
      <c r="F52" s="71"/>
      <c r="G52" s="71"/>
      <c r="H52" s="72"/>
      <c r="I52" s="67"/>
      <c r="N52" t="str">
        <f t="array" ref="N52">IFERROR(
   INDEX($B$9:$B$50,
      SMALL(
         IF($B$9:$B$50&gt;"",ROW($B$9:$B$50)-MIN(ROW($B$9:$B$50))+1),
         ROWS($Z$1:Z31)
      )
   ),
"")</f>
        <v/>
      </c>
      <c r="P52" t="str">
        <f t="array" ref="P52">IFERROR(
   INDEX('[4]INFO-Ponderacion'!$C$9:$C$13,
      SMALL(
         IF('[4]INFO-Ponderacion'!$C$9:$C$13&lt;&gt;"",ROW('[4]INFO-Ponderacion'!$C$9:$C$13)-MIN(ROW('[4]INFO-Ponderacion'!$C$9:$C$13))+1),
         ROWS($Z$1:Z44)
      )
   ),
"")</f>
        <v/>
      </c>
    </row>
    <row r="53" spans="2:16" ht="30" customHeight="1">
      <c r="B53" s="91" t="s">
        <v>31</v>
      </c>
      <c r="C53" s="350"/>
      <c r="D53" s="350"/>
      <c r="E53" s="92" t="s">
        <v>32</v>
      </c>
      <c r="F53" s="357"/>
      <c r="G53" s="357"/>
      <c r="H53" s="62"/>
      <c r="I53" s="93"/>
      <c r="N53" t="str">
        <f t="array" ref="N53">IFERROR(
   INDEX($B$9:$B$50,
      SMALL(
         IF($B$9:$B$50&gt;"",ROW($B$9:$B$50)-MIN(ROW($B$9:$B$50))+1),
         ROWS($Z$1:Z32)
      )
   ),
"")</f>
        <v/>
      </c>
      <c r="P53" t="str">
        <f t="array" ref="P53">IFERROR(
   INDEX('[4]INFO-Ponderacion'!$C$9:$C$13,
      SMALL(
         IF('[4]INFO-Ponderacion'!$C$9:$C$13&lt;&gt;"",ROW('[4]INFO-Ponderacion'!$C$9:$C$13)-MIN(ROW('[4]INFO-Ponderacion'!$C$9:$C$13))+1),
         ROWS($Z$1:Z45)
      )
   ),
"")</f>
        <v/>
      </c>
    </row>
    <row r="54" spans="2:16" ht="30" customHeight="1" thickBot="1">
      <c r="B54" s="96"/>
      <c r="C54" s="98"/>
      <c r="D54" s="98"/>
      <c r="E54" s="98"/>
      <c r="F54" s="345"/>
      <c r="G54" s="345"/>
      <c r="H54" s="99"/>
      <c r="I54" s="100"/>
      <c r="N54" t="str">
        <f t="array" ref="N54">IFERROR(
   INDEX($B$9:$B$50,
      SMALL(
         IF($B$9:$B$50&gt;"",ROW($B$9:$B$50)-MIN(ROW($B$9:$B$50))+1),
         ROWS($Z$1:Z33)
      )
   ),
"")</f>
        <v/>
      </c>
      <c r="P54" t="str">
        <f t="array" ref="P54">IFERROR(
   INDEX('[4]INFO-Ponderacion'!$C$9:$C$13,
      SMALL(
         IF('[4]INFO-Ponderacion'!$C$9:$C$13&lt;&gt;"",ROW('[4]INFO-Ponderacion'!$C$9:$C$13)-MIN(ROW('[4]INFO-Ponderacion'!$C$9:$C$13))+1),
         ROWS($Z$1:Z46)
      )
   ),
"")</f>
        <v/>
      </c>
    </row>
    <row r="55" spans="2:16" ht="30" customHeight="1">
      <c r="B55" s="43"/>
      <c r="C55" s="43"/>
      <c r="D55" s="101"/>
      <c r="E55" s="101"/>
      <c r="F55" s="101"/>
      <c r="G55" s="101"/>
      <c r="H55" s="101"/>
      <c r="I55" s="102"/>
    </row>
    <row r="56" spans="2:16" ht="30" customHeight="1">
      <c r="B56" s="43"/>
    </row>
    <row r="57" spans="2:16" ht="30" customHeight="1">
      <c r="B57" s="43"/>
    </row>
    <row r="58" spans="2:16" ht="30" customHeight="1">
      <c r="B58" s="43"/>
      <c r="C58" s="43"/>
    </row>
    <row r="59" spans="2:16" ht="30" customHeight="1">
      <c r="B59" s="43"/>
      <c r="C59" s="43"/>
    </row>
    <row r="60" spans="2:16" ht="30" customHeight="1">
      <c r="B60" s="43"/>
      <c r="C60" s="43"/>
    </row>
    <row r="61" spans="2:16" ht="30" customHeight="1">
      <c r="B61" s="43"/>
      <c r="C61" s="43"/>
    </row>
    <row r="62" spans="2:16" ht="30" customHeight="1">
      <c r="B62" s="43"/>
      <c r="C62" s="43"/>
    </row>
    <row r="63" spans="2:16" ht="30" customHeight="1">
      <c r="B63" s="43"/>
      <c r="C63" s="43"/>
    </row>
    <row r="66" spans="3:3" ht="30" customHeight="1">
      <c r="C66" s="45"/>
    </row>
  </sheetData>
  <sheetProtection selectLockedCells="1"/>
  <mergeCells count="64">
    <mergeCell ref="D52:E52"/>
    <mergeCell ref="C53:D53"/>
    <mergeCell ref="F53:G53"/>
    <mergeCell ref="F54:G54"/>
    <mergeCell ref="C45:C50"/>
    <mergeCell ref="B39:B44"/>
    <mergeCell ref="C39:C44"/>
    <mergeCell ref="H39:I39"/>
    <mergeCell ref="H41:I41"/>
    <mergeCell ref="H42:I42"/>
    <mergeCell ref="H43:I43"/>
    <mergeCell ref="H44:I44"/>
    <mergeCell ref="H40:I40"/>
    <mergeCell ref="H45:I45"/>
    <mergeCell ref="B45:B50"/>
    <mergeCell ref="H47:I47"/>
    <mergeCell ref="H48:I48"/>
    <mergeCell ref="H49:I49"/>
    <mergeCell ref="H50:I50"/>
    <mergeCell ref="H46:I46"/>
    <mergeCell ref="B27:B32"/>
    <mergeCell ref="C27:C32"/>
    <mergeCell ref="H27:I27"/>
    <mergeCell ref="H29:I29"/>
    <mergeCell ref="H30:I30"/>
    <mergeCell ref="H31:I31"/>
    <mergeCell ref="H32:I32"/>
    <mergeCell ref="H28:I28"/>
    <mergeCell ref="B33:B38"/>
    <mergeCell ref="C33:C38"/>
    <mergeCell ref="H33:I33"/>
    <mergeCell ref="H35:I35"/>
    <mergeCell ref="H36:I36"/>
    <mergeCell ref="H37:I37"/>
    <mergeCell ref="H38:I38"/>
    <mergeCell ref="H34:I34"/>
    <mergeCell ref="B15:B20"/>
    <mergeCell ref="C15:C20"/>
    <mergeCell ref="H15:I15"/>
    <mergeCell ref="H17:I17"/>
    <mergeCell ref="H18:I18"/>
    <mergeCell ref="H19:I19"/>
    <mergeCell ref="H20:I20"/>
    <mergeCell ref="H16:I16"/>
    <mergeCell ref="B21:B26"/>
    <mergeCell ref="C21:C26"/>
    <mergeCell ref="H21:I21"/>
    <mergeCell ref="H23:I23"/>
    <mergeCell ref="H24:I24"/>
    <mergeCell ref="H25:I25"/>
    <mergeCell ref="H26:I26"/>
    <mergeCell ref="H22:I22"/>
    <mergeCell ref="E3:F3"/>
    <mergeCell ref="E5:F5"/>
    <mergeCell ref="E6:F6"/>
    <mergeCell ref="H8:I8"/>
    <mergeCell ref="B9:B14"/>
    <mergeCell ref="C9:C14"/>
    <mergeCell ref="H9:I9"/>
    <mergeCell ref="H11:I11"/>
    <mergeCell ref="H12:I12"/>
    <mergeCell ref="H13:I13"/>
    <mergeCell ref="H14:I14"/>
    <mergeCell ref="H10:I10"/>
  </mergeCells>
  <dataValidations disablePrompts="1" count="2">
    <dataValidation allowBlank="1" showInputMessage="1" showErrorMessage="1" prompt="Escriba comentarios en las celdas de la derecha." sqref="C66"/>
    <dataValidation allowBlank="1" showInputMessage="1" showErrorMessage="1" prompt="Escriba el departamento del empleado en la celda de la derecha." sqref="B63:C63"/>
  </dataValidations>
  <printOptions horizontalCentered="1" verticalCentered="1"/>
  <pageMargins left="0.4" right="0.4" top="0.4" bottom="0.4" header="0.3" footer="0.3"/>
  <pageSetup paperSize="9" scale="19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51</xdr:row>
                    <xdr:rowOff>352425</xdr:rowOff>
                  </from>
                  <to>
                    <xdr:col>1</xdr:col>
                    <xdr:colOff>1752600</xdr:colOff>
                    <xdr:row>53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70C0"/>
    <pageSetUpPr autoPageBreaks="0" fitToPage="1"/>
  </sheetPr>
  <dimension ref="B1:M61"/>
  <sheetViews>
    <sheetView showGridLines="0" topLeftCell="A10" zoomScale="80" zoomScaleNormal="80" workbookViewId="0">
      <selection activeCell="F25" sqref="F25"/>
    </sheetView>
  </sheetViews>
  <sheetFormatPr baseColWidth="10" defaultColWidth="9.140625" defaultRowHeight="30" customHeight="1"/>
  <cols>
    <col min="1" max="1" width="2.7109375" style="129" customWidth="1"/>
    <col min="2" max="2" width="26.7109375" style="129" customWidth="1"/>
    <col min="3" max="3" width="33.28515625" style="129" bestFit="1" customWidth="1"/>
    <col min="4" max="4" width="33.140625" style="129" bestFit="1" customWidth="1"/>
    <col min="5" max="5" width="20.5703125" style="129" customWidth="1"/>
    <col min="6" max="6" width="16.5703125" style="129" bestFit="1" customWidth="1"/>
    <col min="7" max="7" width="19.7109375" style="129" bestFit="1" customWidth="1"/>
    <col min="8" max="8" width="15.28515625" style="129" customWidth="1"/>
    <col min="9" max="10" width="17" style="129" customWidth="1"/>
    <col min="11" max="11" width="28.42578125" style="129" customWidth="1"/>
    <col min="12" max="12" width="20.7109375" style="129" customWidth="1"/>
    <col min="13" max="13" width="2.7109375" style="129" customWidth="1"/>
    <col min="14" max="16384" width="9.140625" style="129"/>
  </cols>
  <sheetData>
    <row r="1" spans="2:13" ht="12" customHeight="1" thickBot="1"/>
    <row r="2" spans="2:13" ht="30" customHeight="1">
      <c r="B2" s="2" t="s">
        <v>92</v>
      </c>
      <c r="C2" s="4"/>
      <c r="D2" s="5"/>
      <c r="E2" s="5"/>
      <c r="F2" s="5"/>
      <c r="G2" s="5"/>
      <c r="H2" s="5"/>
      <c r="I2" s="5"/>
      <c r="J2" s="5"/>
      <c r="K2" s="5"/>
      <c r="L2" s="6"/>
    </row>
    <row r="3" spans="2:13" ht="30" customHeight="1">
      <c r="B3" s="7" t="s">
        <v>93</v>
      </c>
      <c r="C3" s="373" t="s">
        <v>102</v>
      </c>
      <c r="D3" s="373"/>
      <c r="E3" s="9" t="s">
        <v>3</v>
      </c>
      <c r="F3" s="336">
        <f ca="1">TODAY()</f>
        <v>46017</v>
      </c>
      <c r="G3" s="336"/>
      <c r="H3" s="9" t="s">
        <v>62</v>
      </c>
      <c r="I3" s="119">
        <f>'INFO-Direc'!H3</f>
        <v>1505</v>
      </c>
      <c r="J3" s="171"/>
      <c r="K3" s="172"/>
      <c r="L3" s="173"/>
      <c r="M3" s="174"/>
    </row>
    <row r="4" spans="2:13" ht="30" customHeight="1">
      <c r="B4" s="7" t="s">
        <v>94</v>
      </c>
      <c r="C4" s="175">
        <f>IFERROR(INDEX('INFO-OEE'!E17:CA17,
       MATCH(C3, 'INFO-OEE'!E9:CA9, 0)),"")</f>
        <v>0.8</v>
      </c>
      <c r="D4" s="176"/>
      <c r="E4" s="1"/>
      <c r="F4" s="1"/>
      <c r="G4" s="1"/>
      <c r="H4" s="9"/>
      <c r="I4" s="10"/>
      <c r="J4" s="171"/>
      <c r="K4" s="172"/>
      <c r="L4" s="177"/>
      <c r="M4" s="138"/>
    </row>
    <row r="5" spans="2:13" ht="30" customHeight="1">
      <c r="B5" s="14" t="s">
        <v>4</v>
      </c>
      <c r="C5" s="15"/>
      <c r="D5" s="16"/>
      <c r="E5" s="16"/>
      <c r="F5" s="16"/>
      <c r="G5" s="16"/>
      <c r="H5" s="16"/>
      <c r="I5" s="16"/>
      <c r="J5" s="16"/>
      <c r="K5" s="16"/>
      <c r="L5" s="17"/>
    </row>
    <row r="6" spans="2:13" ht="30" customHeight="1">
      <c r="B6" s="18" t="s">
        <v>5</v>
      </c>
      <c r="C6" s="374"/>
      <c r="D6" s="374"/>
      <c r="E6" s="20" t="s">
        <v>7</v>
      </c>
      <c r="F6" s="374"/>
      <c r="G6" s="374"/>
      <c r="H6" s="16"/>
      <c r="I6" s="16"/>
      <c r="J6" s="16"/>
      <c r="K6" s="25"/>
      <c r="L6" s="21"/>
    </row>
    <row r="7" spans="2:13" ht="30" customHeight="1">
      <c r="B7" s="18" t="s">
        <v>9</v>
      </c>
      <c r="C7" s="374"/>
      <c r="D7" s="374"/>
      <c r="E7" s="20" t="s">
        <v>35</v>
      </c>
      <c r="F7" s="375"/>
      <c r="G7" s="375"/>
      <c r="H7" s="16"/>
      <c r="I7" s="16"/>
      <c r="J7" s="16"/>
      <c r="K7" s="25"/>
      <c r="L7" s="21"/>
    </row>
    <row r="8" spans="2:13" ht="30" customHeight="1" thickBot="1">
      <c r="B8" s="22"/>
      <c r="C8" s="23"/>
      <c r="D8" s="24"/>
      <c r="E8" s="24"/>
      <c r="F8" s="25"/>
      <c r="G8" s="25"/>
      <c r="H8" s="26"/>
      <c r="I8" s="26"/>
      <c r="J8" s="26"/>
      <c r="K8" s="25"/>
      <c r="L8" s="21"/>
    </row>
    <row r="9" spans="2:13" ht="30" customHeight="1" thickBot="1">
      <c r="B9" s="185" t="s">
        <v>36</v>
      </c>
      <c r="C9" s="186" t="s">
        <v>63</v>
      </c>
      <c r="D9" s="186" t="s">
        <v>64</v>
      </c>
      <c r="E9" s="186" t="s">
        <v>65</v>
      </c>
      <c r="F9" s="186" t="s">
        <v>66</v>
      </c>
      <c r="G9" s="186" t="s">
        <v>67</v>
      </c>
      <c r="H9" s="304" t="s">
        <v>68</v>
      </c>
      <c r="I9" s="304"/>
      <c r="J9" s="304"/>
      <c r="K9" s="304"/>
      <c r="L9" s="187" t="s">
        <v>95</v>
      </c>
    </row>
    <row r="10" spans="2:13" ht="30" customHeight="1">
      <c r="B10" s="382" t="s">
        <v>69</v>
      </c>
      <c r="C10" s="385" t="s">
        <v>70</v>
      </c>
      <c r="D10" s="241" t="s">
        <v>122</v>
      </c>
      <c r="E10" s="201"/>
      <c r="F10" s="202" t="str">
        <f>IF(D10="","","kW")</f>
        <v>kW</v>
      </c>
      <c r="G10" s="203">
        <f>IF(D10="","",IFERROR(INDEX('[4]INFO-Consumo'!$F$9:$F$95,
       MATCH(D10, '[4]INFO-Consumo'!$D$9:$D$95, 0)),""))</f>
        <v>20</v>
      </c>
      <c r="H10" s="369"/>
      <c r="I10" s="370"/>
      <c r="J10" s="370"/>
      <c r="K10" s="371"/>
      <c r="L10" s="388">
        <f ca="1">IF(
   (
     IF(ISNUMBER(G10)*ISNUMBER(G11), G10*G11, 0)
     * IF(ISNUMBER(G13), G13, 0)
     + IF(ISNUMBER(G12)*ISNUMBER(#REF!), G12*#REF!, 0)
     * IF(ISNUMBER(G13), G13, 0)
     + IF(ISNUMBER(G14), G14, 0)
     + IF(ISNUMBER(G15), G15, 0)
   ) = 0,
   "",
   (
     IF(ISNUMBER(G10)*ISNUMBER(G11), G10*G11, 0)
     * IF(ISNUMBER(G13), G13, 0)
     + IF(ISNUMBER(G12)*ISNUMBER(#REF!), G12*#REF!, 0)
     * IF(ISNUMBER(G13), G13, 0)
     + IF(ISNUMBER(G14), G14, 0)
     + IF(ISNUMBER(G15), G15, 0)
   )
)</f>
        <v>1.2304574074669219</v>
      </c>
    </row>
    <row r="11" spans="2:13" ht="30" customHeight="1">
      <c r="B11" s="383"/>
      <c r="C11" s="386"/>
      <c r="D11" s="204" t="str">
        <f>IF(D10="", "Seleccionar Maquinaria ↑", "Carga Promedio de Uso de " &amp; D10)</f>
        <v>Carga Promedio de Uso de Order Picker Crown 45RRTT</v>
      </c>
      <c r="E11" s="205"/>
      <c r="F11" s="206" t="str">
        <f>IF(ISERROR(FIND("Seleccionar", D11)), "%", "")</f>
        <v>%</v>
      </c>
      <c r="G11" s="272">
        <f>IF(D10="","",IFERROR(
    INDEX('[4]INFO-Consumo'!I:I,
           MATCH(D10, '[4]INFO-Consumo'!D:D, 0)
    ),
""))</f>
        <v>0.6</v>
      </c>
      <c r="H11" s="372"/>
      <c r="I11" s="372"/>
      <c r="J11" s="372"/>
      <c r="K11" s="372"/>
      <c r="L11" s="377"/>
    </row>
    <row r="12" spans="2:13" ht="30" customHeight="1">
      <c r="B12" s="383"/>
      <c r="C12" s="386"/>
      <c r="D12" s="242" t="s">
        <v>145</v>
      </c>
      <c r="E12" s="205"/>
      <c r="F12" s="206" t="str">
        <f>IF(D12="","","kW")</f>
        <v>kW</v>
      </c>
      <c r="G12" s="207">
        <f>IFERROR(INDEX('[4]INFO-Ponderacion'!$S$9:$S$13,
       MATCH(D12,'[4]INFO-Ponderacion'!$C$9:$C$13, 0)),"")</f>
        <v>0.44999999999999996</v>
      </c>
      <c r="H12" s="208"/>
      <c r="I12" s="209"/>
      <c r="J12" s="209"/>
      <c r="K12" s="210"/>
      <c r="L12" s="377"/>
    </row>
    <row r="13" spans="2:13" ht="30" customHeight="1">
      <c r="B13" s="383"/>
      <c r="C13" s="386"/>
      <c r="D13" s="204" t="str">
        <f>IF(D12="", "Seleccionar Area ↑", "Tarifa Electrica ")</f>
        <v xml:space="preserve">Tarifa Electrica </v>
      </c>
      <c r="E13" s="205"/>
      <c r="F13" s="206" t="str">
        <f>IF(D12="","","$/kWh")</f>
        <v>$/kWh</v>
      </c>
      <c r="G13" s="211">
        <f>IF(D12="","",'INFO-Direc'!$G$9)</f>
        <v>5.2613958629577628E-2</v>
      </c>
      <c r="H13" s="372"/>
      <c r="I13" s="372"/>
      <c r="J13" s="372"/>
      <c r="K13" s="372"/>
      <c r="L13" s="377"/>
    </row>
    <row r="14" spans="2:13" ht="30" customHeight="1">
      <c r="B14" s="383"/>
      <c r="C14" s="386"/>
      <c r="D14" s="212" t="str">
        <f>IF(D12="", "Seleccionar Area ↑", "Costo Electrico Fijo de " &amp; D12)</f>
        <v>Costo Electrico Fijo de Depósito</v>
      </c>
      <c r="E14" s="205"/>
      <c r="F14" s="206" t="str">
        <f>IF(D12="","","$/h")</f>
        <v>$/h</v>
      </c>
      <c r="G14" s="211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0.59908990391199035</v>
      </c>
      <c r="H14" s="379"/>
      <c r="I14" s="380"/>
      <c r="J14" s="380"/>
      <c r="K14" s="381"/>
      <c r="L14" s="377"/>
    </row>
    <row r="15" spans="2:13" ht="30" customHeight="1">
      <c r="B15" s="384"/>
      <c r="C15" s="387"/>
      <c r="D15" s="212" t="s">
        <v>90</v>
      </c>
      <c r="E15" s="213"/>
      <c r="F15" s="206" t="str">
        <f>IF(D12="","","$/h")</f>
        <v>$/h</v>
      </c>
      <c r="G15" s="244"/>
      <c r="H15" s="379"/>
      <c r="I15" s="380"/>
      <c r="J15" s="380"/>
      <c r="K15" s="381"/>
      <c r="L15" s="378"/>
    </row>
    <row r="16" spans="2:13" ht="30" customHeight="1">
      <c r="B16" s="389" t="s">
        <v>71</v>
      </c>
      <c r="C16" s="390" t="s">
        <v>70</v>
      </c>
      <c r="D16" s="242"/>
      <c r="E16" s="205"/>
      <c r="F16" s="206" t="str">
        <f>IF(D16="","","$/L")</f>
        <v/>
      </c>
      <c r="G16" s="211" t="str">
        <f>IFERROR(INDEX('INFO-Direc'!$G$9:$G$25,
       MATCH(D16, 'INFO-Direc'!$D$9:$D$25, 0)),"")</f>
        <v/>
      </c>
      <c r="H16" s="372"/>
      <c r="I16" s="372"/>
      <c r="J16" s="372"/>
      <c r="K16" s="372"/>
      <c r="L16" s="376" t="str">
        <f>IF(AND(D16="", D18=""), "",
    IFERROR(
        IFERROR(G16*G17,0)
        + IFERROR(G18*G19,0)
        + IFERROR(G20,0),
    "")
)</f>
        <v/>
      </c>
    </row>
    <row r="17" spans="2:12" ht="30" customHeight="1">
      <c r="B17" s="383"/>
      <c r="C17" s="391"/>
      <c r="D17" s="204" t="str">
        <f>IF(D16="", "Seleccionar Lubricante ↑", "Consumo de " &amp; D16)</f>
        <v>Seleccionar Lubricante ↑</v>
      </c>
      <c r="E17" s="205"/>
      <c r="F17" s="206" t="str">
        <f>IF(ISERROR(FIND("Seleccionar", D17)), "L/h", "")</f>
        <v/>
      </c>
      <c r="G17" s="245"/>
      <c r="H17" s="372"/>
      <c r="I17" s="372"/>
      <c r="J17" s="372"/>
      <c r="K17" s="372"/>
      <c r="L17" s="377"/>
    </row>
    <row r="18" spans="2:12" ht="30" customHeight="1">
      <c r="B18" s="383"/>
      <c r="C18" s="391"/>
      <c r="D18" s="242"/>
      <c r="E18" s="205"/>
      <c r="F18" s="206" t="str">
        <f>IF(D18="","","$/L")</f>
        <v/>
      </c>
      <c r="G18" s="211" t="str">
        <f>IFERROR(INDEX('INFO-Direc'!$G$9:$G$25,
       MATCH(D18, 'INFO-Direc'!$D$9:$D$25, 0)),"")</f>
        <v/>
      </c>
      <c r="H18" s="379"/>
      <c r="I18" s="380"/>
      <c r="J18" s="380"/>
      <c r="K18" s="381"/>
      <c r="L18" s="377"/>
    </row>
    <row r="19" spans="2:12" ht="30" customHeight="1">
      <c r="B19" s="383"/>
      <c r="C19" s="391"/>
      <c r="D19" s="204" t="str">
        <f>IF(D18="", "Seleccionar Lubricante ↑", "Consumo de " &amp; D18)</f>
        <v>Seleccionar Lubricante ↑</v>
      </c>
      <c r="E19" s="205"/>
      <c r="F19" s="206" t="str">
        <f>IF(ISERROR(FIND("Seleccionar", D19)), "L/h", "")</f>
        <v/>
      </c>
      <c r="G19" s="245"/>
      <c r="H19" s="379"/>
      <c r="I19" s="380"/>
      <c r="J19" s="380"/>
      <c r="K19" s="381"/>
      <c r="L19" s="377"/>
    </row>
    <row r="20" spans="2:12" ht="30" customHeight="1">
      <c r="B20" s="384"/>
      <c r="C20" s="392"/>
      <c r="D20" s="204" t="s">
        <v>90</v>
      </c>
      <c r="E20" s="205"/>
      <c r="F20" s="206" t="str">
        <f>IF(OR(D16&lt;&gt;"", D18&lt;&gt;""), "$/h", "")</f>
        <v/>
      </c>
      <c r="G20" s="244"/>
      <c r="H20" s="372"/>
      <c r="I20" s="372"/>
      <c r="J20" s="372"/>
      <c r="K20" s="372"/>
      <c r="L20" s="378"/>
    </row>
    <row r="21" spans="2:12" ht="30" customHeight="1">
      <c r="B21" s="389" t="s">
        <v>73</v>
      </c>
      <c r="C21" s="393" t="s">
        <v>70</v>
      </c>
      <c r="D21" s="242"/>
      <c r="E21" s="205"/>
      <c r="F21" s="206" t="str">
        <f>IF(D21="","","kW")</f>
        <v/>
      </c>
      <c r="G21" s="214" t="str">
        <f>IFERROR(INDEX('INFO-Direc'!$G$9:$G$25,
       MATCH(D21, 'INFO-Direc'!$D$9:$D$26, 0)),"")</f>
        <v/>
      </c>
      <c r="H21" s="379"/>
      <c r="I21" s="380"/>
      <c r="J21" s="380"/>
      <c r="K21" s="381"/>
      <c r="L21" s="376" t="str">
        <f>IFERROR(G21*G13*G22+G23+G24,"")</f>
        <v/>
      </c>
    </row>
    <row r="22" spans="2:12" ht="30" customHeight="1">
      <c r="B22" s="383"/>
      <c r="C22" s="386"/>
      <c r="D22" s="204" t="str">
        <f>IF(D21="", "Seleccionar Compresor ↑", "Carga Promedio de Uso de " &amp; D21)</f>
        <v>Seleccionar Compresor ↑</v>
      </c>
      <c r="E22" s="205"/>
      <c r="F22" s="206" t="str">
        <f>IF(ISERROR(FIND("Seleccionar", D22)), "%", "")</f>
        <v/>
      </c>
      <c r="G22" s="243"/>
      <c r="H22" s="372"/>
      <c r="I22" s="372"/>
      <c r="J22" s="372"/>
      <c r="K22" s="372"/>
      <c r="L22" s="377"/>
    </row>
    <row r="23" spans="2:12" ht="30" customHeight="1">
      <c r="B23" s="383"/>
      <c r="C23" s="386"/>
      <c r="D23" s="215" t="str">
        <f>IF(D21="", "Seleccionar Compresor ↑", "Costo de Repuestos " &amp; D21)</f>
        <v>Seleccionar Compresor ↑</v>
      </c>
      <c r="E23" s="205"/>
      <c r="F23" s="206" t="str">
        <f>IF(ISERROR(FIND("Seleccionar", D23)), "$/h", "")</f>
        <v/>
      </c>
      <c r="G23" s="216" t="str">
        <f>IF(D21="","", SUM(IF(ISNUMBER(FIND("Compresor", 'INFO-Mant'!D9:D30)), 'INFO-Mant'!G9:G30 / 'INFO-Mant'!H9:H30, 0)))</f>
        <v/>
      </c>
      <c r="H23" s="379"/>
      <c r="I23" s="380"/>
      <c r="J23" s="380"/>
      <c r="K23" s="381"/>
      <c r="L23" s="377"/>
    </row>
    <row r="24" spans="2:12" ht="30" customHeight="1">
      <c r="B24" s="384"/>
      <c r="C24" s="387"/>
      <c r="D24" s="204" t="s">
        <v>90</v>
      </c>
      <c r="E24" s="205"/>
      <c r="F24" s="206" t="str">
        <f>IF(D21="","","$/h")</f>
        <v/>
      </c>
      <c r="G24" s="244"/>
      <c r="H24" s="372"/>
      <c r="I24" s="372"/>
      <c r="J24" s="372"/>
      <c r="K24" s="372"/>
      <c r="L24" s="378"/>
    </row>
    <row r="25" spans="2:12" ht="30" customHeight="1">
      <c r="B25" s="389" t="s">
        <v>143</v>
      </c>
      <c r="C25" s="390" t="s">
        <v>70</v>
      </c>
      <c r="D25" s="242" t="s">
        <v>144</v>
      </c>
      <c r="E25" s="280"/>
      <c r="F25" s="206" t="str">
        <f>IF(D25="","","$/L")</f>
        <v>$/L</v>
      </c>
      <c r="G25" s="211">
        <f>IFERROR(INDEX('INFO-Direc'!$G$9:$G$25,
       MATCH(D25, 'INFO-Direc'!$D$9:$D$25, 0)),"")</f>
        <v>0</v>
      </c>
      <c r="H25" s="372"/>
      <c r="I25" s="372"/>
      <c r="J25" s="372"/>
      <c r="K25" s="372"/>
      <c r="L25" s="376">
        <f>IF(AND(D25="", D27=""), "",
    IFERROR(
        IFERROR(G25*G26,0)
        + IFERROR(G27*G28,0)
        + IFERROR(G29,0),
    "")
)</f>
        <v>0</v>
      </c>
    </row>
    <row r="26" spans="2:12" ht="30" customHeight="1">
      <c r="B26" s="383"/>
      <c r="C26" s="391"/>
      <c r="D26" s="204" t="str">
        <f>IF(D25="", "Seleccionar Combustible ↑", "Consumo de " &amp; D25)</f>
        <v>Consumo de Combustible 1</v>
      </c>
      <c r="E26" s="280"/>
      <c r="F26" s="206" t="str">
        <f>IF(ISERROR(FIND("Seleccionar", D26)), "L/h", "")</f>
        <v>L/h</v>
      </c>
      <c r="G26" s="245"/>
      <c r="H26" s="372"/>
      <c r="I26" s="372"/>
      <c r="J26" s="372"/>
      <c r="K26" s="372"/>
      <c r="L26" s="377"/>
    </row>
    <row r="27" spans="2:12" ht="30" customHeight="1">
      <c r="B27" s="383"/>
      <c r="C27" s="391"/>
      <c r="D27" s="242"/>
      <c r="E27" s="280"/>
      <c r="F27" s="206" t="str">
        <f>IF(D27="","","$/L")</f>
        <v/>
      </c>
      <c r="G27" s="211" t="str">
        <f>IFERROR(INDEX('INFO-Direc'!$G$9:$G$25,
       MATCH(D27, 'INFO-Direc'!$D$9:$D$25, 0)),"")</f>
        <v/>
      </c>
      <c r="H27" s="379"/>
      <c r="I27" s="380"/>
      <c r="J27" s="380"/>
      <c r="K27" s="381"/>
      <c r="L27" s="377"/>
    </row>
    <row r="28" spans="2:12" ht="30" customHeight="1">
      <c r="B28" s="383"/>
      <c r="C28" s="391"/>
      <c r="D28" s="204" t="str">
        <f>IF(D27="", "Seleccionar Combustible ↑", "Consumo de " &amp; D27)</f>
        <v>Seleccionar Combustible ↑</v>
      </c>
      <c r="E28" s="280"/>
      <c r="F28" s="206" t="str">
        <f>IF(ISERROR(FIND("Seleccionar", D28)), "L/h", "")</f>
        <v/>
      </c>
      <c r="G28" s="245"/>
      <c r="H28" s="379"/>
      <c r="I28" s="380"/>
      <c r="J28" s="380"/>
      <c r="K28" s="381"/>
      <c r="L28" s="377"/>
    </row>
    <row r="29" spans="2:12" ht="30" customHeight="1">
      <c r="B29" s="384"/>
      <c r="C29" s="392"/>
      <c r="D29" s="204" t="s">
        <v>90</v>
      </c>
      <c r="E29" s="280"/>
      <c r="F29" s="206" t="str">
        <f>IF(OR(D25&lt;&gt;"", D27&lt;&gt;""), "$/h", "")</f>
        <v>$/h</v>
      </c>
      <c r="G29" s="244"/>
      <c r="H29" s="372"/>
      <c r="I29" s="372"/>
      <c r="J29" s="372"/>
      <c r="K29" s="372"/>
      <c r="L29" s="378"/>
    </row>
    <row r="30" spans="2:12" ht="30" customHeight="1">
      <c r="B30" s="389" t="s">
        <v>74</v>
      </c>
      <c r="C30" s="393" t="s">
        <v>70</v>
      </c>
      <c r="D30" s="242"/>
      <c r="E30" s="205"/>
      <c r="F30" s="206" t="str">
        <f>IF(D30="","","$/L")</f>
        <v/>
      </c>
      <c r="G30" s="211" t="str">
        <f>IFERROR(INDEX('INFO-Direc'!$G$9:$G$25,
       MATCH(D30, 'INFO-Direc'!$D$9:$D$26, 0)),"")</f>
        <v/>
      </c>
      <c r="H30" s="372"/>
      <c r="I30" s="372"/>
      <c r="J30" s="372"/>
      <c r="K30" s="372"/>
      <c r="L30" s="394" t="str">
        <f>IF(
    AND(D30="", D32=""),
    "",
    IFERROR(
        IFERROR(G30 / (INDEX('INFO-OEE'!$E$18:$CA$18,
                               MATCH(C3, 'INFO-OEE'!$E$9:$CA$9, 0)) * 12), 0)
        * G31
        +
        IFERROR(G32 / (INDEX('INFO-OEE'!$E$18:$CA$18,
                               MATCH(C3, 'INFO-OEE'!$E$9:$CA$9, 0)) * 12), 0)
        * G33
        +
        IFERROR(G34, 0),
    "")
)</f>
        <v/>
      </c>
    </row>
    <row r="31" spans="2:12" ht="30" customHeight="1">
      <c r="B31" s="383"/>
      <c r="C31" s="386"/>
      <c r="D31" s="204" t="str">
        <f>IF(D30="", "Seleccionar Refrigerante ↑", "Consumo de " &amp; D30)</f>
        <v>Seleccionar Refrigerante ↑</v>
      </c>
      <c r="E31" s="205"/>
      <c r="F31" s="206" t="str">
        <f>IF(ISERROR(FIND("Seleccionar", D31)), "L/Año", "")</f>
        <v/>
      </c>
      <c r="G31" s="249"/>
      <c r="H31" s="372"/>
      <c r="I31" s="372"/>
      <c r="J31" s="372"/>
      <c r="K31" s="372"/>
      <c r="L31" s="395"/>
    </row>
    <row r="32" spans="2:12" ht="30" customHeight="1">
      <c r="B32" s="383"/>
      <c r="C32" s="386"/>
      <c r="D32" s="242"/>
      <c r="E32" s="205"/>
      <c r="F32" s="206" t="str">
        <f>IF(D32="","","$/L")</f>
        <v/>
      </c>
      <c r="G32" s="217" t="str">
        <f>IFERROR(INDEX('INFO-Direc'!$G$9:$G$25,
       MATCH(D32, 'INFO-Direc'!$D$9:$D$26, 0)),"")</f>
        <v/>
      </c>
      <c r="H32" s="379"/>
      <c r="I32" s="380"/>
      <c r="J32" s="380"/>
      <c r="K32" s="381"/>
      <c r="L32" s="395"/>
    </row>
    <row r="33" spans="2:12" ht="30" customHeight="1">
      <c r="B33" s="383"/>
      <c r="C33" s="386"/>
      <c r="D33" s="204" t="str">
        <f>IF(D32="", "Seleccionar Refrigerante ↑", "Consumo de " &amp; D32)</f>
        <v>Seleccionar Refrigerante ↑</v>
      </c>
      <c r="E33" s="205"/>
      <c r="F33" s="206" t="str">
        <f>IF(ISERROR(FIND("Seleccionar", D33)), "L/Año", "")</f>
        <v/>
      </c>
      <c r="G33" s="250"/>
      <c r="H33" s="379"/>
      <c r="I33" s="380"/>
      <c r="J33" s="380"/>
      <c r="K33" s="381"/>
      <c r="L33" s="395"/>
    </row>
    <row r="34" spans="2:12" ht="30" customHeight="1">
      <c r="B34" s="384"/>
      <c r="C34" s="387"/>
      <c r="D34" s="204" t="s">
        <v>90</v>
      </c>
      <c r="E34" s="205"/>
      <c r="F34" s="206" t="str">
        <f>IF(OR(D30&lt;&gt;"", D32&lt;&gt;""), "$/h", "")</f>
        <v/>
      </c>
      <c r="G34" s="244"/>
      <c r="H34" s="372"/>
      <c r="I34" s="372"/>
      <c r="J34" s="372"/>
      <c r="K34" s="372"/>
      <c r="L34" s="396"/>
    </row>
    <row r="35" spans="2:12" s="180" customFormat="1" ht="30" customHeight="1">
      <c r="B35" s="389" t="s">
        <v>97</v>
      </c>
      <c r="C35" s="393" t="s">
        <v>70</v>
      </c>
      <c r="D35" s="204" t="str">
        <f>IF(D12="", "Seleccionar Area ↑", "Costo de Operarios")</f>
        <v>Costo de Operarios</v>
      </c>
      <c r="E35" s="205"/>
      <c r="F35" s="206" t="str">
        <f>IF(D12="","","$/mes")</f>
        <v>$/mes</v>
      </c>
      <c r="G35" s="217">
        <f>IF(D12="","",IFERROR(
    INDEX('INFO-Personal'!$E$26:$CA$26,
           MATCH($C$3, 'INFO-Personal'!$E$9:$CA$9, 0)
    ),
""))</f>
        <v>0</v>
      </c>
      <c r="H35" s="372"/>
      <c r="I35" s="372"/>
      <c r="J35" s="372"/>
      <c r="K35" s="372"/>
      <c r="L35" s="376">
        <f>IFERROR(
    (G35 / INDEX('INFO-OEE'!$E$18:$CA$18,
                  MATCH($C$3, 'INFO-OEE'!$E$9:$CA$9, 0)))
    + G36,
"")</f>
        <v>0</v>
      </c>
    </row>
    <row r="36" spans="2:12" s="180" customFormat="1" ht="30" customHeight="1">
      <c r="B36" s="383"/>
      <c r="C36" s="386"/>
      <c r="D36" s="204" t="s">
        <v>90</v>
      </c>
      <c r="E36" s="205"/>
      <c r="F36" s="206" t="str">
        <f>IF(D12="","","$/h")</f>
        <v>$/h</v>
      </c>
      <c r="G36" s="251"/>
      <c r="H36" s="372"/>
      <c r="I36" s="372"/>
      <c r="J36" s="372"/>
      <c r="K36" s="372"/>
      <c r="L36" s="377"/>
    </row>
    <row r="37" spans="2:12" s="180" customFormat="1" ht="30" customHeight="1">
      <c r="B37" s="219"/>
      <c r="C37" s="220"/>
      <c r="D37" s="221"/>
      <c r="E37" s="220"/>
      <c r="F37" s="222"/>
      <c r="G37" s="223"/>
      <c r="H37" s="397"/>
      <c r="I37" s="397"/>
      <c r="J37" s="397"/>
      <c r="K37" s="397"/>
      <c r="L37" s="224"/>
    </row>
    <row r="38" spans="2:12" s="180" customFormat="1" ht="30" customHeight="1">
      <c r="B38" s="389" t="s">
        <v>42</v>
      </c>
      <c r="C38" s="393" t="s">
        <v>77</v>
      </c>
      <c r="D38" s="204" t="str">
        <f>IF(D12="", "Seleccionar Area ↑", "Costo de Supervisores")</f>
        <v>Costo de Supervisores</v>
      </c>
      <c r="E38" s="205"/>
      <c r="F38" s="218" t="str">
        <f>IF(D12="","","$/mes")</f>
        <v>$/mes</v>
      </c>
      <c r="G38" s="217">
        <f>IF(D12="","",IFERROR(
    INDEX('INFO-Personal'!$E$27:$CA$27,
           MATCH($C$3, 'INFO-Personal'!$E$9:$CA$9, 0)
    ),
""))</f>
        <v>0</v>
      </c>
      <c r="H38" s="379"/>
      <c r="I38" s="380"/>
      <c r="J38" s="380"/>
      <c r="K38" s="381"/>
      <c r="L38" s="376">
        <f>IFERROR(
    (G38 / INDEX('INFO-OEE'!$E$18:$CA$18,
                  MATCH($C$3, 'INFO-OEE'!$E$9:$CA$9, 0)))
    + G39,
"")</f>
        <v>0</v>
      </c>
    </row>
    <row r="39" spans="2:12" s="180" customFormat="1" ht="30" customHeight="1">
      <c r="B39" s="383"/>
      <c r="C39" s="386"/>
      <c r="D39" s="204" t="s">
        <v>90</v>
      </c>
      <c r="E39" s="205"/>
      <c r="F39" s="206" t="str">
        <f>IF(D12="","","$/h")</f>
        <v>$/h</v>
      </c>
      <c r="G39" s="251"/>
      <c r="H39" s="379"/>
      <c r="I39" s="380"/>
      <c r="J39" s="380"/>
      <c r="K39" s="381"/>
      <c r="L39" s="377"/>
    </row>
    <row r="40" spans="2:12" s="180" customFormat="1" ht="30" customHeight="1">
      <c r="B40" s="389" t="s">
        <v>98</v>
      </c>
      <c r="C40" s="393" t="s">
        <v>77</v>
      </c>
      <c r="D40" s="204" t="str">
        <f>IF(D12="", "Seleccionar Area ↑", "Costo de Mant. Preventivo")</f>
        <v>Costo de Mant. Preventivo</v>
      </c>
      <c r="E40" s="273"/>
      <c r="F40" s="218" t="str">
        <f>IF(D12="","","$/mes")</f>
        <v>$/mes</v>
      </c>
      <c r="G40" s="217" t="str">
        <f>IF(D12="","",IFERROR(
    INDEX('[1]INFO-Personal'!$E$28:$CA$28,
           MATCH($C$3, '[1]INFO-Personal'!$E$9:$CA$9, 0)
    ),
""))</f>
        <v/>
      </c>
      <c r="H40" s="379"/>
      <c r="I40" s="380"/>
      <c r="J40" s="380"/>
      <c r="K40" s="381"/>
      <c r="L40" s="376">
        <f>IF(D12="","",SUM(
    IFERROR((G40+G41) / INDEX('INFO-OEE'!$E$18:$CA$18, MATCH(C3, 'INFO-OEE'!$E$9:$CA$9, 0)), 0),
    IFERROR(G42 / G43, 0),
    IFERROR(G44 / G45, 0),
    IFERROR(G46 / G47, 0),
    IFERROR(G48, 0)
))</f>
        <v>0</v>
      </c>
    </row>
    <row r="41" spans="2:12" ht="30" customHeight="1">
      <c r="B41" s="383"/>
      <c r="C41" s="386"/>
      <c r="D41" s="204" t="str">
        <f>IF(D12="", "Seleccionar Area ↑", "Costo de Mant. Correctivo")</f>
        <v>Costo de Mant. Correctivo</v>
      </c>
      <c r="E41" s="273"/>
      <c r="F41" s="218" t="str">
        <f>IF(D12="","","$/mes")</f>
        <v>$/mes</v>
      </c>
      <c r="G41" s="217" t="str">
        <f>IF(D12="","",IFERROR(
    INDEX('[1]INFO-Personal'!$E$29:$CA$29,
           MATCH($C$3, '[1]INFO-Personal'!$E$9:$CA$9, 0)
    ),
""))</f>
        <v/>
      </c>
      <c r="H41" s="379"/>
      <c r="I41" s="380"/>
      <c r="J41" s="380"/>
      <c r="K41" s="381"/>
      <c r="L41" s="377"/>
    </row>
    <row r="42" spans="2:12" ht="30" customHeight="1">
      <c r="B42" s="383"/>
      <c r="C42" s="386"/>
      <c r="D42" s="242"/>
      <c r="E42" s="205"/>
      <c r="F42" s="206" t="str">
        <f>IF(D42="","","$/u")</f>
        <v/>
      </c>
      <c r="G42" s="217" t="str">
        <f>IFERROR(INDEX('INFO-Mant'!$G$9:$G$26,
       MATCH(D42, 'INFO-Mant'!$D$9:$D$26, 0)),"")</f>
        <v/>
      </c>
      <c r="H42" s="379"/>
      <c r="I42" s="380"/>
      <c r="J42" s="380"/>
      <c r="K42" s="381"/>
      <c r="L42" s="377"/>
    </row>
    <row r="43" spans="2:12" ht="30" customHeight="1">
      <c r="B43" s="383"/>
      <c r="C43" s="386"/>
      <c r="D43" s="204" t="str">
        <f>IF(D42="", "Seleccionar Repuesto ↑", "Vida Util de " &amp; D42)</f>
        <v>Seleccionar Repuesto ↑</v>
      </c>
      <c r="E43" s="205"/>
      <c r="F43" s="206" t="str">
        <f>IF(ISERROR(FIND("Seleccionar", D43)), "Horas/u", "")</f>
        <v/>
      </c>
      <c r="G43" s="249"/>
      <c r="H43" s="379"/>
      <c r="I43" s="380"/>
      <c r="J43" s="380"/>
      <c r="K43" s="381"/>
      <c r="L43" s="377"/>
    </row>
    <row r="44" spans="2:12" ht="30" customHeight="1">
      <c r="B44" s="383"/>
      <c r="C44" s="386"/>
      <c r="D44" s="242"/>
      <c r="E44" s="205"/>
      <c r="F44" s="206" t="str">
        <f>IF(D44="","","$/u")</f>
        <v/>
      </c>
      <c r="G44" s="217" t="str">
        <f>IFERROR(INDEX('INFO-Mant'!$G$9:$G$26,
       MATCH(D44, 'INFO-Mant'!$D$9:$D$26, 0)),"")</f>
        <v/>
      </c>
      <c r="H44" s="379"/>
      <c r="I44" s="380"/>
      <c r="J44" s="380"/>
      <c r="K44" s="381"/>
      <c r="L44" s="377"/>
    </row>
    <row r="45" spans="2:12" ht="30" customHeight="1">
      <c r="B45" s="383"/>
      <c r="C45" s="386"/>
      <c r="D45" s="204" t="str">
        <f>IF(D44="", "Seleccionar Repuesto ↑", "Vida Util de " &amp; D44)</f>
        <v>Seleccionar Repuesto ↑</v>
      </c>
      <c r="E45" s="205"/>
      <c r="F45" s="206" t="str">
        <f>IF(ISERROR(FIND("Seleccionar", D45)), "Horas/u", "")</f>
        <v/>
      </c>
      <c r="G45" s="249"/>
      <c r="H45" s="379"/>
      <c r="I45" s="380"/>
      <c r="J45" s="380"/>
      <c r="K45" s="381"/>
      <c r="L45" s="377"/>
    </row>
    <row r="46" spans="2:12" ht="30" customHeight="1">
      <c r="B46" s="383"/>
      <c r="C46" s="386"/>
      <c r="D46" s="242"/>
      <c r="E46" s="205"/>
      <c r="F46" s="206" t="str">
        <f>IF(D46="","","$/u")</f>
        <v/>
      </c>
      <c r="G46" s="217" t="str">
        <f>IFERROR(INDEX('INFO-Mant'!$G$9:$G$26,
       MATCH(D46, 'INFO-Mant'!$D$9:$D$26, 0)),"")</f>
        <v/>
      </c>
      <c r="H46" s="379"/>
      <c r="I46" s="380"/>
      <c r="J46" s="380"/>
      <c r="K46" s="381"/>
      <c r="L46" s="377"/>
    </row>
    <row r="47" spans="2:12" ht="30" customHeight="1">
      <c r="B47" s="383"/>
      <c r="C47" s="386"/>
      <c r="D47" s="204" t="str">
        <f>IF(D46="", "Seleccionar Repuesto ↑", "Vida Util de " &amp; D46)</f>
        <v>Seleccionar Repuesto ↑</v>
      </c>
      <c r="E47" s="205"/>
      <c r="F47" s="206" t="str">
        <f>IF(ISERROR(FIND("Seleccionar", D47)), "Horas/u", "")</f>
        <v/>
      </c>
      <c r="G47" s="251"/>
      <c r="H47" s="379"/>
      <c r="I47" s="380"/>
      <c r="J47" s="380"/>
      <c r="K47" s="381"/>
      <c r="L47" s="377"/>
    </row>
    <row r="48" spans="2:12" ht="30" customHeight="1">
      <c r="B48" s="384"/>
      <c r="C48" s="387"/>
      <c r="D48" s="204" t="s">
        <v>90</v>
      </c>
      <c r="E48" s="205"/>
      <c r="F48" s="206" t="str">
        <f>IF(D12="","","$/h")</f>
        <v>$/h</v>
      </c>
      <c r="G48" s="251"/>
      <c r="H48" s="379"/>
      <c r="I48" s="380"/>
      <c r="J48" s="380"/>
      <c r="K48" s="381"/>
      <c r="L48" s="378"/>
    </row>
    <row r="49" spans="2:12" ht="30" customHeight="1">
      <c r="B49" s="225"/>
      <c r="C49" s="226"/>
      <c r="D49" s="227"/>
      <c r="E49" s="226"/>
      <c r="F49" s="228"/>
      <c r="G49" s="229"/>
      <c r="H49" s="226"/>
      <c r="I49" s="226"/>
      <c r="J49" s="226"/>
      <c r="K49" s="226"/>
      <c r="L49" s="230"/>
    </row>
    <row r="50" spans="2:12" ht="33.75" customHeight="1">
      <c r="B50" s="389" t="s">
        <v>99</v>
      </c>
      <c r="C50" s="390" t="s">
        <v>100</v>
      </c>
      <c r="D50" s="242" t="s">
        <v>107</v>
      </c>
      <c r="E50" s="205"/>
      <c r="F50" s="206" t="str">
        <f>IF(D50="","","$/h")</f>
        <v>$/h</v>
      </c>
      <c r="G50" s="21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398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398"/>
      <c r="J50" s="398"/>
      <c r="K50" s="398"/>
      <c r="L50" s="252">
        <f ca="1">G50</f>
        <v>0</v>
      </c>
    </row>
    <row r="51" spans="2:12" ht="30" customHeight="1">
      <c r="B51" s="383"/>
      <c r="C51" s="391"/>
      <c r="D51" s="242"/>
      <c r="E51" s="231"/>
      <c r="F51" s="206" t="str">
        <f>IF(D51="","","$/h")</f>
        <v/>
      </c>
      <c r="G51" s="21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398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398"/>
      <c r="J51" s="398"/>
      <c r="K51" s="398"/>
      <c r="L51" s="252" t="str">
        <f ca="1">G51</f>
        <v/>
      </c>
    </row>
    <row r="52" spans="2:12" ht="30" customHeight="1">
      <c r="B52" s="383"/>
      <c r="C52" s="391"/>
      <c r="D52" s="242"/>
      <c r="E52" s="205"/>
      <c r="F52" s="206" t="str">
        <f t="shared" ref="F52:F54" si="0">IF(D52="","","$/h")</f>
        <v/>
      </c>
      <c r="G52" s="21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398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398"/>
      <c r="J52" s="398"/>
      <c r="K52" s="398"/>
      <c r="L52" s="252" t="str">
        <f ca="1">G52</f>
        <v/>
      </c>
    </row>
    <row r="53" spans="2:12" ht="30" customHeight="1">
      <c r="B53" s="383"/>
      <c r="C53" s="391"/>
      <c r="D53" s="242"/>
      <c r="E53" s="205"/>
      <c r="F53" s="206" t="str">
        <f t="shared" si="0"/>
        <v/>
      </c>
      <c r="G53" s="21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398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398"/>
      <c r="J53" s="398"/>
      <c r="K53" s="398"/>
      <c r="L53" s="252" t="str">
        <f ca="1">G53</f>
        <v/>
      </c>
    </row>
    <row r="54" spans="2:12" ht="30" customHeight="1">
      <c r="B54" s="384"/>
      <c r="C54" s="392"/>
      <c r="D54" s="242"/>
      <c r="E54" s="205"/>
      <c r="F54" s="206" t="str">
        <f t="shared" si="0"/>
        <v/>
      </c>
      <c r="G54" s="21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398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398"/>
      <c r="J54" s="398"/>
      <c r="K54" s="398"/>
      <c r="L54" s="252" t="str">
        <f ca="1">G54</f>
        <v/>
      </c>
    </row>
    <row r="55" spans="2:12" ht="30" customHeight="1">
      <c r="B55" s="22"/>
      <c r="C55" s="23"/>
      <c r="D55" s="399"/>
      <c r="E55" s="399"/>
      <c r="F55" s="25"/>
      <c r="G55" s="25"/>
      <c r="H55" s="26"/>
      <c r="I55" s="26"/>
      <c r="J55" s="26"/>
      <c r="K55" s="25"/>
      <c r="L55" s="21"/>
    </row>
    <row r="56" spans="2:12" ht="30" customHeight="1" thickBot="1">
      <c r="B56" s="32" t="s">
        <v>31</v>
      </c>
      <c r="C56" s="307"/>
      <c r="D56" s="307"/>
      <c r="E56" s="33" t="s">
        <v>32</v>
      </c>
      <c r="F56" s="357"/>
      <c r="G56" s="357"/>
      <c r="H56" s="16"/>
      <c r="I56" s="16"/>
      <c r="J56" s="16"/>
      <c r="K56" s="253"/>
      <c r="L56" s="254"/>
    </row>
    <row r="57" spans="2:12" ht="30" customHeight="1" thickBot="1">
      <c r="B57" s="35"/>
      <c r="C57" s="37"/>
      <c r="D57" s="37"/>
      <c r="E57" s="37"/>
      <c r="F57" s="400"/>
      <c r="G57" s="400"/>
      <c r="H57" s="38"/>
      <c r="I57" s="38"/>
      <c r="J57" s="38"/>
      <c r="K57" s="255" t="s">
        <v>101</v>
      </c>
      <c r="L57" s="256">
        <f ca="1">IFERROR(SUM(L10:L54),"")</f>
        <v>1.2304574074669219</v>
      </c>
    </row>
    <row r="58" spans="2:12" ht="30" customHeight="1">
      <c r="B58" s="162"/>
      <c r="C58" s="162"/>
    </row>
    <row r="61" spans="2:12" ht="30" customHeight="1">
      <c r="C61" s="165"/>
    </row>
  </sheetData>
  <sheetProtection selectLockedCells="1"/>
  <mergeCells count="80">
    <mergeCell ref="C25:C29"/>
    <mergeCell ref="H25:K25"/>
    <mergeCell ref="L25:L29"/>
    <mergeCell ref="H26:K26"/>
    <mergeCell ref="H27:K27"/>
    <mergeCell ref="H28:K28"/>
    <mergeCell ref="H29:K29"/>
    <mergeCell ref="D55:E55"/>
    <mergeCell ref="C56:D56"/>
    <mergeCell ref="F56:G56"/>
    <mergeCell ref="F57:G57"/>
    <mergeCell ref="B38:B39"/>
    <mergeCell ref="C38:C39"/>
    <mergeCell ref="B50:B54"/>
    <mergeCell ref="C50:C54"/>
    <mergeCell ref="H45:K45"/>
    <mergeCell ref="H46:K46"/>
    <mergeCell ref="H41:K41"/>
    <mergeCell ref="H42:K42"/>
    <mergeCell ref="H43:K43"/>
    <mergeCell ref="H50:K50"/>
    <mergeCell ref="H51:K51"/>
    <mergeCell ref="H52:K52"/>
    <mergeCell ref="H53:K53"/>
    <mergeCell ref="H54:K54"/>
    <mergeCell ref="B35:B36"/>
    <mergeCell ref="C35:C36"/>
    <mergeCell ref="L35:L36"/>
    <mergeCell ref="H40:K40"/>
    <mergeCell ref="L40:L48"/>
    <mergeCell ref="H44:K44"/>
    <mergeCell ref="H39:K39"/>
    <mergeCell ref="H35:K35"/>
    <mergeCell ref="H36:K36"/>
    <mergeCell ref="H37:K37"/>
    <mergeCell ref="H38:K38"/>
    <mergeCell ref="H47:K47"/>
    <mergeCell ref="H48:K48"/>
    <mergeCell ref="L38:L39"/>
    <mergeCell ref="B40:B48"/>
    <mergeCell ref="C40:C48"/>
    <mergeCell ref="B21:B24"/>
    <mergeCell ref="C21:C24"/>
    <mergeCell ref="L21:L24"/>
    <mergeCell ref="B30:B34"/>
    <mergeCell ref="H21:K21"/>
    <mergeCell ref="H22:K22"/>
    <mergeCell ref="H23:K23"/>
    <mergeCell ref="H24:K24"/>
    <mergeCell ref="H30:K30"/>
    <mergeCell ref="H31:K31"/>
    <mergeCell ref="H32:K32"/>
    <mergeCell ref="H33:K33"/>
    <mergeCell ref="C30:C34"/>
    <mergeCell ref="L30:L34"/>
    <mergeCell ref="H34:K34"/>
    <mergeCell ref="B25:B29"/>
    <mergeCell ref="L16:L20"/>
    <mergeCell ref="H15:K15"/>
    <mergeCell ref="H16:K16"/>
    <mergeCell ref="B10:B15"/>
    <mergeCell ref="C10:C15"/>
    <mergeCell ref="L10:L15"/>
    <mergeCell ref="H17:K17"/>
    <mergeCell ref="H18:K18"/>
    <mergeCell ref="H19:K19"/>
    <mergeCell ref="H20:K20"/>
    <mergeCell ref="B16:B20"/>
    <mergeCell ref="C16:C20"/>
    <mergeCell ref="H14:K14"/>
    <mergeCell ref="H9:K9"/>
    <mergeCell ref="H10:K10"/>
    <mergeCell ref="H11:K11"/>
    <mergeCell ref="H13:K13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el departamento del empleado en la celda de la derecha." sqref="B58:C58"/>
    <dataValidation allowBlank="1" showInputMessage="1" showErrorMessage="1" prompt="Escriba comentarios en las celdas de la derecha." sqref="C61"/>
    <dataValidation type="list" allowBlank="1" showInputMessage="1" showErrorMessage="1" sqref="D10 D50:D54">
      <formula1>Herramientas_Lista</formula1>
    </dataValidation>
    <dataValidation type="list" allowBlank="1" showInputMessage="1" showErrorMessage="1" sqref="D12">
      <formula1>Areas_Deposito</formula1>
    </dataValidation>
    <dataValidation type="list" allowBlank="1" showInputMessage="1" showErrorMessage="1" sqref="D46 D44 D42">
      <formula1>Repuestos_Deposito</formula1>
    </dataValidation>
    <dataValidation type="list" allowBlank="1" showInputMessage="1" showErrorMessage="1" sqref="D30 D32">
      <formula1>Refrigerantes_Deposito</formula1>
    </dataValidation>
    <dataValidation type="list" allowBlank="1" showInputMessage="1" showErrorMessage="1" sqref="D21">
      <formula1>AireComprimido_Deposito</formula1>
    </dataValidation>
    <dataValidation type="list" allowBlank="1" showInputMessage="1" showErrorMessage="1" sqref="D18 D16">
      <formula1>Lubricantes_Deposito</formula1>
    </dataValidation>
    <dataValidation type="list" allowBlank="1" showInputMessage="1" showErrorMessage="1" sqref="D25 D27">
      <formula1>Combustible_Deposito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1]!FirmarHojaActual">
                <anchor moveWithCells="1" sizeWithCells="1">
                  <from>
                    <xdr:col>1</xdr:col>
                    <xdr:colOff>514350</xdr:colOff>
                    <xdr:row>55</xdr:row>
                    <xdr:rowOff>0</xdr:rowOff>
                  </from>
                  <to>
                    <xdr:col>1</xdr:col>
                    <xdr:colOff>1752600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55</xdr:row>
                    <xdr:rowOff>0</xdr:rowOff>
                  </from>
                  <to>
                    <xdr:col>1</xdr:col>
                    <xdr:colOff>1752600</xdr:colOff>
                    <xdr:row>56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rgb="FF0070C0"/>
    <pageSetUpPr autoPageBreaks="0" fitToPage="1"/>
  </sheetPr>
  <dimension ref="B1:M64"/>
  <sheetViews>
    <sheetView showGridLines="0" zoomScale="80" zoomScaleNormal="80" workbookViewId="0">
      <selection activeCell="E12" sqref="E12"/>
    </sheetView>
  </sheetViews>
  <sheetFormatPr baseColWidth="10" defaultColWidth="9.140625" defaultRowHeight="30" customHeight="1"/>
  <cols>
    <col min="1" max="1" width="2.7109375" style="129" customWidth="1"/>
    <col min="2" max="2" width="26.7109375" style="129" customWidth="1"/>
    <col min="3" max="3" width="33.28515625" style="129" bestFit="1" customWidth="1"/>
    <col min="4" max="4" width="33.140625" style="129" bestFit="1" customWidth="1"/>
    <col min="5" max="5" width="20.5703125" style="129" customWidth="1"/>
    <col min="6" max="6" width="16.5703125" style="129" bestFit="1" customWidth="1"/>
    <col min="7" max="7" width="19.7109375" style="129" bestFit="1" customWidth="1"/>
    <col min="8" max="8" width="15.28515625" style="129" customWidth="1"/>
    <col min="9" max="10" width="17" style="129" customWidth="1"/>
    <col min="11" max="11" width="28.42578125" style="129" customWidth="1"/>
    <col min="12" max="12" width="20.7109375" style="129" customWidth="1"/>
    <col min="13" max="13" width="2.7109375" style="129" customWidth="1"/>
    <col min="14" max="16384" width="9.140625" style="129"/>
  </cols>
  <sheetData>
    <row r="1" spans="2:13" ht="12" customHeight="1" thickBot="1"/>
    <row r="2" spans="2:13" ht="30" customHeight="1">
      <c r="B2" s="2" t="s">
        <v>92</v>
      </c>
      <c r="C2" s="4"/>
      <c r="D2" s="5"/>
      <c r="E2" s="5"/>
      <c r="F2" s="5"/>
      <c r="G2" s="5"/>
      <c r="H2" s="5"/>
      <c r="I2" s="5"/>
      <c r="J2" s="5"/>
      <c r="K2" s="5"/>
      <c r="L2" s="6"/>
    </row>
    <row r="3" spans="2:13" ht="30" customHeight="1">
      <c r="B3" s="7" t="s">
        <v>93</v>
      </c>
      <c r="C3" s="373" t="s">
        <v>106</v>
      </c>
      <c r="D3" s="373"/>
      <c r="E3" s="9" t="s">
        <v>3</v>
      </c>
      <c r="F3" s="336">
        <f ca="1">TODAY()</f>
        <v>46017</v>
      </c>
      <c r="G3" s="336"/>
      <c r="H3" s="9" t="s">
        <v>62</v>
      </c>
      <c r="I3" s="119">
        <f>'INFO-Direc'!H3</f>
        <v>1505</v>
      </c>
      <c r="J3" s="171"/>
      <c r="K3" s="172"/>
      <c r="L3" s="173"/>
      <c r="M3" s="174"/>
    </row>
    <row r="4" spans="2:13" ht="30" customHeight="1">
      <c r="B4" s="7" t="s">
        <v>94</v>
      </c>
      <c r="C4" s="175">
        <f>IFERROR(INDEX('INFO-OEE'!E17:CA17,
       MATCH(C3, 'INFO-OEE'!E9:CA9, 0)),"")</f>
        <v>0.8</v>
      </c>
      <c r="D4" s="176"/>
      <c r="E4" s="1"/>
      <c r="F4" s="1"/>
      <c r="G4" s="1"/>
      <c r="H4" s="9"/>
      <c r="I4" s="10"/>
      <c r="J4" s="171"/>
      <c r="K4" s="172"/>
      <c r="L4" s="177"/>
      <c r="M4" s="138"/>
    </row>
    <row r="5" spans="2:13" ht="30" customHeight="1">
      <c r="B5" s="14" t="s">
        <v>4</v>
      </c>
      <c r="C5" s="15"/>
      <c r="D5" s="16"/>
      <c r="E5" s="16"/>
      <c r="F5" s="16"/>
      <c r="G5" s="16"/>
      <c r="H5" s="16"/>
      <c r="I5" s="16"/>
      <c r="J5" s="16"/>
      <c r="K5" s="16"/>
      <c r="L5" s="17"/>
    </row>
    <row r="6" spans="2:13" ht="30" customHeight="1">
      <c r="B6" s="18" t="s">
        <v>5</v>
      </c>
      <c r="C6" s="374"/>
      <c r="D6" s="374"/>
      <c r="E6" s="20" t="s">
        <v>7</v>
      </c>
      <c r="F6" s="374"/>
      <c r="G6" s="374"/>
      <c r="H6" s="16"/>
      <c r="I6" s="16"/>
      <c r="J6" s="16"/>
      <c r="K6" s="25"/>
      <c r="L6" s="21"/>
    </row>
    <row r="7" spans="2:13" ht="30" customHeight="1">
      <c r="B7" s="18" t="s">
        <v>9</v>
      </c>
      <c r="C7" s="374"/>
      <c r="D7" s="374"/>
      <c r="E7" s="20" t="s">
        <v>35</v>
      </c>
      <c r="F7" s="375"/>
      <c r="G7" s="375"/>
      <c r="H7" s="16"/>
      <c r="I7" s="16"/>
      <c r="J7" s="16"/>
      <c r="K7" s="25"/>
      <c r="L7" s="21"/>
    </row>
    <row r="8" spans="2:13" ht="30" customHeight="1" thickBot="1">
      <c r="B8" s="22"/>
      <c r="C8" s="23"/>
      <c r="D8" s="24"/>
      <c r="E8" s="24"/>
      <c r="F8" s="25"/>
      <c r="G8" s="25"/>
      <c r="H8" s="26"/>
      <c r="I8" s="26"/>
      <c r="J8" s="26"/>
      <c r="K8" s="25"/>
      <c r="L8" s="21"/>
    </row>
    <row r="9" spans="2:13" ht="30" customHeight="1" thickBot="1">
      <c r="B9" s="185" t="s">
        <v>36</v>
      </c>
      <c r="C9" s="186" t="s">
        <v>63</v>
      </c>
      <c r="D9" s="186" t="s">
        <v>64</v>
      </c>
      <c r="E9" s="186" t="s">
        <v>65</v>
      </c>
      <c r="F9" s="186" t="s">
        <v>66</v>
      </c>
      <c r="G9" s="186" t="s">
        <v>67</v>
      </c>
      <c r="H9" s="304" t="s">
        <v>68</v>
      </c>
      <c r="I9" s="304"/>
      <c r="J9" s="304"/>
      <c r="K9" s="304"/>
      <c r="L9" s="187" t="s">
        <v>95</v>
      </c>
    </row>
    <row r="10" spans="2:13" ht="30" customHeight="1">
      <c r="B10" s="382" t="s">
        <v>69</v>
      </c>
      <c r="C10" s="385" t="s">
        <v>70</v>
      </c>
      <c r="D10" s="241" t="s">
        <v>125</v>
      </c>
      <c r="E10" s="201"/>
      <c r="F10" s="202" t="str">
        <f>IF(D10="","","kW")</f>
        <v>kW</v>
      </c>
      <c r="G10" s="203" t="str">
        <f>IF(D10="","",IFERROR(INDEX('[4]INFO-Consumo'!$F$9:$F$95,
       MATCH(D10, '[4]INFO-Consumo'!$D$9:$D$95, 0)),""))</f>
        <v/>
      </c>
      <c r="H10" s="369"/>
      <c r="I10" s="370"/>
      <c r="J10" s="370"/>
      <c r="K10" s="371"/>
      <c r="L10" s="388">
        <f ca="1">IF(
   (
     IF(ISNUMBER(G10)*ISNUMBER(G11), G10*G11, 0)
     * IF(ISNUMBER(G13), G13, 0)
     + IF(ISNUMBER(G12)*ISNUMBER(#REF!), G12*#REF!, 0)
     * IF(ISNUMBER(G13), G13, 0)
     + IF(ISNUMBER(G14), G14, 0)
     + IF(ISNUMBER(G15), G15, 0)
   ) = 0,
   "",
   (
     IF(ISNUMBER(G10)*ISNUMBER(G11), G10*G11, 0)
     * IF(ISNUMBER(G13), G13, 0)
     + IF(ISNUMBER(G12)*ISNUMBER(#REF!), G12*#REF!, 0)
     * IF(ISNUMBER(G13), G13, 0)
     + IF(ISNUMBER(G14), G14, 0)
     + IF(ISNUMBER(G15), G15, 0)
   )
)</f>
        <v>2.1653851948626155E-2</v>
      </c>
    </row>
    <row r="11" spans="2:13" ht="30" customHeight="1">
      <c r="B11" s="383"/>
      <c r="C11" s="386"/>
      <c r="D11" s="204" t="str">
        <f>IF(D10="", "Seleccionar Maquinaria ↑", "Carga Promedio de Uso de " &amp; D10)</f>
        <v>Carga Promedio de Uso de Monta Carga 1</v>
      </c>
      <c r="E11" s="205"/>
      <c r="F11" s="206" t="str">
        <f>IF(ISERROR(FIND("Seleccionar", D11)), "%", "")</f>
        <v>%</v>
      </c>
      <c r="G11" s="272" t="str">
        <f>IF(D10="","",IFERROR(
    INDEX('[4]INFO-Consumo'!I:I,
           MATCH(D10, '[4]INFO-Consumo'!D:D, 0)
    ),
""))</f>
        <v/>
      </c>
      <c r="H11" s="372"/>
      <c r="I11" s="372"/>
      <c r="J11" s="372"/>
      <c r="K11" s="372"/>
      <c r="L11" s="377"/>
    </row>
    <row r="12" spans="2:13" ht="30" customHeight="1">
      <c r="B12" s="383"/>
      <c r="C12" s="386"/>
      <c r="D12" s="242" t="s">
        <v>145</v>
      </c>
      <c r="E12" s="205"/>
      <c r="F12" s="206" t="str">
        <f>IF(D12="","","kW")</f>
        <v>kW</v>
      </c>
      <c r="G12" s="207">
        <f>IFERROR(INDEX('[4]INFO-Ponderacion'!$S$9:$S$13,
       MATCH(D12,'[4]INFO-Ponderacion'!$C$9:$C$13, 0)),"")</f>
        <v>0.44999999999999996</v>
      </c>
      <c r="H12" s="208"/>
      <c r="I12" s="209"/>
      <c r="J12" s="209"/>
      <c r="K12" s="210"/>
      <c r="L12" s="377"/>
    </row>
    <row r="13" spans="2:13" ht="30" customHeight="1">
      <c r="B13" s="383"/>
      <c r="C13" s="386"/>
      <c r="D13" s="204" t="str">
        <f>IF(D12="", "Seleccionar Area ↑", "Tarifa Electrica ")</f>
        <v xml:space="preserve">Tarifa Electrica </v>
      </c>
      <c r="E13" s="205"/>
      <c r="F13" s="206" t="str">
        <f>IF(D12="","","$/kWh")</f>
        <v>$/kWh</v>
      </c>
      <c r="G13" s="211">
        <f>IF(D12="","",'INFO-Direc'!$G$9)</f>
        <v>5.2613958629577628E-2</v>
      </c>
      <c r="H13" s="372"/>
      <c r="I13" s="372"/>
      <c r="J13" s="372"/>
      <c r="K13" s="372"/>
      <c r="L13" s="377"/>
    </row>
    <row r="14" spans="2:13" ht="30" customHeight="1">
      <c r="B14" s="383"/>
      <c r="C14" s="386"/>
      <c r="D14" s="212" t="str">
        <f>IF(D12="", "Seleccionar Area ↑", "Costo Electrico Fijo de " &amp; D12)</f>
        <v>Costo Electrico Fijo de Depósito</v>
      </c>
      <c r="E14" s="205"/>
      <c r="F14" s="206" t="str">
        <f>IF(D12="","","$/h")</f>
        <v>$/h</v>
      </c>
      <c r="G14" s="211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2.1653851948626155E-2</v>
      </c>
      <c r="H14" s="379"/>
      <c r="I14" s="380"/>
      <c r="J14" s="380"/>
      <c r="K14" s="381"/>
      <c r="L14" s="377"/>
    </row>
    <row r="15" spans="2:13" ht="30" customHeight="1">
      <c r="B15" s="384"/>
      <c r="C15" s="387"/>
      <c r="D15" s="212" t="s">
        <v>90</v>
      </c>
      <c r="E15" s="213"/>
      <c r="F15" s="206" t="str">
        <f>IF(D12="","","$/h")</f>
        <v>$/h</v>
      </c>
      <c r="G15" s="244"/>
      <c r="H15" s="379"/>
      <c r="I15" s="380"/>
      <c r="J15" s="380"/>
      <c r="K15" s="381"/>
      <c r="L15" s="378"/>
    </row>
    <row r="16" spans="2:13" ht="30" customHeight="1">
      <c r="B16" s="389" t="s">
        <v>71</v>
      </c>
      <c r="C16" s="390" t="s">
        <v>70</v>
      </c>
      <c r="D16" s="242"/>
      <c r="E16" s="205"/>
      <c r="F16" s="206" t="str">
        <f>IF(D16="","","$/L")</f>
        <v/>
      </c>
      <c r="G16" s="211" t="str">
        <f>IFERROR(INDEX('INFO-Direc'!$G$9:$G$25,
       MATCH(D16, 'INFO-Direc'!$D$9:$D$25, 0)),"")</f>
        <v/>
      </c>
      <c r="H16" s="372"/>
      <c r="I16" s="372"/>
      <c r="J16" s="372"/>
      <c r="K16" s="372"/>
      <c r="L16" s="376" t="str">
        <f>IF(AND(D16="", D18=""), "",
    IFERROR(
        IFERROR(G16*G17,0)
        + IFERROR(G18*G19,0)
        + IFERROR(G20,0),
    "")
)</f>
        <v/>
      </c>
    </row>
    <row r="17" spans="2:12" ht="30" customHeight="1">
      <c r="B17" s="383"/>
      <c r="C17" s="391"/>
      <c r="D17" s="204" t="str">
        <f>IF(D16="", "Seleccionar Lubricante ↑", "Consumo de " &amp; D16)</f>
        <v>Seleccionar Lubricante ↑</v>
      </c>
      <c r="E17" s="205"/>
      <c r="F17" s="206" t="str">
        <f>IF(ISERROR(FIND("Seleccionar", D17)), "L/h", "")</f>
        <v/>
      </c>
      <c r="G17" s="245"/>
      <c r="H17" s="372"/>
      <c r="I17" s="372"/>
      <c r="J17" s="372"/>
      <c r="K17" s="372"/>
      <c r="L17" s="377"/>
    </row>
    <row r="18" spans="2:12" ht="30" customHeight="1">
      <c r="B18" s="383"/>
      <c r="C18" s="391"/>
      <c r="D18" s="242"/>
      <c r="E18" s="205"/>
      <c r="F18" s="206" t="str">
        <f>IF(D18="","","$/L")</f>
        <v/>
      </c>
      <c r="G18" s="211" t="str">
        <f>IFERROR(INDEX('INFO-Direc'!$G$9:$G$25,
       MATCH(D18, 'INFO-Direc'!$D$9:$D$25, 0)),"")</f>
        <v/>
      </c>
      <c r="H18" s="379"/>
      <c r="I18" s="380"/>
      <c r="J18" s="380"/>
      <c r="K18" s="381"/>
      <c r="L18" s="377"/>
    </row>
    <row r="19" spans="2:12" ht="30" customHeight="1">
      <c r="B19" s="383"/>
      <c r="C19" s="391"/>
      <c r="D19" s="204" t="str">
        <f>IF(D18="", "Seleccionar Lubricante ↑", "Consumo de " &amp; D18)</f>
        <v>Seleccionar Lubricante ↑</v>
      </c>
      <c r="E19" s="205"/>
      <c r="F19" s="206" t="str">
        <f>IF(ISERROR(FIND("Seleccionar", D19)), "L/h", "")</f>
        <v/>
      </c>
      <c r="G19" s="245"/>
      <c r="H19" s="379"/>
      <c r="I19" s="380"/>
      <c r="J19" s="380"/>
      <c r="K19" s="381"/>
      <c r="L19" s="377"/>
    </row>
    <row r="20" spans="2:12" ht="30" customHeight="1">
      <c r="B20" s="384"/>
      <c r="C20" s="392"/>
      <c r="D20" s="204" t="s">
        <v>90</v>
      </c>
      <c r="E20" s="205"/>
      <c r="F20" s="206" t="str">
        <f>IF(OR(D16&lt;&gt;"", D18&lt;&gt;""), "$/h", "")</f>
        <v/>
      </c>
      <c r="G20" s="244"/>
      <c r="H20" s="372"/>
      <c r="I20" s="372"/>
      <c r="J20" s="372"/>
      <c r="K20" s="372"/>
      <c r="L20" s="378"/>
    </row>
    <row r="21" spans="2:12" ht="30" customHeight="1">
      <c r="B21" s="389" t="s">
        <v>73</v>
      </c>
      <c r="C21" s="393" t="s">
        <v>70</v>
      </c>
      <c r="D21" s="242"/>
      <c r="E21" s="205"/>
      <c r="F21" s="206" t="str">
        <f>IF(D21="","","kW")</f>
        <v/>
      </c>
      <c r="G21" s="214" t="str">
        <f>IFERROR(INDEX('INFO-Direc'!$G$9:$G$25,
       MATCH(D21, 'INFO-Direc'!$D$9:$D$26, 0)),"")</f>
        <v/>
      </c>
      <c r="H21" s="379"/>
      <c r="I21" s="380"/>
      <c r="J21" s="380"/>
      <c r="K21" s="381"/>
      <c r="L21" s="376" t="str">
        <f>IFERROR(G21*G13*G22+G23+G24,"")</f>
        <v/>
      </c>
    </row>
    <row r="22" spans="2:12" ht="30" customHeight="1">
      <c r="B22" s="383"/>
      <c r="C22" s="386"/>
      <c r="D22" s="204" t="str">
        <f>IF(D21="", "Seleccionar Compresor ↑", "Carga Promedio de Uso de " &amp; D21)</f>
        <v>Seleccionar Compresor ↑</v>
      </c>
      <c r="E22" s="205"/>
      <c r="F22" s="206" t="str">
        <f>IF(ISERROR(FIND("Seleccionar", D22)), "%", "")</f>
        <v/>
      </c>
      <c r="G22" s="243"/>
      <c r="H22" s="372"/>
      <c r="I22" s="372"/>
      <c r="J22" s="372"/>
      <c r="K22" s="372"/>
      <c r="L22" s="377"/>
    </row>
    <row r="23" spans="2:12" ht="30" customHeight="1">
      <c r="B23" s="383"/>
      <c r="C23" s="386"/>
      <c r="D23" s="215" t="str">
        <f>IF(D21="", "Seleccionar Compresor ↑", "Costo de Repuestos " &amp; D21)</f>
        <v>Seleccionar Compresor ↑</v>
      </c>
      <c r="E23" s="205"/>
      <c r="F23" s="206" t="str">
        <f>IF(ISERROR(FIND("Seleccionar", D23)), "$/h", "")</f>
        <v/>
      </c>
      <c r="G23" s="216" t="str">
        <f>IF(D21="","", SUM(IF(ISNUMBER(FIND("Compresor", 'INFO-Mant'!D9:D30)), 'INFO-Mant'!G9:G30 / 'INFO-Mant'!H9:H30, 0)))</f>
        <v/>
      </c>
      <c r="H23" s="379"/>
      <c r="I23" s="380"/>
      <c r="J23" s="380"/>
      <c r="K23" s="381"/>
      <c r="L23" s="377"/>
    </row>
    <row r="24" spans="2:12" ht="30" customHeight="1">
      <c r="B24" s="384"/>
      <c r="C24" s="387"/>
      <c r="D24" s="204" t="s">
        <v>90</v>
      </c>
      <c r="E24" s="205"/>
      <c r="F24" s="206" t="str">
        <f>IF(D21="","","$/h")</f>
        <v/>
      </c>
      <c r="G24" s="244"/>
      <c r="H24" s="372"/>
      <c r="I24" s="372"/>
      <c r="J24" s="372"/>
      <c r="K24" s="372"/>
      <c r="L24" s="378"/>
    </row>
    <row r="25" spans="2:12" ht="30" customHeight="1">
      <c r="B25" s="389" t="s">
        <v>74</v>
      </c>
      <c r="C25" s="393" t="s">
        <v>70</v>
      </c>
      <c r="D25" s="242"/>
      <c r="E25" s="205"/>
      <c r="F25" s="206" t="str">
        <f>IF(D25="","","$/L")</f>
        <v/>
      </c>
      <c r="G25" s="211" t="str">
        <f>IFERROR(INDEX('INFO-Direc'!$G$9:$G$25,
       MATCH(D25, 'INFO-Direc'!$D$9:$D$26, 0)),"")</f>
        <v/>
      </c>
      <c r="H25" s="372"/>
      <c r="I25" s="372"/>
      <c r="J25" s="372"/>
      <c r="K25" s="372"/>
      <c r="L25" s="394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83"/>
      <c r="C26" s="386"/>
      <c r="D26" s="204" t="str">
        <f>IF(D25="", "Seleccionar Refrigerante ↑", "Consumo de " &amp; D25)</f>
        <v>Seleccionar Refrigerante ↑</v>
      </c>
      <c r="E26" s="205"/>
      <c r="F26" s="206" t="str">
        <f>IF(ISERROR(FIND("Seleccionar", D26)), "L/Año", "")</f>
        <v/>
      </c>
      <c r="G26" s="249"/>
      <c r="H26" s="372"/>
      <c r="I26" s="372"/>
      <c r="J26" s="372"/>
      <c r="K26" s="372"/>
      <c r="L26" s="395"/>
    </row>
    <row r="27" spans="2:12" ht="30" customHeight="1">
      <c r="B27" s="383"/>
      <c r="C27" s="386"/>
      <c r="D27" s="242"/>
      <c r="E27" s="205"/>
      <c r="F27" s="206" t="str">
        <f>IF(D27="","","$/L")</f>
        <v/>
      </c>
      <c r="G27" s="217" t="str">
        <f>IFERROR(INDEX('INFO-Direc'!$G$9:$G$25,
       MATCH(D27, 'INFO-Direc'!$D$9:$D$26, 0)),"")</f>
        <v/>
      </c>
      <c r="H27" s="379"/>
      <c r="I27" s="380"/>
      <c r="J27" s="380"/>
      <c r="K27" s="381"/>
      <c r="L27" s="395"/>
    </row>
    <row r="28" spans="2:12" ht="30" customHeight="1">
      <c r="B28" s="383"/>
      <c r="C28" s="386"/>
      <c r="D28" s="204" t="str">
        <f>IF(D27="", "Seleccionar Refrigerante ↑", "Consumo de " &amp; D27)</f>
        <v>Seleccionar Refrigerante ↑</v>
      </c>
      <c r="E28" s="205"/>
      <c r="F28" s="206" t="str">
        <f>IF(ISERROR(FIND("Seleccionar", D28)), "L/Año", "")</f>
        <v/>
      </c>
      <c r="G28" s="250"/>
      <c r="H28" s="379"/>
      <c r="I28" s="380"/>
      <c r="J28" s="380"/>
      <c r="K28" s="381"/>
      <c r="L28" s="395"/>
    </row>
    <row r="29" spans="2:12" ht="30" customHeight="1">
      <c r="B29" s="384"/>
      <c r="C29" s="387"/>
      <c r="D29" s="204" t="s">
        <v>90</v>
      </c>
      <c r="E29" s="205"/>
      <c r="F29" s="206" t="str">
        <f>IF(OR(D25&lt;&gt;"", D27&lt;&gt;""), "$/h", "")</f>
        <v/>
      </c>
      <c r="G29" s="244"/>
      <c r="H29" s="372"/>
      <c r="I29" s="372"/>
      <c r="J29" s="372"/>
      <c r="K29" s="372"/>
      <c r="L29" s="396"/>
    </row>
    <row r="30" spans="2:12" s="180" customFormat="1" ht="30" customHeight="1">
      <c r="B30" s="389" t="s">
        <v>97</v>
      </c>
      <c r="C30" s="393" t="s">
        <v>70</v>
      </c>
      <c r="D30" s="204" t="str">
        <f>IF(D12="", "Seleccionar Area ↑", "Costo de Operarios")</f>
        <v>Costo de Operarios</v>
      </c>
      <c r="E30" s="205"/>
      <c r="F30" s="206" t="str">
        <f>IF(D12="","","$/mes")</f>
        <v>$/mes</v>
      </c>
      <c r="G30" s="217">
        <f>IF(D12="","",IFERROR(
    INDEX('INFO-Personal'!$E$26:$CA$26,
           MATCH($C$3, 'INFO-Personal'!$E$9:$CA$9, 0)
    ),
""))</f>
        <v>0</v>
      </c>
      <c r="H30" s="372"/>
      <c r="I30" s="372"/>
      <c r="J30" s="372"/>
      <c r="K30" s="372"/>
      <c r="L30" s="376">
        <f>IFERROR(
    (G30 / INDEX('INFO-OEE'!$E$18:$CA$18,
                  MATCH($C$3, 'INFO-OEE'!$E$9:$CA$9, 0)))
    + G31,
"")</f>
        <v>0</v>
      </c>
    </row>
    <row r="31" spans="2:12" s="180" customFormat="1" ht="30" customHeight="1">
      <c r="B31" s="383"/>
      <c r="C31" s="386"/>
      <c r="D31" s="204" t="s">
        <v>90</v>
      </c>
      <c r="E31" s="205"/>
      <c r="F31" s="206" t="str">
        <f>IF(D12="","","$/h")</f>
        <v>$/h</v>
      </c>
      <c r="G31" s="251"/>
      <c r="H31" s="372"/>
      <c r="I31" s="372"/>
      <c r="J31" s="372"/>
      <c r="K31" s="372"/>
      <c r="L31" s="377"/>
    </row>
    <row r="32" spans="2:12" s="180" customFormat="1" ht="30" customHeight="1">
      <c r="B32" s="219"/>
      <c r="C32" s="220"/>
      <c r="D32" s="221"/>
      <c r="E32" s="220"/>
      <c r="F32" s="222"/>
      <c r="G32" s="223"/>
      <c r="H32" s="397"/>
      <c r="I32" s="397"/>
      <c r="J32" s="397"/>
      <c r="K32" s="397"/>
      <c r="L32" s="224"/>
    </row>
    <row r="33" spans="2:12" s="180" customFormat="1" ht="30" customHeight="1">
      <c r="B33" s="389" t="s">
        <v>42</v>
      </c>
      <c r="C33" s="393" t="s">
        <v>77</v>
      </c>
      <c r="D33" s="204" t="str">
        <f>IF(D12="", "Seleccionar Area ↑", "Costo de Supervisores")</f>
        <v>Costo de Supervisores</v>
      </c>
      <c r="E33" s="205"/>
      <c r="F33" s="218" t="str">
        <f>IF(D12="","","$/mes")</f>
        <v>$/mes</v>
      </c>
      <c r="G33" s="217">
        <f>IF(D12="","",IFERROR(
    INDEX('INFO-Personal'!$E$27:$CA$27,
           MATCH($C$3, 'INFO-Personal'!$E$9:$CA$9, 0)
    ),
""))</f>
        <v>0</v>
      </c>
      <c r="H33" s="379"/>
      <c r="I33" s="380"/>
      <c r="J33" s="380"/>
      <c r="K33" s="381"/>
      <c r="L33" s="376">
        <f>IFERROR(
    (G33 / INDEX('INFO-OEE'!$E$18:$CA$18,
                  MATCH($C$3, 'INFO-OEE'!$E$9:$CA$9, 0)))
    + G34,
"")</f>
        <v>0</v>
      </c>
    </row>
    <row r="34" spans="2:12" s="180" customFormat="1" ht="30" customHeight="1">
      <c r="B34" s="383"/>
      <c r="C34" s="386"/>
      <c r="D34" s="204" t="s">
        <v>90</v>
      </c>
      <c r="E34" s="205"/>
      <c r="F34" s="206" t="str">
        <f>IF(D12="","","$/h")</f>
        <v>$/h</v>
      </c>
      <c r="G34" s="251"/>
      <c r="H34" s="379"/>
      <c r="I34" s="380"/>
      <c r="J34" s="380"/>
      <c r="K34" s="381"/>
      <c r="L34" s="377"/>
    </row>
    <row r="35" spans="2:12" ht="30" customHeight="1">
      <c r="B35" s="389" t="s">
        <v>98</v>
      </c>
      <c r="C35" s="393" t="s">
        <v>77</v>
      </c>
      <c r="D35" s="204" t="str">
        <f>IF(D12="", "Seleccionar Area ↑", "Costo de Mant. Preventivo")</f>
        <v>Costo de Mant. Preventivo</v>
      </c>
      <c r="E35" s="205"/>
      <c r="F35" s="218" t="str">
        <f>IF(D12="","","$/mes")</f>
        <v>$/mes</v>
      </c>
      <c r="G35" s="217" t="str">
        <f>IF(D12="","",IFERROR(
    INDEX('[1]INFO-Personal'!$E$28:$CA$28,
           MATCH($C$3, '[1]INFO-Personal'!$E$9:$CA$9, 0)
    ),
""))</f>
        <v/>
      </c>
      <c r="H35" s="379"/>
      <c r="I35" s="380"/>
      <c r="J35" s="380"/>
      <c r="K35" s="381"/>
      <c r="L35" s="376">
        <f>IF(D12="","",SUM(
    IFERROR((G35+G36) / INDEX('INFO-OEE'!$E$18:$CA$18, MATCH(C3, 'INFO-OEE'!$E$9:$CA$9, 0)), 0),
    IFERROR(G37 / G38, 0),
    IFERROR(G39 / G40, 0),
    IFERROR(G41 / G42, 0),
    IFERROR(G43, 0)
))</f>
        <v>0</v>
      </c>
    </row>
    <row r="36" spans="2:12" ht="30" customHeight="1">
      <c r="B36" s="383"/>
      <c r="C36" s="386"/>
      <c r="D36" s="204" t="str">
        <f>IF(D12="", "Seleccionar Area ↑", "Costo de Mant. Correctivo")</f>
        <v>Costo de Mant. Correctivo</v>
      </c>
      <c r="E36" s="205"/>
      <c r="F36" s="218" t="str">
        <f>IF(D12="","","$/mes")</f>
        <v>$/mes</v>
      </c>
      <c r="G36" s="217" t="str">
        <f>IF(D12="","",IFERROR(
    INDEX('[1]INFO-Personal'!$E$29:$CA$29,
           MATCH($C$3, '[1]INFO-Personal'!$E$9:$CA$9, 0)
    ),
""))</f>
        <v/>
      </c>
      <c r="H36" s="379"/>
      <c r="I36" s="380"/>
      <c r="J36" s="380"/>
      <c r="K36" s="381"/>
      <c r="L36" s="377"/>
    </row>
    <row r="37" spans="2:12" ht="30" customHeight="1">
      <c r="B37" s="383"/>
      <c r="C37" s="386"/>
      <c r="D37" s="242"/>
      <c r="E37" s="205"/>
      <c r="F37" s="206" t="str">
        <f>IF(D37="","","$/u")</f>
        <v/>
      </c>
      <c r="G37" s="217" t="str">
        <f>IFERROR(INDEX('INFO-Mant'!$G$9:$G$26,
       MATCH(D37, 'INFO-Mant'!$D$9:$D$26, 0)),"")</f>
        <v/>
      </c>
      <c r="H37" s="379"/>
      <c r="I37" s="380"/>
      <c r="J37" s="380"/>
      <c r="K37" s="381"/>
      <c r="L37" s="377"/>
    </row>
    <row r="38" spans="2:12" ht="30" customHeight="1">
      <c r="B38" s="383"/>
      <c r="C38" s="386"/>
      <c r="D38" s="204" t="str">
        <f>IF(D37="", "Seleccionar Repuesto ↑", "Vida Util de " &amp; D37)</f>
        <v>Seleccionar Repuesto ↑</v>
      </c>
      <c r="E38" s="205"/>
      <c r="F38" s="206" t="str">
        <f>IF(ISERROR(FIND("Seleccionar", D38)), "Horas/u", "")</f>
        <v/>
      </c>
      <c r="G38" s="249"/>
      <c r="H38" s="379"/>
      <c r="I38" s="380"/>
      <c r="J38" s="380"/>
      <c r="K38" s="381"/>
      <c r="L38" s="377"/>
    </row>
    <row r="39" spans="2:12" ht="30" customHeight="1">
      <c r="B39" s="383"/>
      <c r="C39" s="386"/>
      <c r="D39" s="242"/>
      <c r="E39" s="205"/>
      <c r="F39" s="206" t="str">
        <f>IF(D39="","","$/u")</f>
        <v/>
      </c>
      <c r="G39" s="217" t="str">
        <f>IFERROR(INDEX('INFO-Mant'!$G$9:$G$26,
       MATCH(D39, 'INFO-Mant'!$D$9:$D$26, 0)),"")</f>
        <v/>
      </c>
      <c r="H39" s="379"/>
      <c r="I39" s="380"/>
      <c r="J39" s="380"/>
      <c r="K39" s="381"/>
      <c r="L39" s="377"/>
    </row>
    <row r="40" spans="2:12" ht="30" customHeight="1">
      <c r="B40" s="383"/>
      <c r="C40" s="386"/>
      <c r="D40" s="204" t="str">
        <f>IF(D39="", "Seleccionar Repuesto ↑", "Vida Util de " &amp; D39)</f>
        <v>Seleccionar Repuesto ↑</v>
      </c>
      <c r="E40" s="205"/>
      <c r="F40" s="206" t="str">
        <f>IF(ISERROR(FIND("Seleccionar", D40)), "Horas/u", "")</f>
        <v/>
      </c>
      <c r="G40" s="249"/>
      <c r="H40" s="379"/>
      <c r="I40" s="380"/>
      <c r="J40" s="380"/>
      <c r="K40" s="381"/>
      <c r="L40" s="377"/>
    </row>
    <row r="41" spans="2:12" ht="30" customHeight="1">
      <c r="B41" s="383"/>
      <c r="C41" s="386"/>
      <c r="D41" s="242"/>
      <c r="E41" s="205"/>
      <c r="F41" s="206" t="str">
        <f>IF(D41="","","$/u")</f>
        <v/>
      </c>
      <c r="G41" s="217" t="str">
        <f>IFERROR(INDEX('INFO-Mant'!$G$9:$G$26,
       MATCH(D41, 'INFO-Mant'!$D$9:$D$26, 0)),"")</f>
        <v/>
      </c>
      <c r="H41" s="379"/>
      <c r="I41" s="380"/>
      <c r="J41" s="380"/>
      <c r="K41" s="381"/>
      <c r="L41" s="377"/>
    </row>
    <row r="42" spans="2:12" ht="30" customHeight="1">
      <c r="B42" s="383"/>
      <c r="C42" s="386"/>
      <c r="D42" s="204" t="str">
        <f>IF(D41="", "Seleccionar Repuesto ↑", "Vida Util de " &amp; D41)</f>
        <v>Seleccionar Repuesto ↑</v>
      </c>
      <c r="E42" s="205"/>
      <c r="F42" s="206" t="str">
        <f>IF(ISERROR(FIND("Seleccionar", D42)), "Horas/u", "")</f>
        <v/>
      </c>
      <c r="G42" s="251"/>
      <c r="H42" s="379"/>
      <c r="I42" s="380"/>
      <c r="J42" s="380"/>
      <c r="K42" s="381"/>
      <c r="L42" s="377"/>
    </row>
    <row r="43" spans="2:12" ht="30" customHeight="1">
      <c r="B43" s="384"/>
      <c r="C43" s="387"/>
      <c r="D43" s="204" t="s">
        <v>90</v>
      </c>
      <c r="E43" s="205"/>
      <c r="F43" s="206" t="str">
        <f>IF(D12="","","$/h")</f>
        <v>$/h</v>
      </c>
      <c r="G43" s="251"/>
      <c r="H43" s="379"/>
      <c r="I43" s="380"/>
      <c r="J43" s="380"/>
      <c r="K43" s="381"/>
      <c r="L43" s="378"/>
    </row>
    <row r="44" spans="2:12" ht="30" customHeight="1">
      <c r="B44" s="225"/>
      <c r="C44" s="226"/>
      <c r="D44" s="227"/>
      <c r="E44" s="226"/>
      <c r="F44" s="228"/>
      <c r="G44" s="229"/>
      <c r="H44" s="226"/>
      <c r="I44" s="226"/>
      <c r="J44" s="226"/>
      <c r="K44" s="226"/>
      <c r="L44" s="230"/>
    </row>
    <row r="45" spans="2:12" ht="30" customHeight="1">
      <c r="B45" s="389" t="s">
        <v>99</v>
      </c>
      <c r="C45" s="390" t="s">
        <v>100</v>
      </c>
      <c r="D45" s="242" t="s">
        <v>107</v>
      </c>
      <c r="E45" s="205"/>
      <c r="F45" s="206" t="str">
        <f>IF(D45="","","$/h")</f>
        <v>$/h</v>
      </c>
      <c r="G45" s="217">
        <f ca="1">IFERROR(
 IF(
    DATE(
        YEAR( INDEX('INFO-Pos'!$G:$G, MATCH(D45,'INFO-Pos'!$B:$B,0)+1 ) ) +
        INDEX('INFO-Pos'!$G:$G, MATCH(D45,'INFO-Pos'!$B:$B,0)+2 ),
        MONTH( INDEX('INFO-Pos'!$G:$G, MATCH(D45,'INFO-Pos'!$B:$B,0)+1 ) ),
        DAY( INDEX('INFO-Pos'!$G:$G, MATCH(D45,'INFO-Pos'!$B:$B,0)+1 ) )
    ) &gt; TODAY(),
    ( INDEX('INFO-Pos'!$G:$G, MATCH(D45,'INFO-Pos'!$B:$B,0)+0 ) -
      INDEX('INFO-Pos'!$G:$G, MATCH(D45,'INFO-Pos'!$B:$B,0)+3 )
    ) /
    (
      INDEX('INFO-Pos'!$G:$G, MATCH(D45,'INFO-Pos'!$B:$B,0)+2 ) *
      INDEX('INFO-Pos'!$G:$G, MATCH(D45,'INFO-Pos'!$B:$B,0)+4 )
    ),
    0
 ),
 ""
)</f>
        <v>0</v>
      </c>
      <c r="H45" s="398" t="str">
        <f ca="1">IFERROR(
    IF(G45="",
        "",
        IF(G45=0,
            "Depreciado en su totalidad",
            "Depreciación restante durante " &amp;
            MAX(
                0,
                INDEX('INFO-Pos'!$G:$G, MATCH(D45,'INFO-Pos'!$B:$B,0)+2)
                -
                (YEAR(TODAY()) - YEAR( INDEX('INFO-Pos'!$G:$G, MATCH(D45,'INFO-Pos'!$B:$B,0)+1 ) ))
            )
            &amp; " años"
        )
    ),
    ""
)</f>
        <v>Depreciado en su totalidad</v>
      </c>
      <c r="I45" s="398"/>
      <c r="J45" s="398"/>
      <c r="K45" s="398"/>
      <c r="L45" s="252">
        <f ca="1">G45</f>
        <v>0</v>
      </c>
    </row>
    <row r="46" spans="2:12" ht="30" customHeight="1">
      <c r="B46" s="383"/>
      <c r="C46" s="391"/>
      <c r="D46" s="242"/>
      <c r="E46" s="231"/>
      <c r="F46" s="206" t="str">
        <f>IF(D46="","","$/h")</f>
        <v/>
      </c>
      <c r="G46" s="217" t="str">
        <f ca="1">IFERROR(
 IF(
    DATE(
        YEAR( INDEX('INFO-Pos'!$G:$G, MATCH(D46,'INFO-Pos'!$B:$B,0)+1 ) ) +
        INDEX('INFO-Pos'!$G:$G, MATCH(D46,'INFO-Pos'!$B:$B,0)+2 ),
        MONTH( INDEX('INFO-Pos'!$G:$G, MATCH(D46,'INFO-Pos'!$B:$B,0)+1 ) ),
        DAY( INDEX('INFO-Pos'!$G:$G, MATCH(D46,'INFO-Pos'!$B:$B,0)+1 ) )
    ) &gt; TODAY(),
    ( INDEX('INFO-Pos'!$G:$G, MATCH(D46,'INFO-Pos'!$B:$B,0)+0 ) -
      INDEX('INFO-Pos'!$G:$G, MATCH(D46,'INFO-Pos'!$B:$B,0)+3 )
    ) /
    (
      INDEX('INFO-Pos'!$G:$G, MATCH(D46,'INFO-Pos'!$B:$B,0)+2 ) *
      INDEX('INFO-Pos'!$G:$G, MATCH(D46,'INFO-Pos'!$B:$B,0)+4 )
    ),
    0
 ),
 ""
)</f>
        <v/>
      </c>
      <c r="H46" s="398" t="str">
        <f ca="1">IFERROR(
    IF(G46="",
        "",
        IF(G46=0,
            "Depreciado en su totalidad",
            "Depreciación restante durante " &amp;
            MAX(
                0,
                INDEX('INFO-Pos'!$G:$G, MATCH(D46,'INFO-Pos'!$B:$B,0)+2)
                -
                (YEAR(TODAY()) - YEAR( INDEX('INFO-Pos'!$G:$G, MATCH(D46,'INFO-Pos'!$B:$B,0)+1 ) ))
            )
            &amp; " años"
        )
    ),
    ""
)</f>
        <v/>
      </c>
      <c r="I46" s="398"/>
      <c r="J46" s="398"/>
      <c r="K46" s="398"/>
      <c r="L46" s="252" t="str">
        <f ca="1">G46</f>
        <v/>
      </c>
    </row>
    <row r="47" spans="2:12" ht="30" customHeight="1">
      <c r="B47" s="383"/>
      <c r="C47" s="391"/>
      <c r="D47" s="242"/>
      <c r="E47" s="205"/>
      <c r="F47" s="206" t="str">
        <f t="shared" ref="F47:F49" si="0">IF(D47="","","$/h")</f>
        <v/>
      </c>
      <c r="G47" s="217" t="str">
        <f ca="1">IFERROR(
 IF(
    DATE(
        YEAR( INDEX('INFO-Pos'!$G:$G, MATCH(D47,'INFO-Pos'!$B:$B,0)+1 ) ) +
        INDEX('INFO-Pos'!$G:$G, MATCH(D47,'INFO-Pos'!$B:$B,0)+2 ),
        MONTH( INDEX('INFO-Pos'!$G:$G, MATCH(D47,'INFO-Pos'!$B:$B,0)+1 ) ),
        DAY( INDEX('INFO-Pos'!$G:$G, MATCH(D47,'INFO-Pos'!$B:$B,0)+1 ) )
    ) &gt; TODAY(),
    ( INDEX('INFO-Pos'!$G:$G, MATCH(D47,'INFO-Pos'!$B:$B,0)+0 ) -
      INDEX('INFO-Pos'!$G:$G, MATCH(D47,'INFO-Pos'!$B:$B,0)+3 )
    ) /
    (
      INDEX('INFO-Pos'!$G:$G, MATCH(D47,'INFO-Pos'!$B:$B,0)+2 ) *
      INDEX('INFO-Pos'!$G:$G, MATCH(D47,'INFO-Pos'!$B:$B,0)+4 )
    ),
    0
 ),
 ""
)</f>
        <v/>
      </c>
      <c r="H47" s="398" t="str">
        <f ca="1">IFERROR(
    IF(G47="",
        "",
        IF(G47=0,
            "Depreciado en su totalidad",
            "Depreciación restante durante " &amp;
            MAX(
                0,
                INDEX('INFO-Pos'!$G:$G, MATCH(D47,'INFO-Pos'!$B:$B,0)+2)
                -
                (YEAR(TODAY()) - YEAR( INDEX('INFO-Pos'!$G:$G, MATCH(D47,'INFO-Pos'!$B:$B,0)+1 ) ))
            )
            &amp; " años"
        )
    ),
    ""
)</f>
        <v/>
      </c>
      <c r="I47" s="398"/>
      <c r="J47" s="398"/>
      <c r="K47" s="398"/>
      <c r="L47" s="252" t="str">
        <f ca="1">G47</f>
        <v/>
      </c>
    </row>
    <row r="48" spans="2:12" ht="30" customHeight="1">
      <c r="B48" s="383"/>
      <c r="C48" s="391"/>
      <c r="D48" s="242"/>
      <c r="E48" s="205"/>
      <c r="F48" s="206" t="str">
        <f t="shared" si="0"/>
        <v/>
      </c>
      <c r="G48" s="217" t="str">
        <f ca="1">IFERROR(
 IF(
    DATE(
        YEAR( INDEX('INFO-Pos'!$G:$G, MATCH(D48,'INFO-Pos'!$B:$B,0)+1 ) ) +
        INDEX('INFO-Pos'!$G:$G, MATCH(D48,'INFO-Pos'!$B:$B,0)+2 ),
        MONTH( INDEX('INFO-Pos'!$G:$G, MATCH(D48,'INFO-Pos'!$B:$B,0)+1 ) ),
        DAY( INDEX('INFO-Pos'!$G:$G, MATCH(D48,'INFO-Pos'!$B:$B,0)+1 ) )
    ) &gt; TODAY(),
    ( INDEX('INFO-Pos'!$G:$G, MATCH(D48,'INFO-Pos'!$B:$B,0)+0 ) -
      INDEX('INFO-Pos'!$G:$G, MATCH(D48,'INFO-Pos'!$B:$B,0)+3 )
    ) /
    (
      INDEX('INFO-Pos'!$G:$G, MATCH(D48,'INFO-Pos'!$B:$B,0)+2 ) *
      INDEX('INFO-Pos'!$G:$G, MATCH(D48,'INFO-Pos'!$B:$B,0)+4 )
    ),
    0
 ),
 ""
)</f>
        <v/>
      </c>
      <c r="H48" s="398" t="str">
        <f ca="1">IFERROR(
    IF(G48="",
        "",
        IF(G48=0,
            "Depreciado en su totalidad",
            "Depreciación restante durante " &amp;
            MAX(
                0,
                INDEX('INFO-Pos'!$G:$G, MATCH(D48,'INFO-Pos'!$B:$B,0)+2)
                -
                (YEAR(TODAY()) - YEAR( INDEX('INFO-Pos'!$G:$G, MATCH(D48,'INFO-Pos'!$B:$B,0)+1 ) ))
            )
            &amp; " años"
        )
    ),
    ""
)</f>
        <v/>
      </c>
      <c r="I48" s="398"/>
      <c r="J48" s="398"/>
      <c r="K48" s="398"/>
      <c r="L48" s="252" t="str">
        <f ca="1">G48</f>
        <v/>
      </c>
    </row>
    <row r="49" spans="2:12" ht="30" customHeight="1">
      <c r="B49" s="384"/>
      <c r="C49" s="392"/>
      <c r="D49" s="242"/>
      <c r="E49" s="205"/>
      <c r="F49" s="206" t="str">
        <f t="shared" si="0"/>
        <v/>
      </c>
      <c r="G49" s="217" t="str">
        <f ca="1">IFERROR(
 IF(
    DATE(
        YEAR( INDEX('INFO-Pos'!$G:$G, MATCH(D49,'INFO-Pos'!$B:$B,0)+1 ) ) +
        INDEX('INFO-Pos'!$G:$G, MATCH(D49,'INFO-Pos'!$B:$B,0)+2 ),
        MONTH( INDEX('INFO-Pos'!$G:$G, MATCH(D49,'INFO-Pos'!$B:$B,0)+1 ) ),
        DAY( INDEX('INFO-Pos'!$G:$G, MATCH(D49,'INFO-Pos'!$B:$B,0)+1 ) )
    ) &gt; TODAY(),
    ( INDEX('INFO-Pos'!$G:$G, MATCH(D49,'INFO-Pos'!$B:$B,0)+0 ) -
      INDEX('INFO-Pos'!$G:$G, MATCH(D49,'INFO-Pos'!$B:$B,0)+3 )
    ) /
    (
      INDEX('INFO-Pos'!$G:$G, MATCH(D49,'INFO-Pos'!$B:$B,0)+2 ) *
      INDEX('INFO-Pos'!$G:$G, MATCH(D49,'INFO-Pos'!$B:$B,0)+4 )
    ),
    0
 ),
 ""
)</f>
        <v/>
      </c>
      <c r="H49" s="398" t="str">
        <f ca="1">IFERROR(
    IF(G49="",
        "",
        IF(G49=0,
            "Depreciado en su totalidad",
            "Depreciación restante durante " &amp;
            MAX(
                0,
                INDEX('INFO-Pos'!$G:$G, MATCH(D49,'INFO-Pos'!$B:$B,0)+2)
                -
                (YEAR(TODAY()) - YEAR( INDEX('INFO-Pos'!$G:$G, MATCH(D49,'INFO-Pos'!$B:$B,0)+1 ) ))
            )
            &amp; " años"
        )
    ),
    ""
)</f>
        <v/>
      </c>
      <c r="I49" s="398"/>
      <c r="J49" s="398"/>
      <c r="K49" s="398"/>
      <c r="L49" s="252" t="str">
        <f ca="1">G49</f>
        <v/>
      </c>
    </row>
    <row r="50" spans="2:12" ht="30" customHeight="1">
      <c r="B50" s="22"/>
      <c r="C50" s="23"/>
      <c r="D50" s="399"/>
      <c r="E50" s="399"/>
      <c r="F50" s="25"/>
      <c r="G50" s="25"/>
      <c r="H50" s="26"/>
      <c r="I50" s="26"/>
      <c r="J50" s="26"/>
      <c r="K50" s="25"/>
      <c r="L50" s="21"/>
    </row>
    <row r="51" spans="2:12" ht="30" customHeight="1" thickBot="1">
      <c r="B51" s="32" t="s">
        <v>31</v>
      </c>
      <c r="C51" s="307"/>
      <c r="D51" s="307"/>
      <c r="E51" s="33" t="s">
        <v>32</v>
      </c>
      <c r="F51" s="357"/>
      <c r="G51" s="357"/>
      <c r="H51" s="16"/>
      <c r="I51" s="16"/>
      <c r="J51" s="16"/>
      <c r="K51" s="253"/>
      <c r="L51" s="254"/>
    </row>
    <row r="52" spans="2:12" ht="35.25" customHeight="1" thickBot="1">
      <c r="B52" s="35"/>
      <c r="C52" s="37"/>
      <c r="D52" s="37"/>
      <c r="E52" s="37"/>
      <c r="F52" s="400"/>
      <c r="G52" s="400"/>
      <c r="H52" s="38"/>
      <c r="I52" s="38"/>
      <c r="J52" s="38"/>
      <c r="K52" s="255" t="s">
        <v>101</v>
      </c>
      <c r="L52" s="256">
        <f ca="1">IFERROR(SUM(L10:L49),"")</f>
        <v>2.1653851948626155E-2</v>
      </c>
    </row>
    <row r="53" spans="2:12" ht="30" customHeight="1">
      <c r="B53" s="162"/>
      <c r="C53" s="162"/>
      <c r="D53" s="163"/>
      <c r="E53" s="163"/>
      <c r="F53" s="163"/>
      <c r="G53" s="163"/>
      <c r="H53" s="163"/>
      <c r="I53" s="163"/>
      <c r="J53" s="163"/>
      <c r="K53" s="164"/>
    </row>
    <row r="54" spans="2:12" ht="30" customHeight="1">
      <c r="B54" s="162"/>
    </row>
    <row r="55" spans="2:12" ht="30" customHeight="1">
      <c r="B55" s="162"/>
    </row>
    <row r="56" spans="2:12" ht="30" customHeight="1">
      <c r="B56" s="162"/>
      <c r="C56" s="162"/>
    </row>
    <row r="57" spans="2:12" ht="30" customHeight="1">
      <c r="B57" s="162"/>
      <c r="C57" s="162"/>
    </row>
    <row r="58" spans="2:12" ht="30" customHeight="1">
      <c r="B58" s="162"/>
      <c r="C58" s="162"/>
    </row>
    <row r="59" spans="2:12" ht="30" customHeight="1">
      <c r="B59" s="162"/>
      <c r="C59" s="162"/>
    </row>
    <row r="60" spans="2:12" ht="30" customHeight="1">
      <c r="B60" s="162"/>
      <c r="C60" s="162"/>
    </row>
    <row r="61" spans="2:12" ht="30" customHeight="1">
      <c r="B61" s="162"/>
      <c r="C61" s="162"/>
    </row>
    <row r="64" spans="2:12" ht="30" customHeight="1">
      <c r="C64" s="165"/>
    </row>
  </sheetData>
  <sheetProtection selectLockedCells="1"/>
  <mergeCells count="72">
    <mergeCell ref="H45:K45"/>
    <mergeCell ref="H46:K46"/>
    <mergeCell ref="H47:K47"/>
    <mergeCell ref="H48:K48"/>
    <mergeCell ref="H49:K49"/>
    <mergeCell ref="H16:K16"/>
    <mergeCell ref="L35:L43"/>
    <mergeCell ref="H38:K38"/>
    <mergeCell ref="H35:K35"/>
    <mergeCell ref="H36:K36"/>
    <mergeCell ref="H37:K37"/>
    <mergeCell ref="H39:K39"/>
    <mergeCell ref="H40:K40"/>
    <mergeCell ref="H41:K41"/>
    <mergeCell ref="H42:K42"/>
    <mergeCell ref="H43:K43"/>
    <mergeCell ref="H24:K24"/>
    <mergeCell ref="H25:K25"/>
    <mergeCell ref="H26:K26"/>
    <mergeCell ref="H27:K27"/>
    <mergeCell ref="H28:K28"/>
    <mergeCell ref="H9:K9"/>
    <mergeCell ref="H10:K10"/>
    <mergeCell ref="H11:K11"/>
    <mergeCell ref="H13:K13"/>
    <mergeCell ref="H15:K15"/>
    <mergeCell ref="H14:K14"/>
    <mergeCell ref="C3:D3"/>
    <mergeCell ref="F3:G3"/>
    <mergeCell ref="C6:D6"/>
    <mergeCell ref="F6:G6"/>
    <mergeCell ref="C7:D7"/>
    <mergeCell ref="F7:G7"/>
    <mergeCell ref="B10:B15"/>
    <mergeCell ref="C10:C15"/>
    <mergeCell ref="B16:B20"/>
    <mergeCell ref="C16:C20"/>
    <mergeCell ref="L21:L24"/>
    <mergeCell ref="H21:K21"/>
    <mergeCell ref="H22:K22"/>
    <mergeCell ref="H23:K23"/>
    <mergeCell ref="H17:K17"/>
    <mergeCell ref="H18:K18"/>
    <mergeCell ref="H19:K19"/>
    <mergeCell ref="B21:B24"/>
    <mergeCell ref="C21:C24"/>
    <mergeCell ref="H20:K20"/>
    <mergeCell ref="L10:L15"/>
    <mergeCell ref="L16:L20"/>
    <mergeCell ref="L25:L29"/>
    <mergeCell ref="H34:K34"/>
    <mergeCell ref="H30:K30"/>
    <mergeCell ref="H31:K31"/>
    <mergeCell ref="H32:K32"/>
    <mergeCell ref="H33:K33"/>
    <mergeCell ref="L30:L31"/>
    <mergeCell ref="L33:L34"/>
    <mergeCell ref="H29:K29"/>
    <mergeCell ref="C51:D51"/>
    <mergeCell ref="F51:G51"/>
    <mergeCell ref="F52:G52"/>
    <mergeCell ref="B25:B29"/>
    <mergeCell ref="C25:C29"/>
    <mergeCell ref="B30:B31"/>
    <mergeCell ref="C30:C31"/>
    <mergeCell ref="B33:B34"/>
    <mergeCell ref="C33:C34"/>
    <mergeCell ref="B35:B43"/>
    <mergeCell ref="C35:C43"/>
    <mergeCell ref="D50:E50"/>
    <mergeCell ref="B45:B49"/>
    <mergeCell ref="C45:C49"/>
  </mergeCells>
  <dataValidations count="8">
    <dataValidation allowBlank="1" showInputMessage="1" showErrorMessage="1" prompt="Escriba comentarios en las celdas de la derecha." sqref="C64"/>
    <dataValidation allowBlank="1" showInputMessage="1" showErrorMessage="1" prompt="Escriba el departamento del empleado en la celda de la derecha." sqref="B59:C61"/>
    <dataValidation type="list" allowBlank="1" showInputMessage="1" showErrorMessage="1" sqref="D10 D45:D49">
      <formula1>Herramientas_Lista</formula1>
    </dataValidation>
    <dataValidation type="list" allowBlank="1" showInputMessage="1" showErrorMessage="1" sqref="D18 D16">
      <formula1>Lubricantes_Deposito</formula1>
    </dataValidation>
    <dataValidation type="list" allowBlank="1" showInputMessage="1" showErrorMessage="1" sqref="D21">
      <formula1>AireComprimido_Deposito</formula1>
    </dataValidation>
    <dataValidation type="list" allowBlank="1" showInputMessage="1" showErrorMessage="1" sqref="D25 D27">
      <formula1>Refrigerantes_Deposito</formula1>
    </dataValidation>
    <dataValidation type="list" allowBlank="1" showInputMessage="1" showErrorMessage="1" sqref="D41 D39 D37">
      <formula1>Repuestos_Deposito</formula1>
    </dataValidation>
    <dataValidation type="list" allowBlank="1" showInputMessage="1" showErrorMessage="1" sqref="D12">
      <formula1>Areas_Deposito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ignoredErrors>
    <ignoredError sqref="F17 F1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49</xdr:row>
                    <xdr:rowOff>342900</xdr:rowOff>
                  </from>
                  <to>
                    <xdr:col>1</xdr:col>
                    <xdr:colOff>1752600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0070C0"/>
    <pageSetUpPr autoPageBreaks="0" fitToPage="1"/>
  </sheetPr>
  <dimension ref="B1:M56"/>
  <sheetViews>
    <sheetView showGridLines="0" zoomScale="80" zoomScaleNormal="80" workbookViewId="0">
      <selection activeCell="E11" sqref="E11"/>
    </sheetView>
  </sheetViews>
  <sheetFormatPr baseColWidth="10" defaultColWidth="9.140625" defaultRowHeight="30" customHeight="1"/>
  <cols>
    <col min="1" max="1" width="2.7109375" style="129" customWidth="1"/>
    <col min="2" max="2" width="26.7109375" style="129" customWidth="1"/>
    <col min="3" max="3" width="33.28515625" style="129" bestFit="1" customWidth="1"/>
    <col min="4" max="4" width="33.140625" style="129" bestFit="1" customWidth="1"/>
    <col min="5" max="5" width="20.5703125" style="129" customWidth="1"/>
    <col min="6" max="6" width="16.5703125" style="129" bestFit="1" customWidth="1"/>
    <col min="7" max="7" width="19.7109375" style="129" bestFit="1" customWidth="1"/>
    <col min="8" max="8" width="15.28515625" style="129" customWidth="1"/>
    <col min="9" max="10" width="17" style="129" customWidth="1"/>
    <col min="11" max="11" width="28.42578125" style="129" customWidth="1"/>
    <col min="12" max="12" width="20.7109375" style="129" customWidth="1"/>
    <col min="13" max="13" width="2.7109375" style="129" customWidth="1"/>
    <col min="14" max="16384" width="9.140625" style="129"/>
  </cols>
  <sheetData>
    <row r="1" spans="2:13" ht="12" customHeight="1" thickBot="1"/>
    <row r="2" spans="2:13" ht="30" customHeight="1">
      <c r="B2" s="2" t="s">
        <v>92</v>
      </c>
      <c r="C2" s="4"/>
      <c r="D2" s="5"/>
      <c r="E2" s="5"/>
      <c r="F2" s="5"/>
      <c r="G2" s="5"/>
      <c r="H2" s="5"/>
      <c r="I2" s="5"/>
      <c r="J2" s="5"/>
      <c r="K2" s="5"/>
      <c r="L2" s="6"/>
    </row>
    <row r="3" spans="2:13" ht="30" customHeight="1">
      <c r="B3" s="7" t="s">
        <v>93</v>
      </c>
      <c r="C3" s="373" t="s">
        <v>105</v>
      </c>
      <c r="D3" s="373"/>
      <c r="E3" s="9" t="s">
        <v>3</v>
      </c>
      <c r="F3" s="336">
        <f ca="1">TODAY()</f>
        <v>46017</v>
      </c>
      <c r="G3" s="336"/>
      <c r="H3" s="9" t="s">
        <v>62</v>
      </c>
      <c r="I3" s="119">
        <f>'INFO-Direc'!H3</f>
        <v>1505</v>
      </c>
      <c r="J3" s="171"/>
      <c r="K3" s="172"/>
      <c r="L3" s="173"/>
      <c r="M3" s="174"/>
    </row>
    <row r="4" spans="2:13" ht="30" customHeight="1">
      <c r="B4" s="7" t="s">
        <v>94</v>
      </c>
      <c r="C4" s="175">
        <f>IFERROR(INDEX('INFO-OEE'!E17:CA17,
       MATCH(C3, 'INFO-OEE'!E9:CA9, 0)),"")</f>
        <v>0.8</v>
      </c>
      <c r="D4" s="176"/>
      <c r="E4" s="1"/>
      <c r="F4" s="1"/>
      <c r="G4" s="1"/>
      <c r="H4" s="9"/>
      <c r="I4" s="10"/>
      <c r="J4" s="171"/>
      <c r="K4" s="172"/>
      <c r="L4" s="177"/>
      <c r="M4" s="138"/>
    </row>
    <row r="5" spans="2:13" ht="30" customHeight="1">
      <c r="B5" s="14" t="s">
        <v>4</v>
      </c>
      <c r="C5" s="15"/>
      <c r="D5" s="16"/>
      <c r="E5" s="16"/>
      <c r="F5" s="16"/>
      <c r="G5" s="16"/>
      <c r="H5" s="16"/>
      <c r="I5" s="16"/>
      <c r="J5" s="16"/>
      <c r="K5" s="16"/>
      <c r="L5" s="17"/>
    </row>
    <row r="6" spans="2:13" ht="30" customHeight="1">
      <c r="B6" s="18" t="s">
        <v>5</v>
      </c>
      <c r="C6" s="374"/>
      <c r="D6" s="374"/>
      <c r="E6" s="20" t="s">
        <v>7</v>
      </c>
      <c r="F6" s="374"/>
      <c r="G6" s="374"/>
      <c r="H6" s="16"/>
      <c r="I6" s="16"/>
      <c r="J6" s="16"/>
      <c r="K6" s="25"/>
      <c r="L6" s="21"/>
    </row>
    <row r="7" spans="2:13" ht="30" customHeight="1">
      <c r="B7" s="18" t="s">
        <v>9</v>
      </c>
      <c r="C7" s="374"/>
      <c r="D7" s="374"/>
      <c r="E7" s="20" t="s">
        <v>35</v>
      </c>
      <c r="F7" s="375"/>
      <c r="G7" s="375"/>
      <c r="H7" s="16"/>
      <c r="I7" s="16"/>
      <c r="J7" s="16"/>
      <c r="K7" s="25"/>
      <c r="L7" s="21"/>
    </row>
    <row r="8" spans="2:13" ht="30" customHeight="1" thickBot="1">
      <c r="B8" s="22"/>
      <c r="C8" s="23"/>
      <c r="D8" s="24"/>
      <c r="E8" s="24"/>
      <c r="F8" s="25"/>
      <c r="G8" s="25"/>
      <c r="H8" s="26"/>
      <c r="I8" s="26"/>
      <c r="J8" s="26"/>
      <c r="K8" s="25"/>
      <c r="L8" s="21"/>
    </row>
    <row r="9" spans="2:13" ht="30" customHeight="1" thickBot="1">
      <c r="B9" s="185" t="s">
        <v>36</v>
      </c>
      <c r="C9" s="186" t="s">
        <v>63</v>
      </c>
      <c r="D9" s="186" t="s">
        <v>64</v>
      </c>
      <c r="E9" s="186" t="s">
        <v>65</v>
      </c>
      <c r="F9" s="186" t="s">
        <v>66</v>
      </c>
      <c r="G9" s="186" t="s">
        <v>67</v>
      </c>
      <c r="H9" s="304" t="s">
        <v>68</v>
      </c>
      <c r="I9" s="304"/>
      <c r="J9" s="304"/>
      <c r="K9" s="304"/>
      <c r="L9" s="187" t="s">
        <v>95</v>
      </c>
    </row>
    <row r="10" spans="2:13" ht="30" customHeight="1">
      <c r="B10" s="382" t="s">
        <v>69</v>
      </c>
      <c r="C10" s="385" t="s">
        <v>70</v>
      </c>
      <c r="D10" s="241" t="s">
        <v>125</v>
      </c>
      <c r="E10" s="201"/>
      <c r="F10" s="202" t="str">
        <f>IF(D10="","","kW")</f>
        <v>kW</v>
      </c>
      <c r="G10" s="203" t="str">
        <f>IF(D10="","",IFERROR(INDEX('[4]INFO-Consumo'!$F$9:$F$95,
       MATCH(D10, '[4]INFO-Consumo'!$D$9:$D$95, 0)),""))</f>
        <v/>
      </c>
      <c r="H10" s="369"/>
      <c r="I10" s="370"/>
      <c r="J10" s="370"/>
      <c r="K10" s="371"/>
      <c r="L10" s="388">
        <f ca="1">IF(
   (
     IF(ISNUMBER(G10)*ISNUMBER(G11), G10*G11, 0)
     * IF(ISNUMBER(G13), G13, 0)
     + IF(ISNUMBER(G12)*ISNUMBER(#REF!), G12*#REF!, 0)
     * IF(ISNUMBER(G13), G13, 0)
     + IF(ISNUMBER(G14), G14, 0)
     + IF(ISNUMBER(G15), G15, 0)
   ) = 0,
   "",
   (
     IF(ISNUMBER(G10)*ISNUMBER(G11), G10*G11, 0)
     * IF(ISNUMBER(G13), G13, 0)
     + IF(ISNUMBER(G12)*ISNUMBER(#REF!), G12*#REF!, 0)
     * IF(ISNUMBER(G13), G13, 0)
     + IF(ISNUMBER(G14), G14, 0)
     + IF(ISNUMBER(G15), G15, 0)
   )
)</f>
        <v>2.1653851948626155E-2</v>
      </c>
    </row>
    <row r="11" spans="2:13" ht="30" customHeight="1">
      <c r="B11" s="383"/>
      <c r="C11" s="386"/>
      <c r="D11" s="204" t="str">
        <f>IF(D10="", "Seleccionar Maquinaria ↑", "Carga Promedio de Uso de " &amp; D10)</f>
        <v>Carga Promedio de Uso de Monta Carga 1</v>
      </c>
      <c r="E11" s="205"/>
      <c r="F11" s="206" t="str">
        <f>IF(ISERROR(FIND("Seleccionar", D11)), "%", "")</f>
        <v>%</v>
      </c>
      <c r="G11" s="272" t="str">
        <f>IF(D10="","",IFERROR(
    INDEX('[4]INFO-Consumo'!I:I,
           MATCH(D10, '[4]INFO-Consumo'!D:D, 0)
    ),
""))</f>
        <v/>
      </c>
      <c r="H11" s="372"/>
      <c r="I11" s="372"/>
      <c r="J11" s="372"/>
      <c r="K11" s="372"/>
      <c r="L11" s="377"/>
    </row>
    <row r="12" spans="2:13" ht="30" customHeight="1">
      <c r="B12" s="383"/>
      <c r="C12" s="386"/>
      <c r="D12" s="242" t="s">
        <v>145</v>
      </c>
      <c r="E12" s="205"/>
      <c r="F12" s="206" t="str">
        <f>IF(D12="","","kW")</f>
        <v>kW</v>
      </c>
      <c r="G12" s="207">
        <f>IFERROR(INDEX('[4]INFO-Ponderacion'!$S$9:$S$13,
       MATCH(D12,'[4]INFO-Ponderacion'!$C$9:$C$13, 0)),"")</f>
        <v>0.44999999999999996</v>
      </c>
      <c r="H12" s="208"/>
      <c r="I12" s="209"/>
      <c r="J12" s="209"/>
      <c r="K12" s="210"/>
      <c r="L12" s="377"/>
    </row>
    <row r="13" spans="2:13" ht="30" customHeight="1">
      <c r="B13" s="383"/>
      <c r="C13" s="386"/>
      <c r="D13" s="204" t="str">
        <f>IF(D12="", "Seleccionar Area ↑", "Tarifa Electrica ")</f>
        <v xml:space="preserve">Tarifa Electrica </v>
      </c>
      <c r="E13" s="205"/>
      <c r="F13" s="206" t="str">
        <f>IF(D12="","","$/kWh")</f>
        <v>$/kWh</v>
      </c>
      <c r="G13" s="211">
        <f>IF(D12="","",'INFO-Direc'!$G$9)</f>
        <v>5.2613958629577628E-2</v>
      </c>
      <c r="H13" s="372"/>
      <c r="I13" s="372"/>
      <c r="J13" s="372"/>
      <c r="K13" s="372"/>
      <c r="L13" s="377"/>
    </row>
    <row r="14" spans="2:13" ht="30" customHeight="1">
      <c r="B14" s="383"/>
      <c r="C14" s="386"/>
      <c r="D14" s="212" t="str">
        <f>IF(D12="", "Seleccionar Area ↑", "Costo Electrico Fijo de " &amp; D12)</f>
        <v>Costo Electrico Fijo de Depósito</v>
      </c>
      <c r="E14" s="205"/>
      <c r="F14" s="206" t="str">
        <f>IF(D12="","","$/h")</f>
        <v>$/h</v>
      </c>
      <c r="G14" s="211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2.1653851948626155E-2</v>
      </c>
      <c r="H14" s="379"/>
      <c r="I14" s="380"/>
      <c r="J14" s="380"/>
      <c r="K14" s="381"/>
      <c r="L14" s="377"/>
    </row>
    <row r="15" spans="2:13" ht="30" customHeight="1">
      <c r="B15" s="384"/>
      <c r="C15" s="387"/>
      <c r="D15" s="212" t="s">
        <v>90</v>
      </c>
      <c r="E15" s="213"/>
      <c r="F15" s="206" t="str">
        <f>IF(D12="","","$/h")</f>
        <v>$/h</v>
      </c>
      <c r="G15" s="244"/>
      <c r="H15" s="379"/>
      <c r="I15" s="380"/>
      <c r="J15" s="380"/>
      <c r="K15" s="381"/>
      <c r="L15" s="378"/>
    </row>
    <row r="16" spans="2:13" ht="30" customHeight="1">
      <c r="B16" s="389" t="s">
        <v>71</v>
      </c>
      <c r="C16" s="390" t="s">
        <v>70</v>
      </c>
      <c r="D16" s="242"/>
      <c r="E16" s="205"/>
      <c r="F16" s="206" t="str">
        <f>IF(D16="","","$/L")</f>
        <v/>
      </c>
      <c r="G16" s="211" t="str">
        <f>IFERROR(INDEX('INFO-Direc'!$G$9:$G$25,
       MATCH(D16, 'INFO-Direc'!$D$9:$D$25, 0)),"")</f>
        <v/>
      </c>
      <c r="H16" s="372"/>
      <c r="I16" s="372"/>
      <c r="J16" s="372"/>
      <c r="K16" s="372"/>
      <c r="L16" s="376" t="str">
        <f>IF(AND(D16="", D18=""), "",
    IFERROR(
        IFERROR(G16*G17,0)
        + IFERROR(G18*G19,0)
        + IFERROR(G20,0),
    "")
)</f>
        <v/>
      </c>
    </row>
    <row r="17" spans="2:12" ht="30" customHeight="1">
      <c r="B17" s="383"/>
      <c r="C17" s="391"/>
      <c r="D17" s="204" t="str">
        <f>IF(D16="", "Seleccionar Lubricante ↑", "Consumo de " &amp; D16)</f>
        <v>Seleccionar Lubricante ↑</v>
      </c>
      <c r="E17" s="205"/>
      <c r="F17" s="206" t="str">
        <f>IF(ISERROR(FIND("Seleccionar", D17)), "L/h", "")</f>
        <v/>
      </c>
      <c r="G17" s="245"/>
      <c r="H17" s="372"/>
      <c r="I17" s="372"/>
      <c r="J17" s="372"/>
      <c r="K17" s="372"/>
      <c r="L17" s="377"/>
    </row>
    <row r="18" spans="2:12" ht="30" customHeight="1">
      <c r="B18" s="383"/>
      <c r="C18" s="391"/>
      <c r="D18" s="242"/>
      <c r="E18" s="205"/>
      <c r="F18" s="206" t="str">
        <f>IF(D18="","","$/L")</f>
        <v/>
      </c>
      <c r="G18" s="211" t="str">
        <f>IFERROR(INDEX('INFO-Direc'!$G$9:$G$25,
       MATCH(D18, 'INFO-Direc'!$D$9:$D$25, 0)),"")</f>
        <v/>
      </c>
      <c r="H18" s="379"/>
      <c r="I18" s="380"/>
      <c r="J18" s="380"/>
      <c r="K18" s="381"/>
      <c r="L18" s="377"/>
    </row>
    <row r="19" spans="2:12" ht="30" customHeight="1">
      <c r="B19" s="383"/>
      <c r="C19" s="391"/>
      <c r="D19" s="204" t="str">
        <f>IF(D18="", "Seleccionar Lubricante ↑", "Consumo de " &amp; D18)</f>
        <v>Seleccionar Lubricante ↑</v>
      </c>
      <c r="E19" s="205"/>
      <c r="F19" s="206" t="str">
        <f>IF(ISERROR(FIND("Seleccionar", D19)), "L/h", "")</f>
        <v/>
      </c>
      <c r="G19" s="245"/>
      <c r="H19" s="379"/>
      <c r="I19" s="380"/>
      <c r="J19" s="380"/>
      <c r="K19" s="381"/>
      <c r="L19" s="377"/>
    </row>
    <row r="20" spans="2:12" ht="30" customHeight="1">
      <c r="B20" s="384"/>
      <c r="C20" s="392"/>
      <c r="D20" s="204" t="s">
        <v>90</v>
      </c>
      <c r="E20" s="205"/>
      <c r="F20" s="206" t="str">
        <f>IF(OR(D16&lt;&gt;"", D18&lt;&gt;""), "$/h", "")</f>
        <v/>
      </c>
      <c r="G20" s="244"/>
      <c r="H20" s="372"/>
      <c r="I20" s="372"/>
      <c r="J20" s="372"/>
      <c r="K20" s="372"/>
      <c r="L20" s="378"/>
    </row>
    <row r="21" spans="2:12" ht="30" customHeight="1">
      <c r="B21" s="389" t="s">
        <v>73</v>
      </c>
      <c r="C21" s="393" t="s">
        <v>70</v>
      </c>
      <c r="D21" s="242"/>
      <c r="E21" s="205"/>
      <c r="F21" s="206" t="str">
        <f>IF(D21="","","kW")</f>
        <v/>
      </c>
      <c r="G21" s="214" t="str">
        <f>IFERROR(INDEX('INFO-Direc'!$G$9:$G$25,
       MATCH(D21, 'INFO-Direc'!$D$9:$D$26, 0)),"")</f>
        <v/>
      </c>
      <c r="H21" s="379"/>
      <c r="I21" s="380"/>
      <c r="J21" s="380"/>
      <c r="K21" s="381"/>
      <c r="L21" s="376" t="str">
        <f>IFERROR(G21*G13*G22+G23+G24,"")</f>
        <v/>
      </c>
    </row>
    <row r="22" spans="2:12" ht="30" customHeight="1">
      <c r="B22" s="383"/>
      <c r="C22" s="386"/>
      <c r="D22" s="204" t="str">
        <f>IF(D21="", "Seleccionar Compresor ↑", "Carga Promedio de Uso de " &amp; D21)</f>
        <v>Seleccionar Compresor ↑</v>
      </c>
      <c r="E22" s="205"/>
      <c r="F22" s="206" t="str">
        <f>IF(ISERROR(FIND("Seleccionar", D22)), "%", "")</f>
        <v/>
      </c>
      <c r="G22" s="243"/>
      <c r="H22" s="372"/>
      <c r="I22" s="372"/>
      <c r="J22" s="372"/>
      <c r="K22" s="372"/>
      <c r="L22" s="377"/>
    </row>
    <row r="23" spans="2:12" ht="30" customHeight="1">
      <c r="B23" s="383"/>
      <c r="C23" s="386"/>
      <c r="D23" s="215" t="str">
        <f>IF(D21="", "Seleccionar Compresor ↑", "Costo de Repuestos " &amp; D21)</f>
        <v>Seleccionar Compresor ↑</v>
      </c>
      <c r="E23" s="205"/>
      <c r="F23" s="206" t="str">
        <f>IF(ISERROR(FIND("Seleccionar", D23)), "$/h", "")</f>
        <v/>
      </c>
      <c r="G23" s="216" t="str">
        <f>IF(D21="","", SUM(IF(ISNUMBER(FIND("Compresor", 'INFO-Mant'!D9:D30)), 'INFO-Mant'!G9:G30 / 'INFO-Mant'!H9:H30, 0)))</f>
        <v/>
      </c>
      <c r="H23" s="379"/>
      <c r="I23" s="380"/>
      <c r="J23" s="380"/>
      <c r="K23" s="381"/>
      <c r="L23" s="377"/>
    </row>
    <row r="24" spans="2:12" ht="30" customHeight="1">
      <c r="B24" s="384"/>
      <c r="C24" s="387"/>
      <c r="D24" s="204" t="s">
        <v>90</v>
      </c>
      <c r="E24" s="205"/>
      <c r="F24" s="206" t="str">
        <f>IF(D21="","","$/h")</f>
        <v/>
      </c>
      <c r="G24" s="244"/>
      <c r="H24" s="372"/>
      <c r="I24" s="372"/>
      <c r="J24" s="372"/>
      <c r="K24" s="372"/>
      <c r="L24" s="378"/>
    </row>
    <row r="25" spans="2:12" ht="30" customHeight="1">
      <c r="B25" s="389" t="s">
        <v>74</v>
      </c>
      <c r="C25" s="393" t="s">
        <v>70</v>
      </c>
      <c r="D25" s="242"/>
      <c r="E25" s="205"/>
      <c r="F25" s="206" t="str">
        <f>IF(D25="","","$/L")</f>
        <v/>
      </c>
      <c r="G25" s="211" t="str">
        <f>IFERROR(INDEX('INFO-Direc'!$G$9:$G$25,
       MATCH(D25, 'INFO-Direc'!$D$9:$D$26, 0)),"")</f>
        <v/>
      </c>
      <c r="H25" s="372"/>
      <c r="I25" s="372"/>
      <c r="J25" s="372"/>
      <c r="K25" s="372"/>
      <c r="L25" s="394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83"/>
      <c r="C26" s="386"/>
      <c r="D26" s="204" t="str">
        <f>IF(D25="", "Seleccionar Refrigerante ↑", "Consumo de " &amp; D25)</f>
        <v>Seleccionar Refrigerante ↑</v>
      </c>
      <c r="E26" s="205"/>
      <c r="F26" s="206" t="str">
        <f>IF(ISERROR(FIND("Seleccionar", D26)), "L/Año", "")</f>
        <v/>
      </c>
      <c r="G26" s="249"/>
      <c r="H26" s="372"/>
      <c r="I26" s="372"/>
      <c r="J26" s="372"/>
      <c r="K26" s="372"/>
      <c r="L26" s="395"/>
    </row>
    <row r="27" spans="2:12" ht="30" customHeight="1">
      <c r="B27" s="383"/>
      <c r="C27" s="386"/>
      <c r="D27" s="242"/>
      <c r="E27" s="205"/>
      <c r="F27" s="206" t="str">
        <f>IF(D27="","","$/L")</f>
        <v/>
      </c>
      <c r="G27" s="217" t="str">
        <f>IFERROR(INDEX('INFO-Direc'!$G$9:$G$25,
       MATCH(D27, 'INFO-Direc'!$D$9:$D$26, 0)),"")</f>
        <v/>
      </c>
      <c r="H27" s="379"/>
      <c r="I27" s="380"/>
      <c r="J27" s="380"/>
      <c r="K27" s="381"/>
      <c r="L27" s="395"/>
    </row>
    <row r="28" spans="2:12" ht="30" customHeight="1">
      <c r="B28" s="383"/>
      <c r="C28" s="386"/>
      <c r="D28" s="204" t="str">
        <f>IF(D27="", "Seleccionar Refrigerante ↑", "Consumo de " &amp; D27)</f>
        <v>Seleccionar Refrigerante ↑</v>
      </c>
      <c r="E28" s="205"/>
      <c r="F28" s="206" t="str">
        <f>IF(ISERROR(FIND("Seleccionar", D28)), "L/Año", "")</f>
        <v/>
      </c>
      <c r="G28" s="250"/>
      <c r="H28" s="379"/>
      <c r="I28" s="380"/>
      <c r="J28" s="380"/>
      <c r="K28" s="381"/>
      <c r="L28" s="395"/>
    </row>
    <row r="29" spans="2:12" ht="30" customHeight="1">
      <c r="B29" s="384"/>
      <c r="C29" s="387"/>
      <c r="D29" s="204" t="s">
        <v>90</v>
      </c>
      <c r="E29" s="205"/>
      <c r="F29" s="206" t="str">
        <f>IF(OR(D25&lt;&gt;"", D27&lt;&gt;""), "$/h", "")</f>
        <v/>
      </c>
      <c r="G29" s="244"/>
      <c r="H29" s="372"/>
      <c r="I29" s="372"/>
      <c r="J29" s="372"/>
      <c r="K29" s="372"/>
      <c r="L29" s="396"/>
    </row>
    <row r="30" spans="2:12" s="180" customFormat="1" ht="30" customHeight="1">
      <c r="B30" s="389" t="s">
        <v>97</v>
      </c>
      <c r="C30" s="393" t="s">
        <v>70</v>
      </c>
      <c r="D30" s="204" t="str">
        <f>IF(D12="", "Seleccionar Area ↑", "Costo de Operarios")</f>
        <v>Costo de Operarios</v>
      </c>
      <c r="E30" s="205"/>
      <c r="F30" s="206" t="str">
        <f>IF(D12="","","$/mes")</f>
        <v>$/mes</v>
      </c>
      <c r="G30" s="217">
        <f>IF(D12="","",IFERROR(
    INDEX('INFO-Personal'!$E$26:$CA$26,
           MATCH($C$3, 'INFO-Personal'!$E$9:$CA$9, 0)
    ),
""))</f>
        <v>0</v>
      </c>
      <c r="H30" s="372"/>
      <c r="I30" s="372"/>
      <c r="J30" s="372"/>
      <c r="K30" s="372"/>
      <c r="L30" s="376">
        <f>IFERROR(
    (G30 / INDEX('INFO-OEE'!$E$18:$CA$18,
                  MATCH($C$3, 'INFO-OEE'!$E$9:$CA$9, 0)))
    + G31,
"")</f>
        <v>0</v>
      </c>
    </row>
    <row r="31" spans="2:12" s="180" customFormat="1" ht="30" customHeight="1">
      <c r="B31" s="383"/>
      <c r="C31" s="386"/>
      <c r="D31" s="204" t="s">
        <v>90</v>
      </c>
      <c r="E31" s="205"/>
      <c r="F31" s="206" t="str">
        <f>IF(D12="","","$/h")</f>
        <v>$/h</v>
      </c>
      <c r="G31" s="251"/>
      <c r="H31" s="372"/>
      <c r="I31" s="372"/>
      <c r="J31" s="372"/>
      <c r="K31" s="372"/>
      <c r="L31" s="377"/>
    </row>
    <row r="32" spans="2:12" s="180" customFormat="1" ht="30" customHeight="1">
      <c r="B32" s="219"/>
      <c r="C32" s="220"/>
      <c r="D32" s="221"/>
      <c r="E32" s="220"/>
      <c r="F32" s="222"/>
      <c r="G32" s="223"/>
      <c r="H32" s="397"/>
      <c r="I32" s="397"/>
      <c r="J32" s="397"/>
      <c r="K32" s="397"/>
      <c r="L32" s="224"/>
    </row>
    <row r="33" spans="2:12" s="180" customFormat="1" ht="30" customHeight="1">
      <c r="B33" s="389" t="s">
        <v>42</v>
      </c>
      <c r="C33" s="393" t="s">
        <v>77</v>
      </c>
      <c r="D33" s="204" t="str">
        <f>IF(D12="", "Seleccionar Area ↑", "Costo de Supervisores")</f>
        <v>Costo de Supervisores</v>
      </c>
      <c r="E33" s="205"/>
      <c r="F33" s="218" t="str">
        <f>IF(D12="","","$/mes")</f>
        <v>$/mes</v>
      </c>
      <c r="G33" s="217">
        <f>IF(D12="","",IFERROR(
    INDEX('INFO-Personal'!$E$27:$CA$27,
           MATCH($C$3, 'INFO-Personal'!$E$9:$CA$9, 0)
    ),
""))</f>
        <v>0</v>
      </c>
      <c r="H33" s="379"/>
      <c r="I33" s="380"/>
      <c r="J33" s="380"/>
      <c r="K33" s="381"/>
      <c r="L33" s="376">
        <f>IFERROR(
    (G33 / INDEX('INFO-OEE'!$E$18:$CA$18,
                  MATCH($C$3, 'INFO-OEE'!$E$9:$CA$9, 0)))
    + G34,
"")</f>
        <v>0</v>
      </c>
    </row>
    <row r="34" spans="2:12" s="180" customFormat="1" ht="30" customHeight="1">
      <c r="B34" s="383"/>
      <c r="C34" s="386"/>
      <c r="D34" s="204" t="s">
        <v>90</v>
      </c>
      <c r="E34" s="205"/>
      <c r="F34" s="206" t="str">
        <f>IF(D12="","","$/h")</f>
        <v>$/h</v>
      </c>
      <c r="G34" s="251"/>
      <c r="H34" s="379"/>
      <c r="I34" s="380"/>
      <c r="J34" s="380"/>
      <c r="K34" s="381"/>
      <c r="L34" s="377"/>
    </row>
    <row r="35" spans="2:12" s="180" customFormat="1" ht="30" customHeight="1">
      <c r="B35" s="389" t="s">
        <v>98</v>
      </c>
      <c r="C35" s="393" t="s">
        <v>77</v>
      </c>
      <c r="D35" s="204" t="str">
        <f>IF(D12="", "Seleccionar Area ↑", "Costo de Mant. Preventivo")</f>
        <v>Costo de Mant. Preventivo</v>
      </c>
      <c r="E35" s="273"/>
      <c r="F35" s="218" t="str">
        <f>IF(D12="","","$/mes")</f>
        <v>$/mes</v>
      </c>
      <c r="G35" s="217" t="str">
        <f>IF(D12="","",IFERROR(
    INDEX('[1]INFO-Personal'!$E$28:$CA$28,
           MATCH($C$3, '[1]INFO-Personal'!$E$9:$CA$9, 0)
    ),
""))</f>
        <v/>
      </c>
      <c r="H35" s="379"/>
      <c r="I35" s="380"/>
      <c r="J35" s="380"/>
      <c r="K35" s="381"/>
      <c r="L35" s="376">
        <f>IF(D12="","",SUM(
    IFERROR((G35+G36) / INDEX('INFO-OEE'!$E$18:$CA$18, MATCH(C3, 'INFO-OEE'!$E$9:$CA$9, 0)), 0),
    IFERROR(G37 / G38, 0),
    IFERROR(G39 / G40, 0),
    IFERROR(G41 / G42, 0),
    IFERROR(G43, 0)
))</f>
        <v>0</v>
      </c>
    </row>
    <row r="36" spans="2:12" ht="30" customHeight="1">
      <c r="B36" s="383"/>
      <c r="C36" s="386"/>
      <c r="D36" s="204" t="str">
        <f>IF(D12="", "Seleccionar Area ↑", "Costo de Mant. Correctivo")</f>
        <v>Costo de Mant. Correctivo</v>
      </c>
      <c r="E36" s="273"/>
      <c r="F36" s="218" t="str">
        <f>IF(D12="","","$/mes")</f>
        <v>$/mes</v>
      </c>
      <c r="G36" s="217" t="str">
        <f>IF(D12="","",IFERROR(
    INDEX('[1]INFO-Personal'!$E$29:$CA$29,
           MATCH($C$3, '[1]INFO-Personal'!$E$9:$CA$9, 0)
    ),
""))</f>
        <v/>
      </c>
      <c r="H36" s="379"/>
      <c r="I36" s="380"/>
      <c r="J36" s="380"/>
      <c r="K36" s="381"/>
      <c r="L36" s="377"/>
    </row>
    <row r="37" spans="2:12" ht="30" customHeight="1">
      <c r="B37" s="383"/>
      <c r="C37" s="386"/>
      <c r="D37" s="242"/>
      <c r="E37" s="205"/>
      <c r="F37" s="206" t="str">
        <f>IF(D37="","","$/u")</f>
        <v/>
      </c>
      <c r="G37" s="217" t="str">
        <f>IFERROR(INDEX('INFO-Mant'!$G$9:$G$26,
       MATCH(D37, 'INFO-Mant'!$D$9:$D$26, 0)),"")</f>
        <v/>
      </c>
      <c r="H37" s="379"/>
      <c r="I37" s="380"/>
      <c r="J37" s="380"/>
      <c r="K37" s="381"/>
      <c r="L37" s="377"/>
    </row>
    <row r="38" spans="2:12" ht="30" customHeight="1">
      <c r="B38" s="383"/>
      <c r="C38" s="386"/>
      <c r="D38" s="204" t="str">
        <f>IF(D37="", "Seleccionar Repuesto ↑", "Vida Util de " &amp; D37)</f>
        <v>Seleccionar Repuesto ↑</v>
      </c>
      <c r="E38" s="205"/>
      <c r="F38" s="206" t="str">
        <f>IF(ISERROR(FIND("Seleccionar", D38)), "Horas/u", "")</f>
        <v/>
      </c>
      <c r="G38" s="249"/>
      <c r="H38" s="379"/>
      <c r="I38" s="380"/>
      <c r="J38" s="380"/>
      <c r="K38" s="381"/>
      <c r="L38" s="377"/>
    </row>
    <row r="39" spans="2:12" ht="30" customHeight="1">
      <c r="B39" s="383"/>
      <c r="C39" s="386"/>
      <c r="D39" s="242"/>
      <c r="E39" s="205"/>
      <c r="F39" s="206" t="str">
        <f>IF(D39="","","$/u")</f>
        <v/>
      </c>
      <c r="G39" s="217" t="str">
        <f>IFERROR(INDEX('INFO-Mant'!$G$9:$G$26,
       MATCH(D39, 'INFO-Mant'!$D$9:$D$26, 0)),"")</f>
        <v/>
      </c>
      <c r="H39" s="379"/>
      <c r="I39" s="380"/>
      <c r="J39" s="380"/>
      <c r="K39" s="381"/>
      <c r="L39" s="377"/>
    </row>
    <row r="40" spans="2:12" ht="30" customHeight="1">
      <c r="B40" s="383"/>
      <c r="C40" s="386"/>
      <c r="D40" s="204" t="str">
        <f>IF(D39="", "Seleccionar Repuesto ↑", "Vida Util de " &amp; D39)</f>
        <v>Seleccionar Repuesto ↑</v>
      </c>
      <c r="E40" s="205"/>
      <c r="F40" s="206" t="str">
        <f>IF(ISERROR(FIND("Seleccionar", D40)), "Horas/u", "")</f>
        <v/>
      </c>
      <c r="G40" s="249"/>
      <c r="H40" s="379"/>
      <c r="I40" s="380"/>
      <c r="J40" s="380"/>
      <c r="K40" s="381"/>
      <c r="L40" s="377"/>
    </row>
    <row r="41" spans="2:12" ht="30" customHeight="1">
      <c r="B41" s="383"/>
      <c r="C41" s="386"/>
      <c r="D41" s="242"/>
      <c r="E41" s="205"/>
      <c r="F41" s="206" t="str">
        <f>IF(D41="","","$/u")</f>
        <v/>
      </c>
      <c r="G41" s="217" t="str">
        <f>IFERROR(INDEX('INFO-Mant'!$G$9:$G$26,
       MATCH(D41, 'INFO-Mant'!$D$9:$D$26, 0)),"")</f>
        <v/>
      </c>
      <c r="H41" s="379"/>
      <c r="I41" s="380"/>
      <c r="J41" s="380"/>
      <c r="K41" s="381"/>
      <c r="L41" s="377"/>
    </row>
    <row r="42" spans="2:12" ht="30" customHeight="1">
      <c r="B42" s="383"/>
      <c r="C42" s="386"/>
      <c r="D42" s="204" t="str">
        <f>IF(D41="", "Seleccionar Repuesto ↑", "Vida Util de " &amp; D41)</f>
        <v>Seleccionar Repuesto ↑</v>
      </c>
      <c r="E42" s="205"/>
      <c r="F42" s="206" t="str">
        <f>IF(ISERROR(FIND("Seleccionar", D42)), "Horas/u", "")</f>
        <v/>
      </c>
      <c r="G42" s="251"/>
      <c r="H42" s="379"/>
      <c r="I42" s="380"/>
      <c r="J42" s="380"/>
      <c r="K42" s="381"/>
      <c r="L42" s="377"/>
    </row>
    <row r="43" spans="2:12" ht="30" customHeight="1">
      <c r="B43" s="384"/>
      <c r="C43" s="387"/>
      <c r="D43" s="204" t="s">
        <v>90</v>
      </c>
      <c r="E43" s="205"/>
      <c r="F43" s="206" t="str">
        <f>IF(D12="","","$/h")</f>
        <v>$/h</v>
      </c>
      <c r="G43" s="251"/>
      <c r="H43" s="379"/>
      <c r="I43" s="380"/>
      <c r="J43" s="380"/>
      <c r="K43" s="381"/>
      <c r="L43" s="378"/>
    </row>
    <row r="44" spans="2:12" ht="30" customHeight="1">
      <c r="B44" s="225"/>
      <c r="C44" s="226"/>
      <c r="D44" s="227"/>
      <c r="E44" s="226"/>
      <c r="F44" s="228"/>
      <c r="G44" s="229"/>
      <c r="H44" s="226"/>
      <c r="I44" s="226"/>
      <c r="J44" s="226"/>
      <c r="K44" s="226"/>
      <c r="L44" s="230"/>
    </row>
    <row r="45" spans="2:12" ht="33" customHeight="1">
      <c r="B45" s="389" t="s">
        <v>99</v>
      </c>
      <c r="C45" s="390" t="s">
        <v>100</v>
      </c>
      <c r="D45" s="242" t="s">
        <v>107</v>
      </c>
      <c r="E45" s="205"/>
      <c r="F45" s="206" t="str">
        <f>IF(D45="","","$/h")</f>
        <v>$/h</v>
      </c>
      <c r="G45" s="217">
        <f ca="1">IFERROR(
 IF(
    DATE(
        YEAR( INDEX('INFO-Pos'!$G:$G, MATCH(D45,'INFO-Pos'!$B:$B,0)+1 ) ) +
        INDEX('INFO-Pos'!$G:$G, MATCH(D45,'INFO-Pos'!$B:$B,0)+2 ),
        MONTH( INDEX('INFO-Pos'!$G:$G, MATCH(D45,'INFO-Pos'!$B:$B,0)+1 ) ),
        DAY( INDEX('INFO-Pos'!$G:$G, MATCH(D45,'INFO-Pos'!$B:$B,0)+1 ) )
    ) &gt; TODAY(),
    ( INDEX('INFO-Pos'!$G:$G, MATCH(D45,'INFO-Pos'!$B:$B,0)+0 ) -
      INDEX('INFO-Pos'!$G:$G, MATCH(D45,'INFO-Pos'!$B:$B,0)+3 )
    ) /
    (
      INDEX('INFO-Pos'!$G:$G, MATCH(D45,'INFO-Pos'!$B:$B,0)+2 ) *
      INDEX('INFO-Pos'!$G:$G, MATCH(D45,'INFO-Pos'!$B:$B,0)+4 )
    ),
    0
 ),
 ""
)</f>
        <v>0</v>
      </c>
      <c r="H45" s="398" t="str">
        <f ca="1">IFERROR(
    IF(G45="",
        "",
        IF(G45=0,
            "Depreciado en su totalidad",
            "Depreciación restante durante " &amp;
            MAX(
                0,
                INDEX('INFO-Pos'!$G:$G, MATCH(D45,'INFO-Pos'!$B:$B,0)+2)
                -
                (YEAR(TODAY()) - YEAR( INDEX('INFO-Pos'!$G:$G, MATCH(D45,'INFO-Pos'!$B:$B,0)+1 ) ))
            )
            &amp; " años"
        )
    ),
    ""
)</f>
        <v>Depreciado en su totalidad</v>
      </c>
      <c r="I45" s="398"/>
      <c r="J45" s="398"/>
      <c r="K45" s="398"/>
      <c r="L45" s="252">
        <f ca="1">G45</f>
        <v>0</v>
      </c>
    </row>
    <row r="46" spans="2:12" ht="30" customHeight="1">
      <c r="B46" s="383"/>
      <c r="C46" s="391"/>
      <c r="D46" s="242"/>
      <c r="E46" s="231"/>
      <c r="F46" s="206" t="str">
        <f>IF(D46="","","$/h")</f>
        <v/>
      </c>
      <c r="G46" s="217" t="str">
        <f ca="1">IFERROR(
 IF(
    DATE(
        YEAR( INDEX('INFO-Pos'!$G:$G, MATCH(D46,'INFO-Pos'!$B:$B,0)+1 ) ) +
        INDEX('INFO-Pos'!$G:$G, MATCH(D46,'INFO-Pos'!$B:$B,0)+2 ),
        MONTH( INDEX('INFO-Pos'!$G:$G, MATCH(D46,'INFO-Pos'!$B:$B,0)+1 ) ),
        DAY( INDEX('INFO-Pos'!$G:$G, MATCH(D46,'INFO-Pos'!$B:$B,0)+1 ) )
    ) &gt; TODAY(),
    ( INDEX('INFO-Pos'!$G:$G, MATCH(D46,'INFO-Pos'!$B:$B,0)+0 ) -
      INDEX('INFO-Pos'!$G:$G, MATCH(D46,'INFO-Pos'!$B:$B,0)+3 )
    ) /
    (
      INDEX('INFO-Pos'!$G:$G, MATCH(D46,'INFO-Pos'!$B:$B,0)+2 ) *
      INDEX('INFO-Pos'!$G:$G, MATCH(D46,'INFO-Pos'!$B:$B,0)+4 )
    ),
    0
 ),
 ""
)</f>
        <v/>
      </c>
      <c r="H46" s="398" t="str">
        <f ca="1">IFERROR(
    IF(G46="",
        "",
        IF(G46=0,
            "Depreciado en su totalidad",
            "Depreciación restante durante " &amp;
            MAX(
                0,
                INDEX('INFO-Pos'!$G:$G, MATCH(D46,'INFO-Pos'!$B:$B,0)+2)
                -
                (YEAR(TODAY()) - YEAR( INDEX('INFO-Pos'!$G:$G, MATCH(D46,'INFO-Pos'!$B:$B,0)+1 ) ))
            )
            &amp; " años"
        )
    ),
    ""
)</f>
        <v/>
      </c>
      <c r="I46" s="398"/>
      <c r="J46" s="398"/>
      <c r="K46" s="398"/>
      <c r="L46" s="252" t="str">
        <f ca="1">G46</f>
        <v/>
      </c>
    </row>
    <row r="47" spans="2:12" ht="30" customHeight="1">
      <c r="B47" s="383"/>
      <c r="C47" s="391"/>
      <c r="D47" s="242"/>
      <c r="E47" s="205"/>
      <c r="F47" s="206" t="str">
        <f t="shared" ref="F47:F49" si="0">IF(D47="","","$/h")</f>
        <v/>
      </c>
      <c r="G47" s="217" t="str">
        <f ca="1">IFERROR(
 IF(
    DATE(
        YEAR( INDEX('INFO-Pos'!$G:$G, MATCH(D47,'INFO-Pos'!$B:$B,0)+1 ) ) +
        INDEX('INFO-Pos'!$G:$G, MATCH(D47,'INFO-Pos'!$B:$B,0)+2 ),
        MONTH( INDEX('INFO-Pos'!$G:$G, MATCH(D47,'INFO-Pos'!$B:$B,0)+1 ) ),
        DAY( INDEX('INFO-Pos'!$G:$G, MATCH(D47,'INFO-Pos'!$B:$B,0)+1 ) )
    ) &gt; TODAY(),
    ( INDEX('INFO-Pos'!$G:$G, MATCH(D47,'INFO-Pos'!$B:$B,0)+0 ) -
      INDEX('INFO-Pos'!$G:$G, MATCH(D47,'INFO-Pos'!$B:$B,0)+3 )
    ) /
    (
      INDEX('INFO-Pos'!$G:$G, MATCH(D47,'INFO-Pos'!$B:$B,0)+2 ) *
      INDEX('INFO-Pos'!$G:$G, MATCH(D47,'INFO-Pos'!$B:$B,0)+4 )
    ),
    0
 ),
 ""
)</f>
        <v/>
      </c>
      <c r="H47" s="398" t="str">
        <f ca="1">IFERROR(
    IF(G47="",
        "",
        IF(G47=0,
            "Depreciado en su totalidad",
            "Depreciación restante durante " &amp;
            MAX(
                0,
                INDEX('INFO-Pos'!$G:$G, MATCH(D47,'INFO-Pos'!$B:$B,0)+2)
                -
                (YEAR(TODAY()) - YEAR( INDEX('INFO-Pos'!$G:$G, MATCH(D47,'INFO-Pos'!$B:$B,0)+1 ) ))
            )
            &amp; " años"
        )
    ),
    ""
)</f>
        <v/>
      </c>
      <c r="I47" s="398"/>
      <c r="J47" s="398"/>
      <c r="K47" s="398"/>
      <c r="L47" s="252" t="str">
        <f ca="1">G47</f>
        <v/>
      </c>
    </row>
    <row r="48" spans="2:12" ht="30" customHeight="1">
      <c r="B48" s="383"/>
      <c r="C48" s="391"/>
      <c r="D48" s="242"/>
      <c r="E48" s="205"/>
      <c r="F48" s="206" t="str">
        <f t="shared" si="0"/>
        <v/>
      </c>
      <c r="G48" s="217" t="str">
        <f ca="1">IFERROR(
 IF(
    DATE(
        YEAR( INDEX('INFO-Pos'!$G:$G, MATCH(D48,'INFO-Pos'!$B:$B,0)+1 ) ) +
        INDEX('INFO-Pos'!$G:$G, MATCH(D48,'INFO-Pos'!$B:$B,0)+2 ),
        MONTH( INDEX('INFO-Pos'!$G:$G, MATCH(D48,'INFO-Pos'!$B:$B,0)+1 ) ),
        DAY( INDEX('INFO-Pos'!$G:$G, MATCH(D48,'INFO-Pos'!$B:$B,0)+1 ) )
    ) &gt; TODAY(),
    ( INDEX('INFO-Pos'!$G:$G, MATCH(D48,'INFO-Pos'!$B:$B,0)+0 ) -
      INDEX('INFO-Pos'!$G:$G, MATCH(D48,'INFO-Pos'!$B:$B,0)+3 )
    ) /
    (
      INDEX('INFO-Pos'!$G:$G, MATCH(D48,'INFO-Pos'!$B:$B,0)+2 ) *
      INDEX('INFO-Pos'!$G:$G, MATCH(D48,'INFO-Pos'!$B:$B,0)+4 )
    ),
    0
 ),
 ""
)</f>
        <v/>
      </c>
      <c r="H48" s="398" t="str">
        <f ca="1">IFERROR(
    IF(G48="",
        "",
        IF(G48=0,
            "Depreciado en su totalidad",
            "Depreciación restante durante " &amp;
            MAX(
                0,
                INDEX('INFO-Pos'!$G:$G, MATCH(D48,'INFO-Pos'!$B:$B,0)+2)
                -
                (YEAR(TODAY()) - YEAR( INDEX('INFO-Pos'!$G:$G, MATCH(D48,'INFO-Pos'!$B:$B,0)+1 ) ))
            )
            &amp; " años"
        )
    ),
    ""
)</f>
        <v/>
      </c>
      <c r="I48" s="398"/>
      <c r="J48" s="398"/>
      <c r="K48" s="398"/>
      <c r="L48" s="252" t="str">
        <f ca="1">G48</f>
        <v/>
      </c>
    </row>
    <row r="49" spans="2:12" ht="30" customHeight="1">
      <c r="B49" s="384"/>
      <c r="C49" s="392"/>
      <c r="D49" s="242"/>
      <c r="E49" s="205"/>
      <c r="F49" s="206" t="str">
        <f t="shared" si="0"/>
        <v/>
      </c>
      <c r="G49" s="217" t="str">
        <f ca="1">IFERROR(
 IF(
    DATE(
        YEAR( INDEX('INFO-Pos'!$G:$G, MATCH(D49,'INFO-Pos'!$B:$B,0)+1 ) ) +
        INDEX('INFO-Pos'!$G:$G, MATCH(D49,'INFO-Pos'!$B:$B,0)+2 ),
        MONTH( INDEX('INFO-Pos'!$G:$G, MATCH(D49,'INFO-Pos'!$B:$B,0)+1 ) ),
        DAY( INDEX('INFO-Pos'!$G:$G, MATCH(D49,'INFO-Pos'!$B:$B,0)+1 ) )
    ) &gt; TODAY(),
    ( INDEX('INFO-Pos'!$G:$G, MATCH(D49,'INFO-Pos'!$B:$B,0)+0 ) -
      INDEX('INFO-Pos'!$G:$G, MATCH(D49,'INFO-Pos'!$B:$B,0)+3 )
    ) /
    (
      INDEX('INFO-Pos'!$G:$G, MATCH(D49,'INFO-Pos'!$B:$B,0)+2 ) *
      INDEX('INFO-Pos'!$G:$G, MATCH(D49,'INFO-Pos'!$B:$B,0)+4 )
    ),
    0
 ),
 ""
)</f>
        <v/>
      </c>
      <c r="H49" s="398" t="str">
        <f ca="1">IFERROR(
    IF(G49="",
        "",
        IF(G49=0,
            "Depreciado en su totalidad",
            "Depreciación restante durante " &amp;
            MAX(
                0,
                INDEX('INFO-Pos'!$G:$G, MATCH(D49,'INFO-Pos'!$B:$B,0)+2)
                -
                (YEAR(TODAY()) - YEAR( INDEX('INFO-Pos'!$G:$G, MATCH(D49,'INFO-Pos'!$B:$B,0)+1 ) ))
            )
            &amp; " años"
        )
    ),
    ""
)</f>
        <v/>
      </c>
      <c r="I49" s="398"/>
      <c r="J49" s="398"/>
      <c r="K49" s="398"/>
      <c r="L49" s="252" t="str">
        <f ca="1">G49</f>
        <v/>
      </c>
    </row>
    <row r="50" spans="2:12" ht="30" customHeight="1">
      <c r="B50" s="22"/>
      <c r="C50" s="23"/>
      <c r="D50" s="399"/>
      <c r="E50" s="399"/>
      <c r="F50" s="25"/>
      <c r="G50" s="25"/>
      <c r="H50" s="26"/>
      <c r="I50" s="26"/>
      <c r="J50" s="26"/>
      <c r="K50" s="25"/>
      <c r="L50" s="21"/>
    </row>
    <row r="51" spans="2:12" ht="30" customHeight="1" thickBot="1">
      <c r="B51" s="32" t="s">
        <v>31</v>
      </c>
      <c r="C51" s="307"/>
      <c r="D51" s="307"/>
      <c r="E51" s="33" t="s">
        <v>32</v>
      </c>
      <c r="F51" s="357"/>
      <c r="G51" s="357"/>
      <c r="H51" s="16"/>
      <c r="I51" s="16"/>
      <c r="J51" s="16"/>
      <c r="K51" s="253"/>
      <c r="L51" s="254"/>
    </row>
    <row r="52" spans="2:12" ht="30" customHeight="1" thickBot="1">
      <c r="B52" s="35"/>
      <c r="C52" s="37"/>
      <c r="D52" s="37"/>
      <c r="E52" s="37"/>
      <c r="F52" s="400"/>
      <c r="G52" s="400"/>
      <c r="H52" s="38"/>
      <c r="I52" s="38"/>
      <c r="J52" s="38"/>
      <c r="K52" s="255" t="s">
        <v>101</v>
      </c>
      <c r="L52" s="256">
        <f ca="1">IFERROR(SUM(L10:L49),"")</f>
        <v>2.1653851948626155E-2</v>
      </c>
    </row>
    <row r="53" spans="2:12" ht="30" customHeight="1">
      <c r="B53" s="162"/>
      <c r="C53" s="162"/>
      <c r="D53" s="163"/>
      <c r="E53" s="163"/>
      <c r="F53" s="163"/>
      <c r="G53" s="163"/>
      <c r="H53" s="163"/>
      <c r="I53" s="163"/>
      <c r="J53" s="163"/>
      <c r="K53" s="164"/>
    </row>
    <row r="56" spans="2:12" ht="30" customHeight="1">
      <c r="C56" s="165"/>
    </row>
  </sheetData>
  <sheetProtection selectLockedCells="1"/>
  <mergeCells count="72">
    <mergeCell ref="D50:E50"/>
    <mergeCell ref="C51:D51"/>
    <mergeCell ref="F51:G51"/>
    <mergeCell ref="F52:G52"/>
    <mergeCell ref="B45:B49"/>
    <mergeCell ref="C45:C49"/>
    <mergeCell ref="H45:K45"/>
    <mergeCell ref="H46:K46"/>
    <mergeCell ref="H47:K47"/>
    <mergeCell ref="H48:K48"/>
    <mergeCell ref="H49:K49"/>
    <mergeCell ref="B35:B43"/>
    <mergeCell ref="C35:C43"/>
    <mergeCell ref="L35:L43"/>
    <mergeCell ref="H39:K39"/>
    <mergeCell ref="H35:K35"/>
    <mergeCell ref="H36:K36"/>
    <mergeCell ref="H37:K37"/>
    <mergeCell ref="H38:K38"/>
    <mergeCell ref="H40:K40"/>
    <mergeCell ref="H41:K41"/>
    <mergeCell ref="H42:K42"/>
    <mergeCell ref="H43:K43"/>
    <mergeCell ref="C30:C31"/>
    <mergeCell ref="L30:L31"/>
    <mergeCell ref="B33:B34"/>
    <mergeCell ref="C33:C34"/>
    <mergeCell ref="L33:L34"/>
    <mergeCell ref="B30:B31"/>
    <mergeCell ref="C3:D3"/>
    <mergeCell ref="F3:G3"/>
    <mergeCell ref="C6:D6"/>
    <mergeCell ref="F6:G6"/>
    <mergeCell ref="C7:D7"/>
    <mergeCell ref="F7:G7"/>
    <mergeCell ref="L21:L24"/>
    <mergeCell ref="H21:K21"/>
    <mergeCell ref="H22:K22"/>
    <mergeCell ref="H9:K9"/>
    <mergeCell ref="H10:K10"/>
    <mergeCell ref="H11:K11"/>
    <mergeCell ref="H13:K13"/>
    <mergeCell ref="L10:L15"/>
    <mergeCell ref="H15:K15"/>
    <mergeCell ref="H16:K16"/>
    <mergeCell ref="L16:L20"/>
    <mergeCell ref="H17:K17"/>
    <mergeCell ref="H18:K18"/>
    <mergeCell ref="H19:K19"/>
    <mergeCell ref="H20:K20"/>
    <mergeCell ref="B10:B15"/>
    <mergeCell ref="C10:C15"/>
    <mergeCell ref="H23:K23"/>
    <mergeCell ref="B25:B29"/>
    <mergeCell ref="C25:C29"/>
    <mergeCell ref="H29:K29"/>
    <mergeCell ref="H24:K24"/>
    <mergeCell ref="H25:K25"/>
    <mergeCell ref="H26:K26"/>
    <mergeCell ref="H27:K27"/>
    <mergeCell ref="H28:K28"/>
    <mergeCell ref="B21:B24"/>
    <mergeCell ref="C21:C24"/>
    <mergeCell ref="B16:B20"/>
    <mergeCell ref="C16:C20"/>
    <mergeCell ref="H14:K14"/>
    <mergeCell ref="L25:L29"/>
    <mergeCell ref="H34:K34"/>
    <mergeCell ref="H30:K30"/>
    <mergeCell ref="H31:K31"/>
    <mergeCell ref="H32:K32"/>
    <mergeCell ref="H33:K33"/>
  </mergeCells>
  <dataValidations count="7">
    <dataValidation allowBlank="1" showInputMessage="1" showErrorMessage="1" prompt="Escriba comentarios en las celdas de la derecha." sqref="C56"/>
    <dataValidation type="list" allowBlank="1" showInputMessage="1" showErrorMessage="1" sqref="D10 D45:D49">
      <formula1>Herramientas_Lista</formula1>
    </dataValidation>
    <dataValidation type="list" allowBlank="1" showInputMessage="1" showErrorMessage="1" sqref="D41 D39 D37">
      <formula1>Repuestos_Deposito</formula1>
    </dataValidation>
    <dataValidation type="list" allowBlank="1" showInputMessage="1" showErrorMessage="1" sqref="D25 D27">
      <formula1>Refrigerantes_Deposito</formula1>
    </dataValidation>
    <dataValidation type="list" allowBlank="1" showInputMessage="1" showErrorMessage="1" sqref="D21">
      <formula1>AireComprimido_Deposito</formula1>
    </dataValidation>
    <dataValidation type="list" allowBlank="1" showInputMessage="1" showErrorMessage="1" sqref="D18 D16">
      <formula1>Lubricantes_Deposito</formula1>
    </dataValidation>
    <dataValidation type="list" allowBlank="1" showInputMessage="1" showErrorMessage="1" sqref="D12">
      <formula1>Areas_Deposito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49</xdr:row>
                    <xdr:rowOff>342900</xdr:rowOff>
                  </from>
                  <to>
                    <xdr:col>1</xdr:col>
                    <xdr:colOff>1752600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49</xdr:row>
                    <xdr:rowOff>342900</xdr:rowOff>
                  </from>
                  <to>
                    <xdr:col>1</xdr:col>
                    <xdr:colOff>1752600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rgb="FF0070C0"/>
    <pageSetUpPr autoPageBreaks="0" fitToPage="1"/>
  </sheetPr>
  <dimension ref="B1:M56"/>
  <sheetViews>
    <sheetView showGridLines="0" zoomScale="80" zoomScaleNormal="80" workbookViewId="0">
      <selection activeCell="E11" sqref="E11"/>
    </sheetView>
  </sheetViews>
  <sheetFormatPr baseColWidth="10" defaultColWidth="9.140625" defaultRowHeight="30" customHeight="1"/>
  <cols>
    <col min="1" max="1" width="2.7109375" style="129" customWidth="1"/>
    <col min="2" max="2" width="26.7109375" style="129" customWidth="1"/>
    <col min="3" max="3" width="33.28515625" style="129" bestFit="1" customWidth="1"/>
    <col min="4" max="4" width="33.140625" style="129" bestFit="1" customWidth="1"/>
    <col min="5" max="5" width="20.5703125" style="129" customWidth="1"/>
    <col min="6" max="6" width="16.5703125" style="129" bestFit="1" customWidth="1"/>
    <col min="7" max="7" width="19.7109375" style="129" bestFit="1" customWidth="1"/>
    <col min="8" max="8" width="15.28515625" style="129" customWidth="1"/>
    <col min="9" max="10" width="17" style="129" customWidth="1"/>
    <col min="11" max="11" width="28.42578125" style="129" customWidth="1"/>
    <col min="12" max="12" width="20.7109375" style="129" customWidth="1"/>
    <col min="13" max="13" width="2.7109375" style="129" customWidth="1"/>
    <col min="14" max="16384" width="9.140625" style="129"/>
  </cols>
  <sheetData>
    <row r="1" spans="2:13" ht="12" customHeight="1" thickBot="1"/>
    <row r="2" spans="2:13" ht="30" customHeight="1">
      <c r="B2" s="2" t="s">
        <v>92</v>
      </c>
      <c r="C2" s="4"/>
      <c r="D2" s="5"/>
      <c r="E2" s="5"/>
      <c r="F2" s="5"/>
      <c r="G2" s="5"/>
      <c r="H2" s="5"/>
      <c r="I2" s="5"/>
      <c r="J2" s="5"/>
      <c r="K2" s="5"/>
      <c r="L2" s="6"/>
    </row>
    <row r="3" spans="2:13" ht="30" customHeight="1">
      <c r="B3" s="7" t="s">
        <v>93</v>
      </c>
      <c r="C3" s="373" t="s">
        <v>104</v>
      </c>
      <c r="D3" s="373"/>
      <c r="E3" s="9" t="s">
        <v>3</v>
      </c>
      <c r="F3" s="336">
        <f ca="1">TODAY()</f>
        <v>46017</v>
      </c>
      <c r="G3" s="336"/>
      <c r="H3" s="9" t="s">
        <v>62</v>
      </c>
      <c r="I3" s="119">
        <f>'INFO-Direc'!H3</f>
        <v>1505</v>
      </c>
      <c r="J3" s="171"/>
      <c r="K3" s="172"/>
      <c r="L3" s="173"/>
      <c r="M3" s="174"/>
    </row>
    <row r="4" spans="2:13" ht="30" customHeight="1">
      <c r="B4" s="7" t="s">
        <v>94</v>
      </c>
      <c r="C4" s="175">
        <f>IFERROR(INDEX('INFO-OEE'!E17:CA17,
       MATCH(C3, 'INFO-OEE'!E9:CA9, 0)),"")</f>
        <v>0.8</v>
      </c>
      <c r="D4" s="176"/>
      <c r="E4" s="1"/>
      <c r="F4" s="1"/>
      <c r="G4" s="1"/>
      <c r="H4" s="9"/>
      <c r="I4" s="10"/>
      <c r="J4" s="171"/>
      <c r="K4" s="172"/>
      <c r="L4" s="177"/>
      <c r="M4" s="138"/>
    </row>
    <row r="5" spans="2:13" ht="30" customHeight="1">
      <c r="B5" s="14" t="s">
        <v>4</v>
      </c>
      <c r="C5" s="15"/>
      <c r="D5" s="16"/>
      <c r="E5" s="16"/>
      <c r="F5" s="16"/>
      <c r="G5" s="16"/>
      <c r="H5" s="16"/>
      <c r="I5" s="16"/>
      <c r="J5" s="16"/>
      <c r="K5" s="16"/>
      <c r="L5" s="17"/>
    </row>
    <row r="6" spans="2:13" ht="30" customHeight="1">
      <c r="B6" s="18" t="s">
        <v>5</v>
      </c>
      <c r="C6" s="374"/>
      <c r="D6" s="374"/>
      <c r="E6" s="20" t="s">
        <v>7</v>
      </c>
      <c r="F6" s="374"/>
      <c r="G6" s="374"/>
      <c r="H6" s="16"/>
      <c r="I6" s="16"/>
      <c r="J6" s="16"/>
      <c r="K6" s="25"/>
      <c r="L6" s="21"/>
    </row>
    <row r="7" spans="2:13" ht="30" customHeight="1">
      <c r="B7" s="18" t="s">
        <v>9</v>
      </c>
      <c r="C7" s="374"/>
      <c r="D7" s="374"/>
      <c r="E7" s="20" t="s">
        <v>35</v>
      </c>
      <c r="F7" s="375"/>
      <c r="G7" s="375"/>
      <c r="H7" s="16"/>
      <c r="I7" s="16"/>
      <c r="J7" s="16"/>
      <c r="K7" s="25"/>
      <c r="L7" s="21"/>
    </row>
    <row r="8" spans="2:13" ht="30" customHeight="1" thickBot="1">
      <c r="B8" s="22"/>
      <c r="C8" s="23"/>
      <c r="D8" s="24"/>
      <c r="E8" s="24"/>
      <c r="F8" s="25"/>
      <c r="G8" s="25"/>
      <c r="H8" s="26"/>
      <c r="I8" s="26"/>
      <c r="J8" s="26"/>
      <c r="K8" s="25"/>
      <c r="L8" s="21"/>
    </row>
    <row r="9" spans="2:13" ht="30" customHeight="1" thickBot="1">
      <c r="B9" s="185" t="s">
        <v>36</v>
      </c>
      <c r="C9" s="186" t="s">
        <v>63</v>
      </c>
      <c r="D9" s="186" t="s">
        <v>64</v>
      </c>
      <c r="E9" s="186" t="s">
        <v>65</v>
      </c>
      <c r="F9" s="186" t="s">
        <v>66</v>
      </c>
      <c r="G9" s="186" t="s">
        <v>67</v>
      </c>
      <c r="H9" s="304" t="s">
        <v>68</v>
      </c>
      <c r="I9" s="304"/>
      <c r="J9" s="304"/>
      <c r="K9" s="304"/>
      <c r="L9" s="187" t="s">
        <v>95</v>
      </c>
    </row>
    <row r="10" spans="2:13" ht="30" customHeight="1">
      <c r="B10" s="382" t="s">
        <v>69</v>
      </c>
      <c r="C10" s="385" t="s">
        <v>70</v>
      </c>
      <c r="D10" s="241" t="s">
        <v>122</v>
      </c>
      <c r="E10" s="201"/>
      <c r="F10" s="202" t="str">
        <f>IF(D10="","","kW")</f>
        <v>kW</v>
      </c>
      <c r="G10" s="203">
        <f>IF(D10="","",IFERROR(INDEX('[4]INFO-Consumo'!$F$9:$F$95,
       MATCH(D10, '[4]INFO-Consumo'!$D$9:$D$95, 0)),""))</f>
        <v>20</v>
      </c>
      <c r="H10" s="369"/>
      <c r="I10" s="370"/>
      <c r="J10" s="370"/>
      <c r="K10" s="371"/>
      <c r="L10" s="388">
        <f ca="1">IF(
   (
     IF(ISNUMBER(G10)*ISNUMBER(G11), G10*G11, 0)
     * IF(ISNUMBER(G13), G13, 0)
     + IF(ISNUMBER(G12)*ISNUMBER(#REF!), G12*#REF!, 0)
     * IF(ISNUMBER(G13), G13, 0)
     + IF(ISNUMBER(G14), G14, 0)
     + IF(ISNUMBER(G15), G15, 0)
   ) = 0,
   "",
   (
     IF(ISNUMBER(G10)*ISNUMBER(G11), G10*G11, 0)
     * IF(ISNUMBER(G13), G13, 0)
     + IF(ISNUMBER(G12)*ISNUMBER(#REF!), G12*#REF!, 0)
     * IF(ISNUMBER(G13), G13, 0)
     + IF(ISNUMBER(G14), G14, 0)
     + IF(ISNUMBER(G15), G15, 0)
   )
)</f>
        <v>1.2304574074669219</v>
      </c>
    </row>
    <row r="11" spans="2:13" ht="30" customHeight="1">
      <c r="B11" s="383"/>
      <c r="C11" s="386"/>
      <c r="D11" s="204" t="str">
        <f>IF(D10="", "Seleccionar Maquinaria ↑", "Carga Promedio de Uso de " &amp; D10)</f>
        <v>Carga Promedio de Uso de Order Picker Crown 45RRTT</v>
      </c>
      <c r="E11" s="205"/>
      <c r="F11" s="206" t="str">
        <f>IF(ISERROR(FIND("Seleccionar", D11)), "%", "")</f>
        <v>%</v>
      </c>
      <c r="G11" s="272">
        <f>IF(D10="","",IFERROR(
    INDEX('[4]INFO-Consumo'!I:I,
           MATCH(D10, '[4]INFO-Consumo'!D:D, 0)
    ),
""))</f>
        <v>0.6</v>
      </c>
      <c r="H11" s="372"/>
      <c r="I11" s="372"/>
      <c r="J11" s="372"/>
      <c r="K11" s="372"/>
      <c r="L11" s="377"/>
    </row>
    <row r="12" spans="2:13" ht="30" customHeight="1">
      <c r="B12" s="383"/>
      <c r="C12" s="386"/>
      <c r="D12" s="242" t="s">
        <v>145</v>
      </c>
      <c r="E12" s="205"/>
      <c r="F12" s="206" t="str">
        <f>IF(D12="","","kW")</f>
        <v>kW</v>
      </c>
      <c r="G12" s="207">
        <f>IFERROR(INDEX('[4]INFO-Ponderacion'!$S$9:$S$13,
       MATCH(D12,'[4]INFO-Ponderacion'!$C$9:$C$13, 0)),"")</f>
        <v>0.44999999999999996</v>
      </c>
      <c r="H12" s="208"/>
      <c r="I12" s="209"/>
      <c r="J12" s="209"/>
      <c r="K12" s="210"/>
      <c r="L12" s="377"/>
    </row>
    <row r="13" spans="2:13" ht="30" customHeight="1">
      <c r="B13" s="383"/>
      <c r="C13" s="386"/>
      <c r="D13" s="204" t="str">
        <f>IF(D12="", "Seleccionar Area ↑", "Tarifa Electrica ")</f>
        <v xml:space="preserve">Tarifa Electrica </v>
      </c>
      <c r="E13" s="205"/>
      <c r="F13" s="206" t="str">
        <f>IF(D12="","","$/kWh")</f>
        <v>$/kWh</v>
      </c>
      <c r="G13" s="211">
        <f>IF(D12="","",'INFO-Direc'!$G$9)</f>
        <v>5.2613958629577628E-2</v>
      </c>
      <c r="H13" s="372"/>
      <c r="I13" s="372"/>
      <c r="J13" s="372"/>
      <c r="K13" s="372"/>
      <c r="L13" s="377"/>
    </row>
    <row r="14" spans="2:13" ht="30" customHeight="1">
      <c r="B14" s="383"/>
      <c r="C14" s="386"/>
      <c r="D14" s="212" t="str">
        <f>IF(D12="", "Seleccionar Area ↑", "Costo Electrico Fijo de " &amp; D12)</f>
        <v>Costo Electrico Fijo de Depósito</v>
      </c>
      <c r="E14" s="205"/>
      <c r="F14" s="206" t="str">
        <f>IF(D12="","","$/h")</f>
        <v>$/h</v>
      </c>
      <c r="G14" s="211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0.59908990391199035</v>
      </c>
      <c r="H14" s="379"/>
      <c r="I14" s="380"/>
      <c r="J14" s="380"/>
      <c r="K14" s="381"/>
      <c r="L14" s="377"/>
    </row>
    <row r="15" spans="2:13" ht="30" customHeight="1">
      <c r="B15" s="384"/>
      <c r="C15" s="387"/>
      <c r="D15" s="212" t="s">
        <v>90</v>
      </c>
      <c r="E15" s="213"/>
      <c r="F15" s="206" t="str">
        <f>IF(D12="","","$/h")</f>
        <v>$/h</v>
      </c>
      <c r="G15" s="244"/>
      <c r="H15" s="379"/>
      <c r="I15" s="380"/>
      <c r="J15" s="380"/>
      <c r="K15" s="381"/>
      <c r="L15" s="378"/>
    </row>
    <row r="16" spans="2:13" ht="30" customHeight="1">
      <c r="B16" s="389" t="s">
        <v>71</v>
      </c>
      <c r="C16" s="390" t="s">
        <v>70</v>
      </c>
      <c r="D16" s="242"/>
      <c r="E16" s="205"/>
      <c r="F16" s="206" t="str">
        <f>IF(D16="","","$/L")</f>
        <v/>
      </c>
      <c r="G16" s="211" t="str">
        <f>IFERROR(INDEX('INFO-Direc'!$G$9:$G$25,
       MATCH(D16, 'INFO-Direc'!$D$9:$D$25, 0)),"")</f>
        <v/>
      </c>
      <c r="H16" s="372"/>
      <c r="I16" s="372"/>
      <c r="J16" s="372"/>
      <c r="K16" s="372"/>
      <c r="L16" s="376" t="str">
        <f>IF(AND(D16="", D18=""), "",
    IFERROR(
        IFERROR(G16*G17,0)
        + IFERROR(G18*G19,0)
        + IFERROR(G20,0),
    "")
)</f>
        <v/>
      </c>
    </row>
    <row r="17" spans="2:12" ht="30" customHeight="1">
      <c r="B17" s="383"/>
      <c r="C17" s="391"/>
      <c r="D17" s="204" t="str">
        <f>IF(D16="", "Seleccionar Lubricante ↑", "Consumo de " &amp; D16)</f>
        <v>Seleccionar Lubricante ↑</v>
      </c>
      <c r="E17" s="205"/>
      <c r="F17" s="206" t="str">
        <f>IF(ISERROR(FIND("Seleccionar", D17)), "L/h", "")</f>
        <v/>
      </c>
      <c r="G17" s="245"/>
      <c r="H17" s="372"/>
      <c r="I17" s="372"/>
      <c r="J17" s="372"/>
      <c r="K17" s="372"/>
      <c r="L17" s="377"/>
    </row>
    <row r="18" spans="2:12" ht="30" customHeight="1">
      <c r="B18" s="383"/>
      <c r="C18" s="391"/>
      <c r="D18" s="242"/>
      <c r="E18" s="205"/>
      <c r="F18" s="206" t="str">
        <f>IF(D18="","","$/L")</f>
        <v/>
      </c>
      <c r="G18" s="211" t="str">
        <f>IFERROR(INDEX('INFO-Direc'!$G$9:$G$25,
       MATCH(D18, 'INFO-Direc'!$D$9:$D$25, 0)),"")</f>
        <v/>
      </c>
      <c r="H18" s="379"/>
      <c r="I18" s="380"/>
      <c r="J18" s="380"/>
      <c r="K18" s="381"/>
      <c r="L18" s="377"/>
    </row>
    <row r="19" spans="2:12" ht="30" customHeight="1">
      <c r="B19" s="383"/>
      <c r="C19" s="391"/>
      <c r="D19" s="204" t="str">
        <f>IF(D18="", "Seleccionar Lubricante ↑", "Consumo de " &amp; D18)</f>
        <v>Seleccionar Lubricante ↑</v>
      </c>
      <c r="E19" s="205"/>
      <c r="F19" s="206" t="str">
        <f>IF(ISERROR(FIND("Seleccionar", D19)), "L/h", "")</f>
        <v/>
      </c>
      <c r="G19" s="245"/>
      <c r="H19" s="379"/>
      <c r="I19" s="380"/>
      <c r="J19" s="380"/>
      <c r="K19" s="381"/>
      <c r="L19" s="377"/>
    </row>
    <row r="20" spans="2:12" ht="30" customHeight="1">
      <c r="B20" s="384"/>
      <c r="C20" s="392"/>
      <c r="D20" s="204" t="s">
        <v>90</v>
      </c>
      <c r="E20" s="205"/>
      <c r="F20" s="206" t="str">
        <f>IF(OR(D16&lt;&gt;"", D18&lt;&gt;""), "$/h", "")</f>
        <v/>
      </c>
      <c r="G20" s="244"/>
      <c r="H20" s="372"/>
      <c r="I20" s="372"/>
      <c r="J20" s="372"/>
      <c r="K20" s="372"/>
      <c r="L20" s="378"/>
    </row>
    <row r="21" spans="2:12" ht="30" customHeight="1">
      <c r="B21" s="389" t="s">
        <v>73</v>
      </c>
      <c r="C21" s="393" t="s">
        <v>70</v>
      </c>
      <c r="D21" s="242"/>
      <c r="E21" s="205"/>
      <c r="F21" s="206" t="str">
        <f>IF(D21="","","kW")</f>
        <v/>
      </c>
      <c r="G21" s="214" t="str">
        <f>IFERROR(INDEX('INFO-Direc'!$G$9:$G$25,
       MATCH(D21, 'INFO-Direc'!$D$9:$D$26, 0)),"")</f>
        <v/>
      </c>
      <c r="H21" s="379"/>
      <c r="I21" s="380"/>
      <c r="J21" s="380"/>
      <c r="K21" s="381"/>
      <c r="L21" s="376" t="str">
        <f>IFERROR(G21*G13*G22+G23+G24,"")</f>
        <v/>
      </c>
    </row>
    <row r="22" spans="2:12" ht="30" customHeight="1">
      <c r="B22" s="383"/>
      <c r="C22" s="386"/>
      <c r="D22" s="204" t="str">
        <f>IF(D21="", "Seleccionar Compresor ↑", "Carga Promedio de Uso de " &amp; D21)</f>
        <v>Seleccionar Compresor ↑</v>
      </c>
      <c r="E22" s="205"/>
      <c r="F22" s="206" t="str">
        <f>IF(ISERROR(FIND("Seleccionar", D22)), "%", "")</f>
        <v/>
      </c>
      <c r="G22" s="243"/>
      <c r="H22" s="372"/>
      <c r="I22" s="372"/>
      <c r="J22" s="372"/>
      <c r="K22" s="372"/>
      <c r="L22" s="377"/>
    </row>
    <row r="23" spans="2:12" ht="30" customHeight="1">
      <c r="B23" s="383"/>
      <c r="C23" s="386"/>
      <c r="D23" s="215" t="str">
        <f>IF(D21="", "Seleccionar Compresor ↑", "Costo de Repuestos " &amp; D21)</f>
        <v>Seleccionar Compresor ↑</v>
      </c>
      <c r="E23" s="205"/>
      <c r="F23" s="206" t="str">
        <f>IF(ISERROR(FIND("Seleccionar", D23)), "$/h", "")</f>
        <v/>
      </c>
      <c r="G23" s="216" t="str">
        <f>IF(D21="","", SUM(IF(ISNUMBER(FIND("Compresor", 'INFO-Mant'!D9:D30)), 'INFO-Mant'!G9:G30 / 'INFO-Mant'!H9:H30, 0)))</f>
        <v/>
      </c>
      <c r="H23" s="379"/>
      <c r="I23" s="380"/>
      <c r="J23" s="380"/>
      <c r="K23" s="381"/>
      <c r="L23" s="377"/>
    </row>
    <row r="24" spans="2:12" ht="30" customHeight="1">
      <c r="B24" s="384"/>
      <c r="C24" s="387"/>
      <c r="D24" s="204" t="s">
        <v>90</v>
      </c>
      <c r="E24" s="205"/>
      <c r="F24" s="206" t="str">
        <f>IF(D21="","","$/h")</f>
        <v/>
      </c>
      <c r="G24" s="244"/>
      <c r="H24" s="372"/>
      <c r="I24" s="372"/>
      <c r="J24" s="372"/>
      <c r="K24" s="372"/>
      <c r="L24" s="378"/>
    </row>
    <row r="25" spans="2:12" ht="30" customHeight="1">
      <c r="B25" s="389" t="s">
        <v>74</v>
      </c>
      <c r="C25" s="393" t="s">
        <v>70</v>
      </c>
      <c r="D25" s="242"/>
      <c r="E25" s="205"/>
      <c r="F25" s="206" t="str">
        <f>IF(D25="","","$/L")</f>
        <v/>
      </c>
      <c r="G25" s="211" t="str">
        <f>IFERROR(INDEX('INFO-Direc'!$G$9:$G$25,
       MATCH(D25, 'INFO-Direc'!$D$9:$D$26, 0)),"")</f>
        <v/>
      </c>
      <c r="H25" s="372"/>
      <c r="I25" s="372"/>
      <c r="J25" s="372"/>
      <c r="K25" s="372"/>
      <c r="L25" s="394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83"/>
      <c r="C26" s="386"/>
      <c r="D26" s="204" t="str">
        <f>IF(D25="", "Seleccionar Refrigerante ↑", "Consumo de " &amp; D25)</f>
        <v>Seleccionar Refrigerante ↑</v>
      </c>
      <c r="E26" s="205"/>
      <c r="F26" s="206" t="str">
        <f>IF(ISERROR(FIND("Seleccionar", D26)), "L/Año", "")</f>
        <v/>
      </c>
      <c r="G26" s="249"/>
      <c r="H26" s="372"/>
      <c r="I26" s="372"/>
      <c r="J26" s="372"/>
      <c r="K26" s="372"/>
      <c r="L26" s="395"/>
    </row>
    <row r="27" spans="2:12" ht="30" customHeight="1">
      <c r="B27" s="383"/>
      <c r="C27" s="386"/>
      <c r="D27" s="242"/>
      <c r="E27" s="205"/>
      <c r="F27" s="206" t="str">
        <f>IF(D27="","","$/L")</f>
        <v/>
      </c>
      <c r="G27" s="217" t="str">
        <f>IFERROR(INDEX('INFO-Direc'!$G$9:$G$25,
       MATCH(D27, 'INFO-Direc'!$D$9:$D$26, 0)),"")</f>
        <v/>
      </c>
      <c r="H27" s="379"/>
      <c r="I27" s="380"/>
      <c r="J27" s="380"/>
      <c r="K27" s="381"/>
      <c r="L27" s="395"/>
    </row>
    <row r="28" spans="2:12" ht="30" customHeight="1">
      <c r="B28" s="383"/>
      <c r="C28" s="386"/>
      <c r="D28" s="204" t="str">
        <f>IF(D27="", "Seleccionar Refrigerante ↑", "Consumo de " &amp; D27)</f>
        <v>Seleccionar Refrigerante ↑</v>
      </c>
      <c r="E28" s="205"/>
      <c r="F28" s="206" t="str">
        <f>IF(ISERROR(FIND("Seleccionar", D28)), "L/Año", "")</f>
        <v/>
      </c>
      <c r="G28" s="250"/>
      <c r="H28" s="379"/>
      <c r="I28" s="380"/>
      <c r="J28" s="380"/>
      <c r="K28" s="381"/>
      <c r="L28" s="395"/>
    </row>
    <row r="29" spans="2:12" ht="30" customHeight="1">
      <c r="B29" s="384"/>
      <c r="C29" s="387"/>
      <c r="D29" s="204" t="s">
        <v>90</v>
      </c>
      <c r="E29" s="205"/>
      <c r="F29" s="206" t="str">
        <f>IF(OR(D25&lt;&gt;"", D27&lt;&gt;""), "$/h", "")</f>
        <v/>
      </c>
      <c r="G29" s="244"/>
      <c r="H29" s="372"/>
      <c r="I29" s="372"/>
      <c r="J29" s="372"/>
      <c r="K29" s="372"/>
      <c r="L29" s="396"/>
    </row>
    <row r="30" spans="2:12" s="180" customFormat="1" ht="30" customHeight="1">
      <c r="B30" s="389" t="s">
        <v>97</v>
      </c>
      <c r="C30" s="393" t="s">
        <v>70</v>
      </c>
      <c r="D30" s="204" t="str">
        <f>IF(D12="", "Seleccionar Area ↑", "Costo de Operarios")</f>
        <v>Costo de Operarios</v>
      </c>
      <c r="E30" s="205"/>
      <c r="F30" s="206" t="str">
        <f>IF(D12="","","$/mes")</f>
        <v>$/mes</v>
      </c>
      <c r="G30" s="217">
        <f>IF(D12="","",IFERROR(
    INDEX('INFO-Personal'!$E$26:$CA$26,
           MATCH($C$3, 'INFO-Personal'!$E$9:$CA$9, 0)
    ),
""))</f>
        <v>0</v>
      </c>
      <c r="H30" s="372"/>
      <c r="I30" s="372"/>
      <c r="J30" s="372"/>
      <c r="K30" s="372"/>
      <c r="L30" s="376">
        <f>IFERROR(
    (G30 / INDEX('INFO-OEE'!$E$18:$CA$18,
                  MATCH($C$3, 'INFO-OEE'!$E$9:$CA$9, 0)))
    + G31,
"")</f>
        <v>0</v>
      </c>
    </row>
    <row r="31" spans="2:12" s="180" customFormat="1" ht="30" customHeight="1">
      <c r="B31" s="383"/>
      <c r="C31" s="386"/>
      <c r="D31" s="204" t="s">
        <v>90</v>
      </c>
      <c r="E31" s="205"/>
      <c r="F31" s="206" t="str">
        <f>IF(D12="","","$/h")</f>
        <v>$/h</v>
      </c>
      <c r="G31" s="251"/>
      <c r="H31" s="372"/>
      <c r="I31" s="372"/>
      <c r="J31" s="372"/>
      <c r="K31" s="372"/>
      <c r="L31" s="377"/>
    </row>
    <row r="32" spans="2:12" s="180" customFormat="1" ht="30" customHeight="1">
      <c r="B32" s="219"/>
      <c r="C32" s="220"/>
      <c r="D32" s="221"/>
      <c r="E32" s="220"/>
      <c r="F32" s="222"/>
      <c r="G32" s="223"/>
      <c r="H32" s="397"/>
      <c r="I32" s="397"/>
      <c r="J32" s="397"/>
      <c r="K32" s="397"/>
      <c r="L32" s="224"/>
    </row>
    <row r="33" spans="2:12" s="180" customFormat="1" ht="30" customHeight="1">
      <c r="B33" s="389" t="s">
        <v>42</v>
      </c>
      <c r="C33" s="393" t="s">
        <v>77</v>
      </c>
      <c r="D33" s="204" t="str">
        <f>IF(D12="", "Seleccionar Area ↑", "Costo de Supervisores")</f>
        <v>Costo de Supervisores</v>
      </c>
      <c r="E33" s="205"/>
      <c r="F33" s="218" t="str">
        <f>IF(D12="","","$/mes")</f>
        <v>$/mes</v>
      </c>
      <c r="G33" s="217">
        <f>IF(D12="","",IFERROR(
    INDEX('INFO-Personal'!$E$27:$CA$27,
           MATCH($C$3, 'INFO-Personal'!$E$9:$CA$9, 0)
    ),
""))</f>
        <v>0</v>
      </c>
      <c r="H33" s="379"/>
      <c r="I33" s="380"/>
      <c r="J33" s="380"/>
      <c r="K33" s="381"/>
      <c r="L33" s="376">
        <f>IFERROR(
    (G33 / INDEX('INFO-OEE'!$E$18:$CA$18,
                  MATCH($C$3, 'INFO-OEE'!$E$9:$CA$9, 0)))
    + G34,
"")</f>
        <v>0</v>
      </c>
    </row>
    <row r="34" spans="2:12" s="180" customFormat="1" ht="30" customHeight="1">
      <c r="B34" s="383"/>
      <c r="C34" s="386"/>
      <c r="D34" s="204" t="s">
        <v>90</v>
      </c>
      <c r="E34" s="205"/>
      <c r="F34" s="206" t="str">
        <f>IF(D12="","","$/h")</f>
        <v>$/h</v>
      </c>
      <c r="G34" s="251"/>
      <c r="H34" s="379"/>
      <c r="I34" s="380"/>
      <c r="J34" s="380"/>
      <c r="K34" s="381"/>
      <c r="L34" s="377"/>
    </row>
    <row r="35" spans="2:12" s="180" customFormat="1" ht="30" customHeight="1">
      <c r="B35" s="389" t="s">
        <v>98</v>
      </c>
      <c r="C35" s="393" t="s">
        <v>77</v>
      </c>
      <c r="D35" s="204" t="str">
        <f>IF(D12="", "Seleccionar Area ↑", "Costo de Mant. Preventivo")</f>
        <v>Costo de Mant. Preventivo</v>
      </c>
      <c r="E35" s="273"/>
      <c r="F35" s="218" t="str">
        <f>IF(D12="","","$/mes")</f>
        <v>$/mes</v>
      </c>
      <c r="G35" s="217" t="str">
        <f>IF(D12="","",IFERROR(
    INDEX('[1]INFO-Personal'!$E$28:$CA$28,
           MATCH($C$3, '[1]INFO-Personal'!$E$9:$CA$9, 0)
    ),
""))</f>
        <v/>
      </c>
      <c r="H35" s="379"/>
      <c r="I35" s="380"/>
      <c r="J35" s="380"/>
      <c r="K35" s="381"/>
      <c r="L35" s="376">
        <f>IF(D12="","",SUM(
    IFERROR((G35+G36) / INDEX('INFO-OEE'!$E$18:$CA$18, MATCH(C3, 'INFO-OEE'!$E$9:$CA$9, 0)), 0),
    IFERROR(G37 / G38, 0),
    IFERROR(G39 / G40, 0),
    IFERROR(G41 / G42, 0),
    IFERROR(G43, 0)
))</f>
        <v>0</v>
      </c>
    </row>
    <row r="36" spans="2:12" ht="30" customHeight="1">
      <c r="B36" s="383"/>
      <c r="C36" s="386"/>
      <c r="D36" s="204" t="str">
        <f>IF(D12="", "Seleccionar Area ↑", "Costo de Mant. Correctivo")</f>
        <v>Costo de Mant. Correctivo</v>
      </c>
      <c r="E36" s="273"/>
      <c r="F36" s="218" t="str">
        <f>IF(D12="","","$/mes")</f>
        <v>$/mes</v>
      </c>
      <c r="G36" s="217" t="str">
        <f>IF(D12="","",IFERROR(
    INDEX('[1]INFO-Personal'!$E$29:$CA$29,
           MATCH($C$3, '[1]INFO-Personal'!$E$9:$CA$9, 0)
    ),
""))</f>
        <v/>
      </c>
      <c r="H36" s="379"/>
      <c r="I36" s="380"/>
      <c r="J36" s="380"/>
      <c r="K36" s="381"/>
      <c r="L36" s="377"/>
    </row>
    <row r="37" spans="2:12" ht="30" customHeight="1">
      <c r="B37" s="383"/>
      <c r="C37" s="386"/>
      <c r="D37" s="242"/>
      <c r="E37" s="205"/>
      <c r="F37" s="206" t="str">
        <f>IF(D37="","","$/u")</f>
        <v/>
      </c>
      <c r="G37" s="217" t="str">
        <f>IFERROR(INDEX('INFO-Mant'!$G$9:$G$26,
       MATCH(D37, 'INFO-Mant'!$D$9:$D$26, 0)),"")</f>
        <v/>
      </c>
      <c r="H37" s="379"/>
      <c r="I37" s="380"/>
      <c r="J37" s="380"/>
      <c r="K37" s="381"/>
      <c r="L37" s="377"/>
    </row>
    <row r="38" spans="2:12" ht="30" customHeight="1">
      <c r="B38" s="383"/>
      <c r="C38" s="386"/>
      <c r="D38" s="204" t="str">
        <f>IF(D37="", "Seleccionar Repuesto ↑", "Vida Util de " &amp; D37)</f>
        <v>Seleccionar Repuesto ↑</v>
      </c>
      <c r="E38" s="205"/>
      <c r="F38" s="206" t="str">
        <f>IF(ISERROR(FIND("Seleccionar", D38)), "Horas/u", "")</f>
        <v/>
      </c>
      <c r="G38" s="249"/>
      <c r="H38" s="379"/>
      <c r="I38" s="380"/>
      <c r="J38" s="380"/>
      <c r="K38" s="381"/>
      <c r="L38" s="377"/>
    </row>
    <row r="39" spans="2:12" ht="30" customHeight="1">
      <c r="B39" s="383"/>
      <c r="C39" s="386"/>
      <c r="D39" s="242"/>
      <c r="E39" s="205"/>
      <c r="F39" s="206" t="str">
        <f>IF(D39="","","$/u")</f>
        <v/>
      </c>
      <c r="G39" s="217" t="str">
        <f>IFERROR(INDEX('INFO-Mant'!$G$9:$G$26,
       MATCH(D39, 'INFO-Mant'!$D$9:$D$26, 0)),"")</f>
        <v/>
      </c>
      <c r="H39" s="379"/>
      <c r="I39" s="380"/>
      <c r="J39" s="380"/>
      <c r="K39" s="381"/>
      <c r="L39" s="377"/>
    </row>
    <row r="40" spans="2:12" ht="30" customHeight="1">
      <c r="B40" s="383"/>
      <c r="C40" s="386"/>
      <c r="D40" s="204" t="str">
        <f>IF(D39="", "Seleccionar Repuesto ↑", "Vida Util de " &amp; D39)</f>
        <v>Seleccionar Repuesto ↑</v>
      </c>
      <c r="E40" s="205"/>
      <c r="F40" s="206" t="str">
        <f>IF(ISERROR(FIND("Seleccionar", D40)), "Horas/u", "")</f>
        <v/>
      </c>
      <c r="G40" s="249"/>
      <c r="H40" s="379"/>
      <c r="I40" s="380"/>
      <c r="J40" s="380"/>
      <c r="K40" s="381"/>
      <c r="L40" s="377"/>
    </row>
    <row r="41" spans="2:12" ht="30" customHeight="1">
      <c r="B41" s="383"/>
      <c r="C41" s="386"/>
      <c r="D41" s="242"/>
      <c r="E41" s="205"/>
      <c r="F41" s="206" t="str">
        <f>IF(D41="","","$/u")</f>
        <v/>
      </c>
      <c r="G41" s="217" t="str">
        <f>IFERROR(INDEX('INFO-Mant'!$G$9:$G$26,
       MATCH(D41, 'INFO-Mant'!$D$9:$D$26, 0)),"")</f>
        <v/>
      </c>
      <c r="H41" s="379"/>
      <c r="I41" s="380"/>
      <c r="J41" s="380"/>
      <c r="K41" s="381"/>
      <c r="L41" s="377"/>
    </row>
    <row r="42" spans="2:12" ht="30" customHeight="1">
      <c r="B42" s="383"/>
      <c r="C42" s="386"/>
      <c r="D42" s="204" t="str">
        <f>IF(D41="", "Seleccionar Repuesto ↑", "Vida Util de " &amp; D41)</f>
        <v>Seleccionar Repuesto ↑</v>
      </c>
      <c r="E42" s="205"/>
      <c r="F42" s="206" t="str">
        <f>IF(ISERROR(FIND("Seleccionar", D42)), "Horas/u", "")</f>
        <v/>
      </c>
      <c r="G42" s="251"/>
      <c r="H42" s="379"/>
      <c r="I42" s="380"/>
      <c r="J42" s="380"/>
      <c r="K42" s="381"/>
      <c r="L42" s="377"/>
    </row>
    <row r="43" spans="2:12" ht="30" customHeight="1">
      <c r="B43" s="384"/>
      <c r="C43" s="387"/>
      <c r="D43" s="204" t="s">
        <v>90</v>
      </c>
      <c r="E43" s="205"/>
      <c r="F43" s="206" t="str">
        <f>IF(D12="","","$/h")</f>
        <v>$/h</v>
      </c>
      <c r="G43" s="251"/>
      <c r="H43" s="379"/>
      <c r="I43" s="380"/>
      <c r="J43" s="380"/>
      <c r="K43" s="381"/>
      <c r="L43" s="378"/>
    </row>
    <row r="44" spans="2:12" ht="30" customHeight="1">
      <c r="B44" s="225"/>
      <c r="C44" s="226"/>
      <c r="D44" s="227"/>
      <c r="E44" s="226"/>
      <c r="F44" s="228"/>
      <c r="G44" s="229"/>
      <c r="H44" s="226"/>
      <c r="I44" s="226"/>
      <c r="J44" s="226"/>
      <c r="K44" s="226"/>
      <c r="L44" s="230"/>
    </row>
    <row r="45" spans="2:12" ht="30" customHeight="1">
      <c r="B45" s="389" t="s">
        <v>99</v>
      </c>
      <c r="C45" s="390" t="s">
        <v>100</v>
      </c>
      <c r="D45" s="242" t="s">
        <v>107</v>
      </c>
      <c r="E45" s="205"/>
      <c r="F45" s="206" t="str">
        <f>IF(D45="","","$/h")</f>
        <v>$/h</v>
      </c>
      <c r="G45" s="217">
        <f ca="1">IFERROR(
 IF(
    DATE(
        YEAR( INDEX('INFO-Pos'!$G:$G, MATCH(D45,'INFO-Pos'!$B:$B,0)+1 ) ) +
        INDEX('INFO-Pos'!$G:$G, MATCH(D45,'INFO-Pos'!$B:$B,0)+2 ),
        MONTH( INDEX('INFO-Pos'!$G:$G, MATCH(D45,'INFO-Pos'!$B:$B,0)+1 ) ),
        DAY( INDEX('INFO-Pos'!$G:$G, MATCH(D45,'INFO-Pos'!$B:$B,0)+1 ) )
    ) &gt; TODAY(),
    ( INDEX('INFO-Pos'!$G:$G, MATCH(D45,'INFO-Pos'!$B:$B,0)+0 ) -
      INDEX('INFO-Pos'!$G:$G, MATCH(D45,'INFO-Pos'!$B:$B,0)+3 )
    ) /
    (
      INDEX('INFO-Pos'!$G:$G, MATCH(D45,'INFO-Pos'!$B:$B,0)+2 ) *
      INDEX('INFO-Pos'!$G:$G, MATCH(D45,'INFO-Pos'!$B:$B,0)+4 )
    ),
    0
 ),
 ""
)</f>
        <v>0</v>
      </c>
      <c r="H45" s="398" t="str">
        <f ca="1">IFERROR(
    IF(G45="",
        "",
        IF(G45=0,
            "Depreciado en su totalidad",
            "Depreciación restante durante " &amp;
            MAX(
                0,
                INDEX('INFO-Pos'!$G:$G, MATCH(D45,'INFO-Pos'!$B:$B,0)+2)
                -
                (YEAR(TODAY()) - YEAR( INDEX('INFO-Pos'!$G:$G, MATCH(D45,'INFO-Pos'!$B:$B,0)+1 ) ))
            )
            &amp; " años"
        )
    ),
    ""
)</f>
        <v>Depreciado en su totalidad</v>
      </c>
      <c r="I45" s="398"/>
      <c r="J45" s="398"/>
      <c r="K45" s="398"/>
      <c r="L45" s="252">
        <f ca="1">G45</f>
        <v>0</v>
      </c>
    </row>
    <row r="46" spans="2:12" ht="30" customHeight="1">
      <c r="B46" s="383"/>
      <c r="C46" s="391"/>
      <c r="D46" s="242"/>
      <c r="E46" s="231"/>
      <c r="F46" s="206" t="str">
        <f>IF(D46="","","$/h")</f>
        <v/>
      </c>
      <c r="G46" s="217" t="str">
        <f ca="1">IFERROR(
 IF(
    DATE(
        YEAR( INDEX('INFO-Pos'!$G:$G, MATCH(D46,'INFO-Pos'!$B:$B,0)+1 ) ) +
        INDEX('INFO-Pos'!$G:$G, MATCH(D46,'INFO-Pos'!$B:$B,0)+2 ),
        MONTH( INDEX('INFO-Pos'!$G:$G, MATCH(D46,'INFO-Pos'!$B:$B,0)+1 ) ),
        DAY( INDEX('INFO-Pos'!$G:$G, MATCH(D46,'INFO-Pos'!$B:$B,0)+1 ) )
    ) &gt; TODAY(),
    ( INDEX('INFO-Pos'!$G:$G, MATCH(D46,'INFO-Pos'!$B:$B,0)+0 ) -
      INDEX('INFO-Pos'!$G:$G, MATCH(D46,'INFO-Pos'!$B:$B,0)+3 )
    ) /
    (
      INDEX('INFO-Pos'!$G:$G, MATCH(D46,'INFO-Pos'!$B:$B,0)+2 ) *
      INDEX('INFO-Pos'!$G:$G, MATCH(D46,'INFO-Pos'!$B:$B,0)+4 )
    ),
    0
 ),
 ""
)</f>
        <v/>
      </c>
      <c r="H46" s="398" t="str">
        <f ca="1">IFERROR(
    IF(G46="",
        "",
        IF(G46=0,
            "Depreciado en su totalidad",
            "Depreciación restante durante " &amp;
            MAX(
                0,
                INDEX('INFO-Pos'!$G:$G, MATCH(D46,'INFO-Pos'!$B:$B,0)+2)
                -
                (YEAR(TODAY()) - YEAR( INDEX('INFO-Pos'!$G:$G, MATCH(D46,'INFO-Pos'!$B:$B,0)+1 ) ))
            )
            &amp; " años"
        )
    ),
    ""
)</f>
        <v/>
      </c>
      <c r="I46" s="398"/>
      <c r="J46" s="398"/>
      <c r="K46" s="398"/>
      <c r="L46" s="252" t="str">
        <f ca="1">G46</f>
        <v/>
      </c>
    </row>
    <row r="47" spans="2:12" ht="30" customHeight="1">
      <c r="B47" s="383"/>
      <c r="C47" s="391"/>
      <c r="D47" s="242"/>
      <c r="E47" s="205"/>
      <c r="F47" s="206" t="str">
        <f t="shared" ref="F47:F49" si="0">IF(D47="","","$/h")</f>
        <v/>
      </c>
      <c r="G47" s="217" t="str">
        <f ca="1">IFERROR(
 IF(
    DATE(
        YEAR( INDEX('INFO-Pos'!$G:$G, MATCH(D47,'INFO-Pos'!$B:$B,0)+1 ) ) +
        INDEX('INFO-Pos'!$G:$G, MATCH(D47,'INFO-Pos'!$B:$B,0)+2 ),
        MONTH( INDEX('INFO-Pos'!$G:$G, MATCH(D47,'INFO-Pos'!$B:$B,0)+1 ) ),
        DAY( INDEX('INFO-Pos'!$G:$G, MATCH(D47,'INFO-Pos'!$B:$B,0)+1 ) )
    ) &gt; TODAY(),
    ( INDEX('INFO-Pos'!$G:$G, MATCH(D47,'INFO-Pos'!$B:$B,0)+0 ) -
      INDEX('INFO-Pos'!$G:$G, MATCH(D47,'INFO-Pos'!$B:$B,0)+3 )
    ) /
    (
      INDEX('INFO-Pos'!$G:$G, MATCH(D47,'INFO-Pos'!$B:$B,0)+2 ) *
      INDEX('INFO-Pos'!$G:$G, MATCH(D47,'INFO-Pos'!$B:$B,0)+4 )
    ),
    0
 ),
 ""
)</f>
        <v/>
      </c>
      <c r="H47" s="398" t="str">
        <f ca="1">IFERROR(
    IF(G47="",
        "",
        IF(G47=0,
            "Depreciado en su totalidad",
            "Depreciación restante durante " &amp;
            MAX(
                0,
                INDEX('INFO-Pos'!$G:$G, MATCH(D47,'INFO-Pos'!$B:$B,0)+2)
                -
                (YEAR(TODAY()) - YEAR( INDEX('INFO-Pos'!$G:$G, MATCH(D47,'INFO-Pos'!$B:$B,0)+1 ) ))
            )
            &amp; " años"
        )
    ),
    ""
)</f>
        <v/>
      </c>
      <c r="I47" s="398"/>
      <c r="J47" s="398"/>
      <c r="K47" s="398"/>
      <c r="L47" s="252" t="str">
        <f ca="1">G47</f>
        <v/>
      </c>
    </row>
    <row r="48" spans="2:12" ht="30" customHeight="1">
      <c r="B48" s="383"/>
      <c r="C48" s="391"/>
      <c r="D48" s="242"/>
      <c r="E48" s="205"/>
      <c r="F48" s="206" t="str">
        <f t="shared" si="0"/>
        <v/>
      </c>
      <c r="G48" s="217" t="str">
        <f ca="1">IFERROR(
 IF(
    DATE(
        YEAR( INDEX('INFO-Pos'!$G:$G, MATCH(D48,'INFO-Pos'!$B:$B,0)+1 ) ) +
        INDEX('INFO-Pos'!$G:$G, MATCH(D48,'INFO-Pos'!$B:$B,0)+2 ),
        MONTH( INDEX('INFO-Pos'!$G:$G, MATCH(D48,'INFO-Pos'!$B:$B,0)+1 ) ),
        DAY( INDEX('INFO-Pos'!$G:$G, MATCH(D48,'INFO-Pos'!$B:$B,0)+1 ) )
    ) &gt; TODAY(),
    ( INDEX('INFO-Pos'!$G:$G, MATCH(D48,'INFO-Pos'!$B:$B,0)+0 ) -
      INDEX('INFO-Pos'!$G:$G, MATCH(D48,'INFO-Pos'!$B:$B,0)+3 )
    ) /
    (
      INDEX('INFO-Pos'!$G:$G, MATCH(D48,'INFO-Pos'!$B:$B,0)+2 ) *
      INDEX('INFO-Pos'!$G:$G, MATCH(D48,'INFO-Pos'!$B:$B,0)+4 )
    ),
    0
 ),
 ""
)</f>
        <v/>
      </c>
      <c r="H48" s="398" t="str">
        <f ca="1">IFERROR(
    IF(G48="",
        "",
        IF(G48=0,
            "Depreciado en su totalidad",
            "Depreciación restante durante " &amp;
            MAX(
                0,
                INDEX('INFO-Pos'!$G:$G, MATCH(D48,'INFO-Pos'!$B:$B,0)+2)
                -
                (YEAR(TODAY()) - YEAR( INDEX('INFO-Pos'!$G:$G, MATCH(D48,'INFO-Pos'!$B:$B,0)+1 ) ))
            )
            &amp; " años"
        )
    ),
    ""
)</f>
        <v/>
      </c>
      <c r="I48" s="398"/>
      <c r="J48" s="398"/>
      <c r="K48" s="398"/>
      <c r="L48" s="252" t="str">
        <f ca="1">G48</f>
        <v/>
      </c>
    </row>
    <row r="49" spans="2:12" ht="30" customHeight="1">
      <c r="B49" s="384"/>
      <c r="C49" s="392"/>
      <c r="D49" s="242"/>
      <c r="E49" s="205"/>
      <c r="F49" s="206" t="str">
        <f t="shared" si="0"/>
        <v/>
      </c>
      <c r="G49" s="217" t="str">
        <f ca="1">IFERROR(
 IF(
    DATE(
        YEAR( INDEX('INFO-Pos'!$G:$G, MATCH(D49,'INFO-Pos'!$B:$B,0)+1 ) ) +
        INDEX('INFO-Pos'!$G:$G, MATCH(D49,'INFO-Pos'!$B:$B,0)+2 ),
        MONTH( INDEX('INFO-Pos'!$G:$G, MATCH(D49,'INFO-Pos'!$B:$B,0)+1 ) ),
        DAY( INDEX('INFO-Pos'!$G:$G, MATCH(D49,'INFO-Pos'!$B:$B,0)+1 ) )
    ) &gt; TODAY(),
    ( INDEX('INFO-Pos'!$G:$G, MATCH(D49,'INFO-Pos'!$B:$B,0)+0 ) -
      INDEX('INFO-Pos'!$G:$G, MATCH(D49,'INFO-Pos'!$B:$B,0)+3 )
    ) /
    (
      INDEX('INFO-Pos'!$G:$G, MATCH(D49,'INFO-Pos'!$B:$B,0)+2 ) *
      INDEX('INFO-Pos'!$G:$G, MATCH(D49,'INFO-Pos'!$B:$B,0)+4 )
    ),
    0
 ),
 ""
)</f>
        <v/>
      </c>
      <c r="H49" s="398" t="str">
        <f ca="1">IFERROR(
    IF(G49="",
        "",
        IF(G49=0,
            "Depreciado en su totalidad",
            "Depreciación restante durante " &amp;
            MAX(
                0,
                INDEX('INFO-Pos'!$G:$G, MATCH(D49,'INFO-Pos'!$B:$B,0)+2)
                -
                (YEAR(TODAY()) - YEAR( INDEX('INFO-Pos'!$G:$G, MATCH(D49,'INFO-Pos'!$B:$B,0)+1 ) ))
            )
            &amp; " años"
        )
    ),
    ""
)</f>
        <v/>
      </c>
      <c r="I49" s="398"/>
      <c r="J49" s="398"/>
      <c r="K49" s="398"/>
      <c r="L49" s="252" t="str">
        <f ca="1">G49</f>
        <v/>
      </c>
    </row>
    <row r="50" spans="2:12" ht="30" customHeight="1">
      <c r="B50" s="22"/>
      <c r="C50" s="23"/>
      <c r="D50" s="399"/>
      <c r="E50" s="399"/>
      <c r="F50" s="25"/>
      <c r="G50" s="25"/>
      <c r="H50" s="26"/>
      <c r="I50" s="26"/>
      <c r="J50" s="26"/>
      <c r="K50" s="25"/>
      <c r="L50" s="21"/>
    </row>
    <row r="51" spans="2:12" ht="30" customHeight="1" thickBot="1">
      <c r="B51" s="32" t="s">
        <v>31</v>
      </c>
      <c r="C51" s="307"/>
      <c r="D51" s="307"/>
      <c r="E51" s="33" t="s">
        <v>32</v>
      </c>
      <c r="F51" s="357"/>
      <c r="G51" s="357"/>
      <c r="H51" s="16"/>
      <c r="I51" s="16"/>
      <c r="J51" s="16"/>
      <c r="K51" s="253"/>
      <c r="L51" s="254"/>
    </row>
    <row r="52" spans="2:12" ht="30" customHeight="1" thickBot="1">
      <c r="B52" s="35"/>
      <c r="C52" s="37"/>
      <c r="D52" s="37"/>
      <c r="E52" s="37"/>
      <c r="F52" s="400"/>
      <c r="G52" s="400"/>
      <c r="H52" s="38"/>
      <c r="I52" s="38"/>
      <c r="J52" s="38"/>
      <c r="K52" s="255" t="s">
        <v>101</v>
      </c>
      <c r="L52" s="256">
        <f ca="1">IFERROR(SUM(L10:L49),"")</f>
        <v>1.2304574074669219</v>
      </c>
    </row>
    <row r="53" spans="2:12" ht="30" customHeight="1">
      <c r="B53" s="162"/>
      <c r="C53" s="162"/>
    </row>
    <row r="56" spans="2:12" ht="30" customHeight="1">
      <c r="C56" s="165"/>
    </row>
  </sheetData>
  <sheetProtection selectLockedCells="1"/>
  <mergeCells count="72">
    <mergeCell ref="D50:E50"/>
    <mergeCell ref="C51:D51"/>
    <mergeCell ref="F51:G51"/>
    <mergeCell ref="F52:G52"/>
    <mergeCell ref="B45:B49"/>
    <mergeCell ref="C45:C49"/>
    <mergeCell ref="H45:K45"/>
    <mergeCell ref="H46:K46"/>
    <mergeCell ref="H47:K47"/>
    <mergeCell ref="H48:K48"/>
    <mergeCell ref="H49:K49"/>
    <mergeCell ref="B35:B43"/>
    <mergeCell ref="C35:C43"/>
    <mergeCell ref="L35:L43"/>
    <mergeCell ref="H39:K39"/>
    <mergeCell ref="H35:K35"/>
    <mergeCell ref="H36:K36"/>
    <mergeCell ref="H37:K37"/>
    <mergeCell ref="H38:K38"/>
    <mergeCell ref="H40:K40"/>
    <mergeCell ref="H41:K41"/>
    <mergeCell ref="H42:K42"/>
    <mergeCell ref="H43:K43"/>
    <mergeCell ref="B30:B31"/>
    <mergeCell ref="C30:C31"/>
    <mergeCell ref="L30:L31"/>
    <mergeCell ref="B33:B34"/>
    <mergeCell ref="C33:C34"/>
    <mergeCell ref="L33:L34"/>
    <mergeCell ref="C3:D3"/>
    <mergeCell ref="F3:G3"/>
    <mergeCell ref="C6:D6"/>
    <mergeCell ref="F6:G6"/>
    <mergeCell ref="C7:D7"/>
    <mergeCell ref="F7:G7"/>
    <mergeCell ref="L21:L24"/>
    <mergeCell ref="H21:K21"/>
    <mergeCell ref="H9:K9"/>
    <mergeCell ref="H10:K10"/>
    <mergeCell ref="H11:K11"/>
    <mergeCell ref="H13:K13"/>
    <mergeCell ref="H22:K22"/>
    <mergeCell ref="H23:K23"/>
    <mergeCell ref="B10:B15"/>
    <mergeCell ref="C10:C15"/>
    <mergeCell ref="L10:L15"/>
    <mergeCell ref="H15:K15"/>
    <mergeCell ref="H16:K16"/>
    <mergeCell ref="B16:B20"/>
    <mergeCell ref="C16:C20"/>
    <mergeCell ref="L16:L20"/>
    <mergeCell ref="H17:K17"/>
    <mergeCell ref="H18:K18"/>
    <mergeCell ref="H19:K19"/>
    <mergeCell ref="H20:K20"/>
    <mergeCell ref="H14:K14"/>
    <mergeCell ref="B25:B29"/>
    <mergeCell ref="C25:C29"/>
    <mergeCell ref="H29:K29"/>
    <mergeCell ref="H24:K24"/>
    <mergeCell ref="H25:K25"/>
    <mergeCell ref="H26:K26"/>
    <mergeCell ref="H27:K27"/>
    <mergeCell ref="H28:K28"/>
    <mergeCell ref="B21:B24"/>
    <mergeCell ref="C21:C24"/>
    <mergeCell ref="L25:L29"/>
    <mergeCell ref="H34:K34"/>
    <mergeCell ref="H30:K30"/>
    <mergeCell ref="H31:K31"/>
    <mergeCell ref="H32:K32"/>
    <mergeCell ref="H33:K33"/>
  </mergeCells>
  <dataValidations count="8">
    <dataValidation allowBlank="1" showInputMessage="1" showErrorMessage="1" prompt="Escriba comentarios en las celdas de la derecha." sqref="C56"/>
    <dataValidation allowBlank="1" showInputMessage="1" showErrorMessage="1" prompt="Escriba el departamento del empleado en la celda de la derecha." sqref="B53:C53"/>
    <dataValidation type="list" allowBlank="1" showInputMessage="1" showErrorMessage="1" sqref="D10 D45:D49">
      <formula1>Herramientas_Lista</formula1>
    </dataValidation>
    <dataValidation type="list" allowBlank="1" showInputMessage="1" showErrorMessage="1" sqref="D18 D16">
      <formula1>Lubricantes_Deposito</formula1>
    </dataValidation>
    <dataValidation type="list" allowBlank="1" showInputMessage="1" showErrorMessage="1" sqref="D21">
      <formula1>AireComprimido_Deposito</formula1>
    </dataValidation>
    <dataValidation type="list" allowBlank="1" showInputMessage="1" showErrorMessage="1" sqref="D25 D27">
      <formula1>Refrigerantes_Deposito</formula1>
    </dataValidation>
    <dataValidation type="list" allowBlank="1" showInputMessage="1" showErrorMessage="1" sqref="D41 D39 D37">
      <formula1>Repuestos_Deposito</formula1>
    </dataValidation>
    <dataValidation type="list" allowBlank="1" showInputMessage="1" showErrorMessage="1" sqref="D12">
      <formula1>Areas_Deposito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FirmarHojaActual">
                <anchor moveWithCells="1" sizeWithCells="1">
                  <from>
                    <xdr:col>1</xdr:col>
                    <xdr:colOff>533400</xdr:colOff>
                    <xdr:row>49</xdr:row>
                    <xdr:rowOff>342900</xdr:rowOff>
                  </from>
                  <to>
                    <xdr:col>1</xdr:col>
                    <xdr:colOff>1771650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INDICE</vt:lpstr>
      <vt:lpstr>INFO-OEE</vt:lpstr>
      <vt:lpstr>INFO-Personal</vt:lpstr>
      <vt:lpstr>INFO-Direc</vt:lpstr>
      <vt:lpstr>INFO-Mant</vt:lpstr>
      <vt:lpstr>INFO-Pos</vt:lpstr>
      <vt:lpstr>RECOLECCIÓN</vt:lpstr>
      <vt:lpstr>TRANSPORTE</vt:lpstr>
      <vt:lpstr>CARGA-DESCARGA</vt:lpstr>
      <vt:lpstr>CARGA DE PALLETS</vt:lpstr>
      <vt:lpstr>'INFO-Direc'!Refrigerantes</vt:lpstr>
      <vt:lpstr>'INFO-Mant'!Repuestos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lcontigiani</dc:creator>
  <cp:lastModifiedBy>Lorenzo Contigiani</cp:lastModifiedBy>
  <cp:lastPrinted>2025-12-05T15:45:55Z</cp:lastPrinted>
  <dcterms:created xsi:type="dcterms:W3CDTF">2025-11-20T11:09:49Z</dcterms:created>
  <dcterms:modified xsi:type="dcterms:W3CDTF">2025-12-26T12:37:10Z</dcterms:modified>
</cp:coreProperties>
</file>